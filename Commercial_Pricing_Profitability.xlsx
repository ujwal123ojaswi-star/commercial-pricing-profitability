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ducts" sheetId="3" state="visible" r:id="rId5"/>
    <sheet name="Customers" sheetId="4" state="visible" r:id="rId6"/>
    <sheet name="Transactions" sheetId="5" state="visible" r:id="rId7"/>
    <sheet name="Price Waterfall" sheetId="6" state="visible" r:id="rId8"/>
    <sheet name="PVM Bridge" sheetId="7" state="visible" r:id="rId9"/>
    <sheet name="Customer Profitabil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<sst xmlns="http://schemas.openxmlformats.org/spreadsheetml/2006/main" count="8976" uniqueCount="175">
  <si>
    <t xml:space="preserve">Commercial Pricing &amp; Profitability Analytics: FY2026 Summary</t>
  </si>
  <si>
    <t xml:space="preserve">Synthetic B2B specialty-catalyst dataset: 40 customers, 12 products, 3 families, 24 months. Illustrative only.</t>
  </si>
  <si>
    <t xml:space="preserve">Announced list increase</t>
  </si>
  <si>
    <t xml:space="preserve">Realized invoice price change</t>
  </si>
  <si>
    <t xml:space="preserve">Realized pocket price change</t>
  </si>
  <si>
    <t xml:space="preserve">Realization rate</t>
  </si>
  <si>
    <t xml:space="preserve">Price leakage list to pocket FY26</t>
  </si>
  <si>
    <t xml:space="preserve">Pocket revenue FY25</t>
  </si>
  <si>
    <t xml:space="preserve">Volume effect</t>
  </si>
  <si>
    <t xml:space="preserve">Mix effect</t>
  </si>
  <si>
    <t xml:space="preserve">Price effect</t>
  </si>
  <si>
    <t xml:space="preserve">Pocket revenue FY26</t>
  </si>
  <si>
    <t xml:space="preserve">Pocket margin % FY25</t>
  </si>
  <si>
    <t xml:space="preserve">Pocket margin % FY26</t>
  </si>
  <si>
    <t xml:space="preserve">Loss-making customers</t>
  </si>
  <si>
    <t xml:space="preserve">Customers below target margin</t>
  </si>
  <si>
    <t xml:space="preserve">Peak cumulative profit (whale curve)</t>
  </si>
  <si>
    <t xml:space="preserve">Customers to reach peak</t>
  </si>
  <si>
    <t xml:space="preserve">Profit erased by loss-makers</t>
  </si>
  <si>
    <t xml:space="preserve">Avg uplift needed, below-target customers</t>
  </si>
  <si>
    <t xml:space="preserve">Commercial Pricing &amp; Profitability Analytics: Assumptions</t>
  </si>
  <si>
    <t xml:space="preserve">Synthetic B2B catalyst dataset (illustrative only). Blue = input, black = formula, green = cross-sheet link. Yellow = key levers.</t>
  </si>
  <si>
    <t xml:space="preserve">FY2026 announced list price increase</t>
  </si>
  <si>
    <t xml:space="preserve">Assumption: uniform list increase across all grades</t>
  </si>
  <si>
    <t xml:space="preserve">FY2026 standard cost inflation</t>
  </si>
  <si>
    <t xml:space="preserve">Cost of capital (payment-terms cost)</t>
  </si>
  <si>
    <t xml:space="preserve">Target customer net margin (renewal scenario)</t>
  </si>
  <si>
    <t xml:space="preserve">Floor for contract renewal pricing</t>
  </si>
  <si>
    <t xml:space="preserve">Product</t>
  </si>
  <si>
    <t xml:space="preserve">Family</t>
  </si>
  <si>
    <t xml:space="preserve">List Price FY25 ($/t)</t>
  </si>
  <si>
    <t xml:space="preserve">Std Cost FY25 ($/t)</t>
  </si>
  <si>
    <t xml:space="preserve">List Price FY26 ($/t)</t>
  </si>
  <si>
    <t xml:space="preserve">Std Cost FY26 ($/t)</t>
  </si>
  <si>
    <t xml:space="preserve">FCC-01</t>
  </si>
  <si>
    <t xml:space="preserve">FCC</t>
  </si>
  <si>
    <t xml:space="preserve">FCC-02</t>
  </si>
  <si>
    <t xml:space="preserve">FCC-03</t>
  </si>
  <si>
    <t xml:space="preserve">FCC-04</t>
  </si>
  <si>
    <t xml:space="preserve">HYD-01</t>
  </si>
  <si>
    <t xml:space="preserve">Hydroprocessing</t>
  </si>
  <si>
    <t xml:space="preserve">HYD-02</t>
  </si>
  <si>
    <t xml:space="preserve">HYD-03</t>
  </si>
  <si>
    <t xml:space="preserve">HYD-04</t>
  </si>
  <si>
    <t xml:space="preserve">SPE-01</t>
  </si>
  <si>
    <t xml:space="preserve">Specialty</t>
  </si>
  <si>
    <t xml:space="preserve">SPE-02</t>
  </si>
  <si>
    <t xml:space="preserve">SPE-03</t>
  </si>
  <si>
    <t xml:space="preserve">SPE-04</t>
  </si>
  <si>
    <t xml:space="preserve">Customer</t>
  </si>
  <si>
    <t xml:space="preserve">Segment</t>
  </si>
  <si>
    <t xml:space="preserve">Tier</t>
  </si>
  <si>
    <t xml:space="preserve">On-Invoice Discount FY25</t>
  </si>
  <si>
    <t xml:space="preserve">Discount Drift FY26</t>
  </si>
  <si>
    <t xml:space="preserve">On-Invoice Discount FY26</t>
  </si>
  <si>
    <t xml:space="preserve">Volume Rebate</t>
  </si>
  <si>
    <t xml:space="preserve">Freight ($/t)</t>
  </si>
  <si>
    <t xml:space="preserve">Payment Terms (days)</t>
  </si>
  <si>
    <t xml:space="preserve">Annual Cost-to-Serve ($)</t>
  </si>
  <si>
    <t xml:space="preserve">C001</t>
  </si>
  <si>
    <t xml:space="preserve">Refining</t>
  </si>
  <si>
    <t xml:space="preserve">Core</t>
  </si>
  <si>
    <t xml:space="preserve">C002</t>
  </si>
  <si>
    <t xml:space="preserve">Petrochemical</t>
  </si>
  <si>
    <t xml:space="preserve">Transactional</t>
  </si>
  <si>
    <t xml:space="preserve">C003</t>
  </si>
  <si>
    <t xml:space="preserve">Specialty Chemicals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</si>
  <si>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</si>
  <si>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</si>
  <si>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</si>
  <si>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</si>
  <si>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</si>
  <si>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</si>
  <si>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</si>
  <si>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</si>
  <si>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</si>
  <si>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</si>
  <si>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</si>
  <si>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</si>
  <si>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Strategic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</si>
  <si>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</si>
  <si>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</si>
  <si>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</si>
  <si>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</si>
  <si>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</si>
  <si>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</si>
  <si>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</si>
  <si>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</si>
  <si>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</si>
  <si>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</si>
  <si>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</si>
  <si>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</si>
  <si>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</si>
  <si>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</si>
  <si>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</si>
  <si>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</si>
  <si>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</si>
  <si>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</si>
  <si>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</si>
  <si>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</si>
  <si>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</si>
  <si>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</si>
  <si>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</si>
  <si>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</si>
  <si>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</si>
  <si>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Year</t>
  </si>
  <si>
    <t xml:space="preserve">Month</t>
  </si>
  <si>
    <t xml:space="preserve">Tons</t>
  </si>
  <si>
    <t xml:space="preserve">List Price ($/t)</t>
  </si>
  <si>
    <t xml:space="preserve">On-Inv Disc</t>
  </si>
  <si>
    <t xml:space="preserve">Gross Revenue ($)</t>
  </si>
  <si>
    <t xml:space="preserve">Invoice Revenue ($)</t>
  </si>
  <si>
    <t xml:space="preserve">Rebates ($)</t>
  </si>
  <si>
    <t xml:space="preserve">Freight ($)</t>
  </si>
  <si>
    <t xml:space="preserve">Terms Cost ($)</t>
  </si>
  <si>
    <t xml:space="preserve">Pocket Revenue ($)</t>
  </si>
  <si>
    <t xml:space="preserve">Std COGS ($)</t>
  </si>
  <si>
    <t xml:space="preserve">Pocket Margin ($)</t>
  </si>
  <si>
    <t xml:space="preserve">2025</t>
  </si>
  <si>
    <t xml:space="preserve">2026</t>
  </si>
  <si>
    <t xml:space="preserve">Pocket Price Waterfall ($/ton, all customers)</t>
  </si>
  <si>
    <t xml:space="preserve">Step</t>
  </si>
  <si>
    <t xml:space="preserve">FY2025 ($/t)</t>
  </si>
  <si>
    <t xml:space="preserve">FY2026 ($/t)</t>
  </si>
  <si>
    <t xml:space="preserve">FY2026 % of List</t>
  </si>
  <si>
    <t xml:space="preserve">List price</t>
  </si>
  <si>
    <t xml:space="preserve">On-invoice discount</t>
  </si>
  <si>
    <t xml:space="preserve">Invoice price</t>
  </si>
  <si>
    <t xml:space="preserve">Volume rebates</t>
  </si>
  <si>
    <t xml:space="preserve">Freight</t>
  </si>
  <si>
    <t xml:space="preserve">Payment-terms cost</t>
  </si>
  <si>
    <t xml:space="preserve">Pocket price</t>
  </si>
  <si>
    <t xml:space="preserve">Price leakage, list to pocket</t>
  </si>
  <si>
    <t xml:space="preserve">Price Realization (FY2026 vs FY2025)</t>
  </si>
  <si>
    <t xml:space="preserve">Measure</t>
  </si>
  <si>
    <t xml:space="preserve">Change</t>
  </si>
  <si>
    <t xml:space="preserve">Realized invoice price change (same-mix basis)</t>
  </si>
  <si>
    <t xml:space="preserve">Realized pocket price change (same-mix basis)</t>
  </si>
  <si>
    <t xml:space="preserve">Realization rate (pocket change / announced)</t>
  </si>
  <si>
    <t xml:space="preserve">Price-Volume-Mix Bridge: Pocket Revenue FY2025 to FY2026, by product</t>
  </si>
  <si>
    <t xml:space="preserve">Tons FY25</t>
  </si>
  <si>
    <t xml:space="preserve">Tons FY26</t>
  </si>
  <si>
    <t xml:space="preserve">Pocket $/t FY25</t>
  </si>
  <si>
    <t xml:space="preserve">Pocket $/t FY26</t>
  </si>
  <si>
    <t xml:space="preserve">Pocket Rev FY25</t>
  </si>
  <si>
    <t xml:space="preserve">Pocket Rev FY26</t>
  </si>
  <si>
    <t xml:space="preserve">FY26 Tons at FY25 Price</t>
  </si>
  <si>
    <t xml:space="preserve">Price Effect</t>
  </si>
  <si>
    <t xml:space="preserve">Pocket Margin FY25</t>
  </si>
  <si>
    <t xml:space="preserve">Pocket Margin FY26</t>
  </si>
  <si>
    <t xml:space="preserve">Invoice $/t FY25</t>
  </si>
  <si>
    <t xml:space="preserve">Invoice $/t FY26</t>
  </si>
  <si>
    <t xml:space="preserve">Total</t>
  </si>
  <si>
    <t xml:space="preserve">Bridge</t>
  </si>
  <si>
    <t xml:space="preserve">Component</t>
  </si>
  <si>
    <t xml:space="preserve">% of FY25</t>
  </si>
  <si>
    <t xml:space="preserve">FY2025 pocket revenue</t>
  </si>
  <si>
    <t xml:space="preserve">FY2026 pocket revenue</t>
  </si>
  <si>
    <t xml:space="preserve">Check vs actual FY2026 (should be 0)</t>
  </si>
  <si>
    <t xml:space="preserve">Pocket margin % FY25 / FY26</t>
  </si>
  <si>
    <t xml:space="preserve">Customer Profitability FY2026 (pocket margin less cost-to-serve)</t>
  </si>
  <si>
    <t xml:space="preserve">Cost-to-Serve ($)</t>
  </si>
  <si>
    <t xml:space="preserve">Customer Net Profit ($)</t>
  </si>
  <si>
    <t xml:space="preserve">Net Margin %</t>
  </si>
  <si>
    <t xml:space="preserve">Rank</t>
  </si>
  <si>
    <t xml:space="preserve">Cumulative Profit % (whale curve)</t>
  </si>
  <si>
    <t xml:space="preserve">Price Uplift to Target Margin</t>
  </si>
  <si>
    <t xml:space="preserve">Total customers</t>
  </si>
  <si>
    <t xml:space="preserve">Customers with negative net profit</t>
  </si>
  <si>
    <t xml:space="preserve">Customers below target net margin</t>
  </si>
  <si>
    <t xml:space="preserve">Customers needed to reach peak profit</t>
  </si>
  <si>
    <t xml:space="preserve">Profit erased by loss-making customers</t>
  </si>
  <si>
    <t xml:space="preserve">Total customer net profit</t>
  </si>
  <si>
    <t xml:space="preserve">Pocket revenue at risk (below target)</t>
  </si>
  <si>
    <t xml:space="preserve">Avg price uplift needed (below-target customers)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</si>
</sst>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"/>
    <numFmt numFmtId="168" formatCode="#,##0.0;\(#,##0.0\);\-"/>
    <numFmt numFmtId="169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n">
        <f aca="false">'Price Waterfall'!B16</f>
        <v>0.05</v>
      </c>
    </row>
    <row r="5" customFormat="false" ht="15" hidden="false" customHeight="false" outlineLevel="0" collapsed="false">
      <c r="A5" s="4" t="s">
        <v>3</v>
      </c>
      <c r="B5" s="5" t="n">
        <f aca="false">'Price Waterfall'!B17</f>
        <v>0.0373761275499753</v>
      </c>
    </row>
    <row r="6" customFormat="false" ht="15" hidden="false" customHeight="false" outlineLevel="0" collapsed="false">
      <c r="A6" s="4" t="s">
        <v>4</v>
      </c>
      <c r="B6" s="5" t="n">
        <f aca="false">'Price Waterfall'!B18</f>
        <v>0.0390663976112222</v>
      </c>
    </row>
    <row r="7" customFormat="false" ht="15" hidden="false" customHeight="false" outlineLevel="0" collapsed="false">
      <c r="A7" s="4" t="s">
        <v>5</v>
      </c>
      <c r="B7" s="5" t="n">
        <f aca="false">'Price Waterfall'!B19</f>
        <v>0.781327952224444</v>
      </c>
    </row>
    <row r="8" customFormat="false" ht="15" hidden="false" customHeight="false" outlineLevel="0" collapsed="false">
      <c r="A8" s="4" t="s">
        <v>6</v>
      </c>
      <c r="B8" s="5" t="n">
        <f aca="false">'Price Waterfall'!C12</f>
        <v>0.148744731603328</v>
      </c>
    </row>
    <row r="9" customFormat="false" ht="15" hidden="false" customHeight="false" outlineLevel="0" collapsed="false">
      <c r="A9" s="4" t="s">
        <v>7</v>
      </c>
      <c r="B9" s="6" t="n">
        <f aca="false">'PVM Bridge'!B20</f>
        <v>136587456.07987</v>
      </c>
    </row>
    <row r="10" customFormat="false" ht="15" hidden="false" customHeight="false" outlineLevel="0" collapsed="false">
      <c r="A10" s="4" t="s">
        <v>8</v>
      </c>
      <c r="B10" s="6" t="n">
        <f aca="false">'PVM Bridge'!B21</f>
        <v>-5025707.69776486</v>
      </c>
    </row>
    <row r="11" customFormat="false" ht="15" hidden="false" customHeight="false" outlineLevel="0" collapsed="false">
      <c r="A11" s="4" t="s">
        <v>9</v>
      </c>
      <c r="B11" s="6" t="n">
        <f aca="false">'PVM Bridge'!B22</f>
        <v>6556162.47414206</v>
      </c>
    </row>
    <row r="12" customFormat="false" ht="15" hidden="false" customHeight="false" outlineLevel="0" collapsed="false">
      <c r="A12" s="4" t="s">
        <v>10</v>
      </c>
      <c r="B12" s="6" t="n">
        <f aca="false">'PVM Bridge'!B23</f>
        <v>5395769.22274149</v>
      </c>
    </row>
    <row r="13" customFormat="false" ht="15" hidden="false" customHeight="false" outlineLevel="0" collapsed="false">
      <c r="A13" s="4" t="s">
        <v>11</v>
      </c>
      <c r="B13" s="6" t="n">
        <f aca="false">'PVM Bridge'!B24</f>
        <v>143513680.078988</v>
      </c>
    </row>
    <row r="14" customFormat="false" ht="15" hidden="false" customHeight="false" outlineLevel="0" collapsed="false">
      <c r="A14" s="4" t="s">
        <v>12</v>
      </c>
      <c r="B14" s="5" t="n">
        <f aca="false">'PVM Bridge'!B27</f>
        <v>0.335484241342592</v>
      </c>
    </row>
    <row r="15" customFormat="false" ht="15" hidden="false" customHeight="false" outlineLevel="0" collapsed="false">
      <c r="A15" s="4" t="s">
        <v>13</v>
      </c>
      <c r="B15" s="5" t="n">
        <f aca="false">'PVM Bridge'!C27</f>
        <v>0.350116902732431</v>
      </c>
    </row>
    <row r="16" customFormat="false" ht="15" hidden="false" customHeight="false" outlineLevel="0" collapsed="false">
      <c r="A16" s="4" t="s">
        <v>14</v>
      </c>
      <c r="B16" s="7" t="n">
        <f aca="false">'Customer Profitability'!H46</f>
        <v>6</v>
      </c>
    </row>
    <row r="17" customFormat="false" ht="15" hidden="false" customHeight="false" outlineLevel="0" collapsed="false">
      <c r="A17" s="4" t="s">
        <v>15</v>
      </c>
      <c r="B17" s="7" t="n">
        <f aca="false">'Customer Profitability'!H47</f>
        <v>24</v>
      </c>
    </row>
    <row r="18" customFormat="false" ht="15" hidden="false" customHeight="false" outlineLevel="0" collapsed="false">
      <c r="A18" s="4" t="s">
        <v>16</v>
      </c>
      <c r="B18" s="5" t="n">
        <f aca="false">'Customer Profitability'!H48</f>
        <v>1.02173151020468</v>
      </c>
    </row>
    <row r="19" customFormat="false" ht="15" hidden="false" customHeight="false" outlineLevel="0" collapsed="false">
      <c r="A19" s="4" t="s">
        <v>17</v>
      </c>
      <c r="B19" s="7" t="n">
        <f aca="false">'Customer Profitability'!H49</f>
        <v>34</v>
      </c>
    </row>
    <row r="20" customFormat="false" ht="15" hidden="false" customHeight="false" outlineLevel="0" collapsed="false">
      <c r="A20" s="4" t="s">
        <v>18</v>
      </c>
      <c r="B20" s="6" t="n">
        <f aca="false">'Customer Profitability'!H50</f>
        <v>713196.983872816</v>
      </c>
    </row>
    <row r="21" customFormat="false" ht="15" hidden="false" customHeight="false" outlineLevel="0" collapsed="false">
      <c r="A21" s="4" t="s">
        <v>19</v>
      </c>
      <c r="B21" s="5" t="n">
        <f aca="false">'Customer Profitability'!H53</f>
        <v>0.158520484966353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8" t="s">
        <v>20</v>
      </c>
      <c r="B1" s="2"/>
      <c r="C1" s="2"/>
    </row>
    <row r="2" customFormat="false" ht="15" hidden="false" customHeight="false" outlineLevel="0" collapsed="false">
      <c r="A2" s="3" t="s">
        <v>21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22</v>
      </c>
      <c r="B4" s="9" t="n">
        <v>0.05</v>
      </c>
      <c r="C4" s="3" t="s">
        <v>23</v>
      </c>
    </row>
    <row r="5" customFormat="false" ht="15" hidden="false" customHeight="false" outlineLevel="0" collapsed="false">
      <c r="A5" s="4" t="s">
        <v>24</v>
      </c>
      <c r="B5" s="9" t="n">
        <v>0.03</v>
      </c>
      <c r="C5" s="2"/>
    </row>
    <row r="6" customFormat="false" ht="15" hidden="false" customHeight="false" outlineLevel="0" collapsed="false">
      <c r="A6" s="4" t="s">
        <v>25</v>
      </c>
      <c r="B6" s="9" t="n">
        <v>0.08</v>
      </c>
      <c r="C6" s="2"/>
    </row>
    <row r="7" customFormat="false" ht="15" hidden="false" customHeight="false" outlineLevel="0" collapsed="false">
      <c r="A7" s="4" t="s">
        <v>26</v>
      </c>
      <c r="B7" s="9" t="n">
        <v>0.25</v>
      </c>
      <c r="C7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6" min="3" style="0" width="14"/>
  </cols>
  <sheetData>
    <row r="1" customFormat="false" ht="26.85" hidden="false" customHeight="false" outlineLevel="0" collapsed="false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</row>
    <row r="2" customFormat="false" ht="15" hidden="false" customHeight="false" outlineLevel="0" collapsed="false">
      <c r="A2" s="4" t="s">
        <v>34</v>
      </c>
      <c r="B2" s="4" t="s">
        <v>35</v>
      </c>
      <c r="C2" s="11" t="n">
        <v>3270</v>
      </c>
      <c r="D2" s="11" t="n">
        <v>2190</v>
      </c>
      <c r="E2" s="6" t="n">
        <f aca="false">C2*(1+Assumptions!$B$4)</f>
        <v>3433.5</v>
      </c>
      <c r="F2" s="6" t="n">
        <f aca="false">D2*(1+Assumptions!$B$5)</f>
        <v>2255.7</v>
      </c>
    </row>
    <row r="3" customFormat="false" ht="15" hidden="false" customHeight="false" outlineLevel="0" collapsed="false">
      <c r="A3" s="4" t="s">
        <v>36</v>
      </c>
      <c r="B3" s="4" t="s">
        <v>35</v>
      </c>
      <c r="C3" s="11" t="n">
        <v>3700</v>
      </c>
      <c r="D3" s="11" t="n">
        <v>2400</v>
      </c>
      <c r="E3" s="6" t="n">
        <f aca="false">C3*(1+Assumptions!$B$4)</f>
        <v>3885</v>
      </c>
      <c r="F3" s="6" t="n">
        <f aca="false">D3*(1+Assumptions!$B$5)</f>
        <v>2472</v>
      </c>
    </row>
    <row r="4" customFormat="false" ht="15" hidden="false" customHeight="false" outlineLevel="0" collapsed="false">
      <c r="A4" s="4" t="s">
        <v>37</v>
      </c>
      <c r="B4" s="4" t="s">
        <v>35</v>
      </c>
      <c r="C4" s="11" t="n">
        <v>3530</v>
      </c>
      <c r="D4" s="11" t="n">
        <v>2410</v>
      </c>
      <c r="E4" s="6" t="n">
        <f aca="false">C4*(1+Assumptions!$B$4)</f>
        <v>3706.5</v>
      </c>
      <c r="F4" s="6" t="n">
        <f aca="false">D4*(1+Assumptions!$B$5)</f>
        <v>2482.3</v>
      </c>
    </row>
    <row r="5" customFormat="false" ht="15" hidden="false" customHeight="false" outlineLevel="0" collapsed="false">
      <c r="A5" s="4" t="s">
        <v>38</v>
      </c>
      <c r="B5" s="4" t="s">
        <v>35</v>
      </c>
      <c r="C5" s="11" t="n">
        <v>4360</v>
      </c>
      <c r="D5" s="11" t="n">
        <v>2770</v>
      </c>
      <c r="E5" s="6" t="n">
        <f aca="false">C5*(1+Assumptions!$B$4)</f>
        <v>4578</v>
      </c>
      <c r="F5" s="6" t="n">
        <f aca="false">D5*(1+Assumptions!$B$5)</f>
        <v>2853.1</v>
      </c>
    </row>
    <row r="6" customFormat="false" ht="15" hidden="false" customHeight="false" outlineLevel="0" collapsed="false">
      <c r="A6" s="4" t="s">
        <v>39</v>
      </c>
      <c r="B6" s="4" t="s">
        <v>40</v>
      </c>
      <c r="C6" s="11" t="n">
        <v>12570</v>
      </c>
      <c r="D6" s="11" t="n">
        <v>7290</v>
      </c>
      <c r="E6" s="6" t="n">
        <f aca="false">C6*(1+Assumptions!$B$4)</f>
        <v>13198.5</v>
      </c>
      <c r="F6" s="6" t="n">
        <f aca="false">D6*(1+Assumptions!$B$5)</f>
        <v>7508.7</v>
      </c>
    </row>
    <row r="7" customFormat="false" ht="15" hidden="false" customHeight="false" outlineLevel="0" collapsed="false">
      <c r="A7" s="4" t="s">
        <v>41</v>
      </c>
      <c r="B7" s="4" t="s">
        <v>40</v>
      </c>
      <c r="C7" s="11" t="n">
        <v>14770</v>
      </c>
      <c r="D7" s="11" t="n">
        <v>9480</v>
      </c>
      <c r="E7" s="6" t="n">
        <f aca="false">C7*(1+Assumptions!$B$4)</f>
        <v>15508.5</v>
      </c>
      <c r="F7" s="6" t="n">
        <f aca="false">D7*(1+Assumptions!$B$5)</f>
        <v>9764.4</v>
      </c>
    </row>
    <row r="8" customFormat="false" ht="15" hidden="false" customHeight="false" outlineLevel="0" collapsed="false">
      <c r="A8" s="4" t="s">
        <v>42</v>
      </c>
      <c r="B8" s="4" t="s">
        <v>40</v>
      </c>
      <c r="C8" s="11" t="n">
        <v>12450</v>
      </c>
      <c r="D8" s="11" t="n">
        <v>7780</v>
      </c>
      <c r="E8" s="6" t="n">
        <f aca="false">C8*(1+Assumptions!$B$4)</f>
        <v>13072.5</v>
      </c>
      <c r="F8" s="6" t="n">
        <f aca="false">D8*(1+Assumptions!$B$5)</f>
        <v>8013.4</v>
      </c>
    </row>
    <row r="9" customFormat="false" ht="15" hidden="false" customHeight="false" outlineLevel="0" collapsed="false">
      <c r="A9" s="4" t="s">
        <v>43</v>
      </c>
      <c r="B9" s="4" t="s">
        <v>40</v>
      </c>
      <c r="C9" s="11" t="n">
        <v>11610</v>
      </c>
      <c r="D9" s="11" t="n">
        <v>7340</v>
      </c>
      <c r="E9" s="6" t="n">
        <f aca="false">C9*(1+Assumptions!$B$4)</f>
        <v>12190.5</v>
      </c>
      <c r="F9" s="6" t="n">
        <f aca="false">D9*(1+Assumptions!$B$5)</f>
        <v>7560.2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11" t="n">
        <v>28970</v>
      </c>
      <c r="D10" s="11" t="n">
        <v>14310</v>
      </c>
      <c r="E10" s="6" t="n">
        <f aca="false">C10*(1+Assumptions!$B$4)</f>
        <v>30418.5</v>
      </c>
      <c r="F10" s="6" t="n">
        <f aca="false">D10*(1+Assumptions!$B$5)</f>
        <v>14739.3</v>
      </c>
    </row>
    <row r="11" customFormat="false" ht="15" hidden="false" customHeight="false" outlineLevel="0" collapsed="false">
      <c r="A11" s="4" t="s">
        <v>46</v>
      </c>
      <c r="B11" s="4" t="s">
        <v>45</v>
      </c>
      <c r="C11" s="11" t="n">
        <v>25560</v>
      </c>
      <c r="D11" s="11" t="n">
        <v>12250</v>
      </c>
      <c r="E11" s="6" t="n">
        <f aca="false">C11*(1+Assumptions!$B$4)</f>
        <v>26838</v>
      </c>
      <c r="F11" s="6" t="n">
        <f aca="false">D11*(1+Assumptions!$B$5)</f>
        <v>12617.5</v>
      </c>
    </row>
    <row r="12" customFormat="false" ht="15" hidden="false" customHeight="false" outlineLevel="0" collapsed="false">
      <c r="A12" s="4" t="s">
        <v>47</v>
      </c>
      <c r="B12" s="4" t="s">
        <v>45</v>
      </c>
      <c r="C12" s="11" t="n">
        <v>30520</v>
      </c>
      <c r="D12" s="11" t="n">
        <v>15440</v>
      </c>
      <c r="E12" s="6" t="n">
        <f aca="false">C12*(1+Assumptions!$B$4)</f>
        <v>32046</v>
      </c>
      <c r="F12" s="6" t="n">
        <f aca="false">D12*(1+Assumptions!$B$5)</f>
        <v>15903.2</v>
      </c>
    </row>
    <row r="13" customFormat="false" ht="15" hidden="false" customHeight="false" outlineLevel="0" collapsed="false">
      <c r="A13" s="4" t="s">
        <v>48</v>
      </c>
      <c r="B13" s="4" t="s">
        <v>45</v>
      </c>
      <c r="C13" s="11" t="n">
        <v>33260</v>
      </c>
      <c r="D13" s="11" t="n">
        <v>15020</v>
      </c>
      <c r="E13" s="6" t="n">
        <f aca="false">C13*(1+Assumptions!$B$4)</f>
        <v>34923</v>
      </c>
      <c r="F13" s="6" t="n">
        <f aca="false">D13*(1+Assumptions!$B$5)</f>
        <v>15470.6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4"/>
  </cols>
  <sheetData>
    <row r="1" customFormat="false" ht="39.55" hidden="false" customHeight="false" outlineLevel="0" collapsed="false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12" t="n">
        <v>0.072</v>
      </c>
      <c r="E2" s="12" t="n">
        <v>0.042</v>
      </c>
      <c r="F2" s="13" t="n">
        <f aca="false">D2+E2</f>
        <v>0.114</v>
      </c>
      <c r="G2" s="12" t="n">
        <v>0</v>
      </c>
      <c r="H2" s="11" t="n">
        <v>280</v>
      </c>
      <c r="I2" s="14" t="n">
        <v>60</v>
      </c>
      <c r="J2" s="11" t="n">
        <v>420000</v>
      </c>
    </row>
    <row r="3" customFormat="false" ht="15" hidden="false" customHeight="false" outlineLevel="0" collapsed="false">
      <c r="A3" s="4" t="s">
        <v>62</v>
      </c>
      <c r="B3" s="4" t="s">
        <v>63</v>
      </c>
      <c r="C3" s="4" t="s">
        <v>64</v>
      </c>
      <c r="D3" s="12" t="n">
        <v>0.048</v>
      </c>
      <c r="E3" s="12" t="n">
        <v>0.019</v>
      </c>
      <c r="F3" s="13" t="n">
        <f aca="false">D3+E3</f>
        <v>0.067</v>
      </c>
      <c r="G3" s="12" t="n">
        <v>0.01</v>
      </c>
      <c r="H3" s="11" t="n">
        <v>390</v>
      </c>
      <c r="I3" s="14" t="n">
        <v>30</v>
      </c>
      <c r="J3" s="11" t="n">
        <v>338000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61</v>
      </c>
      <c r="D4" s="12" t="n">
        <v>0.08</v>
      </c>
      <c r="E4" s="12" t="n">
        <v>0</v>
      </c>
      <c r="F4" s="13" t="n">
        <f aca="false">D4+E4</f>
        <v>0.08</v>
      </c>
      <c r="G4" s="12" t="n">
        <v>0.02</v>
      </c>
      <c r="H4" s="11" t="n">
        <v>140</v>
      </c>
      <c r="I4" s="14" t="n">
        <v>60</v>
      </c>
      <c r="J4" s="11" t="n">
        <v>519000</v>
      </c>
    </row>
    <row r="5" customFormat="false" ht="15" hidden="false" customHeight="false" outlineLevel="0" collapsed="false">
      <c r="A5" s="4" t="s">
        <v>67</v>
      </c>
      <c r="B5" s="4" t="s">
        <v>60</v>
      </c>
      <c r="C5" s="4" t="s">
        <v>61</v>
      </c>
      <c r="D5" s="12" t="n">
        <v>0.078</v>
      </c>
      <c r="E5" s="12" t="n">
        <v>0</v>
      </c>
      <c r="F5" s="13" t="n">
        <f aca="false">D5+E5</f>
        <v>0.078</v>
      </c>
      <c r="G5" s="12" t="n">
        <v>0.02</v>
      </c>
      <c r="H5" s="11" t="n">
        <v>280</v>
      </c>
      <c r="I5" s="14" t="n">
        <v>60</v>
      </c>
      <c r="J5" s="11" t="n">
        <v>301000</v>
      </c>
    </row>
    <row r="6" customFormat="false" ht="15" hidden="false" customHeight="false" outlineLevel="0" collapsed="false">
      <c r="A6" s="4" t="s">
        <v>68</v>
      </c>
      <c r="B6" s="4" t="s">
        <v>63</v>
      </c>
      <c r="C6" s="4" t="s">
        <v>61</v>
      </c>
      <c r="D6" s="12" t="n">
        <v>0.08</v>
      </c>
      <c r="E6" s="12" t="n">
        <v>0</v>
      </c>
      <c r="F6" s="13" t="n">
        <f aca="false">D6+E6</f>
        <v>0.08</v>
      </c>
      <c r="G6" s="12" t="n">
        <v>0</v>
      </c>
      <c r="H6" s="11" t="n">
        <v>390</v>
      </c>
      <c r="I6" s="14" t="n">
        <v>90</v>
      </c>
      <c r="J6" s="11" t="n">
        <v>323000</v>
      </c>
    </row>
    <row r="7" customFormat="false" ht="15" hidden="false" customHeight="false" outlineLevel="0" collapsed="false">
      <c r="A7" s="4" t="s">
        <v>69</v>
      </c>
      <c r="B7" s="4" t="s">
        <v>60</v>
      </c>
      <c r="C7" s="4" t="s">
        <v>61</v>
      </c>
      <c r="D7" s="12" t="n">
        <v>0.075</v>
      </c>
      <c r="E7" s="12" t="n">
        <v>0.06</v>
      </c>
      <c r="F7" s="13" t="n">
        <f aca="false">D7+E7</f>
        <v>0.135</v>
      </c>
      <c r="G7" s="12" t="n">
        <v>0.03</v>
      </c>
      <c r="H7" s="11" t="n">
        <v>410</v>
      </c>
      <c r="I7" s="14" t="n">
        <v>90</v>
      </c>
      <c r="J7" s="11" t="n">
        <v>548000</v>
      </c>
    </row>
    <row r="8" customFormat="false" ht="15" hidden="false" customHeight="false" outlineLevel="0" collapsed="false">
      <c r="A8" s="4" t="s">
        <v>70</v>
      </c>
      <c r="B8" s="4" t="s">
        <v>60</v>
      </c>
      <c r="C8" s="4" t="s">
        <v>61</v>
      </c>
      <c r="D8" s="12" t="n">
        <v>0.067</v>
      </c>
      <c r="E8" s="12" t="n">
        <v>0</v>
      </c>
      <c r="F8" s="13" t="n">
        <f aca="false">D8+E8</f>
        <v>0.067</v>
      </c>
      <c r="G8" s="12" t="n">
        <v>0.02</v>
      </c>
      <c r="H8" s="11" t="n">
        <v>250</v>
      </c>
      <c r="I8" s="14" t="n">
        <v>30</v>
      </c>
      <c r="J8" s="11" t="n">
        <v>305000</v>
      </c>
    </row>
    <row r="9" customFormat="false" ht="15" hidden="false" customHeight="false" outlineLevel="0" collapsed="false">
      <c r="A9" s="4" t="s">
        <v>71</v>
      </c>
      <c r="B9" s="4" t="s">
        <v>63</v>
      </c>
      <c r="C9" s="4" t="s">
        <v>64</v>
      </c>
      <c r="D9" s="12" t="n">
        <v>0.048</v>
      </c>
      <c r="E9" s="12" t="n">
        <v>0</v>
      </c>
      <c r="F9" s="13" t="n">
        <f aca="false">D9+E9</f>
        <v>0.048</v>
      </c>
      <c r="G9" s="12" t="n">
        <v>0.03</v>
      </c>
      <c r="H9" s="11" t="n">
        <v>390</v>
      </c>
      <c r="I9" s="14" t="n">
        <v>30</v>
      </c>
      <c r="J9" s="11" t="n">
        <v>404000</v>
      </c>
    </row>
    <row r="10" customFormat="false" ht="15" hidden="false" customHeight="false" outlineLevel="0" collapsed="false">
      <c r="A10" s="4" t="s">
        <v>72</v>
      </c>
      <c r="B10" s="4" t="s">
        <v>66</v>
      </c>
      <c r="C10" s="4" t="s">
        <v>64</v>
      </c>
      <c r="D10" s="12" t="n">
        <v>0.047</v>
      </c>
      <c r="E10" s="12" t="n">
        <v>0.056</v>
      </c>
      <c r="F10" s="13" t="n">
        <f aca="false">D10+E10</f>
        <v>0.103</v>
      </c>
      <c r="G10" s="12" t="n">
        <v>0.05</v>
      </c>
      <c r="H10" s="11" t="n">
        <v>160</v>
      </c>
      <c r="I10" s="14" t="n">
        <v>60</v>
      </c>
      <c r="J10" s="11" t="n">
        <v>370000</v>
      </c>
    </row>
    <row r="11" customFormat="false" ht="15" hidden="false" customHeight="false" outlineLevel="0" collapsed="false">
      <c r="A11" s="4" t="s">
        <v>73</v>
      </c>
      <c r="B11" s="4" t="s">
        <v>60</v>
      </c>
      <c r="C11" s="4" t="s">
        <v>64</v>
      </c>
      <c r="D11" s="12" t="n">
        <v>0.023</v>
      </c>
      <c r="E11" s="12" t="n">
        <v>0</v>
      </c>
      <c r="F11" s="13" t="n">
        <f aca="false">D11+E11</f>
        <v>0.023</v>
      </c>
      <c r="G11" s="12" t="n">
        <v>0.02</v>
      </c>
      <c r="H11" s="11" t="n">
        <v>370</v>
      </c>
      <c r="I11" s="14" t="n">
        <v>60</v>
      </c>
      <c r="J11" s="11" t="n">
        <v>237000</v>
      </c>
    </row>
    <row r="12" customFormat="false" ht="15" hidden="false" customHeight="false" outlineLevel="0" collapsed="false">
      <c r="A12" s="4" t="s">
        <v>74</v>
      </c>
      <c r="B12" s="4" t="s">
        <v>60</v>
      </c>
      <c r="C12" s="4" t="s">
        <v>64</v>
      </c>
      <c r="D12" s="12" t="n">
        <v>0.026</v>
      </c>
      <c r="E12" s="12" t="n">
        <v>0.017</v>
      </c>
      <c r="F12" s="13" t="n">
        <f aca="false">D12+E12</f>
        <v>0.043</v>
      </c>
      <c r="G12" s="12" t="n">
        <v>0</v>
      </c>
      <c r="H12" s="11" t="n">
        <v>90</v>
      </c>
      <c r="I12" s="14" t="n">
        <v>30</v>
      </c>
      <c r="J12" s="11" t="n">
        <v>300000</v>
      </c>
    </row>
    <row r="13" customFormat="false" ht="15" hidden="false" customHeight="false" outlineLevel="0" collapsed="false">
      <c r="A13" s="4" t="s">
        <v>75</v>
      </c>
      <c r="B13" s="4" t="s">
        <v>66</v>
      </c>
      <c r="C13" s="4" t="s">
        <v>64</v>
      </c>
      <c r="D13" s="12" t="n">
        <v>0.038</v>
      </c>
      <c r="E13" s="12" t="n">
        <v>0</v>
      </c>
      <c r="F13" s="13" t="n">
        <f aca="false">D13+E13</f>
        <v>0.038</v>
      </c>
      <c r="G13" s="12" t="n">
        <v>0.01</v>
      </c>
      <c r="H13" s="11" t="n">
        <v>190</v>
      </c>
      <c r="I13" s="14" t="n">
        <v>30</v>
      </c>
      <c r="J13" s="11" t="n">
        <v>329000</v>
      </c>
    </row>
    <row r="14" customFormat="false" ht="15" hidden="false" customHeight="false" outlineLevel="0" collapsed="false">
      <c r="A14" s="4" t="s">
        <v>76</v>
      </c>
      <c r="B14" s="4" t="s">
        <v>60</v>
      </c>
      <c r="C14" s="4" t="s">
        <v>61</v>
      </c>
      <c r="D14" s="12" t="n">
        <v>0.108</v>
      </c>
      <c r="E14" s="12" t="n">
        <v>0</v>
      </c>
      <c r="F14" s="13" t="n">
        <f aca="false">D14+E14</f>
        <v>0.108</v>
      </c>
      <c r="G14" s="12" t="n">
        <v>0.02</v>
      </c>
      <c r="H14" s="11" t="n">
        <v>330</v>
      </c>
      <c r="I14" s="14" t="n">
        <v>90</v>
      </c>
      <c r="J14" s="11" t="n">
        <v>386000</v>
      </c>
    </row>
    <row r="15" customFormat="false" ht="15" hidden="false" customHeight="false" outlineLevel="0" collapsed="false">
      <c r="A15" s="4" t="s">
        <v>77</v>
      </c>
      <c r="B15" s="4" t="s">
        <v>63</v>
      </c>
      <c r="C15" s="4" t="s">
        <v>64</v>
      </c>
      <c r="D15" s="12" t="n">
        <v>0.037</v>
      </c>
      <c r="E15" s="12" t="n">
        <v>0.051</v>
      </c>
      <c r="F15" s="13" t="n">
        <f aca="false">D15+E15</f>
        <v>0.088</v>
      </c>
      <c r="G15" s="12" t="n">
        <v>0.02</v>
      </c>
      <c r="H15" s="11" t="n">
        <v>290</v>
      </c>
      <c r="I15" s="14" t="n">
        <v>60</v>
      </c>
      <c r="J15" s="11" t="n">
        <v>177000</v>
      </c>
    </row>
    <row r="16" customFormat="false" ht="15" hidden="false" customHeight="false" outlineLevel="0" collapsed="false">
      <c r="A16" s="4" t="s">
        <v>78</v>
      </c>
      <c r="B16" s="4" t="s">
        <v>66</v>
      </c>
      <c r="C16" s="4" t="s">
        <v>79</v>
      </c>
      <c r="D16" s="12" t="n">
        <v>0.129</v>
      </c>
      <c r="E16" s="12" t="n">
        <v>0</v>
      </c>
      <c r="F16" s="13" t="n">
        <f aca="false">D16+E16</f>
        <v>0.129</v>
      </c>
      <c r="G16" s="12" t="n">
        <v>0</v>
      </c>
      <c r="H16" s="11" t="n">
        <v>170</v>
      </c>
      <c r="I16" s="14" t="n">
        <v>90</v>
      </c>
      <c r="J16" s="11" t="n">
        <v>923000</v>
      </c>
    </row>
    <row r="17" customFormat="false" ht="15" hidden="false" customHeight="false" outlineLevel="0" collapsed="false">
      <c r="A17" s="4" t="s">
        <v>80</v>
      </c>
      <c r="B17" s="4" t="s">
        <v>60</v>
      </c>
      <c r="C17" s="4" t="s">
        <v>64</v>
      </c>
      <c r="D17" s="12" t="n">
        <v>0.026</v>
      </c>
      <c r="E17" s="12" t="n">
        <v>0</v>
      </c>
      <c r="F17" s="13" t="n">
        <f aca="false">D17+E17</f>
        <v>0.026</v>
      </c>
      <c r="G17" s="12" t="n">
        <v>0.03</v>
      </c>
      <c r="H17" s="11" t="n">
        <v>220</v>
      </c>
      <c r="I17" s="14" t="n">
        <v>30</v>
      </c>
      <c r="J17" s="11" t="n">
        <v>355000</v>
      </c>
    </row>
    <row r="18" customFormat="false" ht="15" hidden="false" customHeight="false" outlineLevel="0" collapsed="false">
      <c r="A18" s="4" t="s">
        <v>81</v>
      </c>
      <c r="B18" s="4" t="s">
        <v>63</v>
      </c>
      <c r="C18" s="4" t="s">
        <v>61</v>
      </c>
      <c r="D18" s="12" t="n">
        <v>0.097</v>
      </c>
      <c r="E18" s="12" t="n">
        <v>0.034</v>
      </c>
      <c r="F18" s="13" t="n">
        <f aca="false">D18+E18</f>
        <v>0.131</v>
      </c>
      <c r="G18" s="12" t="n">
        <v>0.01</v>
      </c>
      <c r="H18" s="11" t="n">
        <v>90</v>
      </c>
      <c r="I18" s="14" t="n">
        <v>90</v>
      </c>
      <c r="J18" s="11" t="n">
        <v>312000</v>
      </c>
    </row>
    <row r="19" customFormat="false" ht="15" hidden="false" customHeight="false" outlineLevel="0" collapsed="false">
      <c r="A19" s="4" t="s">
        <v>82</v>
      </c>
      <c r="B19" s="4" t="s">
        <v>66</v>
      </c>
      <c r="C19" s="4" t="s">
        <v>61</v>
      </c>
      <c r="D19" s="12" t="n">
        <v>0.084</v>
      </c>
      <c r="E19" s="12" t="n">
        <v>0.026</v>
      </c>
      <c r="F19" s="13" t="n">
        <f aca="false">D19+E19</f>
        <v>0.11</v>
      </c>
      <c r="G19" s="12" t="n">
        <v>0.05</v>
      </c>
      <c r="H19" s="11" t="n">
        <v>400</v>
      </c>
      <c r="I19" s="14" t="n">
        <v>30</v>
      </c>
      <c r="J19" s="11" t="n">
        <v>641000</v>
      </c>
    </row>
    <row r="20" customFormat="false" ht="15" hidden="false" customHeight="false" outlineLevel="0" collapsed="false">
      <c r="A20" s="4" t="s">
        <v>83</v>
      </c>
      <c r="B20" s="4" t="s">
        <v>60</v>
      </c>
      <c r="C20" s="4" t="s">
        <v>64</v>
      </c>
      <c r="D20" s="12" t="n">
        <v>0.056</v>
      </c>
      <c r="E20" s="12" t="n">
        <v>0</v>
      </c>
      <c r="F20" s="13" t="n">
        <f aca="false">D20+E20</f>
        <v>0.056</v>
      </c>
      <c r="G20" s="12" t="n">
        <v>0.03</v>
      </c>
      <c r="H20" s="11" t="n">
        <v>410</v>
      </c>
      <c r="I20" s="14" t="n">
        <v>30</v>
      </c>
      <c r="J20" s="11" t="n">
        <v>320000</v>
      </c>
    </row>
    <row r="21" customFormat="false" ht="15" hidden="false" customHeight="false" outlineLevel="0" collapsed="false">
      <c r="A21" s="4" t="s">
        <v>84</v>
      </c>
      <c r="B21" s="4" t="s">
        <v>63</v>
      </c>
      <c r="C21" s="4" t="s">
        <v>64</v>
      </c>
      <c r="D21" s="12" t="n">
        <v>0.036</v>
      </c>
      <c r="E21" s="12" t="n">
        <v>0</v>
      </c>
      <c r="F21" s="13" t="n">
        <f aca="false">D21+E21</f>
        <v>0.036</v>
      </c>
      <c r="G21" s="12" t="n">
        <v>0</v>
      </c>
      <c r="H21" s="11" t="n">
        <v>270</v>
      </c>
      <c r="I21" s="14" t="n">
        <v>60</v>
      </c>
      <c r="J21" s="11" t="n">
        <v>306000</v>
      </c>
    </row>
    <row r="22" customFormat="false" ht="15" hidden="false" customHeight="false" outlineLevel="0" collapsed="false">
      <c r="A22" s="4" t="s">
        <v>85</v>
      </c>
      <c r="B22" s="4" t="s">
        <v>60</v>
      </c>
      <c r="C22" s="4" t="s">
        <v>64</v>
      </c>
      <c r="D22" s="12" t="n">
        <v>0.053</v>
      </c>
      <c r="E22" s="12" t="n">
        <v>0</v>
      </c>
      <c r="F22" s="13" t="n">
        <f aca="false">D22+E22</f>
        <v>0.053</v>
      </c>
      <c r="G22" s="12" t="n">
        <v>0</v>
      </c>
      <c r="H22" s="11" t="n">
        <v>330</v>
      </c>
      <c r="I22" s="14" t="n">
        <v>60</v>
      </c>
      <c r="J22" s="11" t="n">
        <v>358000</v>
      </c>
    </row>
    <row r="23" customFormat="false" ht="15" hidden="false" customHeight="false" outlineLevel="0" collapsed="false">
      <c r="A23" s="4" t="s">
        <v>86</v>
      </c>
      <c r="B23" s="4" t="s">
        <v>60</v>
      </c>
      <c r="C23" s="4" t="s">
        <v>64</v>
      </c>
      <c r="D23" s="12" t="n">
        <v>0.03</v>
      </c>
      <c r="E23" s="12" t="n">
        <v>0.018</v>
      </c>
      <c r="F23" s="13" t="n">
        <f aca="false">D23+E23</f>
        <v>0.048</v>
      </c>
      <c r="G23" s="12" t="n">
        <v>0.02</v>
      </c>
      <c r="H23" s="11" t="n">
        <v>170</v>
      </c>
      <c r="I23" s="14" t="n">
        <v>60</v>
      </c>
      <c r="J23" s="11" t="n">
        <v>156000</v>
      </c>
    </row>
    <row r="24" customFormat="false" ht="15" hidden="false" customHeight="false" outlineLevel="0" collapsed="false">
      <c r="A24" s="4" t="s">
        <v>87</v>
      </c>
      <c r="B24" s="4" t="s">
        <v>63</v>
      </c>
      <c r="C24" s="4" t="s">
        <v>61</v>
      </c>
      <c r="D24" s="12" t="n">
        <v>0.061</v>
      </c>
      <c r="E24" s="12" t="n">
        <v>0.032</v>
      </c>
      <c r="F24" s="13" t="n">
        <f aca="false">D24+E24</f>
        <v>0.093</v>
      </c>
      <c r="G24" s="12" t="n">
        <v>0.01</v>
      </c>
      <c r="H24" s="11" t="n">
        <v>250</v>
      </c>
      <c r="I24" s="14" t="n">
        <v>60</v>
      </c>
      <c r="J24" s="11" t="n">
        <v>513000</v>
      </c>
    </row>
    <row r="25" customFormat="false" ht="15" hidden="false" customHeight="false" outlineLevel="0" collapsed="false">
      <c r="A25" s="4" t="s">
        <v>88</v>
      </c>
      <c r="B25" s="4" t="s">
        <v>66</v>
      </c>
      <c r="C25" s="4" t="s">
        <v>64</v>
      </c>
      <c r="D25" s="12" t="n">
        <v>0.048</v>
      </c>
      <c r="E25" s="12" t="n">
        <v>0</v>
      </c>
      <c r="F25" s="13" t="n">
        <f aca="false">D25+E25</f>
        <v>0.048</v>
      </c>
      <c r="G25" s="12" t="n">
        <v>0.03</v>
      </c>
      <c r="H25" s="11" t="n">
        <v>90</v>
      </c>
      <c r="I25" s="14" t="n">
        <v>30</v>
      </c>
      <c r="J25" s="11" t="n">
        <v>383000</v>
      </c>
    </row>
    <row r="26" customFormat="false" ht="15" hidden="false" customHeight="false" outlineLevel="0" collapsed="false">
      <c r="A26" s="4" t="s">
        <v>89</v>
      </c>
      <c r="B26" s="4" t="s">
        <v>60</v>
      </c>
      <c r="C26" s="4" t="s">
        <v>61</v>
      </c>
      <c r="D26" s="12" t="n">
        <v>0.068</v>
      </c>
      <c r="E26" s="12" t="n">
        <v>0</v>
      </c>
      <c r="F26" s="13" t="n">
        <f aca="false">D26+E26</f>
        <v>0.068</v>
      </c>
      <c r="G26" s="12" t="n">
        <v>0.02</v>
      </c>
      <c r="H26" s="11" t="n">
        <v>200</v>
      </c>
      <c r="I26" s="14" t="n">
        <v>60</v>
      </c>
      <c r="J26" s="11" t="n">
        <v>611000</v>
      </c>
    </row>
    <row r="27" customFormat="false" ht="15" hidden="false" customHeight="false" outlineLevel="0" collapsed="false">
      <c r="A27" s="4" t="s">
        <v>90</v>
      </c>
      <c r="B27" s="4" t="s">
        <v>60</v>
      </c>
      <c r="C27" s="4" t="s">
        <v>61</v>
      </c>
      <c r="D27" s="12" t="n">
        <v>0.058</v>
      </c>
      <c r="E27" s="12" t="n">
        <v>0</v>
      </c>
      <c r="F27" s="13" t="n">
        <f aca="false">D27+E27</f>
        <v>0.058</v>
      </c>
      <c r="G27" s="12" t="n">
        <v>0</v>
      </c>
      <c r="H27" s="11" t="n">
        <v>250</v>
      </c>
      <c r="I27" s="14" t="n">
        <v>30</v>
      </c>
      <c r="J27" s="11" t="n">
        <v>347000</v>
      </c>
    </row>
    <row r="28" customFormat="false" ht="15" hidden="false" customHeight="false" outlineLevel="0" collapsed="false">
      <c r="A28" s="4" t="s">
        <v>91</v>
      </c>
      <c r="B28" s="4" t="s">
        <v>66</v>
      </c>
      <c r="C28" s="4" t="s">
        <v>79</v>
      </c>
      <c r="D28" s="12" t="n">
        <v>0.173</v>
      </c>
      <c r="E28" s="12" t="n">
        <v>0</v>
      </c>
      <c r="F28" s="13" t="n">
        <f aca="false">D28+E28</f>
        <v>0.173</v>
      </c>
      <c r="G28" s="12" t="n">
        <v>0.02</v>
      </c>
      <c r="H28" s="11" t="n">
        <v>330</v>
      </c>
      <c r="I28" s="14" t="n">
        <v>30</v>
      </c>
      <c r="J28" s="11" t="n">
        <v>1354000</v>
      </c>
    </row>
    <row r="29" customFormat="false" ht="15" hidden="false" customHeight="false" outlineLevel="0" collapsed="false">
      <c r="A29" s="4" t="s">
        <v>92</v>
      </c>
      <c r="B29" s="4" t="s">
        <v>60</v>
      </c>
      <c r="C29" s="4" t="s">
        <v>64</v>
      </c>
      <c r="D29" s="12" t="n">
        <v>0.045</v>
      </c>
      <c r="E29" s="12" t="n">
        <v>0</v>
      </c>
      <c r="F29" s="13" t="n">
        <f aca="false">D29+E29</f>
        <v>0.045</v>
      </c>
      <c r="G29" s="12" t="n">
        <v>0.01</v>
      </c>
      <c r="H29" s="11" t="n">
        <v>350</v>
      </c>
      <c r="I29" s="14" t="n">
        <v>60</v>
      </c>
      <c r="J29" s="11" t="n">
        <v>204000</v>
      </c>
    </row>
    <row r="30" customFormat="false" ht="15" hidden="false" customHeight="false" outlineLevel="0" collapsed="false">
      <c r="A30" s="4" t="s">
        <v>93</v>
      </c>
      <c r="B30" s="4" t="s">
        <v>63</v>
      </c>
      <c r="C30" s="4" t="s">
        <v>64</v>
      </c>
      <c r="D30" s="12" t="n">
        <v>0.047</v>
      </c>
      <c r="E30" s="12" t="n">
        <v>0</v>
      </c>
      <c r="F30" s="13" t="n">
        <f aca="false">D30+E30</f>
        <v>0.047</v>
      </c>
      <c r="G30" s="12" t="n">
        <v>0</v>
      </c>
      <c r="H30" s="11" t="n">
        <v>400</v>
      </c>
      <c r="I30" s="14" t="n">
        <v>90</v>
      </c>
      <c r="J30" s="11" t="n">
        <v>349000</v>
      </c>
    </row>
    <row r="31" customFormat="false" ht="15" hidden="false" customHeight="false" outlineLevel="0" collapsed="false">
      <c r="A31" s="4" t="s">
        <v>94</v>
      </c>
      <c r="B31" s="4" t="s">
        <v>66</v>
      </c>
      <c r="C31" s="4" t="s">
        <v>79</v>
      </c>
      <c r="D31" s="12" t="n">
        <v>0.126</v>
      </c>
      <c r="E31" s="12" t="n">
        <v>0</v>
      </c>
      <c r="F31" s="13" t="n">
        <f aca="false">D31+E31</f>
        <v>0.126</v>
      </c>
      <c r="G31" s="12" t="n">
        <v>0.01</v>
      </c>
      <c r="H31" s="11" t="n">
        <v>340</v>
      </c>
      <c r="I31" s="14" t="n">
        <v>30</v>
      </c>
      <c r="J31" s="11" t="n">
        <v>781000</v>
      </c>
    </row>
    <row r="32" customFormat="false" ht="15" hidden="false" customHeight="false" outlineLevel="0" collapsed="false">
      <c r="A32" s="4" t="s">
        <v>95</v>
      </c>
      <c r="B32" s="4" t="s">
        <v>60</v>
      </c>
      <c r="C32" s="4" t="s">
        <v>64</v>
      </c>
      <c r="D32" s="12" t="n">
        <v>0.057</v>
      </c>
      <c r="E32" s="12" t="n">
        <v>0.01</v>
      </c>
      <c r="F32" s="13" t="n">
        <f aca="false">D32+E32</f>
        <v>0.067</v>
      </c>
      <c r="G32" s="12" t="n">
        <v>0.05</v>
      </c>
      <c r="H32" s="11" t="n">
        <v>260</v>
      </c>
      <c r="I32" s="14" t="n">
        <v>60</v>
      </c>
      <c r="J32" s="11" t="n">
        <v>263000</v>
      </c>
    </row>
    <row r="33" customFormat="false" ht="15" hidden="false" customHeight="false" outlineLevel="0" collapsed="false">
      <c r="A33" s="4" t="s">
        <v>96</v>
      </c>
      <c r="B33" s="4" t="s">
        <v>63</v>
      </c>
      <c r="C33" s="4" t="s">
        <v>64</v>
      </c>
      <c r="D33" s="12" t="n">
        <v>0.045</v>
      </c>
      <c r="E33" s="12" t="n">
        <v>0</v>
      </c>
      <c r="F33" s="13" t="n">
        <f aca="false">D33+E33</f>
        <v>0.045</v>
      </c>
      <c r="G33" s="12" t="n">
        <v>0</v>
      </c>
      <c r="H33" s="11" t="n">
        <v>120</v>
      </c>
      <c r="I33" s="14" t="n">
        <v>60</v>
      </c>
      <c r="J33" s="11" t="n">
        <v>341000</v>
      </c>
    </row>
    <row r="34" customFormat="false" ht="15" hidden="false" customHeight="false" outlineLevel="0" collapsed="false">
      <c r="A34" s="4" t="s">
        <v>97</v>
      </c>
      <c r="B34" s="4" t="s">
        <v>66</v>
      </c>
      <c r="C34" s="4" t="s">
        <v>79</v>
      </c>
      <c r="D34" s="12" t="n">
        <v>0.143</v>
      </c>
      <c r="E34" s="12" t="n">
        <v>0</v>
      </c>
      <c r="F34" s="13" t="n">
        <f aca="false">D34+E34</f>
        <v>0.143</v>
      </c>
      <c r="G34" s="12" t="n">
        <v>0</v>
      </c>
      <c r="H34" s="11" t="n">
        <v>190</v>
      </c>
      <c r="I34" s="14" t="n">
        <v>60</v>
      </c>
      <c r="J34" s="11" t="n">
        <v>974000</v>
      </c>
    </row>
    <row r="35" customFormat="false" ht="15" hidden="false" customHeight="false" outlineLevel="0" collapsed="false">
      <c r="A35" s="4" t="s">
        <v>98</v>
      </c>
      <c r="B35" s="4" t="s">
        <v>60</v>
      </c>
      <c r="C35" s="4" t="s">
        <v>79</v>
      </c>
      <c r="D35" s="12" t="n">
        <v>0.167</v>
      </c>
      <c r="E35" s="12" t="n">
        <v>0.016</v>
      </c>
      <c r="F35" s="13" t="n">
        <f aca="false">D35+E35</f>
        <v>0.183</v>
      </c>
      <c r="G35" s="12" t="n">
        <v>0.01</v>
      </c>
      <c r="H35" s="11" t="n">
        <v>380</v>
      </c>
      <c r="I35" s="14" t="n">
        <v>90</v>
      </c>
      <c r="J35" s="11" t="n">
        <v>835000</v>
      </c>
    </row>
    <row r="36" customFormat="false" ht="15" hidden="false" customHeight="false" outlineLevel="0" collapsed="false">
      <c r="A36" s="4" t="s">
        <v>99</v>
      </c>
      <c r="B36" s="4" t="s">
        <v>63</v>
      </c>
      <c r="C36" s="4" t="s">
        <v>64</v>
      </c>
      <c r="D36" s="12" t="n">
        <v>0.061</v>
      </c>
      <c r="E36" s="12" t="n">
        <v>0</v>
      </c>
      <c r="F36" s="13" t="n">
        <f aca="false">D36+E36</f>
        <v>0.061</v>
      </c>
      <c r="G36" s="12" t="n">
        <v>0.01</v>
      </c>
      <c r="H36" s="11" t="n">
        <v>320</v>
      </c>
      <c r="I36" s="14" t="n">
        <v>60</v>
      </c>
      <c r="J36" s="11" t="n">
        <v>352000</v>
      </c>
    </row>
    <row r="37" customFormat="false" ht="15" hidden="false" customHeight="false" outlineLevel="0" collapsed="false">
      <c r="A37" s="4" t="s">
        <v>100</v>
      </c>
      <c r="B37" s="4" t="s">
        <v>60</v>
      </c>
      <c r="C37" s="4" t="s">
        <v>64</v>
      </c>
      <c r="D37" s="12" t="n">
        <v>0.035</v>
      </c>
      <c r="E37" s="12" t="n">
        <v>0.032</v>
      </c>
      <c r="F37" s="13" t="n">
        <f aca="false">D37+E37</f>
        <v>0.067</v>
      </c>
      <c r="G37" s="12" t="n">
        <v>0.03</v>
      </c>
      <c r="H37" s="11" t="n">
        <v>220</v>
      </c>
      <c r="I37" s="14" t="n">
        <v>60</v>
      </c>
      <c r="J37" s="11" t="n">
        <v>342000</v>
      </c>
    </row>
    <row r="38" customFormat="false" ht="15" hidden="false" customHeight="false" outlineLevel="0" collapsed="false">
      <c r="A38" s="4" t="s">
        <v>101</v>
      </c>
      <c r="B38" s="4" t="s">
        <v>60</v>
      </c>
      <c r="C38" s="4" t="s">
        <v>64</v>
      </c>
      <c r="D38" s="12" t="n">
        <v>0.067</v>
      </c>
      <c r="E38" s="12" t="n">
        <v>0</v>
      </c>
      <c r="F38" s="13" t="n">
        <f aca="false">D38+E38</f>
        <v>0.067</v>
      </c>
      <c r="G38" s="12" t="n">
        <v>0.05</v>
      </c>
      <c r="H38" s="11" t="n">
        <v>390</v>
      </c>
      <c r="I38" s="14" t="n">
        <v>30</v>
      </c>
      <c r="J38" s="11" t="n">
        <v>325000</v>
      </c>
    </row>
    <row r="39" customFormat="false" ht="15" hidden="false" customHeight="false" outlineLevel="0" collapsed="false">
      <c r="A39" s="4" t="s">
        <v>102</v>
      </c>
      <c r="B39" s="4" t="s">
        <v>63</v>
      </c>
      <c r="C39" s="4" t="s">
        <v>61</v>
      </c>
      <c r="D39" s="12" t="n">
        <v>0.062</v>
      </c>
      <c r="E39" s="12" t="n">
        <v>0.006</v>
      </c>
      <c r="F39" s="13" t="n">
        <f aca="false">D39+E39</f>
        <v>0.068</v>
      </c>
      <c r="G39" s="12" t="n">
        <v>0</v>
      </c>
      <c r="H39" s="11" t="n">
        <v>350</v>
      </c>
      <c r="I39" s="14" t="n">
        <v>30</v>
      </c>
      <c r="J39" s="11" t="n">
        <v>591000</v>
      </c>
    </row>
    <row r="40" customFormat="false" ht="15" hidden="false" customHeight="false" outlineLevel="0" collapsed="false">
      <c r="A40" s="4" t="s">
        <v>103</v>
      </c>
      <c r="B40" s="4" t="s">
        <v>66</v>
      </c>
      <c r="C40" s="4" t="s">
        <v>64</v>
      </c>
      <c r="D40" s="12" t="n">
        <v>0.035</v>
      </c>
      <c r="E40" s="12" t="n">
        <v>0.008</v>
      </c>
      <c r="F40" s="13" t="n">
        <f aca="false">D40+E40</f>
        <v>0.043</v>
      </c>
      <c r="G40" s="12" t="n">
        <v>0.01</v>
      </c>
      <c r="H40" s="11" t="n">
        <v>180</v>
      </c>
      <c r="I40" s="14" t="n">
        <v>60</v>
      </c>
      <c r="J40" s="11" t="n">
        <v>328000</v>
      </c>
    </row>
    <row r="41" customFormat="false" ht="15" hidden="false" customHeight="false" outlineLevel="0" collapsed="false">
      <c r="A41" s="4" t="s">
        <v>104</v>
      </c>
      <c r="B41" s="4" t="s">
        <v>60</v>
      </c>
      <c r="C41" s="4" t="s">
        <v>64</v>
      </c>
      <c r="D41" s="12" t="n">
        <v>0.039</v>
      </c>
      <c r="E41" s="12" t="n">
        <v>0.03</v>
      </c>
      <c r="F41" s="13" t="n">
        <f aca="false">D41+E41</f>
        <v>0.069</v>
      </c>
      <c r="G41" s="12" t="n">
        <v>0.03</v>
      </c>
      <c r="H41" s="11" t="n">
        <v>110</v>
      </c>
      <c r="I41" s="14" t="n">
        <v>90</v>
      </c>
      <c r="J41" s="11" t="n">
        <v>207000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16" min="7" style="0" width="14"/>
  </cols>
  <sheetData>
    <row r="1" customFormat="false" ht="26.85" hidden="false" customHeight="false" outlineLevel="0" collapsed="false">
      <c r="A1" s="10" t="s">
        <v>105</v>
      </c>
      <c r="B1" s="10" t="s">
        <v>106</v>
      </c>
      <c r="C1" s="10" t="s">
        <v>49</v>
      </c>
      <c r="D1" s="10" t="s">
        <v>28</v>
      </c>
      <c r="E1" s="10" t="s">
        <v>29</v>
      </c>
      <c r="F1" s="10" t="s">
        <v>107</v>
      </c>
      <c r="G1" s="10" t="s">
        <v>108</v>
      </c>
      <c r="H1" s="10" t="s">
        <v>109</v>
      </c>
      <c r="I1" s="10" t="s">
        <v>110</v>
      </c>
      <c r="J1" s="10" t="s">
        <v>111</v>
      </c>
      <c r="K1" s="10" t="s">
        <v>112</v>
      </c>
      <c r="L1" s="10" t="s">
        <v>113</v>
      </c>
      <c r="M1" s="10" t="s">
        <v>114</v>
      </c>
      <c r="N1" s="10" t="s">
        <v>115</v>
      </c>
      <c r="O1" s="10" t="s">
        <v>116</v>
      </c>
      <c r="P1" s="10" t="s">
        <v>117</v>
      </c>
    </row>
    <row r="2" customFormat="false" ht="15" hidden="false" customHeight="false" outlineLevel="0" collapsed="false">
      <c r="A2" s="2" t="s">
        <v>118</v>
      </c>
      <c r="B2" s="2" t="n">
        <v>1</v>
      </c>
      <c r="C2" s="2" t="s">
        <v>59</v>
      </c>
      <c r="D2" s="2" t="s">
        <v>42</v>
      </c>
      <c r="E2" s="2" t="str">
        <f aca="false">INDEX(Products!$B$2:$B$13,MATCH(D2,Products!$A$2:$A$13,0))</f>
        <v>Hydroprocessing</v>
      </c>
      <c r="F2" s="15" t="n">
        <v>13.9</v>
      </c>
      <c r="G2" s="16" t="n">
        <f aca="false">IF(A2="2025",INDEX(Products!$C$2:$C$13,MATCH(D2,Products!$A$2:$A$13,0)),INDEX(Products!$E$2:$E$13,MATCH(D2,Products!$A$2:$A$13,0)))</f>
        <v>12450</v>
      </c>
      <c r="H2" s="13" t="n">
        <f aca="false">IF(A2="2025",INDEX(Customers!$D$2:$D$41,MATCH(C2,Customers!$A$2:$A$41,0)),INDEX(Customers!$F$2:$F$41,MATCH(C2,Customers!$A$2:$A$41,0)))</f>
        <v>0.072</v>
      </c>
      <c r="I2" s="16" t="n">
        <f aca="false">F2*G2</f>
        <v>173055</v>
      </c>
      <c r="J2" s="16" t="n">
        <f aca="false">I2*(1-H2)</f>
        <v>160595.04</v>
      </c>
      <c r="K2" s="16" t="n">
        <f aca="false">J2*INDEX(Customers!$G$2:$G$41,MATCH(C2,Customers!$A$2:$A$41,0))</f>
        <v>0</v>
      </c>
      <c r="L2" s="16" t="n">
        <f aca="false">F2*INDEX(Customers!$H$2:$H$41,MATCH(C2,Customers!$A$2:$A$41,0))</f>
        <v>3892</v>
      </c>
      <c r="M2" s="16" t="n">
        <f aca="false">J2*INDEX(Customers!$I$2:$I$41,MATCH(C2,Customers!$A$2:$A$41,0))/365*Assumptions!$B$6</f>
        <v>2111.93477260274</v>
      </c>
      <c r="N2" s="16" t="n">
        <f aca="false">J2-K2-L2-M2</f>
        <v>154591.105227397</v>
      </c>
      <c r="O2" s="16" t="n">
        <f aca="false">F2*IF(A2="2025",INDEX(Products!$D$2:$D$13,MATCH(D2,Products!$A$2:$A$13,0)),INDEX(Products!$F$2:$F$13,MATCH(D2,Products!$A$2:$A$13,0)))</f>
        <v>108142</v>
      </c>
      <c r="P2" s="16" t="n">
        <f aca="false">N2-O2</f>
        <v>46449.1052273973</v>
      </c>
    </row>
    <row r="3" customFormat="false" ht="15" hidden="false" customHeight="false" outlineLevel="0" collapsed="false">
      <c r="A3" s="2" t="s">
        <v>118</v>
      </c>
      <c r="B3" s="2" t="n">
        <v>2</v>
      </c>
      <c r="C3" s="2" t="s">
        <v>59</v>
      </c>
      <c r="D3" s="2" t="s">
        <v>42</v>
      </c>
      <c r="E3" s="2" t="str">
        <f aca="false">INDEX(Products!$B$2:$B$13,MATCH(D3,Products!$A$2:$A$13,0))</f>
        <v>Hydroprocessing</v>
      </c>
      <c r="F3" s="15" t="n">
        <v>21.8</v>
      </c>
      <c r="G3" s="16" t="n">
        <f aca="false">IF(A3="2025",INDEX(Products!$C$2:$C$13,MATCH(D3,Products!$A$2:$A$13,0)),INDEX(Products!$E$2:$E$13,MATCH(D3,Products!$A$2:$A$13,0)))</f>
        <v>12450</v>
      </c>
      <c r="H3" s="13" t="n">
        <f aca="false">IF(A3="2025",INDEX(Customers!$D$2:$D$41,MATCH(C3,Customers!$A$2:$A$41,0)),INDEX(Customers!$F$2:$F$41,MATCH(C3,Customers!$A$2:$A$41,0)))</f>
        <v>0.072</v>
      </c>
      <c r="I3" s="16" t="n">
        <f aca="false">F3*G3</f>
        <v>271410</v>
      </c>
      <c r="J3" s="16" t="n">
        <f aca="false">I3*(1-H3)</f>
        <v>251868.48</v>
      </c>
      <c r="K3" s="16" t="n">
        <f aca="false">J3*INDEX(Customers!$G$2:$G$41,MATCH(C3,Customers!$A$2:$A$41,0))</f>
        <v>0</v>
      </c>
      <c r="L3" s="16" t="n">
        <f aca="false">F3*INDEX(Customers!$H$2:$H$41,MATCH(C3,Customers!$A$2:$A$41,0))</f>
        <v>6104</v>
      </c>
      <c r="M3" s="16" t="n">
        <f aca="false">J3*INDEX(Customers!$I$2:$I$41,MATCH(C3,Customers!$A$2:$A$41,0))/365*Assumptions!$B$6</f>
        <v>3312.24302465753</v>
      </c>
      <c r="N3" s="16" t="n">
        <f aca="false">J3-K3-L3-M3</f>
        <v>242452.236975342</v>
      </c>
      <c r="O3" s="16" t="n">
        <f aca="false">F3*IF(A3="2025",INDEX(Products!$D$2:$D$13,MATCH(D3,Products!$A$2:$A$13,0)),INDEX(Products!$F$2:$F$13,MATCH(D3,Products!$A$2:$A$13,0)))</f>
        <v>169604</v>
      </c>
      <c r="P3" s="16" t="n">
        <f aca="false">N3-O3</f>
        <v>72848.2369753425</v>
      </c>
    </row>
    <row r="4" customFormat="false" ht="15" hidden="false" customHeight="false" outlineLevel="0" collapsed="false">
      <c r="A4" s="2" t="s">
        <v>118</v>
      </c>
      <c r="B4" s="2" t="n">
        <v>3</v>
      </c>
      <c r="C4" s="2" t="s">
        <v>59</v>
      </c>
      <c r="D4" s="2" t="s">
        <v>42</v>
      </c>
      <c r="E4" s="2" t="str">
        <f aca="false">INDEX(Products!$B$2:$B$13,MATCH(D4,Products!$A$2:$A$13,0))</f>
        <v>Hydroprocessing</v>
      </c>
      <c r="F4" s="15" t="n">
        <v>16.1</v>
      </c>
      <c r="G4" s="16" t="n">
        <f aca="false">IF(A4="2025",INDEX(Products!$C$2:$C$13,MATCH(D4,Products!$A$2:$A$13,0)),INDEX(Products!$E$2:$E$13,MATCH(D4,Products!$A$2:$A$13,0)))</f>
        <v>12450</v>
      </c>
      <c r="H4" s="13" t="n">
        <f aca="false">IF(A4="2025",INDEX(Customers!$D$2:$D$41,MATCH(C4,Customers!$A$2:$A$41,0)),INDEX(Customers!$F$2:$F$41,MATCH(C4,Customers!$A$2:$A$41,0)))</f>
        <v>0.072</v>
      </c>
      <c r="I4" s="16" t="n">
        <f aca="false">F4*G4</f>
        <v>200445</v>
      </c>
      <c r="J4" s="16" t="n">
        <f aca="false">I4*(1-H4)</f>
        <v>186012.96</v>
      </c>
      <c r="K4" s="16" t="n">
        <f aca="false">J4*INDEX(Customers!$G$2:$G$41,MATCH(C4,Customers!$A$2:$A$41,0))</f>
        <v>0</v>
      </c>
      <c r="L4" s="16" t="n">
        <f aca="false">F4*INDEX(Customers!$H$2:$H$41,MATCH(C4,Customers!$A$2:$A$41,0))</f>
        <v>4508</v>
      </c>
      <c r="M4" s="16" t="n">
        <f aca="false">J4*INDEX(Customers!$I$2:$I$41,MATCH(C4,Customers!$A$2:$A$41,0))/365*Assumptions!$B$6</f>
        <v>2446.19783013699</v>
      </c>
      <c r="N4" s="16" t="n">
        <f aca="false">J4-K4-L4-M4</f>
        <v>179058.762169863</v>
      </c>
      <c r="O4" s="16" t="n">
        <f aca="false">F4*IF(A4="2025",INDEX(Products!$D$2:$D$13,MATCH(D4,Products!$A$2:$A$13,0)),INDEX(Products!$F$2:$F$13,MATCH(D4,Products!$A$2:$A$13,0)))</f>
        <v>125258</v>
      </c>
      <c r="P4" s="16" t="n">
        <f aca="false">N4-O4</f>
        <v>53800.7621698631</v>
      </c>
    </row>
    <row r="5" customFormat="false" ht="15" hidden="false" customHeight="false" outlineLevel="0" collapsed="false">
      <c r="A5" s="2" t="s">
        <v>118</v>
      </c>
      <c r="B5" s="2" t="n">
        <v>4</v>
      </c>
      <c r="C5" s="2" t="s">
        <v>59</v>
      </c>
      <c r="D5" s="2" t="s">
        <v>42</v>
      </c>
      <c r="E5" s="2" t="str">
        <f aca="false">INDEX(Products!$B$2:$B$13,MATCH(D5,Products!$A$2:$A$13,0))</f>
        <v>Hydroprocessing</v>
      </c>
      <c r="F5" s="15" t="n">
        <v>14.8</v>
      </c>
      <c r="G5" s="16" t="n">
        <f aca="false">IF(A5="2025",INDEX(Products!$C$2:$C$13,MATCH(D5,Products!$A$2:$A$13,0)),INDEX(Products!$E$2:$E$13,MATCH(D5,Products!$A$2:$A$13,0)))</f>
        <v>12450</v>
      </c>
      <c r="H5" s="13" t="n">
        <f aca="false">IF(A5="2025",INDEX(Customers!$D$2:$D$41,MATCH(C5,Customers!$A$2:$A$41,0)),INDEX(Customers!$F$2:$F$41,MATCH(C5,Customers!$A$2:$A$41,0)))</f>
        <v>0.072</v>
      </c>
      <c r="I5" s="16" t="n">
        <f aca="false">F5*G5</f>
        <v>184260</v>
      </c>
      <c r="J5" s="16" t="n">
        <f aca="false">I5*(1-H5)</f>
        <v>170993.28</v>
      </c>
      <c r="K5" s="16" t="n">
        <f aca="false">J5*INDEX(Customers!$G$2:$G$41,MATCH(C5,Customers!$A$2:$A$41,0))</f>
        <v>0</v>
      </c>
      <c r="L5" s="16" t="n">
        <f aca="false">F5*INDEX(Customers!$H$2:$H$41,MATCH(C5,Customers!$A$2:$A$41,0))</f>
        <v>4144</v>
      </c>
      <c r="M5" s="16" t="n">
        <f aca="false">J5*INDEX(Customers!$I$2:$I$41,MATCH(C5,Customers!$A$2:$A$41,0))/365*Assumptions!$B$6</f>
        <v>2248.67875068493</v>
      </c>
      <c r="N5" s="16" t="n">
        <f aca="false">J5-K5-L5-M5</f>
        <v>164600.601249315</v>
      </c>
      <c r="O5" s="16" t="n">
        <f aca="false">F5*IF(A5="2025",INDEX(Products!$D$2:$D$13,MATCH(D5,Products!$A$2:$A$13,0)),INDEX(Products!$F$2:$F$13,MATCH(D5,Products!$A$2:$A$13,0)))</f>
        <v>115144</v>
      </c>
      <c r="P5" s="16" t="n">
        <f aca="false">N5-O5</f>
        <v>49456.6012493151</v>
      </c>
    </row>
    <row r="6" customFormat="false" ht="15" hidden="false" customHeight="false" outlineLevel="0" collapsed="false">
      <c r="A6" s="2" t="s">
        <v>118</v>
      </c>
      <c r="B6" s="2" t="n">
        <v>5</v>
      </c>
      <c r="C6" s="2" t="s">
        <v>59</v>
      </c>
      <c r="D6" s="2" t="s">
        <v>42</v>
      </c>
      <c r="E6" s="2" t="str">
        <f aca="false">INDEX(Products!$B$2:$B$13,MATCH(D6,Products!$A$2:$A$13,0))</f>
        <v>Hydroprocessing</v>
      </c>
      <c r="F6" s="15" t="n">
        <v>19.3</v>
      </c>
      <c r="G6" s="16" t="n">
        <f aca="false">IF(A6="2025",INDEX(Products!$C$2:$C$13,MATCH(D6,Products!$A$2:$A$13,0)),INDEX(Products!$E$2:$E$13,MATCH(D6,Products!$A$2:$A$13,0)))</f>
        <v>12450</v>
      </c>
      <c r="H6" s="13" t="n">
        <f aca="false">IF(A6="2025",INDEX(Customers!$D$2:$D$41,MATCH(C6,Customers!$A$2:$A$41,0)),INDEX(Customers!$F$2:$F$41,MATCH(C6,Customers!$A$2:$A$41,0)))</f>
        <v>0.072</v>
      </c>
      <c r="I6" s="16" t="n">
        <f aca="false">F6*G6</f>
        <v>240285</v>
      </c>
      <c r="J6" s="16" t="n">
        <f aca="false">I6*(1-H6)</f>
        <v>222984.48</v>
      </c>
      <c r="K6" s="16" t="n">
        <f aca="false">J6*INDEX(Customers!$G$2:$G$41,MATCH(C6,Customers!$A$2:$A$41,0))</f>
        <v>0</v>
      </c>
      <c r="L6" s="16" t="n">
        <f aca="false">F6*INDEX(Customers!$H$2:$H$41,MATCH(C6,Customers!$A$2:$A$41,0))</f>
        <v>5404</v>
      </c>
      <c r="M6" s="16" t="n">
        <f aca="false">J6*INDEX(Customers!$I$2:$I$41,MATCH(C6,Customers!$A$2:$A$41,0))/365*Assumptions!$B$6</f>
        <v>2932.39864109589</v>
      </c>
      <c r="N6" s="16" t="n">
        <f aca="false">J6-K6-L6-M6</f>
        <v>214648.081358904</v>
      </c>
      <c r="O6" s="16" t="n">
        <f aca="false">F6*IF(A6="2025",INDEX(Products!$D$2:$D$13,MATCH(D6,Products!$A$2:$A$13,0)),INDEX(Products!$F$2:$F$13,MATCH(D6,Products!$A$2:$A$13,0)))</f>
        <v>150154</v>
      </c>
      <c r="P6" s="16" t="n">
        <f aca="false">N6-O6</f>
        <v>64494.0813589041</v>
      </c>
    </row>
    <row r="7" customFormat="false" ht="15" hidden="false" customHeight="false" outlineLevel="0" collapsed="false">
      <c r="A7" s="2" t="s">
        <v>118</v>
      </c>
      <c r="B7" s="2" t="n">
        <v>6</v>
      </c>
      <c r="C7" s="2" t="s">
        <v>59</v>
      </c>
      <c r="D7" s="2" t="s">
        <v>42</v>
      </c>
      <c r="E7" s="2" t="str">
        <f aca="false">INDEX(Products!$B$2:$B$13,MATCH(D7,Products!$A$2:$A$13,0))</f>
        <v>Hydroprocessing</v>
      </c>
      <c r="F7" s="15" t="n">
        <v>12.7</v>
      </c>
      <c r="G7" s="16" t="n">
        <f aca="false">IF(A7="2025",INDEX(Products!$C$2:$C$13,MATCH(D7,Products!$A$2:$A$13,0)),INDEX(Products!$E$2:$E$13,MATCH(D7,Products!$A$2:$A$13,0)))</f>
        <v>12450</v>
      </c>
      <c r="H7" s="13" t="n">
        <f aca="false">IF(A7="2025",INDEX(Customers!$D$2:$D$41,MATCH(C7,Customers!$A$2:$A$41,0)),INDEX(Customers!$F$2:$F$41,MATCH(C7,Customers!$A$2:$A$41,0)))</f>
        <v>0.072</v>
      </c>
      <c r="I7" s="16" t="n">
        <f aca="false">F7*G7</f>
        <v>158115</v>
      </c>
      <c r="J7" s="16" t="n">
        <f aca="false">I7*(1-H7)</f>
        <v>146730.72</v>
      </c>
      <c r="K7" s="16" t="n">
        <f aca="false">J7*INDEX(Customers!$G$2:$G$41,MATCH(C7,Customers!$A$2:$A$41,0))</f>
        <v>0</v>
      </c>
      <c r="L7" s="16" t="n">
        <f aca="false">F7*INDEX(Customers!$H$2:$H$41,MATCH(C7,Customers!$A$2:$A$41,0))</f>
        <v>3556</v>
      </c>
      <c r="M7" s="16" t="n">
        <f aca="false">J7*INDEX(Customers!$I$2:$I$41,MATCH(C7,Customers!$A$2:$A$41,0))/365*Assumptions!$B$6</f>
        <v>1929.60946849315</v>
      </c>
      <c r="N7" s="16" t="n">
        <f aca="false">J7-K7-L7-M7</f>
        <v>141245.110531507</v>
      </c>
      <c r="O7" s="16" t="n">
        <f aca="false">F7*IF(A7="2025",INDEX(Products!$D$2:$D$13,MATCH(D7,Products!$A$2:$A$13,0)),INDEX(Products!$F$2:$F$13,MATCH(D7,Products!$A$2:$A$13,0)))</f>
        <v>98806</v>
      </c>
      <c r="P7" s="16" t="n">
        <f aca="false">N7-O7</f>
        <v>42439.1105315069</v>
      </c>
    </row>
    <row r="8" customFormat="false" ht="15" hidden="false" customHeight="false" outlineLevel="0" collapsed="false">
      <c r="A8" s="2" t="s">
        <v>118</v>
      </c>
      <c r="B8" s="2" t="n">
        <v>7</v>
      </c>
      <c r="C8" s="2" t="s">
        <v>59</v>
      </c>
      <c r="D8" s="2" t="s">
        <v>42</v>
      </c>
      <c r="E8" s="2" t="str">
        <f aca="false">INDEX(Products!$B$2:$B$13,MATCH(D8,Products!$A$2:$A$13,0))</f>
        <v>Hydroprocessing</v>
      </c>
      <c r="F8" s="15" t="n">
        <v>17.9</v>
      </c>
      <c r="G8" s="16" t="n">
        <f aca="false">IF(A8="2025",INDEX(Products!$C$2:$C$13,MATCH(D8,Products!$A$2:$A$13,0)),INDEX(Products!$E$2:$E$13,MATCH(D8,Products!$A$2:$A$13,0)))</f>
        <v>12450</v>
      </c>
      <c r="H8" s="13" t="n">
        <f aca="false">IF(A8="2025",INDEX(Customers!$D$2:$D$41,MATCH(C8,Customers!$A$2:$A$41,0)),INDEX(Customers!$F$2:$F$41,MATCH(C8,Customers!$A$2:$A$41,0)))</f>
        <v>0.072</v>
      </c>
      <c r="I8" s="16" t="n">
        <f aca="false">F8*G8</f>
        <v>222855</v>
      </c>
      <c r="J8" s="16" t="n">
        <f aca="false">I8*(1-H8)</f>
        <v>206809.44</v>
      </c>
      <c r="K8" s="16" t="n">
        <f aca="false">J8*INDEX(Customers!$G$2:$G$41,MATCH(C8,Customers!$A$2:$A$41,0))</f>
        <v>0</v>
      </c>
      <c r="L8" s="16" t="n">
        <f aca="false">F8*INDEX(Customers!$H$2:$H$41,MATCH(C8,Customers!$A$2:$A$41,0))</f>
        <v>5012</v>
      </c>
      <c r="M8" s="16" t="n">
        <f aca="false">J8*INDEX(Customers!$I$2:$I$41,MATCH(C8,Customers!$A$2:$A$41,0))/365*Assumptions!$B$6</f>
        <v>2719.68578630137</v>
      </c>
      <c r="N8" s="16" t="n">
        <f aca="false">J8-K8-L8-M8</f>
        <v>199077.754213699</v>
      </c>
      <c r="O8" s="16" t="n">
        <f aca="false">F8*IF(A8="2025",INDEX(Products!$D$2:$D$13,MATCH(D8,Products!$A$2:$A$13,0)),INDEX(Products!$F$2:$F$13,MATCH(D8,Products!$A$2:$A$13,0)))</f>
        <v>139262</v>
      </c>
      <c r="P8" s="16" t="n">
        <f aca="false">N8-O8</f>
        <v>59815.7542136986</v>
      </c>
    </row>
    <row r="9" customFormat="false" ht="15" hidden="false" customHeight="false" outlineLevel="0" collapsed="false">
      <c r="A9" s="2" t="s">
        <v>118</v>
      </c>
      <c r="B9" s="2" t="n">
        <v>8</v>
      </c>
      <c r="C9" s="2" t="s">
        <v>59</v>
      </c>
      <c r="D9" s="2" t="s">
        <v>42</v>
      </c>
      <c r="E9" s="2" t="str">
        <f aca="false">INDEX(Products!$B$2:$B$13,MATCH(D9,Products!$A$2:$A$13,0))</f>
        <v>Hydroprocessing</v>
      </c>
      <c r="F9" s="15" t="n">
        <v>17.3</v>
      </c>
      <c r="G9" s="16" t="n">
        <f aca="false">IF(A9="2025",INDEX(Products!$C$2:$C$13,MATCH(D9,Products!$A$2:$A$13,0)),INDEX(Products!$E$2:$E$13,MATCH(D9,Products!$A$2:$A$13,0)))</f>
        <v>12450</v>
      </c>
      <c r="H9" s="13" t="n">
        <f aca="false">IF(A9="2025",INDEX(Customers!$D$2:$D$41,MATCH(C9,Customers!$A$2:$A$41,0)),INDEX(Customers!$F$2:$F$41,MATCH(C9,Customers!$A$2:$A$41,0)))</f>
        <v>0.072</v>
      </c>
      <c r="I9" s="16" t="n">
        <f aca="false">F9*G9</f>
        <v>215385</v>
      </c>
      <c r="J9" s="16" t="n">
        <f aca="false">I9*(1-H9)</f>
        <v>199877.28</v>
      </c>
      <c r="K9" s="16" t="n">
        <f aca="false">J9*INDEX(Customers!$G$2:$G$41,MATCH(C9,Customers!$A$2:$A$41,0))</f>
        <v>0</v>
      </c>
      <c r="L9" s="16" t="n">
        <f aca="false">F9*INDEX(Customers!$H$2:$H$41,MATCH(C9,Customers!$A$2:$A$41,0))</f>
        <v>4844</v>
      </c>
      <c r="M9" s="16" t="n">
        <f aca="false">J9*INDEX(Customers!$I$2:$I$41,MATCH(C9,Customers!$A$2:$A$41,0))/365*Assumptions!$B$6</f>
        <v>2628.52313424658</v>
      </c>
      <c r="N9" s="16" t="n">
        <f aca="false">J9-K9-L9-M9</f>
        <v>192404.756865753</v>
      </c>
      <c r="O9" s="16" t="n">
        <f aca="false">F9*IF(A9="2025",INDEX(Products!$D$2:$D$13,MATCH(D9,Products!$A$2:$A$13,0)),INDEX(Products!$F$2:$F$13,MATCH(D9,Products!$A$2:$A$13,0)))</f>
        <v>134594</v>
      </c>
      <c r="P9" s="16" t="n">
        <f aca="false">N9-O9</f>
        <v>57810.7568657534</v>
      </c>
    </row>
    <row r="10" customFormat="false" ht="15" hidden="false" customHeight="false" outlineLevel="0" collapsed="false">
      <c r="A10" s="2" t="s">
        <v>118</v>
      </c>
      <c r="B10" s="2" t="n">
        <v>9</v>
      </c>
      <c r="C10" s="2" t="s">
        <v>59</v>
      </c>
      <c r="D10" s="2" t="s">
        <v>42</v>
      </c>
      <c r="E10" s="2" t="str">
        <f aca="false">INDEX(Products!$B$2:$B$13,MATCH(D10,Products!$A$2:$A$13,0))</f>
        <v>Hydroprocessing</v>
      </c>
      <c r="F10" s="15" t="n">
        <v>12.8</v>
      </c>
      <c r="G10" s="16" t="n">
        <f aca="false">IF(A10="2025",INDEX(Products!$C$2:$C$13,MATCH(D10,Products!$A$2:$A$13,0)),INDEX(Products!$E$2:$E$13,MATCH(D10,Products!$A$2:$A$13,0)))</f>
        <v>12450</v>
      </c>
      <c r="H10" s="13" t="n">
        <f aca="false">IF(A10="2025",INDEX(Customers!$D$2:$D$41,MATCH(C10,Customers!$A$2:$A$41,0)),INDEX(Customers!$F$2:$F$41,MATCH(C10,Customers!$A$2:$A$41,0)))</f>
        <v>0.072</v>
      </c>
      <c r="I10" s="16" t="n">
        <f aca="false">F10*G10</f>
        <v>159360</v>
      </c>
      <c r="J10" s="16" t="n">
        <f aca="false">I10*(1-H10)</f>
        <v>147886.08</v>
      </c>
      <c r="K10" s="16" t="n">
        <f aca="false">J10*INDEX(Customers!$G$2:$G$41,MATCH(C10,Customers!$A$2:$A$41,0))</f>
        <v>0</v>
      </c>
      <c r="L10" s="16" t="n">
        <f aca="false">F10*INDEX(Customers!$H$2:$H$41,MATCH(C10,Customers!$A$2:$A$41,0))</f>
        <v>3584</v>
      </c>
      <c r="M10" s="16" t="n">
        <f aca="false">J10*INDEX(Customers!$I$2:$I$41,MATCH(C10,Customers!$A$2:$A$41,0))/365*Assumptions!$B$6</f>
        <v>1944.80324383562</v>
      </c>
      <c r="N10" s="16" t="n">
        <f aca="false">J10-K10-L10-M10</f>
        <v>142357.276756164</v>
      </c>
      <c r="O10" s="16" t="n">
        <f aca="false">F10*IF(A10="2025",INDEX(Products!$D$2:$D$13,MATCH(D10,Products!$A$2:$A$13,0)),INDEX(Products!$F$2:$F$13,MATCH(D10,Products!$A$2:$A$13,0)))</f>
        <v>99584</v>
      </c>
      <c r="P10" s="16" t="n">
        <f aca="false">N10-O10</f>
        <v>42773.2767561644</v>
      </c>
    </row>
    <row r="11" customFormat="false" ht="15" hidden="false" customHeight="false" outlineLevel="0" collapsed="false">
      <c r="A11" s="2" t="s">
        <v>118</v>
      </c>
      <c r="B11" s="2" t="n">
        <v>10</v>
      </c>
      <c r="C11" s="2" t="s">
        <v>59</v>
      </c>
      <c r="D11" s="2" t="s">
        <v>42</v>
      </c>
      <c r="E11" s="2" t="str">
        <f aca="false">INDEX(Products!$B$2:$B$13,MATCH(D11,Products!$A$2:$A$13,0))</f>
        <v>Hydroprocessing</v>
      </c>
      <c r="F11" s="15" t="n">
        <v>16.9</v>
      </c>
      <c r="G11" s="16" t="n">
        <f aca="false">IF(A11="2025",INDEX(Products!$C$2:$C$13,MATCH(D11,Products!$A$2:$A$13,0)),INDEX(Products!$E$2:$E$13,MATCH(D11,Products!$A$2:$A$13,0)))</f>
        <v>12450</v>
      </c>
      <c r="H11" s="13" t="n">
        <f aca="false">IF(A11="2025",INDEX(Customers!$D$2:$D$41,MATCH(C11,Customers!$A$2:$A$41,0)),INDEX(Customers!$F$2:$F$41,MATCH(C11,Customers!$A$2:$A$41,0)))</f>
        <v>0.072</v>
      </c>
      <c r="I11" s="16" t="n">
        <f aca="false">F11*G11</f>
        <v>210405</v>
      </c>
      <c r="J11" s="16" t="n">
        <f aca="false">I11*(1-H11)</f>
        <v>195255.84</v>
      </c>
      <c r="K11" s="16" t="n">
        <f aca="false">J11*INDEX(Customers!$G$2:$G$41,MATCH(C11,Customers!$A$2:$A$41,0))</f>
        <v>0</v>
      </c>
      <c r="L11" s="16" t="n">
        <f aca="false">F11*INDEX(Customers!$H$2:$H$41,MATCH(C11,Customers!$A$2:$A$41,0))</f>
        <v>4732</v>
      </c>
      <c r="M11" s="16" t="n">
        <f aca="false">J11*INDEX(Customers!$I$2:$I$41,MATCH(C11,Customers!$A$2:$A$41,0))/365*Assumptions!$B$6</f>
        <v>2567.74803287671</v>
      </c>
      <c r="N11" s="16" t="n">
        <f aca="false">J11-K11-L11-M11</f>
        <v>187956.091967123</v>
      </c>
      <c r="O11" s="16" t="n">
        <f aca="false">F11*IF(A11="2025",INDEX(Products!$D$2:$D$13,MATCH(D11,Products!$A$2:$A$13,0)),INDEX(Products!$F$2:$F$13,MATCH(D11,Products!$A$2:$A$13,0)))</f>
        <v>131482</v>
      </c>
      <c r="P11" s="16" t="n">
        <f aca="false">N11-O11</f>
        <v>56474.0919671233</v>
      </c>
    </row>
    <row r="12" customFormat="false" ht="15" hidden="false" customHeight="false" outlineLevel="0" collapsed="false">
      <c r="A12" s="2" t="s">
        <v>118</v>
      </c>
      <c r="B12" s="2" t="n">
        <v>11</v>
      </c>
      <c r="C12" s="2" t="s">
        <v>59</v>
      </c>
      <c r="D12" s="2" t="s">
        <v>42</v>
      </c>
      <c r="E12" s="2" t="str">
        <f aca="false">INDEX(Products!$B$2:$B$13,MATCH(D12,Products!$A$2:$A$13,0))</f>
        <v>Hydroprocessing</v>
      </c>
      <c r="F12" s="15" t="n">
        <v>15.6</v>
      </c>
      <c r="G12" s="16" t="n">
        <f aca="false">IF(A12="2025",INDEX(Products!$C$2:$C$13,MATCH(D12,Products!$A$2:$A$13,0)),INDEX(Products!$E$2:$E$13,MATCH(D12,Products!$A$2:$A$13,0)))</f>
        <v>12450</v>
      </c>
      <c r="H12" s="13" t="n">
        <f aca="false">IF(A12="2025",INDEX(Customers!$D$2:$D$41,MATCH(C12,Customers!$A$2:$A$41,0)),INDEX(Customers!$F$2:$F$41,MATCH(C12,Customers!$A$2:$A$41,0)))</f>
        <v>0.072</v>
      </c>
      <c r="I12" s="16" t="n">
        <f aca="false">F12*G12</f>
        <v>194220</v>
      </c>
      <c r="J12" s="16" t="n">
        <f aca="false">I12*(1-H12)</f>
        <v>180236.16</v>
      </c>
      <c r="K12" s="16" t="n">
        <f aca="false">J12*INDEX(Customers!$G$2:$G$41,MATCH(C12,Customers!$A$2:$A$41,0))</f>
        <v>0</v>
      </c>
      <c r="L12" s="16" t="n">
        <f aca="false">F12*INDEX(Customers!$H$2:$H$41,MATCH(C12,Customers!$A$2:$A$41,0))</f>
        <v>4368</v>
      </c>
      <c r="M12" s="16" t="n">
        <f aca="false">J12*INDEX(Customers!$I$2:$I$41,MATCH(C12,Customers!$A$2:$A$41,0))/365*Assumptions!$B$6</f>
        <v>2370.22895342466</v>
      </c>
      <c r="N12" s="16" t="n">
        <f aca="false">J12-K12-L12-M12</f>
        <v>173497.931046575</v>
      </c>
      <c r="O12" s="16" t="n">
        <f aca="false">F12*IF(A12="2025",INDEX(Products!$D$2:$D$13,MATCH(D12,Products!$A$2:$A$13,0)),INDEX(Products!$F$2:$F$13,MATCH(D12,Products!$A$2:$A$13,0)))</f>
        <v>121368</v>
      </c>
      <c r="P12" s="16" t="n">
        <f aca="false">N12-O12</f>
        <v>52129.9310465753</v>
      </c>
    </row>
    <row r="13" customFormat="false" ht="15" hidden="false" customHeight="false" outlineLevel="0" collapsed="false">
      <c r="A13" s="2" t="s">
        <v>118</v>
      </c>
      <c r="B13" s="2" t="n">
        <v>12</v>
      </c>
      <c r="C13" s="2" t="s">
        <v>59</v>
      </c>
      <c r="D13" s="2" t="s">
        <v>42</v>
      </c>
      <c r="E13" s="2" t="str">
        <f aca="false">INDEX(Products!$B$2:$B$13,MATCH(D13,Products!$A$2:$A$13,0))</f>
        <v>Hydroprocessing</v>
      </c>
      <c r="F13" s="15" t="n">
        <v>15</v>
      </c>
      <c r="G13" s="16" t="n">
        <f aca="false">IF(A13="2025",INDEX(Products!$C$2:$C$13,MATCH(D13,Products!$A$2:$A$13,0)),INDEX(Products!$E$2:$E$13,MATCH(D13,Products!$A$2:$A$13,0)))</f>
        <v>12450</v>
      </c>
      <c r="H13" s="13" t="n">
        <f aca="false">IF(A13="2025",INDEX(Customers!$D$2:$D$41,MATCH(C13,Customers!$A$2:$A$41,0)),INDEX(Customers!$F$2:$F$41,MATCH(C13,Customers!$A$2:$A$41,0)))</f>
        <v>0.072</v>
      </c>
      <c r="I13" s="16" t="n">
        <f aca="false">F13*G13</f>
        <v>186750</v>
      </c>
      <c r="J13" s="16" t="n">
        <f aca="false">I13*(1-H13)</f>
        <v>173304</v>
      </c>
      <c r="K13" s="16" t="n">
        <f aca="false">J13*INDEX(Customers!$G$2:$G$41,MATCH(C13,Customers!$A$2:$A$41,0))</f>
        <v>0</v>
      </c>
      <c r="L13" s="16" t="n">
        <f aca="false">F13*INDEX(Customers!$H$2:$H$41,MATCH(C13,Customers!$A$2:$A$41,0))</f>
        <v>4200</v>
      </c>
      <c r="M13" s="16" t="n">
        <f aca="false">J13*INDEX(Customers!$I$2:$I$41,MATCH(C13,Customers!$A$2:$A$41,0))/365*Assumptions!$B$6</f>
        <v>2279.06630136986</v>
      </c>
      <c r="N13" s="16" t="n">
        <f aca="false">J13-K13-L13-M13</f>
        <v>166824.93369863</v>
      </c>
      <c r="O13" s="16" t="n">
        <f aca="false">F13*IF(A13="2025",INDEX(Products!$D$2:$D$13,MATCH(D13,Products!$A$2:$A$13,0)),INDEX(Products!$F$2:$F$13,MATCH(D13,Products!$A$2:$A$13,0)))</f>
        <v>116700</v>
      </c>
      <c r="P13" s="16" t="n">
        <f aca="false">N13-O13</f>
        <v>50124.9336986301</v>
      </c>
    </row>
    <row r="14" customFormat="false" ht="15" hidden="false" customHeight="false" outlineLevel="0" collapsed="false">
      <c r="A14" s="2" t="s">
        <v>119</v>
      </c>
      <c r="B14" s="2" t="n">
        <v>1</v>
      </c>
      <c r="C14" s="2" t="s">
        <v>59</v>
      </c>
      <c r="D14" s="2" t="s">
        <v>42</v>
      </c>
      <c r="E14" s="2" t="str">
        <f aca="false">INDEX(Products!$B$2:$B$13,MATCH(D14,Products!$A$2:$A$13,0))</f>
        <v>Hydroprocessing</v>
      </c>
      <c r="F14" s="15" t="n">
        <v>23.6</v>
      </c>
      <c r="G14" s="16" t="n">
        <f aca="false">IF(A14="2025",INDEX(Products!$C$2:$C$13,MATCH(D14,Products!$A$2:$A$13,0)),INDEX(Products!$E$2:$E$13,MATCH(D14,Products!$A$2:$A$13,0)))</f>
        <v>13072.5</v>
      </c>
      <c r="H14" s="13" t="n">
        <f aca="false">IF(A14="2025",INDEX(Customers!$D$2:$D$41,MATCH(C14,Customers!$A$2:$A$41,0)),INDEX(Customers!$F$2:$F$41,MATCH(C14,Customers!$A$2:$A$41,0)))</f>
        <v>0.114</v>
      </c>
      <c r="I14" s="16" t="n">
        <f aca="false">F14*G14</f>
        <v>308511</v>
      </c>
      <c r="J14" s="16" t="n">
        <f aca="false">I14*(1-H14)</f>
        <v>273340.746</v>
      </c>
      <c r="K14" s="16" t="n">
        <f aca="false">J14*INDEX(Customers!$G$2:$G$41,MATCH(C14,Customers!$A$2:$A$41,0))</f>
        <v>0</v>
      </c>
      <c r="L14" s="16" t="n">
        <f aca="false">F14*INDEX(Customers!$H$2:$H$41,MATCH(C14,Customers!$A$2:$A$41,0))</f>
        <v>6608</v>
      </c>
      <c r="M14" s="16" t="n">
        <f aca="false">J14*INDEX(Customers!$I$2:$I$41,MATCH(C14,Customers!$A$2:$A$41,0))/365*Assumptions!$B$6</f>
        <v>3594.61802958904</v>
      </c>
      <c r="N14" s="16" t="n">
        <f aca="false">J14-K14-L14-M14</f>
        <v>263138.127970411</v>
      </c>
      <c r="O14" s="16" t="n">
        <f aca="false">F14*IF(A14="2025",INDEX(Products!$D$2:$D$13,MATCH(D14,Products!$A$2:$A$13,0)),INDEX(Products!$F$2:$F$13,MATCH(D14,Products!$A$2:$A$13,0)))</f>
        <v>189116.24</v>
      </c>
      <c r="P14" s="16" t="n">
        <f aca="false">N14-O14</f>
        <v>74021.8879704109</v>
      </c>
    </row>
    <row r="15" customFormat="false" ht="15" hidden="false" customHeight="false" outlineLevel="0" collapsed="false">
      <c r="A15" s="2" t="s">
        <v>119</v>
      </c>
      <c r="B15" s="2" t="n">
        <v>2</v>
      </c>
      <c r="C15" s="2" t="s">
        <v>59</v>
      </c>
      <c r="D15" s="2" t="s">
        <v>42</v>
      </c>
      <c r="E15" s="2" t="str">
        <f aca="false">INDEX(Products!$B$2:$B$13,MATCH(D15,Products!$A$2:$A$13,0))</f>
        <v>Hydroprocessing</v>
      </c>
      <c r="F15" s="15" t="n">
        <v>19.9</v>
      </c>
      <c r="G15" s="16" t="n">
        <f aca="false">IF(A15="2025",INDEX(Products!$C$2:$C$13,MATCH(D15,Products!$A$2:$A$13,0)),INDEX(Products!$E$2:$E$13,MATCH(D15,Products!$A$2:$A$13,0)))</f>
        <v>13072.5</v>
      </c>
      <c r="H15" s="13" t="n">
        <f aca="false">IF(A15="2025",INDEX(Customers!$D$2:$D$41,MATCH(C15,Customers!$A$2:$A$41,0)),INDEX(Customers!$F$2:$F$41,MATCH(C15,Customers!$A$2:$A$41,0)))</f>
        <v>0.114</v>
      </c>
      <c r="I15" s="16" t="n">
        <f aca="false">F15*G15</f>
        <v>260142.75</v>
      </c>
      <c r="J15" s="16" t="n">
        <f aca="false">I15*(1-H15)</f>
        <v>230486.4765</v>
      </c>
      <c r="K15" s="16" t="n">
        <f aca="false">J15*INDEX(Customers!$G$2:$G$41,MATCH(C15,Customers!$A$2:$A$41,0))</f>
        <v>0</v>
      </c>
      <c r="L15" s="16" t="n">
        <f aca="false">F15*INDEX(Customers!$H$2:$H$41,MATCH(C15,Customers!$A$2:$A$41,0))</f>
        <v>5572</v>
      </c>
      <c r="M15" s="16" t="n">
        <f aca="false">J15*INDEX(Customers!$I$2:$I$41,MATCH(C15,Customers!$A$2:$A$41,0))/365*Assumptions!$B$6</f>
        <v>3031.05503342466</v>
      </c>
      <c r="N15" s="16" t="n">
        <f aca="false">J15-K15-L15-M15</f>
        <v>221883.421466575</v>
      </c>
      <c r="O15" s="16" t="n">
        <f aca="false">F15*IF(A15="2025",INDEX(Products!$D$2:$D$13,MATCH(D15,Products!$A$2:$A$13,0)),INDEX(Products!$F$2:$F$13,MATCH(D15,Products!$A$2:$A$13,0)))</f>
        <v>159466.66</v>
      </c>
      <c r="P15" s="16" t="n">
        <f aca="false">N15-O15</f>
        <v>62416.7614665753</v>
      </c>
    </row>
    <row r="16" customFormat="false" ht="15" hidden="false" customHeight="false" outlineLevel="0" collapsed="false">
      <c r="A16" s="2" t="s">
        <v>119</v>
      </c>
      <c r="B16" s="2" t="n">
        <v>3</v>
      </c>
      <c r="C16" s="2" t="s">
        <v>59</v>
      </c>
      <c r="D16" s="2" t="s">
        <v>42</v>
      </c>
      <c r="E16" s="2" t="str">
        <f aca="false">INDEX(Products!$B$2:$B$13,MATCH(D16,Products!$A$2:$A$13,0))</f>
        <v>Hydroprocessing</v>
      </c>
      <c r="F16" s="15" t="n">
        <v>14.9</v>
      </c>
      <c r="G16" s="16" t="n">
        <f aca="false">IF(A16="2025",INDEX(Products!$C$2:$C$13,MATCH(D16,Products!$A$2:$A$13,0)),INDEX(Products!$E$2:$E$13,MATCH(D16,Products!$A$2:$A$13,0)))</f>
        <v>13072.5</v>
      </c>
      <c r="H16" s="13" t="n">
        <f aca="false">IF(A16="2025",INDEX(Customers!$D$2:$D$41,MATCH(C16,Customers!$A$2:$A$41,0)),INDEX(Customers!$F$2:$F$41,MATCH(C16,Customers!$A$2:$A$41,0)))</f>
        <v>0.114</v>
      </c>
      <c r="I16" s="16" t="n">
        <f aca="false">F16*G16</f>
        <v>194780.25</v>
      </c>
      <c r="J16" s="16" t="n">
        <f aca="false">I16*(1-H16)</f>
        <v>172575.3015</v>
      </c>
      <c r="K16" s="16" t="n">
        <f aca="false">J16*INDEX(Customers!$G$2:$G$41,MATCH(C16,Customers!$A$2:$A$41,0))</f>
        <v>0</v>
      </c>
      <c r="L16" s="16" t="n">
        <f aca="false">F16*INDEX(Customers!$H$2:$H$41,MATCH(C16,Customers!$A$2:$A$41,0))</f>
        <v>4172</v>
      </c>
      <c r="M16" s="16" t="n">
        <f aca="false">J16*INDEX(Customers!$I$2:$I$41,MATCH(C16,Customers!$A$2:$A$41,0))/365*Assumptions!$B$6</f>
        <v>2269.4834169863</v>
      </c>
      <c r="N16" s="16" t="n">
        <f aca="false">J16-K16-L16-M16</f>
        <v>166133.818083014</v>
      </c>
      <c r="O16" s="16" t="n">
        <f aca="false">F16*IF(A16="2025",INDEX(Products!$D$2:$D$13,MATCH(D16,Products!$A$2:$A$13,0)),INDEX(Products!$F$2:$F$13,MATCH(D16,Products!$A$2:$A$13,0)))</f>
        <v>119399.66</v>
      </c>
      <c r="P16" s="16" t="n">
        <f aca="false">N16-O16</f>
        <v>46734.1580830137</v>
      </c>
    </row>
    <row r="17" customFormat="false" ht="15" hidden="false" customHeight="false" outlineLevel="0" collapsed="false">
      <c r="A17" s="2" t="s">
        <v>119</v>
      </c>
      <c r="B17" s="2" t="n">
        <v>4</v>
      </c>
      <c r="C17" s="2" t="s">
        <v>59</v>
      </c>
      <c r="D17" s="2" t="s">
        <v>42</v>
      </c>
      <c r="E17" s="2" t="str">
        <f aca="false">INDEX(Products!$B$2:$B$13,MATCH(D17,Products!$A$2:$A$13,0))</f>
        <v>Hydroprocessing</v>
      </c>
      <c r="F17" s="15" t="n">
        <v>21.7</v>
      </c>
      <c r="G17" s="16" t="n">
        <f aca="false">IF(A17="2025",INDEX(Products!$C$2:$C$13,MATCH(D17,Products!$A$2:$A$13,0)),INDEX(Products!$E$2:$E$13,MATCH(D17,Products!$A$2:$A$13,0)))</f>
        <v>13072.5</v>
      </c>
      <c r="H17" s="13" t="n">
        <f aca="false">IF(A17="2025",INDEX(Customers!$D$2:$D$41,MATCH(C17,Customers!$A$2:$A$41,0)),INDEX(Customers!$F$2:$F$41,MATCH(C17,Customers!$A$2:$A$41,0)))</f>
        <v>0.114</v>
      </c>
      <c r="I17" s="16" t="n">
        <f aca="false">F17*G17</f>
        <v>283673.25</v>
      </c>
      <c r="J17" s="16" t="n">
        <f aca="false">I17*(1-H17)</f>
        <v>251334.4995</v>
      </c>
      <c r="K17" s="16" t="n">
        <f aca="false">J17*INDEX(Customers!$G$2:$G$41,MATCH(C17,Customers!$A$2:$A$41,0))</f>
        <v>0</v>
      </c>
      <c r="L17" s="16" t="n">
        <f aca="false">F17*INDEX(Customers!$H$2:$H$41,MATCH(C17,Customers!$A$2:$A$41,0))</f>
        <v>6076</v>
      </c>
      <c r="M17" s="16" t="n">
        <f aca="false">J17*INDEX(Customers!$I$2:$I$41,MATCH(C17,Customers!$A$2:$A$41,0))/365*Assumptions!$B$6</f>
        <v>3305.22081534247</v>
      </c>
      <c r="N17" s="16" t="n">
        <f aca="false">J17-K17-L17-M17</f>
        <v>241953.278684658</v>
      </c>
      <c r="O17" s="16" t="n">
        <f aca="false">F17*IF(A17="2025",INDEX(Products!$D$2:$D$13,MATCH(D17,Products!$A$2:$A$13,0)),INDEX(Products!$F$2:$F$13,MATCH(D17,Products!$A$2:$A$13,0)))</f>
        <v>173890.78</v>
      </c>
      <c r="P17" s="16" t="n">
        <f aca="false">N17-O17</f>
        <v>68062.4986846575</v>
      </c>
    </row>
    <row r="18" customFormat="false" ht="15" hidden="false" customHeight="false" outlineLevel="0" collapsed="false">
      <c r="A18" s="2" t="s">
        <v>119</v>
      </c>
      <c r="B18" s="2" t="n">
        <v>5</v>
      </c>
      <c r="C18" s="2" t="s">
        <v>59</v>
      </c>
      <c r="D18" s="2" t="s">
        <v>42</v>
      </c>
      <c r="E18" s="2" t="str">
        <f aca="false">INDEX(Products!$B$2:$B$13,MATCH(D18,Products!$A$2:$A$13,0))</f>
        <v>Hydroprocessing</v>
      </c>
      <c r="F18" s="15" t="n">
        <v>17.3</v>
      </c>
      <c r="G18" s="16" t="n">
        <f aca="false">IF(A18="2025",INDEX(Products!$C$2:$C$13,MATCH(D18,Products!$A$2:$A$13,0)),INDEX(Products!$E$2:$E$13,MATCH(D18,Products!$A$2:$A$13,0)))</f>
        <v>13072.5</v>
      </c>
      <c r="H18" s="13" t="n">
        <f aca="false">IF(A18="2025",INDEX(Customers!$D$2:$D$41,MATCH(C18,Customers!$A$2:$A$41,0)),INDEX(Customers!$F$2:$F$41,MATCH(C18,Customers!$A$2:$A$41,0)))</f>
        <v>0.114</v>
      </c>
      <c r="I18" s="16" t="n">
        <f aca="false">F18*G18</f>
        <v>226154.25</v>
      </c>
      <c r="J18" s="16" t="n">
        <f aca="false">I18*(1-H18)</f>
        <v>200372.6655</v>
      </c>
      <c r="K18" s="16" t="n">
        <f aca="false">J18*INDEX(Customers!$G$2:$G$41,MATCH(C18,Customers!$A$2:$A$41,0))</f>
        <v>0</v>
      </c>
      <c r="L18" s="16" t="n">
        <f aca="false">F18*INDEX(Customers!$H$2:$H$41,MATCH(C18,Customers!$A$2:$A$41,0))</f>
        <v>4844</v>
      </c>
      <c r="M18" s="16" t="n">
        <f aca="false">J18*INDEX(Customers!$I$2:$I$41,MATCH(C18,Customers!$A$2:$A$41,0))/365*Assumptions!$B$6</f>
        <v>2635.03779287671</v>
      </c>
      <c r="N18" s="16" t="n">
        <f aca="false">J18-K18-L18-M18</f>
        <v>192893.627707123</v>
      </c>
      <c r="O18" s="16" t="n">
        <f aca="false">F18*IF(A18="2025",INDEX(Products!$D$2:$D$13,MATCH(D18,Products!$A$2:$A$13,0)),INDEX(Products!$F$2:$F$13,MATCH(D18,Products!$A$2:$A$13,0)))</f>
        <v>138631.82</v>
      </c>
      <c r="P18" s="16" t="n">
        <f aca="false">N18-O18</f>
        <v>54261.8077071233</v>
      </c>
    </row>
    <row r="19" customFormat="false" ht="15" hidden="false" customHeight="false" outlineLevel="0" collapsed="false">
      <c r="A19" s="2" t="s">
        <v>119</v>
      </c>
      <c r="B19" s="2" t="n">
        <v>6</v>
      </c>
      <c r="C19" s="2" t="s">
        <v>59</v>
      </c>
      <c r="D19" s="2" t="s">
        <v>42</v>
      </c>
      <c r="E19" s="2" t="str">
        <f aca="false">INDEX(Products!$B$2:$B$13,MATCH(D19,Products!$A$2:$A$13,0))</f>
        <v>Hydroprocessing</v>
      </c>
      <c r="F19" s="15" t="n">
        <v>19.9</v>
      </c>
      <c r="G19" s="16" t="n">
        <f aca="false">IF(A19="2025",INDEX(Products!$C$2:$C$13,MATCH(D19,Products!$A$2:$A$13,0)),INDEX(Products!$E$2:$E$13,MATCH(D19,Products!$A$2:$A$13,0)))</f>
        <v>13072.5</v>
      </c>
      <c r="H19" s="13" t="n">
        <f aca="false">IF(A19="2025",INDEX(Customers!$D$2:$D$41,MATCH(C19,Customers!$A$2:$A$41,0)),INDEX(Customers!$F$2:$F$41,MATCH(C19,Customers!$A$2:$A$41,0)))</f>
        <v>0.114</v>
      </c>
      <c r="I19" s="16" t="n">
        <f aca="false">F19*G19</f>
        <v>260142.75</v>
      </c>
      <c r="J19" s="16" t="n">
        <f aca="false">I19*(1-H19)</f>
        <v>230486.4765</v>
      </c>
      <c r="K19" s="16" t="n">
        <f aca="false">J19*INDEX(Customers!$G$2:$G$41,MATCH(C19,Customers!$A$2:$A$41,0))</f>
        <v>0</v>
      </c>
      <c r="L19" s="16" t="n">
        <f aca="false">F19*INDEX(Customers!$H$2:$H$41,MATCH(C19,Customers!$A$2:$A$41,0))</f>
        <v>5572</v>
      </c>
      <c r="M19" s="16" t="n">
        <f aca="false">J19*INDEX(Customers!$I$2:$I$41,MATCH(C19,Customers!$A$2:$A$41,0))/365*Assumptions!$B$6</f>
        <v>3031.05503342466</v>
      </c>
      <c r="N19" s="16" t="n">
        <f aca="false">J19-K19-L19-M19</f>
        <v>221883.421466575</v>
      </c>
      <c r="O19" s="16" t="n">
        <f aca="false">F19*IF(A19="2025",INDEX(Products!$D$2:$D$13,MATCH(D19,Products!$A$2:$A$13,0)),INDEX(Products!$F$2:$F$13,MATCH(D19,Products!$A$2:$A$13,0)))</f>
        <v>159466.66</v>
      </c>
      <c r="P19" s="16" t="n">
        <f aca="false">N19-O19</f>
        <v>62416.7614665753</v>
      </c>
    </row>
    <row r="20" customFormat="false" ht="15" hidden="false" customHeight="false" outlineLevel="0" collapsed="false">
      <c r="A20" s="2" t="s">
        <v>119</v>
      </c>
      <c r="B20" s="2" t="n">
        <v>7</v>
      </c>
      <c r="C20" s="2" t="s">
        <v>59</v>
      </c>
      <c r="D20" s="2" t="s">
        <v>42</v>
      </c>
      <c r="E20" s="2" t="str">
        <f aca="false">INDEX(Products!$B$2:$B$13,MATCH(D20,Products!$A$2:$A$13,0))</f>
        <v>Hydroprocessing</v>
      </c>
      <c r="F20" s="15" t="n">
        <v>17.4</v>
      </c>
      <c r="G20" s="16" t="n">
        <f aca="false">IF(A20="2025",INDEX(Products!$C$2:$C$13,MATCH(D20,Products!$A$2:$A$13,0)),INDEX(Products!$E$2:$E$13,MATCH(D20,Products!$A$2:$A$13,0)))</f>
        <v>13072.5</v>
      </c>
      <c r="H20" s="13" t="n">
        <f aca="false">IF(A20="2025",INDEX(Customers!$D$2:$D$41,MATCH(C20,Customers!$A$2:$A$41,0)),INDEX(Customers!$F$2:$F$41,MATCH(C20,Customers!$A$2:$A$41,0)))</f>
        <v>0.114</v>
      </c>
      <c r="I20" s="16" t="n">
        <f aca="false">F20*G20</f>
        <v>227461.5</v>
      </c>
      <c r="J20" s="16" t="n">
        <f aca="false">I20*(1-H20)</f>
        <v>201530.889</v>
      </c>
      <c r="K20" s="16" t="n">
        <f aca="false">J20*INDEX(Customers!$G$2:$G$41,MATCH(C20,Customers!$A$2:$A$41,0))</f>
        <v>0</v>
      </c>
      <c r="L20" s="16" t="n">
        <f aca="false">F20*INDEX(Customers!$H$2:$H$41,MATCH(C20,Customers!$A$2:$A$41,0))</f>
        <v>4872</v>
      </c>
      <c r="M20" s="16" t="n">
        <f aca="false">J20*INDEX(Customers!$I$2:$I$41,MATCH(C20,Customers!$A$2:$A$41,0))/365*Assumptions!$B$6</f>
        <v>2650.26922520548</v>
      </c>
      <c r="N20" s="16" t="n">
        <f aca="false">J20-K20-L20-M20</f>
        <v>194008.619774795</v>
      </c>
      <c r="O20" s="16" t="n">
        <f aca="false">F20*IF(A20="2025",INDEX(Products!$D$2:$D$13,MATCH(D20,Products!$A$2:$A$13,0)),INDEX(Products!$F$2:$F$13,MATCH(D20,Products!$A$2:$A$13,0)))</f>
        <v>139433.16</v>
      </c>
      <c r="P20" s="16" t="n">
        <f aca="false">N20-O20</f>
        <v>54575.4597747945</v>
      </c>
    </row>
    <row r="21" customFormat="false" ht="15" hidden="false" customHeight="false" outlineLevel="0" collapsed="false">
      <c r="A21" s="2" t="s">
        <v>119</v>
      </c>
      <c r="B21" s="2" t="n">
        <v>8</v>
      </c>
      <c r="C21" s="2" t="s">
        <v>59</v>
      </c>
      <c r="D21" s="2" t="s">
        <v>42</v>
      </c>
      <c r="E21" s="2" t="str">
        <f aca="false">INDEX(Products!$B$2:$B$13,MATCH(D21,Products!$A$2:$A$13,0))</f>
        <v>Hydroprocessing</v>
      </c>
      <c r="F21" s="15" t="n">
        <v>20.4</v>
      </c>
      <c r="G21" s="16" t="n">
        <f aca="false">IF(A21="2025",INDEX(Products!$C$2:$C$13,MATCH(D21,Products!$A$2:$A$13,0)),INDEX(Products!$E$2:$E$13,MATCH(D21,Products!$A$2:$A$13,0)))</f>
        <v>13072.5</v>
      </c>
      <c r="H21" s="13" t="n">
        <f aca="false">IF(A21="2025",INDEX(Customers!$D$2:$D$41,MATCH(C21,Customers!$A$2:$A$41,0)),INDEX(Customers!$F$2:$F$41,MATCH(C21,Customers!$A$2:$A$41,0)))</f>
        <v>0.114</v>
      </c>
      <c r="I21" s="16" t="n">
        <f aca="false">F21*G21</f>
        <v>266679</v>
      </c>
      <c r="J21" s="16" t="n">
        <f aca="false">I21*(1-H21)</f>
        <v>236277.594</v>
      </c>
      <c r="K21" s="16" t="n">
        <f aca="false">J21*INDEX(Customers!$G$2:$G$41,MATCH(C21,Customers!$A$2:$A$41,0))</f>
        <v>0</v>
      </c>
      <c r="L21" s="16" t="n">
        <f aca="false">F21*INDEX(Customers!$H$2:$H$41,MATCH(C21,Customers!$A$2:$A$41,0))</f>
        <v>5712</v>
      </c>
      <c r="M21" s="16" t="n">
        <f aca="false">J21*INDEX(Customers!$I$2:$I$41,MATCH(C21,Customers!$A$2:$A$41,0))/365*Assumptions!$B$6</f>
        <v>3107.21219506849</v>
      </c>
      <c r="N21" s="16" t="n">
        <f aca="false">J21-K21-L21-M21</f>
        <v>227458.381804932</v>
      </c>
      <c r="O21" s="16" t="n">
        <f aca="false">F21*IF(A21="2025",INDEX(Products!$D$2:$D$13,MATCH(D21,Products!$A$2:$A$13,0)),INDEX(Products!$F$2:$F$13,MATCH(D21,Products!$A$2:$A$13,0)))</f>
        <v>163473.36</v>
      </c>
      <c r="P21" s="16" t="n">
        <f aca="false">N21-O21</f>
        <v>63985.0218049315</v>
      </c>
    </row>
    <row r="22" customFormat="false" ht="15" hidden="false" customHeight="false" outlineLevel="0" collapsed="false">
      <c r="A22" s="2" t="s">
        <v>119</v>
      </c>
      <c r="B22" s="2" t="n">
        <v>9</v>
      </c>
      <c r="C22" s="2" t="s">
        <v>59</v>
      </c>
      <c r="D22" s="2" t="s">
        <v>42</v>
      </c>
      <c r="E22" s="2" t="str">
        <f aca="false">INDEX(Products!$B$2:$B$13,MATCH(D22,Products!$A$2:$A$13,0))</f>
        <v>Hydroprocessing</v>
      </c>
      <c r="F22" s="15" t="n">
        <v>20.8</v>
      </c>
      <c r="G22" s="16" t="n">
        <f aca="false">IF(A22="2025",INDEX(Products!$C$2:$C$13,MATCH(D22,Products!$A$2:$A$13,0)),INDEX(Products!$E$2:$E$13,MATCH(D22,Products!$A$2:$A$13,0)))</f>
        <v>13072.5</v>
      </c>
      <c r="H22" s="13" t="n">
        <f aca="false">IF(A22="2025",INDEX(Customers!$D$2:$D$41,MATCH(C22,Customers!$A$2:$A$41,0)),INDEX(Customers!$F$2:$F$41,MATCH(C22,Customers!$A$2:$A$41,0)))</f>
        <v>0.114</v>
      </c>
      <c r="I22" s="16" t="n">
        <f aca="false">F22*G22</f>
        <v>271908</v>
      </c>
      <c r="J22" s="16" t="n">
        <f aca="false">I22*(1-H22)</f>
        <v>240910.488</v>
      </c>
      <c r="K22" s="16" t="n">
        <f aca="false">J22*INDEX(Customers!$G$2:$G$41,MATCH(C22,Customers!$A$2:$A$41,0))</f>
        <v>0</v>
      </c>
      <c r="L22" s="16" t="n">
        <f aca="false">F22*INDEX(Customers!$H$2:$H$41,MATCH(C22,Customers!$A$2:$A$41,0))</f>
        <v>5824</v>
      </c>
      <c r="M22" s="16" t="n">
        <f aca="false">J22*INDEX(Customers!$I$2:$I$41,MATCH(C22,Customers!$A$2:$A$41,0))/365*Assumptions!$B$6</f>
        <v>3168.13792438356</v>
      </c>
      <c r="N22" s="16" t="n">
        <f aca="false">J22-K22-L22-M22</f>
        <v>231918.350075616</v>
      </c>
      <c r="O22" s="16" t="n">
        <f aca="false">F22*IF(A22="2025",INDEX(Products!$D$2:$D$13,MATCH(D22,Products!$A$2:$A$13,0)),INDEX(Products!$F$2:$F$13,MATCH(D22,Products!$A$2:$A$13,0)))</f>
        <v>166678.72</v>
      </c>
      <c r="P22" s="16" t="n">
        <f aca="false">N22-O22</f>
        <v>65239.6300756164</v>
      </c>
    </row>
    <row r="23" customFormat="false" ht="15" hidden="false" customHeight="false" outlineLevel="0" collapsed="false">
      <c r="A23" s="2" t="s">
        <v>119</v>
      </c>
      <c r="B23" s="2" t="n">
        <v>10</v>
      </c>
      <c r="C23" s="2" t="s">
        <v>59</v>
      </c>
      <c r="D23" s="2" t="s">
        <v>42</v>
      </c>
      <c r="E23" s="2" t="str">
        <f aca="false">INDEX(Products!$B$2:$B$13,MATCH(D23,Products!$A$2:$A$13,0))</f>
        <v>Hydroprocessing</v>
      </c>
      <c r="F23" s="15" t="n">
        <v>16.4</v>
      </c>
      <c r="G23" s="16" t="n">
        <f aca="false">IF(A23="2025",INDEX(Products!$C$2:$C$13,MATCH(D23,Products!$A$2:$A$13,0)),INDEX(Products!$E$2:$E$13,MATCH(D23,Products!$A$2:$A$13,0)))</f>
        <v>13072.5</v>
      </c>
      <c r="H23" s="13" t="n">
        <f aca="false">IF(A23="2025",INDEX(Customers!$D$2:$D$41,MATCH(C23,Customers!$A$2:$A$41,0)),INDEX(Customers!$F$2:$F$41,MATCH(C23,Customers!$A$2:$A$41,0)))</f>
        <v>0.114</v>
      </c>
      <c r="I23" s="16" t="n">
        <f aca="false">F23*G23</f>
        <v>214389</v>
      </c>
      <c r="J23" s="16" t="n">
        <f aca="false">I23*(1-H23)</f>
        <v>189948.654</v>
      </c>
      <c r="K23" s="16" t="n">
        <f aca="false">J23*INDEX(Customers!$G$2:$G$41,MATCH(C23,Customers!$A$2:$A$41,0))</f>
        <v>0</v>
      </c>
      <c r="L23" s="16" t="n">
        <f aca="false">F23*INDEX(Customers!$H$2:$H$41,MATCH(C23,Customers!$A$2:$A$41,0))</f>
        <v>4592</v>
      </c>
      <c r="M23" s="16" t="n">
        <f aca="false">J23*INDEX(Customers!$I$2:$I$41,MATCH(C23,Customers!$A$2:$A$41,0))/365*Assumptions!$B$6</f>
        <v>2497.95490191781</v>
      </c>
      <c r="N23" s="16" t="n">
        <f aca="false">J23-K23-L23-M23</f>
        <v>182858.699098082</v>
      </c>
      <c r="O23" s="16" t="n">
        <f aca="false">F23*IF(A23="2025",INDEX(Products!$D$2:$D$13,MATCH(D23,Products!$A$2:$A$13,0)),INDEX(Products!$F$2:$F$13,MATCH(D23,Products!$A$2:$A$13,0)))</f>
        <v>131419.76</v>
      </c>
      <c r="P23" s="16" t="n">
        <f aca="false">N23-O23</f>
        <v>51438.9390980822</v>
      </c>
    </row>
    <row r="24" customFormat="false" ht="15" hidden="false" customHeight="false" outlineLevel="0" collapsed="false">
      <c r="A24" s="2" t="s">
        <v>119</v>
      </c>
      <c r="B24" s="2" t="n">
        <v>11</v>
      </c>
      <c r="C24" s="2" t="s">
        <v>59</v>
      </c>
      <c r="D24" s="2" t="s">
        <v>42</v>
      </c>
      <c r="E24" s="2" t="str">
        <f aca="false">INDEX(Products!$B$2:$B$13,MATCH(D24,Products!$A$2:$A$13,0))</f>
        <v>Hydroprocessing</v>
      </c>
      <c r="F24" s="15" t="n">
        <v>22.5</v>
      </c>
      <c r="G24" s="16" t="n">
        <f aca="false">IF(A24="2025",INDEX(Products!$C$2:$C$13,MATCH(D24,Products!$A$2:$A$13,0)),INDEX(Products!$E$2:$E$13,MATCH(D24,Products!$A$2:$A$13,0)))</f>
        <v>13072.5</v>
      </c>
      <c r="H24" s="13" t="n">
        <f aca="false">IF(A24="2025",INDEX(Customers!$D$2:$D$41,MATCH(C24,Customers!$A$2:$A$41,0)),INDEX(Customers!$F$2:$F$41,MATCH(C24,Customers!$A$2:$A$41,0)))</f>
        <v>0.114</v>
      </c>
      <c r="I24" s="16" t="n">
        <f aca="false">F24*G24</f>
        <v>294131.25</v>
      </c>
      <c r="J24" s="16" t="n">
        <f aca="false">I24*(1-H24)</f>
        <v>260600.2875</v>
      </c>
      <c r="K24" s="16" t="n">
        <f aca="false">J24*INDEX(Customers!$G$2:$G$41,MATCH(C24,Customers!$A$2:$A$41,0))</f>
        <v>0</v>
      </c>
      <c r="L24" s="16" t="n">
        <f aca="false">F24*INDEX(Customers!$H$2:$H$41,MATCH(C24,Customers!$A$2:$A$41,0))</f>
        <v>6300</v>
      </c>
      <c r="M24" s="16" t="n">
        <f aca="false">J24*INDEX(Customers!$I$2:$I$41,MATCH(C24,Customers!$A$2:$A$41,0))/365*Assumptions!$B$6</f>
        <v>3427.0722739726</v>
      </c>
      <c r="N24" s="16" t="n">
        <f aca="false">J24-K24-L24-M24</f>
        <v>250873.215226027</v>
      </c>
      <c r="O24" s="16" t="n">
        <f aca="false">F24*IF(A24="2025",INDEX(Products!$D$2:$D$13,MATCH(D24,Products!$A$2:$A$13,0)),INDEX(Products!$F$2:$F$13,MATCH(D24,Products!$A$2:$A$13,0)))</f>
        <v>180301.5</v>
      </c>
      <c r="P24" s="16" t="n">
        <f aca="false">N24-O24</f>
        <v>70571.7152260274</v>
      </c>
    </row>
    <row r="25" customFormat="false" ht="15" hidden="false" customHeight="false" outlineLevel="0" collapsed="false">
      <c r="A25" s="2" t="s">
        <v>119</v>
      </c>
      <c r="B25" s="2" t="n">
        <v>12</v>
      </c>
      <c r="C25" s="2" t="s">
        <v>59</v>
      </c>
      <c r="D25" s="2" t="s">
        <v>42</v>
      </c>
      <c r="E25" s="2" t="str">
        <f aca="false">INDEX(Products!$B$2:$B$13,MATCH(D25,Products!$A$2:$A$13,0))</f>
        <v>Hydroprocessing</v>
      </c>
      <c r="F25" s="15" t="n">
        <v>20.1</v>
      </c>
      <c r="G25" s="16" t="n">
        <f aca="false">IF(A25="2025",INDEX(Products!$C$2:$C$13,MATCH(D25,Products!$A$2:$A$13,0)),INDEX(Products!$E$2:$E$13,MATCH(D25,Products!$A$2:$A$13,0)))</f>
        <v>13072.5</v>
      </c>
      <c r="H25" s="13" t="n">
        <f aca="false">IF(A25="2025",INDEX(Customers!$D$2:$D$41,MATCH(C25,Customers!$A$2:$A$41,0)),INDEX(Customers!$F$2:$F$41,MATCH(C25,Customers!$A$2:$A$41,0)))</f>
        <v>0.114</v>
      </c>
      <c r="I25" s="16" t="n">
        <f aca="false">F25*G25</f>
        <v>262757.25</v>
      </c>
      <c r="J25" s="16" t="n">
        <f aca="false">I25*(1-H25)</f>
        <v>232802.9235</v>
      </c>
      <c r="K25" s="16" t="n">
        <f aca="false">J25*INDEX(Customers!$G$2:$G$41,MATCH(C25,Customers!$A$2:$A$41,0))</f>
        <v>0</v>
      </c>
      <c r="L25" s="16" t="n">
        <f aca="false">F25*INDEX(Customers!$H$2:$H$41,MATCH(C25,Customers!$A$2:$A$41,0))</f>
        <v>5628</v>
      </c>
      <c r="M25" s="16" t="n">
        <f aca="false">J25*INDEX(Customers!$I$2:$I$41,MATCH(C25,Customers!$A$2:$A$41,0))/365*Assumptions!$B$6</f>
        <v>3061.51789808219</v>
      </c>
      <c r="N25" s="16" t="n">
        <f aca="false">J25-K25-L25-M25</f>
        <v>224113.405601918</v>
      </c>
      <c r="O25" s="16" t="n">
        <f aca="false">F25*IF(A25="2025",INDEX(Products!$D$2:$D$13,MATCH(D25,Products!$A$2:$A$13,0)),INDEX(Products!$F$2:$F$13,MATCH(D25,Products!$A$2:$A$13,0)))</f>
        <v>161069.34</v>
      </c>
      <c r="P25" s="16" t="n">
        <f aca="false">N25-O25</f>
        <v>63044.0656019178</v>
      </c>
    </row>
    <row r="26" customFormat="false" ht="15" hidden="false" customHeight="false" outlineLevel="0" collapsed="false">
      <c r="A26" s="2" t="s">
        <v>118</v>
      </c>
      <c r="B26" s="2" t="n">
        <v>1</v>
      </c>
      <c r="C26" s="2" t="s">
        <v>59</v>
      </c>
      <c r="D26" s="2" t="s">
        <v>36</v>
      </c>
      <c r="E26" s="2" t="str">
        <f aca="false">INDEX(Products!$B$2:$B$13,MATCH(D26,Products!$A$2:$A$13,0))</f>
        <v>FCC</v>
      </c>
      <c r="F26" s="15" t="n">
        <v>38.8</v>
      </c>
      <c r="G26" s="16" t="n">
        <f aca="false">IF(A26="2025",INDEX(Products!$C$2:$C$13,MATCH(D26,Products!$A$2:$A$13,0)),INDEX(Products!$E$2:$E$13,MATCH(D26,Products!$A$2:$A$13,0)))</f>
        <v>3700</v>
      </c>
      <c r="H26" s="13" t="n">
        <f aca="false">IF(A26="2025",INDEX(Customers!$D$2:$D$41,MATCH(C26,Customers!$A$2:$A$41,0)),INDEX(Customers!$F$2:$F$41,MATCH(C26,Customers!$A$2:$A$41,0)))</f>
        <v>0.072</v>
      </c>
      <c r="I26" s="16" t="n">
        <f aca="false">F26*G26</f>
        <v>143560</v>
      </c>
      <c r="J26" s="16" t="n">
        <f aca="false">I26*(1-H26)</f>
        <v>133223.68</v>
      </c>
      <c r="K26" s="16" t="n">
        <f aca="false">J26*INDEX(Customers!$G$2:$G$41,MATCH(C26,Customers!$A$2:$A$41,0))</f>
        <v>0</v>
      </c>
      <c r="L26" s="16" t="n">
        <f aca="false">F26*INDEX(Customers!$H$2:$H$41,MATCH(C26,Customers!$A$2:$A$41,0))</f>
        <v>10864</v>
      </c>
      <c r="M26" s="16" t="n">
        <f aca="false">J26*INDEX(Customers!$I$2:$I$41,MATCH(C26,Customers!$A$2:$A$41,0))/365*Assumptions!$B$6</f>
        <v>1751.98264109589</v>
      </c>
      <c r="N26" s="16" t="n">
        <f aca="false">J26-K26-L26-M26</f>
        <v>120607.697358904</v>
      </c>
      <c r="O26" s="16" t="n">
        <f aca="false">F26*IF(A26="2025",INDEX(Products!$D$2:$D$13,MATCH(D26,Products!$A$2:$A$13,0)),INDEX(Products!$F$2:$F$13,MATCH(D26,Products!$A$2:$A$13,0)))</f>
        <v>93120</v>
      </c>
      <c r="P26" s="16" t="n">
        <f aca="false">N26-O26</f>
        <v>27487.6973589041</v>
      </c>
    </row>
    <row r="27" customFormat="false" ht="15" hidden="false" customHeight="false" outlineLevel="0" collapsed="false">
      <c r="A27" s="2" t="s">
        <v>118</v>
      </c>
      <c r="B27" s="2" t="n">
        <v>2</v>
      </c>
      <c r="C27" s="2" t="s">
        <v>59</v>
      </c>
      <c r="D27" s="2" t="s">
        <v>36</v>
      </c>
      <c r="E27" s="2" t="str">
        <f aca="false">INDEX(Products!$B$2:$B$13,MATCH(D27,Products!$A$2:$A$13,0))</f>
        <v>FCC</v>
      </c>
      <c r="F27" s="15" t="n">
        <v>30.3</v>
      </c>
      <c r="G27" s="16" t="n">
        <f aca="false">IF(A27="2025",INDEX(Products!$C$2:$C$13,MATCH(D27,Products!$A$2:$A$13,0)),INDEX(Products!$E$2:$E$13,MATCH(D27,Products!$A$2:$A$13,0)))</f>
        <v>3700</v>
      </c>
      <c r="H27" s="13" t="n">
        <f aca="false">IF(A27="2025",INDEX(Customers!$D$2:$D$41,MATCH(C27,Customers!$A$2:$A$41,0)),INDEX(Customers!$F$2:$F$41,MATCH(C27,Customers!$A$2:$A$41,0)))</f>
        <v>0.072</v>
      </c>
      <c r="I27" s="16" t="n">
        <f aca="false">F27*G27</f>
        <v>112110</v>
      </c>
      <c r="J27" s="16" t="n">
        <f aca="false">I27*(1-H27)</f>
        <v>104038.08</v>
      </c>
      <c r="K27" s="16" t="n">
        <f aca="false">J27*INDEX(Customers!$G$2:$G$41,MATCH(C27,Customers!$A$2:$A$41,0))</f>
        <v>0</v>
      </c>
      <c r="L27" s="16" t="n">
        <f aca="false">F27*INDEX(Customers!$H$2:$H$41,MATCH(C27,Customers!$A$2:$A$41,0))</f>
        <v>8484</v>
      </c>
      <c r="M27" s="16" t="n">
        <f aca="false">J27*INDEX(Customers!$I$2:$I$41,MATCH(C27,Customers!$A$2:$A$41,0))/365*Assumptions!$B$6</f>
        <v>1368.1720109589</v>
      </c>
      <c r="N27" s="16" t="n">
        <f aca="false">J27-K27-L27-M27</f>
        <v>94185.9079890411</v>
      </c>
      <c r="O27" s="16" t="n">
        <f aca="false">F27*IF(A27="2025",INDEX(Products!$D$2:$D$13,MATCH(D27,Products!$A$2:$A$13,0)),INDEX(Products!$F$2:$F$13,MATCH(D27,Products!$A$2:$A$13,0)))</f>
        <v>72720</v>
      </c>
      <c r="P27" s="16" t="n">
        <f aca="false">N27-O27</f>
        <v>21465.9079890411</v>
      </c>
    </row>
    <row r="28" customFormat="false" ht="15" hidden="false" customHeight="false" outlineLevel="0" collapsed="false">
      <c r="A28" s="2" t="s">
        <v>118</v>
      </c>
      <c r="B28" s="2" t="n">
        <v>3</v>
      </c>
      <c r="C28" s="2" t="s">
        <v>59</v>
      </c>
      <c r="D28" s="2" t="s">
        <v>36</v>
      </c>
      <c r="E28" s="2" t="str">
        <f aca="false">INDEX(Products!$B$2:$B$13,MATCH(D28,Products!$A$2:$A$13,0))</f>
        <v>FCC</v>
      </c>
      <c r="F28" s="15" t="n">
        <v>31.1</v>
      </c>
      <c r="G28" s="16" t="n">
        <f aca="false">IF(A28="2025",INDEX(Products!$C$2:$C$13,MATCH(D28,Products!$A$2:$A$13,0)),INDEX(Products!$E$2:$E$13,MATCH(D28,Products!$A$2:$A$13,0)))</f>
        <v>3700</v>
      </c>
      <c r="H28" s="13" t="n">
        <f aca="false">IF(A28="2025",INDEX(Customers!$D$2:$D$41,MATCH(C28,Customers!$A$2:$A$41,0)),INDEX(Customers!$F$2:$F$41,MATCH(C28,Customers!$A$2:$A$41,0)))</f>
        <v>0.072</v>
      </c>
      <c r="I28" s="16" t="n">
        <f aca="false">F28*G28</f>
        <v>115070</v>
      </c>
      <c r="J28" s="16" t="n">
        <f aca="false">I28*(1-H28)</f>
        <v>106784.96</v>
      </c>
      <c r="K28" s="16" t="n">
        <f aca="false">J28*INDEX(Customers!$G$2:$G$41,MATCH(C28,Customers!$A$2:$A$41,0))</f>
        <v>0</v>
      </c>
      <c r="L28" s="16" t="n">
        <f aca="false">F28*INDEX(Customers!$H$2:$H$41,MATCH(C28,Customers!$A$2:$A$41,0))</f>
        <v>8708</v>
      </c>
      <c r="M28" s="16" t="n">
        <f aca="false">J28*INDEX(Customers!$I$2:$I$41,MATCH(C28,Customers!$A$2:$A$41,0))/365*Assumptions!$B$6</f>
        <v>1404.29536438356</v>
      </c>
      <c r="N28" s="16" t="n">
        <f aca="false">J28-K28-L28-M28</f>
        <v>96672.6646356164</v>
      </c>
      <c r="O28" s="16" t="n">
        <f aca="false">F28*IF(A28="2025",INDEX(Products!$D$2:$D$13,MATCH(D28,Products!$A$2:$A$13,0)),INDEX(Products!$F$2:$F$13,MATCH(D28,Products!$A$2:$A$13,0)))</f>
        <v>74640</v>
      </c>
      <c r="P28" s="16" t="n">
        <f aca="false">N28-O28</f>
        <v>22032.6646356164</v>
      </c>
    </row>
    <row r="29" customFormat="false" ht="15" hidden="false" customHeight="false" outlineLevel="0" collapsed="false">
      <c r="A29" s="2" t="s">
        <v>118</v>
      </c>
      <c r="B29" s="2" t="n">
        <v>4</v>
      </c>
      <c r="C29" s="2" t="s">
        <v>59</v>
      </c>
      <c r="D29" s="2" t="s">
        <v>36</v>
      </c>
      <c r="E29" s="2" t="str">
        <f aca="false">INDEX(Products!$B$2:$B$13,MATCH(D29,Products!$A$2:$A$13,0))</f>
        <v>FCC</v>
      </c>
      <c r="F29" s="15" t="n">
        <v>34.2</v>
      </c>
      <c r="G29" s="16" t="n">
        <f aca="false">IF(A29="2025",INDEX(Products!$C$2:$C$13,MATCH(D29,Products!$A$2:$A$13,0)),INDEX(Products!$E$2:$E$13,MATCH(D29,Products!$A$2:$A$13,0)))</f>
        <v>3700</v>
      </c>
      <c r="H29" s="13" t="n">
        <f aca="false">IF(A29="2025",INDEX(Customers!$D$2:$D$41,MATCH(C29,Customers!$A$2:$A$41,0)),INDEX(Customers!$F$2:$F$41,MATCH(C29,Customers!$A$2:$A$41,0)))</f>
        <v>0.072</v>
      </c>
      <c r="I29" s="16" t="n">
        <f aca="false">F29*G29</f>
        <v>126540</v>
      </c>
      <c r="J29" s="16" t="n">
        <f aca="false">I29*(1-H29)</f>
        <v>117429.12</v>
      </c>
      <c r="K29" s="16" t="n">
        <f aca="false">J29*INDEX(Customers!$G$2:$G$41,MATCH(C29,Customers!$A$2:$A$41,0))</f>
        <v>0</v>
      </c>
      <c r="L29" s="16" t="n">
        <f aca="false">F29*INDEX(Customers!$H$2:$H$41,MATCH(C29,Customers!$A$2:$A$41,0))</f>
        <v>9576</v>
      </c>
      <c r="M29" s="16" t="n">
        <f aca="false">J29*INDEX(Customers!$I$2:$I$41,MATCH(C29,Customers!$A$2:$A$41,0))/365*Assumptions!$B$6</f>
        <v>1544.27335890411</v>
      </c>
      <c r="N29" s="16" t="n">
        <f aca="false">J29-K29-L29-M29</f>
        <v>106308.846641096</v>
      </c>
      <c r="O29" s="16" t="n">
        <f aca="false">F29*IF(A29="2025",INDEX(Products!$D$2:$D$13,MATCH(D29,Products!$A$2:$A$13,0)),INDEX(Products!$F$2:$F$13,MATCH(D29,Products!$A$2:$A$13,0)))</f>
        <v>82080</v>
      </c>
      <c r="P29" s="16" t="n">
        <f aca="false">N29-O29</f>
        <v>24228.8466410959</v>
      </c>
    </row>
    <row r="30" customFormat="false" ht="15" hidden="false" customHeight="false" outlineLevel="0" collapsed="false">
      <c r="A30" s="2" t="s">
        <v>118</v>
      </c>
      <c r="B30" s="2" t="n">
        <v>5</v>
      </c>
      <c r="C30" s="2" t="s">
        <v>59</v>
      </c>
      <c r="D30" s="2" t="s">
        <v>36</v>
      </c>
      <c r="E30" s="2" t="str">
        <f aca="false">INDEX(Products!$B$2:$B$13,MATCH(D30,Products!$A$2:$A$13,0))</f>
        <v>FCC</v>
      </c>
      <c r="F30" s="15" t="n">
        <v>26.3</v>
      </c>
      <c r="G30" s="16" t="n">
        <f aca="false">IF(A30="2025",INDEX(Products!$C$2:$C$13,MATCH(D30,Products!$A$2:$A$13,0)),INDEX(Products!$E$2:$E$13,MATCH(D30,Products!$A$2:$A$13,0)))</f>
        <v>3700</v>
      </c>
      <c r="H30" s="13" t="n">
        <f aca="false">IF(A30="2025",INDEX(Customers!$D$2:$D$41,MATCH(C30,Customers!$A$2:$A$41,0)),INDEX(Customers!$F$2:$F$41,MATCH(C30,Customers!$A$2:$A$41,0)))</f>
        <v>0.072</v>
      </c>
      <c r="I30" s="16" t="n">
        <f aca="false">F30*G30</f>
        <v>97310</v>
      </c>
      <c r="J30" s="16" t="n">
        <f aca="false">I30*(1-H30)</f>
        <v>90303.68</v>
      </c>
      <c r="K30" s="16" t="n">
        <f aca="false">J30*INDEX(Customers!$G$2:$G$41,MATCH(C30,Customers!$A$2:$A$41,0))</f>
        <v>0</v>
      </c>
      <c r="L30" s="16" t="n">
        <f aca="false">F30*INDEX(Customers!$H$2:$H$41,MATCH(C30,Customers!$A$2:$A$41,0))</f>
        <v>7364</v>
      </c>
      <c r="M30" s="16" t="n">
        <f aca="false">J30*INDEX(Customers!$I$2:$I$41,MATCH(C30,Customers!$A$2:$A$41,0))/365*Assumptions!$B$6</f>
        <v>1187.55524383562</v>
      </c>
      <c r="N30" s="16" t="n">
        <f aca="false">J30-K30-L30-M30</f>
        <v>81752.1247561644</v>
      </c>
      <c r="O30" s="16" t="n">
        <f aca="false">F30*IF(A30="2025",INDEX(Products!$D$2:$D$13,MATCH(D30,Products!$A$2:$A$13,0)),INDEX(Products!$F$2:$F$13,MATCH(D30,Products!$A$2:$A$13,0)))</f>
        <v>63120</v>
      </c>
      <c r="P30" s="16" t="n">
        <f aca="false">N30-O30</f>
        <v>18632.1247561644</v>
      </c>
    </row>
    <row r="31" customFormat="false" ht="15" hidden="false" customHeight="false" outlineLevel="0" collapsed="false">
      <c r="A31" s="2" t="s">
        <v>118</v>
      </c>
      <c r="B31" s="2" t="n">
        <v>6</v>
      </c>
      <c r="C31" s="2" t="s">
        <v>59</v>
      </c>
      <c r="D31" s="2" t="s">
        <v>36</v>
      </c>
      <c r="E31" s="2" t="str">
        <f aca="false">INDEX(Products!$B$2:$B$13,MATCH(D31,Products!$A$2:$A$13,0))</f>
        <v>FCC</v>
      </c>
      <c r="F31" s="15" t="n">
        <v>26.7</v>
      </c>
      <c r="G31" s="16" t="n">
        <f aca="false">IF(A31="2025",INDEX(Products!$C$2:$C$13,MATCH(D31,Products!$A$2:$A$13,0)),INDEX(Products!$E$2:$E$13,MATCH(D31,Products!$A$2:$A$13,0)))</f>
        <v>3700</v>
      </c>
      <c r="H31" s="13" t="n">
        <f aca="false">IF(A31="2025",INDEX(Customers!$D$2:$D$41,MATCH(C31,Customers!$A$2:$A$41,0)),INDEX(Customers!$F$2:$F$41,MATCH(C31,Customers!$A$2:$A$41,0)))</f>
        <v>0.072</v>
      </c>
      <c r="I31" s="16" t="n">
        <f aca="false">F31*G31</f>
        <v>98790</v>
      </c>
      <c r="J31" s="16" t="n">
        <f aca="false">I31*(1-H31)</f>
        <v>91677.12</v>
      </c>
      <c r="K31" s="16" t="n">
        <f aca="false">J31*INDEX(Customers!$G$2:$G$41,MATCH(C31,Customers!$A$2:$A$41,0))</f>
        <v>0</v>
      </c>
      <c r="L31" s="16" t="n">
        <f aca="false">F31*INDEX(Customers!$H$2:$H$41,MATCH(C31,Customers!$A$2:$A$41,0))</f>
        <v>7476</v>
      </c>
      <c r="M31" s="16" t="n">
        <f aca="false">J31*INDEX(Customers!$I$2:$I$41,MATCH(C31,Customers!$A$2:$A$41,0))/365*Assumptions!$B$6</f>
        <v>1205.61692054795</v>
      </c>
      <c r="N31" s="16" t="n">
        <f aca="false">J31-K31-L31-M31</f>
        <v>82995.5030794521</v>
      </c>
      <c r="O31" s="16" t="n">
        <f aca="false">F31*IF(A31="2025",INDEX(Products!$D$2:$D$13,MATCH(D31,Products!$A$2:$A$13,0)),INDEX(Products!$F$2:$F$13,MATCH(D31,Products!$A$2:$A$13,0)))</f>
        <v>64080</v>
      </c>
      <c r="P31" s="16" t="n">
        <f aca="false">N31-O31</f>
        <v>18915.5030794521</v>
      </c>
    </row>
    <row r="32" customFormat="false" ht="15" hidden="false" customHeight="false" outlineLevel="0" collapsed="false">
      <c r="A32" s="2" t="s">
        <v>118</v>
      </c>
      <c r="B32" s="2" t="n">
        <v>7</v>
      </c>
      <c r="C32" s="2" t="s">
        <v>59</v>
      </c>
      <c r="D32" s="2" t="s">
        <v>36</v>
      </c>
      <c r="E32" s="2" t="str">
        <f aca="false">INDEX(Products!$B$2:$B$13,MATCH(D32,Products!$A$2:$A$13,0))</f>
        <v>FCC</v>
      </c>
      <c r="F32" s="15" t="n">
        <v>40</v>
      </c>
      <c r="G32" s="16" t="n">
        <f aca="false">IF(A32="2025",INDEX(Products!$C$2:$C$13,MATCH(D32,Products!$A$2:$A$13,0)),INDEX(Products!$E$2:$E$13,MATCH(D32,Products!$A$2:$A$13,0)))</f>
        <v>3700</v>
      </c>
      <c r="H32" s="13" t="n">
        <f aca="false">IF(A32="2025",INDEX(Customers!$D$2:$D$41,MATCH(C32,Customers!$A$2:$A$41,0)),INDEX(Customers!$F$2:$F$41,MATCH(C32,Customers!$A$2:$A$41,0)))</f>
        <v>0.072</v>
      </c>
      <c r="I32" s="16" t="n">
        <f aca="false">F32*G32</f>
        <v>148000</v>
      </c>
      <c r="J32" s="16" t="n">
        <f aca="false">I32*(1-H32)</f>
        <v>137344</v>
      </c>
      <c r="K32" s="16" t="n">
        <f aca="false">J32*INDEX(Customers!$G$2:$G$41,MATCH(C32,Customers!$A$2:$A$41,0))</f>
        <v>0</v>
      </c>
      <c r="L32" s="16" t="n">
        <f aca="false">F32*INDEX(Customers!$H$2:$H$41,MATCH(C32,Customers!$A$2:$A$41,0))</f>
        <v>11200</v>
      </c>
      <c r="M32" s="16" t="n">
        <f aca="false">J32*INDEX(Customers!$I$2:$I$41,MATCH(C32,Customers!$A$2:$A$41,0))/365*Assumptions!$B$6</f>
        <v>1806.16767123288</v>
      </c>
      <c r="N32" s="16" t="n">
        <f aca="false">J32-K32-L32-M32</f>
        <v>124337.832328767</v>
      </c>
      <c r="O32" s="16" t="n">
        <f aca="false">F32*IF(A32="2025",INDEX(Products!$D$2:$D$13,MATCH(D32,Products!$A$2:$A$13,0)),INDEX(Products!$F$2:$F$13,MATCH(D32,Products!$A$2:$A$13,0)))</f>
        <v>96000</v>
      </c>
      <c r="P32" s="16" t="n">
        <f aca="false">N32-O32</f>
        <v>28337.8323287671</v>
      </c>
    </row>
    <row r="33" customFormat="false" ht="15" hidden="false" customHeight="false" outlineLevel="0" collapsed="false">
      <c r="A33" s="2" t="s">
        <v>118</v>
      </c>
      <c r="B33" s="2" t="n">
        <v>8</v>
      </c>
      <c r="C33" s="2" t="s">
        <v>59</v>
      </c>
      <c r="D33" s="2" t="s">
        <v>36</v>
      </c>
      <c r="E33" s="2" t="str">
        <f aca="false">INDEX(Products!$B$2:$B$13,MATCH(D33,Products!$A$2:$A$13,0))</f>
        <v>FCC</v>
      </c>
      <c r="F33" s="15" t="n">
        <v>32.5</v>
      </c>
      <c r="G33" s="16" t="n">
        <f aca="false">IF(A33="2025",INDEX(Products!$C$2:$C$13,MATCH(D33,Products!$A$2:$A$13,0)),INDEX(Products!$E$2:$E$13,MATCH(D33,Products!$A$2:$A$13,0)))</f>
        <v>3700</v>
      </c>
      <c r="H33" s="13" t="n">
        <f aca="false">IF(A33="2025",INDEX(Customers!$D$2:$D$41,MATCH(C33,Customers!$A$2:$A$41,0)),INDEX(Customers!$F$2:$F$41,MATCH(C33,Customers!$A$2:$A$41,0)))</f>
        <v>0.072</v>
      </c>
      <c r="I33" s="16" t="n">
        <f aca="false">F33*G33</f>
        <v>120250</v>
      </c>
      <c r="J33" s="16" t="n">
        <f aca="false">I33*(1-H33)</f>
        <v>111592</v>
      </c>
      <c r="K33" s="16" t="n">
        <f aca="false">J33*INDEX(Customers!$G$2:$G$41,MATCH(C33,Customers!$A$2:$A$41,0))</f>
        <v>0</v>
      </c>
      <c r="L33" s="16" t="n">
        <f aca="false">F33*INDEX(Customers!$H$2:$H$41,MATCH(C33,Customers!$A$2:$A$41,0))</f>
        <v>9100</v>
      </c>
      <c r="M33" s="16" t="n">
        <f aca="false">J33*INDEX(Customers!$I$2:$I$41,MATCH(C33,Customers!$A$2:$A$41,0))/365*Assumptions!$B$6</f>
        <v>1467.51123287671</v>
      </c>
      <c r="N33" s="16" t="n">
        <f aca="false">J33-K33-L33-M33</f>
        <v>101024.488767123</v>
      </c>
      <c r="O33" s="16" t="n">
        <f aca="false">F33*IF(A33="2025",INDEX(Products!$D$2:$D$13,MATCH(D33,Products!$A$2:$A$13,0)),INDEX(Products!$F$2:$F$13,MATCH(D33,Products!$A$2:$A$13,0)))</f>
        <v>78000</v>
      </c>
      <c r="P33" s="16" t="n">
        <f aca="false">N33-O33</f>
        <v>23024.4887671233</v>
      </c>
    </row>
    <row r="34" customFormat="false" ht="15" hidden="false" customHeight="false" outlineLevel="0" collapsed="false">
      <c r="A34" s="2" t="s">
        <v>118</v>
      </c>
      <c r="B34" s="2" t="n">
        <v>9</v>
      </c>
      <c r="C34" s="2" t="s">
        <v>59</v>
      </c>
      <c r="D34" s="2" t="s">
        <v>36</v>
      </c>
      <c r="E34" s="2" t="str">
        <f aca="false">INDEX(Products!$B$2:$B$13,MATCH(D34,Products!$A$2:$A$13,0))</f>
        <v>FCC</v>
      </c>
      <c r="F34" s="15" t="n">
        <v>41.3</v>
      </c>
      <c r="G34" s="16" t="n">
        <f aca="false">IF(A34="2025",INDEX(Products!$C$2:$C$13,MATCH(D34,Products!$A$2:$A$13,0)),INDEX(Products!$E$2:$E$13,MATCH(D34,Products!$A$2:$A$13,0)))</f>
        <v>3700</v>
      </c>
      <c r="H34" s="13" t="n">
        <f aca="false">IF(A34="2025",INDEX(Customers!$D$2:$D$41,MATCH(C34,Customers!$A$2:$A$41,0)),INDEX(Customers!$F$2:$F$41,MATCH(C34,Customers!$A$2:$A$41,0)))</f>
        <v>0.072</v>
      </c>
      <c r="I34" s="16" t="n">
        <f aca="false">F34*G34</f>
        <v>152810</v>
      </c>
      <c r="J34" s="16" t="n">
        <f aca="false">I34*(1-H34)</f>
        <v>141807.68</v>
      </c>
      <c r="K34" s="16" t="n">
        <f aca="false">J34*INDEX(Customers!$G$2:$G$41,MATCH(C34,Customers!$A$2:$A$41,0))</f>
        <v>0</v>
      </c>
      <c r="L34" s="16" t="n">
        <f aca="false">F34*INDEX(Customers!$H$2:$H$41,MATCH(C34,Customers!$A$2:$A$41,0))</f>
        <v>11564</v>
      </c>
      <c r="M34" s="16" t="n">
        <f aca="false">J34*INDEX(Customers!$I$2:$I$41,MATCH(C34,Customers!$A$2:$A$41,0))/365*Assumptions!$B$6</f>
        <v>1864.86812054795</v>
      </c>
      <c r="N34" s="16" t="n">
        <f aca="false">J34-K34-L34-M34</f>
        <v>128378.811879452</v>
      </c>
      <c r="O34" s="16" t="n">
        <f aca="false">F34*IF(A34="2025",INDEX(Products!$D$2:$D$13,MATCH(D34,Products!$A$2:$A$13,0)),INDEX(Products!$F$2:$F$13,MATCH(D34,Products!$A$2:$A$13,0)))</f>
        <v>99120</v>
      </c>
      <c r="P34" s="16" t="n">
        <f aca="false">N34-O34</f>
        <v>29258.811879452</v>
      </c>
    </row>
    <row r="35" customFormat="false" ht="15" hidden="false" customHeight="false" outlineLevel="0" collapsed="false">
      <c r="A35" s="2" t="s">
        <v>118</v>
      </c>
      <c r="B35" s="2" t="n">
        <v>10</v>
      </c>
      <c r="C35" s="2" t="s">
        <v>59</v>
      </c>
      <c r="D35" s="2" t="s">
        <v>36</v>
      </c>
      <c r="E35" s="2" t="str">
        <f aca="false">INDEX(Products!$B$2:$B$13,MATCH(D35,Products!$A$2:$A$13,0))</f>
        <v>FCC</v>
      </c>
      <c r="F35" s="15" t="n">
        <v>27.2</v>
      </c>
      <c r="G35" s="16" t="n">
        <f aca="false">IF(A35="2025",INDEX(Products!$C$2:$C$13,MATCH(D35,Products!$A$2:$A$13,0)),INDEX(Products!$E$2:$E$13,MATCH(D35,Products!$A$2:$A$13,0)))</f>
        <v>3700</v>
      </c>
      <c r="H35" s="13" t="n">
        <f aca="false">IF(A35="2025",INDEX(Customers!$D$2:$D$41,MATCH(C35,Customers!$A$2:$A$41,0)),INDEX(Customers!$F$2:$F$41,MATCH(C35,Customers!$A$2:$A$41,0)))</f>
        <v>0.072</v>
      </c>
      <c r="I35" s="16" t="n">
        <f aca="false">F35*G35</f>
        <v>100640</v>
      </c>
      <c r="J35" s="16" t="n">
        <f aca="false">I35*(1-H35)</f>
        <v>93393.92</v>
      </c>
      <c r="K35" s="16" t="n">
        <f aca="false">J35*INDEX(Customers!$G$2:$G$41,MATCH(C35,Customers!$A$2:$A$41,0))</f>
        <v>0</v>
      </c>
      <c r="L35" s="16" t="n">
        <f aca="false">F35*INDEX(Customers!$H$2:$H$41,MATCH(C35,Customers!$A$2:$A$41,0))</f>
        <v>7616</v>
      </c>
      <c r="M35" s="16" t="n">
        <f aca="false">J35*INDEX(Customers!$I$2:$I$41,MATCH(C35,Customers!$A$2:$A$41,0))/365*Assumptions!$B$6</f>
        <v>1228.19401643836</v>
      </c>
      <c r="N35" s="16" t="n">
        <f aca="false">J35-K35-L35-M35</f>
        <v>84549.7259835616</v>
      </c>
      <c r="O35" s="16" t="n">
        <f aca="false">F35*IF(A35="2025",INDEX(Products!$D$2:$D$13,MATCH(D35,Products!$A$2:$A$13,0)),INDEX(Products!$F$2:$F$13,MATCH(D35,Products!$A$2:$A$13,0)))</f>
        <v>65280</v>
      </c>
      <c r="P35" s="16" t="n">
        <f aca="false">N35-O35</f>
        <v>19269.7259835616</v>
      </c>
    </row>
    <row r="36" customFormat="false" ht="15" hidden="false" customHeight="false" outlineLevel="0" collapsed="false">
      <c r="A36" s="2" t="s">
        <v>118</v>
      </c>
      <c r="B36" s="2" t="n">
        <v>11</v>
      </c>
      <c r="C36" s="2" t="s">
        <v>59</v>
      </c>
      <c r="D36" s="2" t="s">
        <v>36</v>
      </c>
      <c r="E36" s="2" t="str">
        <f aca="false">INDEX(Products!$B$2:$B$13,MATCH(D36,Products!$A$2:$A$13,0))</f>
        <v>FCC</v>
      </c>
      <c r="F36" s="15" t="n">
        <v>41.7</v>
      </c>
      <c r="G36" s="16" t="n">
        <f aca="false">IF(A36="2025",INDEX(Products!$C$2:$C$13,MATCH(D36,Products!$A$2:$A$13,0)),INDEX(Products!$E$2:$E$13,MATCH(D36,Products!$A$2:$A$13,0)))</f>
        <v>3700</v>
      </c>
      <c r="H36" s="13" t="n">
        <f aca="false">IF(A36="2025",INDEX(Customers!$D$2:$D$41,MATCH(C36,Customers!$A$2:$A$41,0)),INDEX(Customers!$F$2:$F$41,MATCH(C36,Customers!$A$2:$A$41,0)))</f>
        <v>0.072</v>
      </c>
      <c r="I36" s="16" t="n">
        <f aca="false">F36*G36</f>
        <v>154290</v>
      </c>
      <c r="J36" s="16" t="n">
        <f aca="false">I36*(1-H36)</f>
        <v>143181.12</v>
      </c>
      <c r="K36" s="16" t="n">
        <f aca="false">J36*INDEX(Customers!$G$2:$G$41,MATCH(C36,Customers!$A$2:$A$41,0))</f>
        <v>0</v>
      </c>
      <c r="L36" s="16" t="n">
        <f aca="false">F36*INDEX(Customers!$H$2:$H$41,MATCH(C36,Customers!$A$2:$A$41,0))</f>
        <v>11676</v>
      </c>
      <c r="M36" s="16" t="n">
        <f aca="false">J36*INDEX(Customers!$I$2:$I$41,MATCH(C36,Customers!$A$2:$A$41,0))/365*Assumptions!$B$6</f>
        <v>1882.92979726027</v>
      </c>
      <c r="N36" s="16" t="n">
        <f aca="false">J36-K36-L36-M36</f>
        <v>129622.19020274</v>
      </c>
      <c r="O36" s="16" t="n">
        <f aca="false">F36*IF(A36="2025",INDEX(Products!$D$2:$D$13,MATCH(D36,Products!$A$2:$A$13,0)),INDEX(Products!$F$2:$F$13,MATCH(D36,Products!$A$2:$A$13,0)))</f>
        <v>100080</v>
      </c>
      <c r="P36" s="16" t="n">
        <f aca="false">N36-O36</f>
        <v>29542.1902027397</v>
      </c>
    </row>
    <row r="37" customFormat="false" ht="15" hidden="false" customHeight="false" outlineLevel="0" collapsed="false">
      <c r="A37" s="2" t="s">
        <v>118</v>
      </c>
      <c r="B37" s="2" t="n">
        <v>12</v>
      </c>
      <c r="C37" s="2" t="s">
        <v>59</v>
      </c>
      <c r="D37" s="2" t="s">
        <v>36</v>
      </c>
      <c r="E37" s="2" t="str">
        <f aca="false">INDEX(Products!$B$2:$B$13,MATCH(D37,Products!$A$2:$A$13,0))</f>
        <v>FCC</v>
      </c>
      <c r="F37" s="15" t="n">
        <v>30.2</v>
      </c>
      <c r="G37" s="16" t="n">
        <f aca="false">IF(A37="2025",INDEX(Products!$C$2:$C$13,MATCH(D37,Products!$A$2:$A$13,0)),INDEX(Products!$E$2:$E$13,MATCH(D37,Products!$A$2:$A$13,0)))</f>
        <v>3700</v>
      </c>
      <c r="H37" s="13" t="n">
        <f aca="false">IF(A37="2025",INDEX(Customers!$D$2:$D$41,MATCH(C37,Customers!$A$2:$A$41,0)),INDEX(Customers!$F$2:$F$41,MATCH(C37,Customers!$A$2:$A$41,0)))</f>
        <v>0.072</v>
      </c>
      <c r="I37" s="16" t="n">
        <f aca="false">F37*G37</f>
        <v>111740</v>
      </c>
      <c r="J37" s="16" t="n">
        <f aca="false">I37*(1-H37)</f>
        <v>103694.72</v>
      </c>
      <c r="K37" s="16" t="n">
        <f aca="false">J37*INDEX(Customers!$G$2:$G$41,MATCH(C37,Customers!$A$2:$A$41,0))</f>
        <v>0</v>
      </c>
      <c r="L37" s="16" t="n">
        <f aca="false">F37*INDEX(Customers!$H$2:$H$41,MATCH(C37,Customers!$A$2:$A$41,0))</f>
        <v>8456</v>
      </c>
      <c r="M37" s="16" t="n">
        <f aca="false">J37*INDEX(Customers!$I$2:$I$41,MATCH(C37,Customers!$A$2:$A$41,0))/365*Assumptions!$B$6</f>
        <v>1363.65659178082</v>
      </c>
      <c r="N37" s="16" t="n">
        <f aca="false">J37-K37-L37-M37</f>
        <v>93875.0634082192</v>
      </c>
      <c r="O37" s="16" t="n">
        <f aca="false">F37*IF(A37="2025",INDEX(Products!$D$2:$D$13,MATCH(D37,Products!$A$2:$A$13,0)),INDEX(Products!$F$2:$F$13,MATCH(D37,Products!$A$2:$A$13,0)))</f>
        <v>72480</v>
      </c>
      <c r="P37" s="16" t="n">
        <f aca="false">N37-O37</f>
        <v>21395.0634082192</v>
      </c>
    </row>
    <row r="38" customFormat="false" ht="15" hidden="false" customHeight="false" outlineLevel="0" collapsed="false">
      <c r="A38" s="2" t="s">
        <v>119</v>
      </c>
      <c r="B38" s="2" t="n">
        <v>1</v>
      </c>
      <c r="C38" s="2" t="s">
        <v>59</v>
      </c>
      <c r="D38" s="2" t="s">
        <v>36</v>
      </c>
      <c r="E38" s="2" t="str">
        <f aca="false">INDEX(Products!$B$2:$B$13,MATCH(D38,Products!$A$2:$A$13,0))</f>
        <v>FCC</v>
      </c>
      <c r="F38" s="15" t="n">
        <v>47.6</v>
      </c>
      <c r="G38" s="16" t="n">
        <f aca="false">IF(A38="2025",INDEX(Products!$C$2:$C$13,MATCH(D38,Products!$A$2:$A$13,0)),INDEX(Products!$E$2:$E$13,MATCH(D38,Products!$A$2:$A$13,0)))</f>
        <v>3885</v>
      </c>
      <c r="H38" s="13" t="n">
        <f aca="false">IF(A38="2025",INDEX(Customers!$D$2:$D$41,MATCH(C38,Customers!$A$2:$A$41,0)),INDEX(Customers!$F$2:$F$41,MATCH(C38,Customers!$A$2:$A$41,0)))</f>
        <v>0.114</v>
      </c>
      <c r="I38" s="16" t="n">
        <f aca="false">F38*G38</f>
        <v>184926</v>
      </c>
      <c r="J38" s="16" t="n">
        <f aca="false">I38*(1-H38)</f>
        <v>163844.436</v>
      </c>
      <c r="K38" s="16" t="n">
        <f aca="false">J38*INDEX(Customers!$G$2:$G$41,MATCH(C38,Customers!$A$2:$A$41,0))</f>
        <v>0</v>
      </c>
      <c r="L38" s="16" t="n">
        <f aca="false">F38*INDEX(Customers!$H$2:$H$41,MATCH(C38,Customers!$A$2:$A$41,0))</f>
        <v>13328</v>
      </c>
      <c r="M38" s="16" t="n">
        <f aca="false">J38*INDEX(Customers!$I$2:$I$41,MATCH(C38,Customers!$A$2:$A$41,0))/365*Assumptions!$B$6</f>
        <v>2154.66655561644</v>
      </c>
      <c r="N38" s="16" t="n">
        <f aca="false">J38-K38-L38-M38</f>
        <v>148361.769444384</v>
      </c>
      <c r="O38" s="16" t="n">
        <f aca="false">F38*IF(A38="2025",INDEX(Products!$D$2:$D$13,MATCH(D38,Products!$A$2:$A$13,0)),INDEX(Products!$F$2:$F$13,MATCH(D38,Products!$A$2:$A$13,0)))</f>
        <v>117667.2</v>
      </c>
      <c r="P38" s="16" t="n">
        <f aca="false">N38-O38</f>
        <v>30694.5694443836</v>
      </c>
    </row>
    <row r="39" customFormat="false" ht="15" hidden="false" customHeight="false" outlineLevel="0" collapsed="false">
      <c r="A39" s="2" t="s">
        <v>119</v>
      </c>
      <c r="B39" s="2" t="n">
        <v>2</v>
      </c>
      <c r="C39" s="2" t="s">
        <v>59</v>
      </c>
      <c r="D39" s="2" t="s">
        <v>36</v>
      </c>
      <c r="E39" s="2" t="str">
        <f aca="false">INDEX(Products!$B$2:$B$13,MATCH(D39,Products!$A$2:$A$13,0))</f>
        <v>FCC</v>
      </c>
      <c r="F39" s="15" t="n">
        <v>48.4</v>
      </c>
      <c r="G39" s="16" t="n">
        <f aca="false">IF(A39="2025",INDEX(Products!$C$2:$C$13,MATCH(D39,Products!$A$2:$A$13,0)),INDEX(Products!$E$2:$E$13,MATCH(D39,Products!$A$2:$A$13,0)))</f>
        <v>3885</v>
      </c>
      <c r="H39" s="13" t="n">
        <f aca="false">IF(A39="2025",INDEX(Customers!$D$2:$D$41,MATCH(C39,Customers!$A$2:$A$41,0)),INDEX(Customers!$F$2:$F$41,MATCH(C39,Customers!$A$2:$A$41,0)))</f>
        <v>0.114</v>
      </c>
      <c r="I39" s="16" t="n">
        <f aca="false">F39*G39</f>
        <v>188034</v>
      </c>
      <c r="J39" s="16" t="n">
        <f aca="false">I39*(1-H39)</f>
        <v>166598.124</v>
      </c>
      <c r="K39" s="16" t="n">
        <f aca="false">J39*INDEX(Customers!$G$2:$G$41,MATCH(C39,Customers!$A$2:$A$41,0))</f>
        <v>0</v>
      </c>
      <c r="L39" s="16" t="n">
        <f aca="false">F39*INDEX(Customers!$H$2:$H$41,MATCH(C39,Customers!$A$2:$A$41,0))</f>
        <v>13552</v>
      </c>
      <c r="M39" s="16" t="n">
        <f aca="false">J39*INDEX(Customers!$I$2:$I$41,MATCH(C39,Customers!$A$2:$A$41,0))/365*Assumptions!$B$6</f>
        <v>2190.87943890411</v>
      </c>
      <c r="N39" s="16" t="n">
        <f aca="false">J39-K39-L39-M39</f>
        <v>150855.244561096</v>
      </c>
      <c r="O39" s="16" t="n">
        <f aca="false">F39*IF(A39="2025",INDEX(Products!$D$2:$D$13,MATCH(D39,Products!$A$2:$A$13,0)),INDEX(Products!$F$2:$F$13,MATCH(D39,Products!$A$2:$A$13,0)))</f>
        <v>119644.8</v>
      </c>
      <c r="P39" s="16" t="n">
        <f aca="false">N39-O39</f>
        <v>31210.4445610959</v>
      </c>
    </row>
    <row r="40" customFormat="false" ht="15" hidden="false" customHeight="false" outlineLevel="0" collapsed="false">
      <c r="A40" s="2" t="s">
        <v>119</v>
      </c>
      <c r="B40" s="2" t="n">
        <v>3</v>
      </c>
      <c r="C40" s="2" t="s">
        <v>59</v>
      </c>
      <c r="D40" s="2" t="s">
        <v>36</v>
      </c>
      <c r="E40" s="2" t="str">
        <f aca="false">INDEX(Products!$B$2:$B$13,MATCH(D40,Products!$A$2:$A$13,0))</f>
        <v>FCC</v>
      </c>
      <c r="F40" s="15" t="n">
        <v>43.3</v>
      </c>
      <c r="G40" s="16" t="n">
        <f aca="false">IF(A40="2025",INDEX(Products!$C$2:$C$13,MATCH(D40,Products!$A$2:$A$13,0)),INDEX(Products!$E$2:$E$13,MATCH(D40,Products!$A$2:$A$13,0)))</f>
        <v>3885</v>
      </c>
      <c r="H40" s="13" t="n">
        <f aca="false">IF(A40="2025",INDEX(Customers!$D$2:$D$41,MATCH(C40,Customers!$A$2:$A$41,0)),INDEX(Customers!$F$2:$F$41,MATCH(C40,Customers!$A$2:$A$41,0)))</f>
        <v>0.114</v>
      </c>
      <c r="I40" s="16" t="n">
        <f aca="false">F40*G40</f>
        <v>168220.5</v>
      </c>
      <c r="J40" s="16" t="n">
        <f aca="false">I40*(1-H40)</f>
        <v>149043.363</v>
      </c>
      <c r="K40" s="16" t="n">
        <f aca="false">J40*INDEX(Customers!$G$2:$G$41,MATCH(C40,Customers!$A$2:$A$41,0))</f>
        <v>0</v>
      </c>
      <c r="L40" s="16" t="n">
        <f aca="false">F40*INDEX(Customers!$H$2:$H$41,MATCH(C40,Customers!$A$2:$A$41,0))</f>
        <v>12124</v>
      </c>
      <c r="M40" s="16" t="n">
        <f aca="false">J40*INDEX(Customers!$I$2:$I$41,MATCH(C40,Customers!$A$2:$A$41,0))/365*Assumptions!$B$6</f>
        <v>1960.02230794521</v>
      </c>
      <c r="N40" s="16" t="n">
        <f aca="false">J40-K40-L40-M40</f>
        <v>134959.340692055</v>
      </c>
      <c r="O40" s="16" t="n">
        <f aca="false">F40*IF(A40="2025",INDEX(Products!$D$2:$D$13,MATCH(D40,Products!$A$2:$A$13,0)),INDEX(Products!$F$2:$F$13,MATCH(D40,Products!$A$2:$A$13,0)))</f>
        <v>107037.6</v>
      </c>
      <c r="P40" s="16" t="n">
        <f aca="false">N40-O40</f>
        <v>27921.7406920548</v>
      </c>
    </row>
    <row r="41" customFormat="false" ht="15" hidden="false" customHeight="false" outlineLevel="0" collapsed="false">
      <c r="A41" s="2" t="s">
        <v>119</v>
      </c>
      <c r="B41" s="2" t="n">
        <v>4</v>
      </c>
      <c r="C41" s="2" t="s">
        <v>59</v>
      </c>
      <c r="D41" s="2" t="s">
        <v>36</v>
      </c>
      <c r="E41" s="2" t="str">
        <f aca="false">INDEX(Products!$B$2:$B$13,MATCH(D41,Products!$A$2:$A$13,0))</f>
        <v>FCC</v>
      </c>
      <c r="F41" s="15" t="n">
        <v>36.5</v>
      </c>
      <c r="G41" s="16" t="n">
        <f aca="false">IF(A41="2025",INDEX(Products!$C$2:$C$13,MATCH(D41,Products!$A$2:$A$13,0)),INDEX(Products!$E$2:$E$13,MATCH(D41,Products!$A$2:$A$13,0)))</f>
        <v>3885</v>
      </c>
      <c r="H41" s="13" t="n">
        <f aca="false">IF(A41="2025",INDEX(Customers!$D$2:$D$41,MATCH(C41,Customers!$A$2:$A$41,0)),INDEX(Customers!$F$2:$F$41,MATCH(C41,Customers!$A$2:$A$41,0)))</f>
        <v>0.114</v>
      </c>
      <c r="I41" s="16" t="n">
        <f aca="false">F41*G41</f>
        <v>141802.5</v>
      </c>
      <c r="J41" s="16" t="n">
        <f aca="false">I41*(1-H41)</f>
        <v>125637.015</v>
      </c>
      <c r="K41" s="16" t="n">
        <f aca="false">J41*INDEX(Customers!$G$2:$G$41,MATCH(C41,Customers!$A$2:$A$41,0))</f>
        <v>0</v>
      </c>
      <c r="L41" s="16" t="n">
        <f aca="false">F41*INDEX(Customers!$H$2:$H$41,MATCH(C41,Customers!$A$2:$A$41,0))</f>
        <v>10220</v>
      </c>
      <c r="M41" s="16" t="n">
        <f aca="false">J41*INDEX(Customers!$I$2:$I$41,MATCH(C41,Customers!$A$2:$A$41,0))/365*Assumptions!$B$6</f>
        <v>1652.2128</v>
      </c>
      <c r="N41" s="16" t="n">
        <f aca="false">J41-K41-L41-M41</f>
        <v>113764.8022</v>
      </c>
      <c r="O41" s="16" t="n">
        <f aca="false">F41*IF(A41="2025",INDEX(Products!$D$2:$D$13,MATCH(D41,Products!$A$2:$A$13,0)),INDEX(Products!$F$2:$F$13,MATCH(D41,Products!$A$2:$A$13,0)))</f>
        <v>90228</v>
      </c>
      <c r="P41" s="16" t="n">
        <f aca="false">N41-O41</f>
        <v>23536.8022</v>
      </c>
    </row>
    <row r="42" customFormat="false" ht="15" hidden="false" customHeight="false" outlineLevel="0" collapsed="false">
      <c r="A42" s="2" t="s">
        <v>119</v>
      </c>
      <c r="B42" s="2" t="n">
        <v>5</v>
      </c>
      <c r="C42" s="2" t="s">
        <v>59</v>
      </c>
      <c r="D42" s="2" t="s">
        <v>36</v>
      </c>
      <c r="E42" s="2" t="str">
        <f aca="false">INDEX(Products!$B$2:$B$13,MATCH(D42,Products!$A$2:$A$13,0))</f>
        <v>FCC</v>
      </c>
      <c r="F42" s="15" t="n">
        <v>27.8</v>
      </c>
      <c r="G42" s="16" t="n">
        <f aca="false">IF(A42="2025",INDEX(Products!$C$2:$C$13,MATCH(D42,Products!$A$2:$A$13,0)),INDEX(Products!$E$2:$E$13,MATCH(D42,Products!$A$2:$A$13,0)))</f>
        <v>3885</v>
      </c>
      <c r="H42" s="13" t="n">
        <f aca="false">IF(A42="2025",INDEX(Customers!$D$2:$D$41,MATCH(C42,Customers!$A$2:$A$41,0)),INDEX(Customers!$F$2:$F$41,MATCH(C42,Customers!$A$2:$A$41,0)))</f>
        <v>0.114</v>
      </c>
      <c r="I42" s="16" t="n">
        <f aca="false">F42*G42</f>
        <v>108003</v>
      </c>
      <c r="J42" s="16" t="n">
        <f aca="false">I42*(1-H42)</f>
        <v>95690.658</v>
      </c>
      <c r="K42" s="16" t="n">
        <f aca="false">J42*INDEX(Customers!$G$2:$G$41,MATCH(C42,Customers!$A$2:$A$41,0))</f>
        <v>0</v>
      </c>
      <c r="L42" s="16" t="n">
        <f aca="false">F42*INDEX(Customers!$H$2:$H$41,MATCH(C42,Customers!$A$2:$A$41,0))</f>
        <v>7784</v>
      </c>
      <c r="M42" s="16" t="n">
        <f aca="false">J42*INDEX(Customers!$I$2:$I$41,MATCH(C42,Customers!$A$2:$A$41,0))/365*Assumptions!$B$6</f>
        <v>1258.39769424658</v>
      </c>
      <c r="N42" s="16" t="n">
        <f aca="false">J42-K42-L42-M42</f>
        <v>86648.2603057534</v>
      </c>
      <c r="O42" s="16" t="n">
        <f aca="false">F42*IF(A42="2025",INDEX(Products!$D$2:$D$13,MATCH(D42,Products!$A$2:$A$13,0)),INDEX(Products!$F$2:$F$13,MATCH(D42,Products!$A$2:$A$13,0)))</f>
        <v>68721.6</v>
      </c>
      <c r="P42" s="16" t="n">
        <f aca="false">N42-O42</f>
        <v>17926.6603057534</v>
      </c>
    </row>
    <row r="43" customFormat="false" ht="15" hidden="false" customHeight="false" outlineLevel="0" collapsed="false">
      <c r="A43" s="2" t="s">
        <v>119</v>
      </c>
      <c r="B43" s="2" t="n">
        <v>6</v>
      </c>
      <c r="C43" s="2" t="s">
        <v>59</v>
      </c>
      <c r="D43" s="2" t="s">
        <v>36</v>
      </c>
      <c r="E43" s="2" t="str">
        <f aca="false">INDEX(Products!$B$2:$B$13,MATCH(D43,Products!$A$2:$A$13,0))</f>
        <v>FCC</v>
      </c>
      <c r="F43" s="15" t="n">
        <v>45</v>
      </c>
      <c r="G43" s="16" t="n">
        <f aca="false">IF(A43="2025",INDEX(Products!$C$2:$C$13,MATCH(D43,Products!$A$2:$A$13,0)),INDEX(Products!$E$2:$E$13,MATCH(D43,Products!$A$2:$A$13,0)))</f>
        <v>3885</v>
      </c>
      <c r="H43" s="13" t="n">
        <f aca="false">IF(A43="2025",INDEX(Customers!$D$2:$D$41,MATCH(C43,Customers!$A$2:$A$41,0)),INDEX(Customers!$F$2:$F$41,MATCH(C43,Customers!$A$2:$A$41,0)))</f>
        <v>0.114</v>
      </c>
      <c r="I43" s="16" t="n">
        <f aca="false">F43*G43</f>
        <v>174825</v>
      </c>
      <c r="J43" s="16" t="n">
        <f aca="false">I43*(1-H43)</f>
        <v>154894.95</v>
      </c>
      <c r="K43" s="16" t="n">
        <f aca="false">J43*INDEX(Customers!$G$2:$G$41,MATCH(C43,Customers!$A$2:$A$41,0))</f>
        <v>0</v>
      </c>
      <c r="L43" s="16" t="n">
        <f aca="false">F43*INDEX(Customers!$H$2:$H$41,MATCH(C43,Customers!$A$2:$A$41,0))</f>
        <v>12600</v>
      </c>
      <c r="M43" s="16" t="n">
        <f aca="false">J43*INDEX(Customers!$I$2:$I$41,MATCH(C43,Customers!$A$2:$A$41,0))/365*Assumptions!$B$6</f>
        <v>2036.97468493151</v>
      </c>
      <c r="N43" s="16" t="n">
        <f aca="false">J43-K43-L43-M43</f>
        <v>140257.975315069</v>
      </c>
      <c r="O43" s="16" t="n">
        <f aca="false">F43*IF(A43="2025",INDEX(Products!$D$2:$D$13,MATCH(D43,Products!$A$2:$A$13,0)),INDEX(Products!$F$2:$F$13,MATCH(D43,Products!$A$2:$A$13,0)))</f>
        <v>111240</v>
      </c>
      <c r="P43" s="16" t="n">
        <f aca="false">N43-O43</f>
        <v>29017.9753150685</v>
      </c>
    </row>
    <row r="44" customFormat="false" ht="15" hidden="false" customHeight="false" outlineLevel="0" collapsed="false">
      <c r="A44" s="2" t="s">
        <v>119</v>
      </c>
      <c r="B44" s="2" t="n">
        <v>7</v>
      </c>
      <c r="C44" s="2" t="s">
        <v>59</v>
      </c>
      <c r="D44" s="2" t="s">
        <v>36</v>
      </c>
      <c r="E44" s="2" t="str">
        <f aca="false">INDEX(Products!$B$2:$B$13,MATCH(D44,Products!$A$2:$A$13,0))</f>
        <v>FCC</v>
      </c>
      <c r="F44" s="15" t="n">
        <v>40.4</v>
      </c>
      <c r="G44" s="16" t="n">
        <f aca="false">IF(A44="2025",INDEX(Products!$C$2:$C$13,MATCH(D44,Products!$A$2:$A$13,0)),INDEX(Products!$E$2:$E$13,MATCH(D44,Products!$A$2:$A$13,0)))</f>
        <v>3885</v>
      </c>
      <c r="H44" s="13" t="n">
        <f aca="false">IF(A44="2025",INDEX(Customers!$D$2:$D$41,MATCH(C44,Customers!$A$2:$A$41,0)),INDEX(Customers!$F$2:$F$41,MATCH(C44,Customers!$A$2:$A$41,0)))</f>
        <v>0.114</v>
      </c>
      <c r="I44" s="16" t="n">
        <f aca="false">F44*G44</f>
        <v>156954</v>
      </c>
      <c r="J44" s="16" t="n">
        <f aca="false">I44*(1-H44)</f>
        <v>139061.244</v>
      </c>
      <c r="K44" s="16" t="n">
        <f aca="false">J44*INDEX(Customers!$G$2:$G$41,MATCH(C44,Customers!$A$2:$A$41,0))</f>
        <v>0</v>
      </c>
      <c r="L44" s="16" t="n">
        <f aca="false">F44*INDEX(Customers!$H$2:$H$41,MATCH(C44,Customers!$A$2:$A$41,0))</f>
        <v>11312</v>
      </c>
      <c r="M44" s="16" t="n">
        <f aca="false">J44*INDEX(Customers!$I$2:$I$41,MATCH(C44,Customers!$A$2:$A$41,0))/365*Assumptions!$B$6</f>
        <v>1828.7506060274</v>
      </c>
      <c r="N44" s="16" t="n">
        <f aca="false">J44-K44-L44-M44</f>
        <v>125920.493393973</v>
      </c>
      <c r="O44" s="16" t="n">
        <f aca="false">F44*IF(A44="2025",INDEX(Products!$D$2:$D$13,MATCH(D44,Products!$A$2:$A$13,0)),INDEX(Products!$F$2:$F$13,MATCH(D44,Products!$A$2:$A$13,0)))</f>
        <v>99868.8</v>
      </c>
      <c r="P44" s="16" t="n">
        <f aca="false">N44-O44</f>
        <v>26051.6933939726</v>
      </c>
    </row>
    <row r="45" customFormat="false" ht="15" hidden="false" customHeight="false" outlineLevel="0" collapsed="false">
      <c r="A45" s="2" t="s">
        <v>119</v>
      </c>
      <c r="B45" s="2" t="n">
        <v>8</v>
      </c>
      <c r="C45" s="2" t="s">
        <v>59</v>
      </c>
      <c r="D45" s="2" t="s">
        <v>36</v>
      </c>
      <c r="E45" s="2" t="str">
        <f aca="false">INDEX(Products!$B$2:$B$13,MATCH(D45,Products!$A$2:$A$13,0))</f>
        <v>FCC</v>
      </c>
      <c r="F45" s="15" t="n">
        <v>29.2</v>
      </c>
      <c r="G45" s="16" t="n">
        <f aca="false">IF(A45="2025",INDEX(Products!$C$2:$C$13,MATCH(D45,Products!$A$2:$A$13,0)),INDEX(Products!$E$2:$E$13,MATCH(D45,Products!$A$2:$A$13,0)))</f>
        <v>3885</v>
      </c>
      <c r="H45" s="13" t="n">
        <f aca="false">IF(A45="2025",INDEX(Customers!$D$2:$D$41,MATCH(C45,Customers!$A$2:$A$41,0)),INDEX(Customers!$F$2:$F$41,MATCH(C45,Customers!$A$2:$A$41,0)))</f>
        <v>0.114</v>
      </c>
      <c r="I45" s="16" t="n">
        <f aca="false">F45*G45</f>
        <v>113442</v>
      </c>
      <c r="J45" s="16" t="n">
        <f aca="false">I45*(1-H45)</f>
        <v>100509.612</v>
      </c>
      <c r="K45" s="16" t="n">
        <f aca="false">J45*INDEX(Customers!$G$2:$G$41,MATCH(C45,Customers!$A$2:$A$41,0))</f>
        <v>0</v>
      </c>
      <c r="L45" s="16" t="n">
        <f aca="false">F45*INDEX(Customers!$H$2:$H$41,MATCH(C45,Customers!$A$2:$A$41,0))</f>
        <v>8176</v>
      </c>
      <c r="M45" s="16" t="n">
        <f aca="false">J45*INDEX(Customers!$I$2:$I$41,MATCH(C45,Customers!$A$2:$A$41,0))/365*Assumptions!$B$6</f>
        <v>1321.77024</v>
      </c>
      <c r="N45" s="16" t="n">
        <f aca="false">J45-K45-L45-M45</f>
        <v>91011.84176</v>
      </c>
      <c r="O45" s="16" t="n">
        <f aca="false">F45*IF(A45="2025",INDEX(Products!$D$2:$D$13,MATCH(D45,Products!$A$2:$A$13,0)),INDEX(Products!$F$2:$F$13,MATCH(D45,Products!$A$2:$A$13,0)))</f>
        <v>72182.4</v>
      </c>
      <c r="P45" s="16" t="n">
        <f aca="false">N45-O45</f>
        <v>18829.44176</v>
      </c>
    </row>
    <row r="46" customFormat="false" ht="15" hidden="false" customHeight="false" outlineLevel="0" collapsed="false">
      <c r="A46" s="2" t="s">
        <v>119</v>
      </c>
      <c r="B46" s="2" t="n">
        <v>9</v>
      </c>
      <c r="C46" s="2" t="s">
        <v>59</v>
      </c>
      <c r="D46" s="2" t="s">
        <v>36</v>
      </c>
      <c r="E46" s="2" t="str">
        <f aca="false">INDEX(Products!$B$2:$B$13,MATCH(D46,Products!$A$2:$A$13,0))</f>
        <v>FCC</v>
      </c>
      <c r="F46" s="15" t="n">
        <v>40.6</v>
      </c>
      <c r="G46" s="16" t="n">
        <f aca="false">IF(A46="2025",INDEX(Products!$C$2:$C$13,MATCH(D46,Products!$A$2:$A$13,0)),INDEX(Products!$E$2:$E$13,MATCH(D46,Products!$A$2:$A$13,0)))</f>
        <v>3885</v>
      </c>
      <c r="H46" s="13" t="n">
        <f aca="false">IF(A46="2025",INDEX(Customers!$D$2:$D$41,MATCH(C46,Customers!$A$2:$A$41,0)),INDEX(Customers!$F$2:$F$41,MATCH(C46,Customers!$A$2:$A$41,0)))</f>
        <v>0.114</v>
      </c>
      <c r="I46" s="16" t="n">
        <f aca="false">F46*G46</f>
        <v>157731</v>
      </c>
      <c r="J46" s="16" t="n">
        <f aca="false">I46*(1-H46)</f>
        <v>139749.666</v>
      </c>
      <c r="K46" s="16" t="n">
        <f aca="false">J46*INDEX(Customers!$G$2:$G$41,MATCH(C46,Customers!$A$2:$A$41,0))</f>
        <v>0</v>
      </c>
      <c r="L46" s="16" t="n">
        <f aca="false">F46*INDEX(Customers!$H$2:$H$41,MATCH(C46,Customers!$A$2:$A$41,0))</f>
        <v>11368</v>
      </c>
      <c r="M46" s="16" t="n">
        <f aca="false">J46*INDEX(Customers!$I$2:$I$41,MATCH(C46,Customers!$A$2:$A$41,0))/365*Assumptions!$B$6</f>
        <v>1837.80382684932</v>
      </c>
      <c r="N46" s="16" t="n">
        <f aca="false">J46-K46-L46-M46</f>
        <v>126543.862173151</v>
      </c>
      <c r="O46" s="16" t="n">
        <f aca="false">F46*IF(A46="2025",INDEX(Products!$D$2:$D$13,MATCH(D46,Products!$A$2:$A$13,0)),INDEX(Products!$F$2:$F$13,MATCH(D46,Products!$A$2:$A$13,0)))</f>
        <v>100363.2</v>
      </c>
      <c r="P46" s="16" t="n">
        <f aca="false">N46-O46</f>
        <v>26180.6621731507</v>
      </c>
    </row>
    <row r="47" customFormat="false" ht="15" hidden="false" customHeight="false" outlineLevel="0" collapsed="false">
      <c r="A47" s="2" t="s">
        <v>119</v>
      </c>
      <c r="B47" s="2" t="n">
        <v>10</v>
      </c>
      <c r="C47" s="2" t="s">
        <v>59</v>
      </c>
      <c r="D47" s="2" t="s">
        <v>36</v>
      </c>
      <c r="E47" s="2" t="str">
        <f aca="false">INDEX(Products!$B$2:$B$13,MATCH(D47,Products!$A$2:$A$13,0))</f>
        <v>FCC</v>
      </c>
      <c r="F47" s="15" t="n">
        <v>27.4</v>
      </c>
      <c r="G47" s="16" t="n">
        <f aca="false">IF(A47="2025",INDEX(Products!$C$2:$C$13,MATCH(D47,Products!$A$2:$A$13,0)),INDEX(Products!$E$2:$E$13,MATCH(D47,Products!$A$2:$A$13,0)))</f>
        <v>3885</v>
      </c>
      <c r="H47" s="13" t="n">
        <f aca="false">IF(A47="2025",INDEX(Customers!$D$2:$D$41,MATCH(C47,Customers!$A$2:$A$41,0)),INDEX(Customers!$F$2:$F$41,MATCH(C47,Customers!$A$2:$A$41,0)))</f>
        <v>0.114</v>
      </c>
      <c r="I47" s="16" t="n">
        <f aca="false">F47*G47</f>
        <v>106449</v>
      </c>
      <c r="J47" s="16" t="n">
        <f aca="false">I47*(1-H47)</f>
        <v>94313.814</v>
      </c>
      <c r="K47" s="16" t="n">
        <f aca="false">J47*INDEX(Customers!$G$2:$G$41,MATCH(C47,Customers!$A$2:$A$41,0))</f>
        <v>0</v>
      </c>
      <c r="L47" s="16" t="n">
        <f aca="false">F47*INDEX(Customers!$H$2:$H$41,MATCH(C47,Customers!$A$2:$A$41,0))</f>
        <v>7672</v>
      </c>
      <c r="M47" s="16" t="n">
        <f aca="false">J47*INDEX(Customers!$I$2:$I$41,MATCH(C47,Customers!$A$2:$A$41,0))/365*Assumptions!$B$6</f>
        <v>1240.29125260274</v>
      </c>
      <c r="N47" s="16" t="n">
        <f aca="false">J47-K47-L47-M47</f>
        <v>85401.5227473973</v>
      </c>
      <c r="O47" s="16" t="n">
        <f aca="false">F47*IF(A47="2025",INDEX(Products!$D$2:$D$13,MATCH(D47,Products!$A$2:$A$13,0)),INDEX(Products!$F$2:$F$13,MATCH(D47,Products!$A$2:$A$13,0)))</f>
        <v>67732.8</v>
      </c>
      <c r="P47" s="16" t="n">
        <f aca="false">N47-O47</f>
        <v>17668.7227473973</v>
      </c>
    </row>
    <row r="48" customFormat="false" ht="15" hidden="false" customHeight="false" outlineLevel="0" collapsed="false">
      <c r="A48" s="2" t="s">
        <v>119</v>
      </c>
      <c r="B48" s="2" t="n">
        <v>11</v>
      </c>
      <c r="C48" s="2" t="s">
        <v>59</v>
      </c>
      <c r="D48" s="2" t="s">
        <v>36</v>
      </c>
      <c r="E48" s="2" t="str">
        <f aca="false">INDEX(Products!$B$2:$B$13,MATCH(D48,Products!$A$2:$A$13,0))</f>
        <v>FCC</v>
      </c>
      <c r="F48" s="15" t="n">
        <v>37.8</v>
      </c>
      <c r="G48" s="16" t="n">
        <f aca="false">IF(A48="2025",INDEX(Products!$C$2:$C$13,MATCH(D48,Products!$A$2:$A$13,0)),INDEX(Products!$E$2:$E$13,MATCH(D48,Products!$A$2:$A$13,0)))</f>
        <v>3885</v>
      </c>
      <c r="H48" s="13" t="n">
        <f aca="false">IF(A48="2025",INDEX(Customers!$D$2:$D$41,MATCH(C48,Customers!$A$2:$A$41,0)),INDEX(Customers!$F$2:$F$41,MATCH(C48,Customers!$A$2:$A$41,0)))</f>
        <v>0.114</v>
      </c>
      <c r="I48" s="16" t="n">
        <f aca="false">F48*G48</f>
        <v>146853</v>
      </c>
      <c r="J48" s="16" t="n">
        <f aca="false">I48*(1-H48)</f>
        <v>130111.758</v>
      </c>
      <c r="K48" s="16" t="n">
        <f aca="false">J48*INDEX(Customers!$G$2:$G$41,MATCH(C48,Customers!$A$2:$A$41,0))</f>
        <v>0</v>
      </c>
      <c r="L48" s="16" t="n">
        <f aca="false">F48*INDEX(Customers!$H$2:$H$41,MATCH(C48,Customers!$A$2:$A$41,0))</f>
        <v>10584</v>
      </c>
      <c r="M48" s="16" t="n">
        <f aca="false">J48*INDEX(Customers!$I$2:$I$41,MATCH(C48,Customers!$A$2:$A$41,0))/365*Assumptions!$B$6</f>
        <v>1711.05873534247</v>
      </c>
      <c r="N48" s="16" t="n">
        <f aca="false">J48-K48-L48-M48</f>
        <v>117816.699264658</v>
      </c>
      <c r="O48" s="16" t="n">
        <f aca="false">F48*IF(A48="2025",INDEX(Products!$D$2:$D$13,MATCH(D48,Products!$A$2:$A$13,0)),INDEX(Products!$F$2:$F$13,MATCH(D48,Products!$A$2:$A$13,0)))</f>
        <v>93441.6</v>
      </c>
      <c r="P48" s="16" t="n">
        <f aca="false">N48-O48</f>
        <v>24375.0992646575</v>
      </c>
    </row>
    <row r="49" customFormat="false" ht="15" hidden="false" customHeight="false" outlineLevel="0" collapsed="false">
      <c r="A49" s="2" t="s">
        <v>119</v>
      </c>
      <c r="B49" s="2" t="n">
        <v>12</v>
      </c>
      <c r="C49" s="2" t="s">
        <v>59</v>
      </c>
      <c r="D49" s="2" t="s">
        <v>36</v>
      </c>
      <c r="E49" s="2" t="str">
        <f aca="false">INDEX(Products!$B$2:$B$13,MATCH(D49,Products!$A$2:$A$13,0))</f>
        <v>FCC</v>
      </c>
      <c r="F49" s="15" t="n">
        <v>41.6</v>
      </c>
      <c r="G49" s="16" t="n">
        <f aca="false">IF(A49="2025",INDEX(Products!$C$2:$C$13,MATCH(D49,Products!$A$2:$A$13,0)),INDEX(Products!$E$2:$E$13,MATCH(D49,Products!$A$2:$A$13,0)))</f>
        <v>3885</v>
      </c>
      <c r="H49" s="13" t="n">
        <f aca="false">IF(A49="2025",INDEX(Customers!$D$2:$D$41,MATCH(C49,Customers!$A$2:$A$41,0)),INDEX(Customers!$F$2:$F$41,MATCH(C49,Customers!$A$2:$A$41,0)))</f>
        <v>0.114</v>
      </c>
      <c r="I49" s="16" t="n">
        <f aca="false">F49*G49</f>
        <v>161616</v>
      </c>
      <c r="J49" s="16" t="n">
        <f aca="false">I49*(1-H49)</f>
        <v>143191.776</v>
      </c>
      <c r="K49" s="16" t="n">
        <f aca="false">J49*INDEX(Customers!$G$2:$G$41,MATCH(C49,Customers!$A$2:$A$41,0))</f>
        <v>0</v>
      </c>
      <c r="L49" s="16" t="n">
        <f aca="false">F49*INDEX(Customers!$H$2:$H$41,MATCH(C49,Customers!$A$2:$A$41,0))</f>
        <v>11648</v>
      </c>
      <c r="M49" s="16" t="n">
        <f aca="false">J49*INDEX(Customers!$I$2:$I$41,MATCH(C49,Customers!$A$2:$A$41,0))/365*Assumptions!$B$6</f>
        <v>1883.0699309589</v>
      </c>
      <c r="N49" s="16" t="n">
        <f aca="false">J49-K49-L49-M49</f>
        <v>129660.706069041</v>
      </c>
      <c r="O49" s="16" t="n">
        <f aca="false">F49*IF(A49="2025",INDEX(Products!$D$2:$D$13,MATCH(D49,Products!$A$2:$A$13,0)),INDEX(Products!$F$2:$F$13,MATCH(D49,Products!$A$2:$A$13,0)))</f>
        <v>102835.2</v>
      </c>
      <c r="P49" s="16" t="n">
        <f aca="false">N49-O49</f>
        <v>26825.5060690411</v>
      </c>
    </row>
    <row r="50" customFormat="false" ht="15" hidden="false" customHeight="false" outlineLevel="0" collapsed="false">
      <c r="A50" s="2" t="s">
        <v>118</v>
      </c>
      <c r="B50" s="2" t="n">
        <v>1</v>
      </c>
      <c r="C50" s="2" t="s">
        <v>59</v>
      </c>
      <c r="D50" s="2" t="s">
        <v>46</v>
      </c>
      <c r="E50" s="2" t="str">
        <f aca="false">INDEX(Products!$B$2:$B$13,MATCH(D50,Products!$A$2:$A$13,0))</f>
        <v>Specialty</v>
      </c>
      <c r="F50" s="15" t="n">
        <v>13.5</v>
      </c>
      <c r="G50" s="16" t="n">
        <f aca="false">IF(A50="2025",INDEX(Products!$C$2:$C$13,MATCH(D50,Products!$A$2:$A$13,0)),INDEX(Products!$E$2:$E$13,MATCH(D50,Products!$A$2:$A$13,0)))</f>
        <v>25560</v>
      </c>
      <c r="H50" s="13" t="n">
        <f aca="false">IF(A50="2025",INDEX(Customers!$D$2:$D$41,MATCH(C50,Customers!$A$2:$A$41,0)),INDEX(Customers!$F$2:$F$41,MATCH(C50,Customers!$A$2:$A$41,0)))</f>
        <v>0.072</v>
      </c>
      <c r="I50" s="16" t="n">
        <f aca="false">F50*G50</f>
        <v>345060</v>
      </c>
      <c r="J50" s="16" t="n">
        <f aca="false">I50*(1-H50)</f>
        <v>320215.68</v>
      </c>
      <c r="K50" s="16" t="n">
        <f aca="false">J50*INDEX(Customers!$G$2:$G$41,MATCH(C50,Customers!$A$2:$A$41,0))</f>
        <v>0</v>
      </c>
      <c r="L50" s="16" t="n">
        <f aca="false">F50*INDEX(Customers!$H$2:$H$41,MATCH(C50,Customers!$A$2:$A$41,0))</f>
        <v>3780</v>
      </c>
      <c r="M50" s="16" t="n">
        <f aca="false">J50*INDEX(Customers!$I$2:$I$41,MATCH(C50,Customers!$A$2:$A$41,0))/365*Assumptions!$B$6</f>
        <v>4211.05551780822</v>
      </c>
      <c r="N50" s="16" t="n">
        <f aca="false">J50-K50-L50-M50</f>
        <v>312224.624482192</v>
      </c>
      <c r="O50" s="16" t="n">
        <f aca="false">F50*IF(A50="2025",INDEX(Products!$D$2:$D$13,MATCH(D50,Products!$A$2:$A$13,0)),INDEX(Products!$F$2:$F$13,MATCH(D50,Products!$A$2:$A$13,0)))</f>
        <v>165375</v>
      </c>
      <c r="P50" s="16" t="n">
        <f aca="false">N50-O50</f>
        <v>146849.624482192</v>
      </c>
    </row>
    <row r="51" customFormat="false" ht="15" hidden="false" customHeight="false" outlineLevel="0" collapsed="false">
      <c r="A51" s="2" t="s">
        <v>118</v>
      </c>
      <c r="B51" s="2" t="n">
        <v>2</v>
      </c>
      <c r="C51" s="2" t="s">
        <v>59</v>
      </c>
      <c r="D51" s="2" t="s">
        <v>46</v>
      </c>
      <c r="E51" s="2" t="str">
        <f aca="false">INDEX(Products!$B$2:$B$13,MATCH(D51,Products!$A$2:$A$13,0))</f>
        <v>Specialty</v>
      </c>
      <c r="F51" s="15" t="n">
        <v>10</v>
      </c>
      <c r="G51" s="16" t="n">
        <f aca="false">IF(A51="2025",INDEX(Products!$C$2:$C$13,MATCH(D51,Products!$A$2:$A$13,0)),INDEX(Products!$E$2:$E$13,MATCH(D51,Products!$A$2:$A$13,0)))</f>
        <v>25560</v>
      </c>
      <c r="H51" s="13" t="n">
        <f aca="false">IF(A51="2025",INDEX(Customers!$D$2:$D$41,MATCH(C51,Customers!$A$2:$A$41,0)),INDEX(Customers!$F$2:$F$41,MATCH(C51,Customers!$A$2:$A$41,0)))</f>
        <v>0.072</v>
      </c>
      <c r="I51" s="16" t="n">
        <f aca="false">F51*G51</f>
        <v>255600</v>
      </c>
      <c r="J51" s="16" t="n">
        <f aca="false">I51*(1-H51)</f>
        <v>237196.8</v>
      </c>
      <c r="K51" s="16" t="n">
        <f aca="false">J51*INDEX(Customers!$G$2:$G$41,MATCH(C51,Customers!$A$2:$A$41,0))</f>
        <v>0</v>
      </c>
      <c r="L51" s="16" t="n">
        <f aca="false">F51*INDEX(Customers!$H$2:$H$41,MATCH(C51,Customers!$A$2:$A$41,0))</f>
        <v>2800</v>
      </c>
      <c r="M51" s="16" t="n">
        <f aca="false">J51*INDEX(Customers!$I$2:$I$41,MATCH(C51,Customers!$A$2:$A$41,0))/365*Assumptions!$B$6</f>
        <v>3119.30038356164</v>
      </c>
      <c r="N51" s="16" t="n">
        <f aca="false">J51-K51-L51-M51</f>
        <v>231277.499616438</v>
      </c>
      <c r="O51" s="16" t="n">
        <f aca="false">F51*IF(A51="2025",INDEX(Products!$D$2:$D$13,MATCH(D51,Products!$A$2:$A$13,0)),INDEX(Products!$F$2:$F$13,MATCH(D51,Products!$A$2:$A$13,0)))</f>
        <v>122500</v>
      </c>
      <c r="P51" s="16" t="n">
        <f aca="false">N51-O51</f>
        <v>108777.499616438</v>
      </c>
    </row>
    <row r="52" customFormat="false" ht="15" hidden="false" customHeight="false" outlineLevel="0" collapsed="false">
      <c r="A52" s="2" t="s">
        <v>118</v>
      </c>
      <c r="B52" s="2" t="n">
        <v>3</v>
      </c>
      <c r="C52" s="2" t="s">
        <v>59</v>
      </c>
      <c r="D52" s="2" t="s">
        <v>46</v>
      </c>
      <c r="E52" s="2" t="str">
        <f aca="false">INDEX(Products!$B$2:$B$13,MATCH(D52,Products!$A$2:$A$13,0))</f>
        <v>Specialty</v>
      </c>
      <c r="F52" s="15" t="n">
        <v>9.6</v>
      </c>
      <c r="G52" s="16" t="n">
        <f aca="false">IF(A52="2025",INDEX(Products!$C$2:$C$13,MATCH(D52,Products!$A$2:$A$13,0)),INDEX(Products!$E$2:$E$13,MATCH(D52,Products!$A$2:$A$13,0)))</f>
        <v>25560</v>
      </c>
      <c r="H52" s="13" t="n">
        <f aca="false">IF(A52="2025",INDEX(Customers!$D$2:$D$41,MATCH(C52,Customers!$A$2:$A$41,0)),INDEX(Customers!$F$2:$F$41,MATCH(C52,Customers!$A$2:$A$41,0)))</f>
        <v>0.072</v>
      </c>
      <c r="I52" s="16" t="n">
        <f aca="false">F52*G52</f>
        <v>245376</v>
      </c>
      <c r="J52" s="16" t="n">
        <f aca="false">I52*(1-H52)</f>
        <v>227708.928</v>
      </c>
      <c r="K52" s="16" t="n">
        <f aca="false">J52*INDEX(Customers!$G$2:$G$41,MATCH(C52,Customers!$A$2:$A$41,0))</f>
        <v>0</v>
      </c>
      <c r="L52" s="16" t="n">
        <f aca="false">F52*INDEX(Customers!$H$2:$H$41,MATCH(C52,Customers!$A$2:$A$41,0))</f>
        <v>2688</v>
      </c>
      <c r="M52" s="16" t="n">
        <f aca="false">J52*INDEX(Customers!$I$2:$I$41,MATCH(C52,Customers!$A$2:$A$41,0))/365*Assumptions!$B$6</f>
        <v>2994.52836821918</v>
      </c>
      <c r="N52" s="16" t="n">
        <f aca="false">J52-K52-L52-M52</f>
        <v>222026.399631781</v>
      </c>
      <c r="O52" s="16" t="n">
        <f aca="false">F52*IF(A52="2025",INDEX(Products!$D$2:$D$13,MATCH(D52,Products!$A$2:$A$13,0)),INDEX(Products!$F$2:$F$13,MATCH(D52,Products!$A$2:$A$13,0)))</f>
        <v>117600</v>
      </c>
      <c r="P52" s="16" t="n">
        <f aca="false">N52-O52</f>
        <v>104426.399631781</v>
      </c>
    </row>
    <row r="53" customFormat="false" ht="15" hidden="false" customHeight="false" outlineLevel="0" collapsed="false">
      <c r="A53" s="2" t="s">
        <v>118</v>
      </c>
      <c r="B53" s="2" t="n">
        <v>4</v>
      </c>
      <c r="C53" s="2" t="s">
        <v>59</v>
      </c>
      <c r="D53" s="2" t="s">
        <v>46</v>
      </c>
      <c r="E53" s="2" t="str">
        <f aca="false">INDEX(Products!$B$2:$B$13,MATCH(D53,Products!$A$2:$A$13,0))</f>
        <v>Specialty</v>
      </c>
      <c r="F53" s="15" t="n">
        <v>10.3</v>
      </c>
      <c r="G53" s="16" t="n">
        <f aca="false">IF(A53="2025",INDEX(Products!$C$2:$C$13,MATCH(D53,Products!$A$2:$A$13,0)),INDEX(Products!$E$2:$E$13,MATCH(D53,Products!$A$2:$A$13,0)))</f>
        <v>25560</v>
      </c>
      <c r="H53" s="13" t="n">
        <f aca="false">IF(A53="2025",INDEX(Customers!$D$2:$D$41,MATCH(C53,Customers!$A$2:$A$41,0)),INDEX(Customers!$F$2:$F$41,MATCH(C53,Customers!$A$2:$A$41,0)))</f>
        <v>0.072</v>
      </c>
      <c r="I53" s="16" t="n">
        <f aca="false">F53*G53</f>
        <v>263268</v>
      </c>
      <c r="J53" s="16" t="n">
        <f aca="false">I53*(1-H53)</f>
        <v>244312.704</v>
      </c>
      <c r="K53" s="16" t="n">
        <f aca="false">J53*INDEX(Customers!$G$2:$G$41,MATCH(C53,Customers!$A$2:$A$41,0))</f>
        <v>0</v>
      </c>
      <c r="L53" s="16" t="n">
        <f aca="false">F53*INDEX(Customers!$H$2:$H$41,MATCH(C53,Customers!$A$2:$A$41,0))</f>
        <v>2884</v>
      </c>
      <c r="M53" s="16" t="n">
        <f aca="false">J53*INDEX(Customers!$I$2:$I$41,MATCH(C53,Customers!$A$2:$A$41,0))/365*Assumptions!$B$6</f>
        <v>3212.87939506849</v>
      </c>
      <c r="N53" s="16" t="n">
        <f aca="false">J53-K53-L53-M53</f>
        <v>238215.824604932</v>
      </c>
      <c r="O53" s="16" t="n">
        <f aca="false">F53*IF(A53="2025",INDEX(Products!$D$2:$D$13,MATCH(D53,Products!$A$2:$A$13,0)),INDEX(Products!$F$2:$F$13,MATCH(D53,Products!$A$2:$A$13,0)))</f>
        <v>126175</v>
      </c>
      <c r="P53" s="16" t="n">
        <f aca="false">N53-O53</f>
        <v>112040.824604931</v>
      </c>
    </row>
    <row r="54" customFormat="false" ht="15" hidden="false" customHeight="false" outlineLevel="0" collapsed="false">
      <c r="A54" s="2" t="s">
        <v>118</v>
      </c>
      <c r="B54" s="2" t="n">
        <v>5</v>
      </c>
      <c r="C54" s="2" t="s">
        <v>59</v>
      </c>
      <c r="D54" s="2" t="s">
        <v>46</v>
      </c>
      <c r="E54" s="2" t="str">
        <f aca="false">INDEX(Products!$B$2:$B$13,MATCH(D54,Products!$A$2:$A$13,0))</f>
        <v>Specialty</v>
      </c>
      <c r="F54" s="15" t="n">
        <v>8.4</v>
      </c>
      <c r="G54" s="16" t="n">
        <f aca="false">IF(A54="2025",INDEX(Products!$C$2:$C$13,MATCH(D54,Products!$A$2:$A$13,0)),INDEX(Products!$E$2:$E$13,MATCH(D54,Products!$A$2:$A$13,0)))</f>
        <v>25560</v>
      </c>
      <c r="H54" s="13" t="n">
        <f aca="false">IF(A54="2025",INDEX(Customers!$D$2:$D$41,MATCH(C54,Customers!$A$2:$A$41,0)),INDEX(Customers!$F$2:$F$41,MATCH(C54,Customers!$A$2:$A$41,0)))</f>
        <v>0.072</v>
      </c>
      <c r="I54" s="16" t="n">
        <f aca="false">F54*G54</f>
        <v>214704</v>
      </c>
      <c r="J54" s="16" t="n">
        <f aca="false">I54*(1-H54)</f>
        <v>199245.312</v>
      </c>
      <c r="K54" s="16" t="n">
        <f aca="false">J54*INDEX(Customers!$G$2:$G$41,MATCH(C54,Customers!$A$2:$A$41,0))</f>
        <v>0</v>
      </c>
      <c r="L54" s="16" t="n">
        <f aca="false">F54*INDEX(Customers!$H$2:$H$41,MATCH(C54,Customers!$A$2:$A$41,0))</f>
        <v>2352</v>
      </c>
      <c r="M54" s="16" t="n">
        <f aca="false">J54*INDEX(Customers!$I$2:$I$41,MATCH(C54,Customers!$A$2:$A$41,0))/365*Assumptions!$B$6</f>
        <v>2620.21232219178</v>
      </c>
      <c r="N54" s="16" t="n">
        <f aca="false">J54-K54-L54-M54</f>
        <v>194273.099677808</v>
      </c>
      <c r="O54" s="16" t="n">
        <f aca="false">F54*IF(A54="2025",INDEX(Products!$D$2:$D$13,MATCH(D54,Products!$A$2:$A$13,0)),INDEX(Products!$F$2:$F$13,MATCH(D54,Products!$A$2:$A$13,0)))</f>
        <v>102900</v>
      </c>
      <c r="P54" s="16" t="n">
        <f aca="false">N54-O54</f>
        <v>91373.0996778082</v>
      </c>
    </row>
    <row r="55" customFormat="false" ht="15" hidden="false" customHeight="false" outlineLevel="0" collapsed="false">
      <c r="A55" s="2" t="s">
        <v>118</v>
      </c>
      <c r="B55" s="2" t="n">
        <v>6</v>
      </c>
      <c r="C55" s="2" t="s">
        <v>59</v>
      </c>
      <c r="D55" s="2" t="s">
        <v>46</v>
      </c>
      <c r="E55" s="2" t="str">
        <f aca="false">INDEX(Products!$B$2:$B$13,MATCH(D55,Products!$A$2:$A$13,0))</f>
        <v>Specialty</v>
      </c>
      <c r="F55" s="15" t="n">
        <v>14.4</v>
      </c>
      <c r="G55" s="16" t="n">
        <f aca="false">IF(A55="2025",INDEX(Products!$C$2:$C$13,MATCH(D55,Products!$A$2:$A$13,0)),INDEX(Products!$E$2:$E$13,MATCH(D55,Products!$A$2:$A$13,0)))</f>
        <v>25560</v>
      </c>
      <c r="H55" s="13" t="n">
        <f aca="false">IF(A55="2025",INDEX(Customers!$D$2:$D$41,MATCH(C55,Customers!$A$2:$A$41,0)),INDEX(Customers!$F$2:$F$41,MATCH(C55,Customers!$A$2:$A$41,0)))</f>
        <v>0.072</v>
      </c>
      <c r="I55" s="16" t="n">
        <f aca="false">F55*G55</f>
        <v>368064</v>
      </c>
      <c r="J55" s="16" t="n">
        <f aca="false">I55*(1-H55)</f>
        <v>341563.392</v>
      </c>
      <c r="K55" s="16" t="n">
        <f aca="false">J55*INDEX(Customers!$G$2:$G$41,MATCH(C55,Customers!$A$2:$A$41,0))</f>
        <v>0</v>
      </c>
      <c r="L55" s="16" t="n">
        <f aca="false">F55*INDEX(Customers!$H$2:$H$41,MATCH(C55,Customers!$A$2:$A$41,0))</f>
        <v>4032</v>
      </c>
      <c r="M55" s="16" t="n">
        <f aca="false">J55*INDEX(Customers!$I$2:$I$41,MATCH(C55,Customers!$A$2:$A$41,0))/365*Assumptions!$B$6</f>
        <v>4491.79255232877</v>
      </c>
      <c r="N55" s="16" t="n">
        <f aca="false">J55-K55-L55-M55</f>
        <v>333039.599447671</v>
      </c>
      <c r="O55" s="16" t="n">
        <f aca="false">F55*IF(A55="2025",INDEX(Products!$D$2:$D$13,MATCH(D55,Products!$A$2:$A$13,0)),INDEX(Products!$F$2:$F$13,MATCH(D55,Products!$A$2:$A$13,0)))</f>
        <v>176400</v>
      </c>
      <c r="P55" s="16" t="n">
        <f aca="false">N55-O55</f>
        <v>156639.599447671</v>
      </c>
    </row>
    <row r="56" customFormat="false" ht="15" hidden="false" customHeight="false" outlineLevel="0" collapsed="false">
      <c r="A56" s="2" t="s">
        <v>118</v>
      </c>
      <c r="B56" s="2" t="n">
        <v>7</v>
      </c>
      <c r="C56" s="2" t="s">
        <v>59</v>
      </c>
      <c r="D56" s="2" t="s">
        <v>46</v>
      </c>
      <c r="E56" s="2" t="str">
        <f aca="false">INDEX(Products!$B$2:$B$13,MATCH(D56,Products!$A$2:$A$13,0))</f>
        <v>Specialty</v>
      </c>
      <c r="F56" s="15" t="n">
        <v>14.1</v>
      </c>
      <c r="G56" s="16" t="n">
        <f aca="false">IF(A56="2025",INDEX(Products!$C$2:$C$13,MATCH(D56,Products!$A$2:$A$13,0)),INDEX(Products!$E$2:$E$13,MATCH(D56,Products!$A$2:$A$13,0)))</f>
        <v>25560</v>
      </c>
      <c r="H56" s="13" t="n">
        <f aca="false">IF(A56="2025",INDEX(Customers!$D$2:$D$41,MATCH(C56,Customers!$A$2:$A$41,0)),INDEX(Customers!$F$2:$F$41,MATCH(C56,Customers!$A$2:$A$41,0)))</f>
        <v>0.072</v>
      </c>
      <c r="I56" s="16" t="n">
        <f aca="false">F56*G56</f>
        <v>360396</v>
      </c>
      <c r="J56" s="16" t="n">
        <f aca="false">I56*(1-H56)</f>
        <v>334447.488</v>
      </c>
      <c r="K56" s="16" t="n">
        <f aca="false">J56*INDEX(Customers!$G$2:$G$41,MATCH(C56,Customers!$A$2:$A$41,0))</f>
        <v>0</v>
      </c>
      <c r="L56" s="16" t="n">
        <f aca="false">F56*INDEX(Customers!$H$2:$H$41,MATCH(C56,Customers!$A$2:$A$41,0))</f>
        <v>3948</v>
      </c>
      <c r="M56" s="16" t="n">
        <f aca="false">J56*INDEX(Customers!$I$2:$I$41,MATCH(C56,Customers!$A$2:$A$41,0))/365*Assumptions!$B$6</f>
        <v>4398.21354082192</v>
      </c>
      <c r="N56" s="16" t="n">
        <f aca="false">J56-K56-L56-M56</f>
        <v>326101.274459178</v>
      </c>
      <c r="O56" s="16" t="n">
        <f aca="false">F56*IF(A56="2025",INDEX(Products!$D$2:$D$13,MATCH(D56,Products!$A$2:$A$13,0)),INDEX(Products!$F$2:$F$13,MATCH(D56,Products!$A$2:$A$13,0)))</f>
        <v>172725</v>
      </c>
      <c r="P56" s="16" t="n">
        <f aca="false">N56-O56</f>
        <v>153376.274459178</v>
      </c>
    </row>
    <row r="57" customFormat="false" ht="15" hidden="false" customHeight="false" outlineLevel="0" collapsed="false">
      <c r="A57" s="2" t="s">
        <v>118</v>
      </c>
      <c r="B57" s="2" t="n">
        <v>8</v>
      </c>
      <c r="C57" s="2" t="s">
        <v>59</v>
      </c>
      <c r="D57" s="2" t="s">
        <v>46</v>
      </c>
      <c r="E57" s="2" t="str">
        <f aca="false">INDEX(Products!$B$2:$B$13,MATCH(D57,Products!$A$2:$A$13,0))</f>
        <v>Specialty</v>
      </c>
      <c r="F57" s="15" t="n">
        <v>12.1</v>
      </c>
      <c r="G57" s="16" t="n">
        <f aca="false">IF(A57="2025",INDEX(Products!$C$2:$C$13,MATCH(D57,Products!$A$2:$A$13,0)),INDEX(Products!$E$2:$E$13,MATCH(D57,Products!$A$2:$A$13,0)))</f>
        <v>25560</v>
      </c>
      <c r="H57" s="13" t="n">
        <f aca="false">IF(A57="2025",INDEX(Customers!$D$2:$D$41,MATCH(C57,Customers!$A$2:$A$41,0)),INDEX(Customers!$F$2:$F$41,MATCH(C57,Customers!$A$2:$A$41,0)))</f>
        <v>0.072</v>
      </c>
      <c r="I57" s="16" t="n">
        <f aca="false">F57*G57</f>
        <v>309276</v>
      </c>
      <c r="J57" s="16" t="n">
        <f aca="false">I57*(1-H57)</f>
        <v>287008.128</v>
      </c>
      <c r="K57" s="16" t="n">
        <f aca="false">J57*INDEX(Customers!$G$2:$G$41,MATCH(C57,Customers!$A$2:$A$41,0))</f>
        <v>0</v>
      </c>
      <c r="L57" s="16" t="n">
        <f aca="false">F57*INDEX(Customers!$H$2:$H$41,MATCH(C57,Customers!$A$2:$A$41,0))</f>
        <v>3388</v>
      </c>
      <c r="M57" s="16" t="n">
        <f aca="false">J57*INDEX(Customers!$I$2:$I$41,MATCH(C57,Customers!$A$2:$A$41,0))/365*Assumptions!$B$6</f>
        <v>3774.35346410959</v>
      </c>
      <c r="N57" s="16" t="n">
        <f aca="false">J57-K57-L57-M57</f>
        <v>279845.77453589</v>
      </c>
      <c r="O57" s="16" t="n">
        <f aca="false">F57*IF(A57="2025",INDEX(Products!$D$2:$D$13,MATCH(D57,Products!$A$2:$A$13,0)),INDEX(Products!$F$2:$F$13,MATCH(D57,Products!$A$2:$A$13,0)))</f>
        <v>148225</v>
      </c>
      <c r="P57" s="16" t="n">
        <f aca="false">N57-O57</f>
        <v>131620.77453589</v>
      </c>
    </row>
    <row r="58" customFormat="false" ht="15" hidden="false" customHeight="false" outlineLevel="0" collapsed="false">
      <c r="A58" s="2" t="s">
        <v>118</v>
      </c>
      <c r="B58" s="2" t="n">
        <v>9</v>
      </c>
      <c r="C58" s="2" t="s">
        <v>59</v>
      </c>
      <c r="D58" s="2" t="s">
        <v>46</v>
      </c>
      <c r="E58" s="2" t="str">
        <f aca="false">INDEX(Products!$B$2:$B$13,MATCH(D58,Products!$A$2:$A$13,0))</f>
        <v>Specialty</v>
      </c>
      <c r="F58" s="15" t="n">
        <v>8.5</v>
      </c>
      <c r="G58" s="16" t="n">
        <f aca="false">IF(A58="2025",INDEX(Products!$C$2:$C$13,MATCH(D58,Products!$A$2:$A$13,0)),INDEX(Products!$E$2:$E$13,MATCH(D58,Products!$A$2:$A$13,0)))</f>
        <v>25560</v>
      </c>
      <c r="H58" s="13" t="n">
        <f aca="false">IF(A58="2025",INDEX(Customers!$D$2:$D$41,MATCH(C58,Customers!$A$2:$A$41,0)),INDEX(Customers!$F$2:$F$41,MATCH(C58,Customers!$A$2:$A$41,0)))</f>
        <v>0.072</v>
      </c>
      <c r="I58" s="16" t="n">
        <f aca="false">F58*G58</f>
        <v>217260</v>
      </c>
      <c r="J58" s="16" t="n">
        <f aca="false">I58*(1-H58)</f>
        <v>201617.28</v>
      </c>
      <c r="K58" s="16" t="n">
        <f aca="false">J58*INDEX(Customers!$G$2:$G$41,MATCH(C58,Customers!$A$2:$A$41,0))</f>
        <v>0</v>
      </c>
      <c r="L58" s="16" t="n">
        <f aca="false">F58*INDEX(Customers!$H$2:$H$41,MATCH(C58,Customers!$A$2:$A$41,0))</f>
        <v>2380</v>
      </c>
      <c r="M58" s="16" t="n">
        <f aca="false">J58*INDEX(Customers!$I$2:$I$41,MATCH(C58,Customers!$A$2:$A$41,0))/365*Assumptions!$B$6</f>
        <v>2651.4053260274</v>
      </c>
      <c r="N58" s="16" t="n">
        <f aca="false">J58-K58-L58-M58</f>
        <v>196585.874673973</v>
      </c>
      <c r="O58" s="16" t="n">
        <f aca="false">F58*IF(A58="2025",INDEX(Products!$D$2:$D$13,MATCH(D58,Products!$A$2:$A$13,0)),INDEX(Products!$F$2:$F$13,MATCH(D58,Products!$A$2:$A$13,0)))</f>
        <v>104125</v>
      </c>
      <c r="P58" s="16" t="n">
        <f aca="false">N58-O58</f>
        <v>92460.8746739726</v>
      </c>
    </row>
    <row r="59" customFormat="false" ht="15" hidden="false" customHeight="false" outlineLevel="0" collapsed="false">
      <c r="A59" s="2" t="s">
        <v>118</v>
      </c>
      <c r="B59" s="2" t="n">
        <v>10</v>
      </c>
      <c r="C59" s="2" t="s">
        <v>59</v>
      </c>
      <c r="D59" s="2" t="s">
        <v>46</v>
      </c>
      <c r="E59" s="2" t="str">
        <f aca="false">INDEX(Products!$B$2:$B$13,MATCH(D59,Products!$A$2:$A$13,0))</f>
        <v>Specialty</v>
      </c>
      <c r="F59" s="15" t="n">
        <v>8.6</v>
      </c>
      <c r="G59" s="16" t="n">
        <f aca="false">IF(A59="2025",INDEX(Products!$C$2:$C$13,MATCH(D59,Products!$A$2:$A$13,0)),INDEX(Products!$E$2:$E$13,MATCH(D59,Products!$A$2:$A$13,0)))</f>
        <v>25560</v>
      </c>
      <c r="H59" s="13" t="n">
        <f aca="false">IF(A59="2025",INDEX(Customers!$D$2:$D$41,MATCH(C59,Customers!$A$2:$A$41,0)),INDEX(Customers!$F$2:$F$41,MATCH(C59,Customers!$A$2:$A$41,0)))</f>
        <v>0.072</v>
      </c>
      <c r="I59" s="16" t="n">
        <f aca="false">F59*G59</f>
        <v>219816</v>
      </c>
      <c r="J59" s="16" t="n">
        <f aca="false">I59*(1-H59)</f>
        <v>203989.248</v>
      </c>
      <c r="K59" s="16" t="n">
        <f aca="false">J59*INDEX(Customers!$G$2:$G$41,MATCH(C59,Customers!$A$2:$A$41,0))</f>
        <v>0</v>
      </c>
      <c r="L59" s="16" t="n">
        <f aca="false">F59*INDEX(Customers!$H$2:$H$41,MATCH(C59,Customers!$A$2:$A$41,0))</f>
        <v>2408</v>
      </c>
      <c r="M59" s="16" t="n">
        <f aca="false">J59*INDEX(Customers!$I$2:$I$41,MATCH(C59,Customers!$A$2:$A$41,0))/365*Assumptions!$B$6</f>
        <v>2682.59832986301</v>
      </c>
      <c r="N59" s="16" t="n">
        <f aca="false">J59-K59-L59-M59</f>
        <v>198898.649670137</v>
      </c>
      <c r="O59" s="16" t="n">
        <f aca="false">F59*IF(A59="2025",INDEX(Products!$D$2:$D$13,MATCH(D59,Products!$A$2:$A$13,0)),INDEX(Products!$F$2:$F$13,MATCH(D59,Products!$A$2:$A$13,0)))</f>
        <v>105350</v>
      </c>
      <c r="P59" s="16" t="n">
        <f aca="false">N59-O59</f>
        <v>93548.649670137</v>
      </c>
    </row>
    <row r="60" customFormat="false" ht="15" hidden="false" customHeight="false" outlineLevel="0" collapsed="false">
      <c r="A60" s="2" t="s">
        <v>118</v>
      </c>
      <c r="B60" s="2" t="n">
        <v>11</v>
      </c>
      <c r="C60" s="2" t="s">
        <v>59</v>
      </c>
      <c r="D60" s="2" t="s">
        <v>46</v>
      </c>
      <c r="E60" s="2" t="str">
        <f aca="false">INDEX(Products!$B$2:$B$13,MATCH(D60,Products!$A$2:$A$13,0))</f>
        <v>Specialty</v>
      </c>
      <c r="F60" s="15" t="n">
        <v>14.4</v>
      </c>
      <c r="G60" s="16" t="n">
        <f aca="false">IF(A60="2025",INDEX(Products!$C$2:$C$13,MATCH(D60,Products!$A$2:$A$13,0)),INDEX(Products!$E$2:$E$13,MATCH(D60,Products!$A$2:$A$13,0)))</f>
        <v>25560</v>
      </c>
      <c r="H60" s="13" t="n">
        <f aca="false">IF(A60="2025",INDEX(Customers!$D$2:$D$41,MATCH(C60,Customers!$A$2:$A$41,0)),INDEX(Customers!$F$2:$F$41,MATCH(C60,Customers!$A$2:$A$41,0)))</f>
        <v>0.072</v>
      </c>
      <c r="I60" s="16" t="n">
        <f aca="false">F60*G60</f>
        <v>368064</v>
      </c>
      <c r="J60" s="16" t="n">
        <f aca="false">I60*(1-H60)</f>
        <v>341563.392</v>
      </c>
      <c r="K60" s="16" t="n">
        <f aca="false">J60*INDEX(Customers!$G$2:$G$41,MATCH(C60,Customers!$A$2:$A$41,0))</f>
        <v>0</v>
      </c>
      <c r="L60" s="16" t="n">
        <f aca="false">F60*INDEX(Customers!$H$2:$H$41,MATCH(C60,Customers!$A$2:$A$41,0))</f>
        <v>4032</v>
      </c>
      <c r="M60" s="16" t="n">
        <f aca="false">J60*INDEX(Customers!$I$2:$I$41,MATCH(C60,Customers!$A$2:$A$41,0))/365*Assumptions!$B$6</f>
        <v>4491.79255232877</v>
      </c>
      <c r="N60" s="16" t="n">
        <f aca="false">J60-K60-L60-M60</f>
        <v>333039.599447671</v>
      </c>
      <c r="O60" s="16" t="n">
        <f aca="false">F60*IF(A60="2025",INDEX(Products!$D$2:$D$13,MATCH(D60,Products!$A$2:$A$13,0)),INDEX(Products!$F$2:$F$13,MATCH(D60,Products!$A$2:$A$13,0)))</f>
        <v>176400</v>
      </c>
      <c r="P60" s="16" t="n">
        <f aca="false">N60-O60</f>
        <v>156639.599447671</v>
      </c>
    </row>
    <row r="61" customFormat="false" ht="15" hidden="false" customHeight="false" outlineLevel="0" collapsed="false">
      <c r="A61" s="2" t="s">
        <v>118</v>
      </c>
      <c r="B61" s="2" t="n">
        <v>12</v>
      </c>
      <c r="C61" s="2" t="s">
        <v>59</v>
      </c>
      <c r="D61" s="2" t="s">
        <v>46</v>
      </c>
      <c r="E61" s="2" t="str">
        <f aca="false">INDEX(Products!$B$2:$B$13,MATCH(D61,Products!$A$2:$A$13,0))</f>
        <v>Specialty</v>
      </c>
      <c r="F61" s="15" t="n">
        <v>8.9</v>
      </c>
      <c r="G61" s="16" t="n">
        <f aca="false">IF(A61="2025",INDEX(Products!$C$2:$C$13,MATCH(D61,Products!$A$2:$A$13,0)),INDEX(Products!$E$2:$E$13,MATCH(D61,Products!$A$2:$A$13,0)))</f>
        <v>25560</v>
      </c>
      <c r="H61" s="13" t="n">
        <f aca="false">IF(A61="2025",INDEX(Customers!$D$2:$D$41,MATCH(C61,Customers!$A$2:$A$41,0)),INDEX(Customers!$F$2:$F$41,MATCH(C61,Customers!$A$2:$A$41,0)))</f>
        <v>0.072</v>
      </c>
      <c r="I61" s="16" t="n">
        <f aca="false">F61*G61</f>
        <v>227484</v>
      </c>
      <c r="J61" s="16" t="n">
        <f aca="false">I61*(1-H61)</f>
        <v>211105.152</v>
      </c>
      <c r="K61" s="16" t="n">
        <f aca="false">J61*INDEX(Customers!$G$2:$G$41,MATCH(C61,Customers!$A$2:$A$41,0))</f>
        <v>0</v>
      </c>
      <c r="L61" s="16" t="n">
        <f aca="false">F61*INDEX(Customers!$H$2:$H$41,MATCH(C61,Customers!$A$2:$A$41,0))</f>
        <v>2492</v>
      </c>
      <c r="M61" s="16" t="n">
        <f aca="false">J61*INDEX(Customers!$I$2:$I$41,MATCH(C61,Customers!$A$2:$A$41,0))/365*Assumptions!$B$6</f>
        <v>2776.17734136986</v>
      </c>
      <c r="N61" s="16" t="n">
        <f aca="false">J61-K61-L61-M61</f>
        <v>205836.97465863</v>
      </c>
      <c r="O61" s="16" t="n">
        <f aca="false">F61*IF(A61="2025",INDEX(Products!$D$2:$D$13,MATCH(D61,Products!$A$2:$A$13,0)),INDEX(Products!$F$2:$F$13,MATCH(D61,Products!$A$2:$A$13,0)))</f>
        <v>109025</v>
      </c>
      <c r="P61" s="16" t="n">
        <f aca="false">N61-O61</f>
        <v>96811.9746586302</v>
      </c>
    </row>
    <row r="62" customFormat="false" ht="15" hidden="false" customHeight="false" outlineLevel="0" collapsed="false">
      <c r="A62" s="2" t="s">
        <v>119</v>
      </c>
      <c r="B62" s="2" t="n">
        <v>1</v>
      </c>
      <c r="C62" s="2" t="s">
        <v>59</v>
      </c>
      <c r="D62" s="2" t="s">
        <v>46</v>
      </c>
      <c r="E62" s="2" t="str">
        <f aca="false">INDEX(Products!$B$2:$B$13,MATCH(D62,Products!$A$2:$A$13,0))</f>
        <v>Specialty</v>
      </c>
      <c r="F62" s="15" t="n">
        <v>11.1</v>
      </c>
      <c r="G62" s="16" t="n">
        <f aca="false">IF(A62="2025",INDEX(Products!$C$2:$C$13,MATCH(D62,Products!$A$2:$A$13,0)),INDEX(Products!$E$2:$E$13,MATCH(D62,Products!$A$2:$A$13,0)))</f>
        <v>26838</v>
      </c>
      <c r="H62" s="13" t="n">
        <f aca="false">IF(A62="2025",INDEX(Customers!$D$2:$D$41,MATCH(C62,Customers!$A$2:$A$41,0)),INDEX(Customers!$F$2:$F$41,MATCH(C62,Customers!$A$2:$A$41,0)))</f>
        <v>0.114</v>
      </c>
      <c r="I62" s="16" t="n">
        <f aca="false">F62*G62</f>
        <v>297901.8</v>
      </c>
      <c r="J62" s="16" t="n">
        <f aca="false">I62*(1-H62)</f>
        <v>263940.9948</v>
      </c>
      <c r="K62" s="16" t="n">
        <f aca="false">J62*INDEX(Customers!$G$2:$G$41,MATCH(C62,Customers!$A$2:$A$41,0))</f>
        <v>0</v>
      </c>
      <c r="L62" s="16" t="n">
        <f aca="false">F62*INDEX(Customers!$H$2:$H$41,MATCH(C62,Customers!$A$2:$A$41,0))</f>
        <v>3108</v>
      </c>
      <c r="M62" s="16" t="n">
        <f aca="false">J62*INDEX(Customers!$I$2:$I$41,MATCH(C62,Customers!$A$2:$A$41,0))/365*Assumptions!$B$6</f>
        <v>3471.00486312329</v>
      </c>
      <c r="N62" s="16" t="n">
        <f aca="false">J62-K62-L62-M62</f>
        <v>257361.989936877</v>
      </c>
      <c r="O62" s="16" t="n">
        <f aca="false">F62*IF(A62="2025",INDEX(Products!$D$2:$D$13,MATCH(D62,Products!$A$2:$A$13,0)),INDEX(Products!$F$2:$F$13,MATCH(D62,Products!$A$2:$A$13,0)))</f>
        <v>140054.25</v>
      </c>
      <c r="P62" s="16" t="n">
        <f aca="false">N62-O62</f>
        <v>117307.739936877</v>
      </c>
    </row>
    <row r="63" customFormat="false" ht="15" hidden="false" customHeight="false" outlineLevel="0" collapsed="false">
      <c r="A63" s="2" t="s">
        <v>119</v>
      </c>
      <c r="B63" s="2" t="n">
        <v>2</v>
      </c>
      <c r="C63" s="2" t="s">
        <v>59</v>
      </c>
      <c r="D63" s="2" t="s">
        <v>46</v>
      </c>
      <c r="E63" s="2" t="str">
        <f aca="false">INDEX(Products!$B$2:$B$13,MATCH(D63,Products!$A$2:$A$13,0))</f>
        <v>Specialty</v>
      </c>
      <c r="F63" s="15" t="n">
        <v>16.5</v>
      </c>
      <c r="G63" s="16" t="n">
        <f aca="false">IF(A63="2025",INDEX(Products!$C$2:$C$13,MATCH(D63,Products!$A$2:$A$13,0)),INDEX(Products!$E$2:$E$13,MATCH(D63,Products!$A$2:$A$13,0)))</f>
        <v>26838</v>
      </c>
      <c r="H63" s="13" t="n">
        <f aca="false">IF(A63="2025",INDEX(Customers!$D$2:$D$41,MATCH(C63,Customers!$A$2:$A$41,0)),INDEX(Customers!$F$2:$F$41,MATCH(C63,Customers!$A$2:$A$41,0)))</f>
        <v>0.114</v>
      </c>
      <c r="I63" s="16" t="n">
        <f aca="false">F63*G63</f>
        <v>442827</v>
      </c>
      <c r="J63" s="16" t="n">
        <f aca="false">I63*(1-H63)</f>
        <v>392344.722</v>
      </c>
      <c r="K63" s="16" t="n">
        <f aca="false">J63*INDEX(Customers!$G$2:$G$41,MATCH(C63,Customers!$A$2:$A$41,0))</f>
        <v>0</v>
      </c>
      <c r="L63" s="16" t="n">
        <f aca="false">F63*INDEX(Customers!$H$2:$H$41,MATCH(C63,Customers!$A$2:$A$41,0))</f>
        <v>4620</v>
      </c>
      <c r="M63" s="16" t="n">
        <f aca="false">J63*INDEX(Customers!$I$2:$I$41,MATCH(C63,Customers!$A$2:$A$41,0))/365*Assumptions!$B$6</f>
        <v>5159.60182356164</v>
      </c>
      <c r="N63" s="16" t="n">
        <f aca="false">J63-K63-L63-M63</f>
        <v>382565.120176438</v>
      </c>
      <c r="O63" s="16" t="n">
        <f aca="false">F63*IF(A63="2025",INDEX(Products!$D$2:$D$13,MATCH(D63,Products!$A$2:$A$13,0)),INDEX(Products!$F$2:$F$13,MATCH(D63,Products!$A$2:$A$13,0)))</f>
        <v>208188.75</v>
      </c>
      <c r="P63" s="16" t="n">
        <f aca="false">N63-O63</f>
        <v>174376.370176438</v>
      </c>
    </row>
    <row r="64" customFormat="false" ht="15" hidden="false" customHeight="false" outlineLevel="0" collapsed="false">
      <c r="A64" s="2" t="s">
        <v>119</v>
      </c>
      <c r="B64" s="2" t="n">
        <v>3</v>
      </c>
      <c r="C64" s="2" t="s">
        <v>59</v>
      </c>
      <c r="D64" s="2" t="s">
        <v>46</v>
      </c>
      <c r="E64" s="2" t="str">
        <f aca="false">INDEX(Products!$B$2:$B$13,MATCH(D64,Products!$A$2:$A$13,0))</f>
        <v>Specialty</v>
      </c>
      <c r="F64" s="15" t="n">
        <v>12.4</v>
      </c>
      <c r="G64" s="16" t="n">
        <f aca="false">IF(A64="2025",INDEX(Products!$C$2:$C$13,MATCH(D64,Products!$A$2:$A$13,0)),INDEX(Products!$E$2:$E$13,MATCH(D64,Products!$A$2:$A$13,0)))</f>
        <v>26838</v>
      </c>
      <c r="H64" s="13" t="n">
        <f aca="false">IF(A64="2025",INDEX(Customers!$D$2:$D$41,MATCH(C64,Customers!$A$2:$A$41,0)),INDEX(Customers!$F$2:$F$41,MATCH(C64,Customers!$A$2:$A$41,0)))</f>
        <v>0.114</v>
      </c>
      <c r="I64" s="16" t="n">
        <f aca="false">F64*G64</f>
        <v>332791.2</v>
      </c>
      <c r="J64" s="16" t="n">
        <f aca="false">I64*(1-H64)</f>
        <v>294853.0032</v>
      </c>
      <c r="K64" s="16" t="n">
        <f aca="false">J64*INDEX(Customers!$G$2:$G$41,MATCH(C64,Customers!$A$2:$A$41,0))</f>
        <v>0</v>
      </c>
      <c r="L64" s="16" t="n">
        <f aca="false">F64*INDEX(Customers!$H$2:$H$41,MATCH(C64,Customers!$A$2:$A$41,0))</f>
        <v>3472</v>
      </c>
      <c r="M64" s="16" t="n">
        <f aca="false">J64*INDEX(Customers!$I$2:$I$41,MATCH(C64,Customers!$A$2:$A$41,0))/365*Assumptions!$B$6</f>
        <v>3877.51894619178</v>
      </c>
      <c r="N64" s="16" t="n">
        <f aca="false">J64-K64-L64-M64</f>
        <v>287503.484253808</v>
      </c>
      <c r="O64" s="16" t="n">
        <f aca="false">F64*IF(A64="2025",INDEX(Products!$D$2:$D$13,MATCH(D64,Products!$A$2:$A$13,0)),INDEX(Products!$F$2:$F$13,MATCH(D64,Products!$A$2:$A$13,0)))</f>
        <v>156457</v>
      </c>
      <c r="P64" s="16" t="n">
        <f aca="false">N64-O64</f>
        <v>131046.484253808</v>
      </c>
    </row>
    <row r="65" customFormat="false" ht="15" hidden="false" customHeight="false" outlineLevel="0" collapsed="false">
      <c r="A65" s="2" t="s">
        <v>119</v>
      </c>
      <c r="B65" s="2" t="n">
        <v>4</v>
      </c>
      <c r="C65" s="2" t="s">
        <v>59</v>
      </c>
      <c r="D65" s="2" t="s">
        <v>46</v>
      </c>
      <c r="E65" s="2" t="str">
        <f aca="false">INDEX(Products!$B$2:$B$13,MATCH(D65,Products!$A$2:$A$13,0))</f>
        <v>Specialty</v>
      </c>
      <c r="F65" s="15" t="n">
        <v>13.3</v>
      </c>
      <c r="G65" s="16" t="n">
        <f aca="false">IF(A65="2025",INDEX(Products!$C$2:$C$13,MATCH(D65,Products!$A$2:$A$13,0)),INDEX(Products!$E$2:$E$13,MATCH(D65,Products!$A$2:$A$13,0)))</f>
        <v>26838</v>
      </c>
      <c r="H65" s="13" t="n">
        <f aca="false">IF(A65="2025",INDEX(Customers!$D$2:$D$41,MATCH(C65,Customers!$A$2:$A$41,0)),INDEX(Customers!$F$2:$F$41,MATCH(C65,Customers!$A$2:$A$41,0)))</f>
        <v>0.114</v>
      </c>
      <c r="I65" s="16" t="n">
        <f aca="false">F65*G65</f>
        <v>356945.4</v>
      </c>
      <c r="J65" s="16" t="n">
        <f aca="false">I65*(1-H65)</f>
        <v>316253.6244</v>
      </c>
      <c r="K65" s="16" t="n">
        <f aca="false">J65*INDEX(Customers!$G$2:$G$41,MATCH(C65,Customers!$A$2:$A$41,0))</f>
        <v>0</v>
      </c>
      <c r="L65" s="16" t="n">
        <f aca="false">F65*INDEX(Customers!$H$2:$H$41,MATCH(C65,Customers!$A$2:$A$41,0))</f>
        <v>3724</v>
      </c>
      <c r="M65" s="16" t="n">
        <f aca="false">J65*INDEX(Customers!$I$2:$I$41,MATCH(C65,Customers!$A$2:$A$41,0))/365*Assumptions!$B$6</f>
        <v>4158.95177293151</v>
      </c>
      <c r="N65" s="16" t="n">
        <f aca="false">J65-K65-L65-M65</f>
        <v>308370.672627069</v>
      </c>
      <c r="O65" s="16" t="n">
        <f aca="false">F65*IF(A65="2025",INDEX(Products!$D$2:$D$13,MATCH(D65,Products!$A$2:$A$13,0)),INDEX(Products!$F$2:$F$13,MATCH(D65,Products!$A$2:$A$13,0)))</f>
        <v>167812.75</v>
      </c>
      <c r="P65" s="16" t="n">
        <f aca="false">N65-O65</f>
        <v>140557.922627069</v>
      </c>
    </row>
    <row r="66" customFormat="false" ht="15" hidden="false" customHeight="false" outlineLevel="0" collapsed="false">
      <c r="A66" s="2" t="s">
        <v>119</v>
      </c>
      <c r="B66" s="2" t="n">
        <v>5</v>
      </c>
      <c r="C66" s="2" t="s">
        <v>59</v>
      </c>
      <c r="D66" s="2" t="s">
        <v>46</v>
      </c>
      <c r="E66" s="2" t="str">
        <f aca="false">INDEX(Products!$B$2:$B$13,MATCH(D66,Products!$A$2:$A$13,0))</f>
        <v>Specialty</v>
      </c>
      <c r="F66" s="15" t="n">
        <v>13.3</v>
      </c>
      <c r="G66" s="16" t="n">
        <f aca="false">IF(A66="2025",INDEX(Products!$C$2:$C$13,MATCH(D66,Products!$A$2:$A$13,0)),INDEX(Products!$E$2:$E$13,MATCH(D66,Products!$A$2:$A$13,0)))</f>
        <v>26838</v>
      </c>
      <c r="H66" s="13" t="n">
        <f aca="false">IF(A66="2025",INDEX(Customers!$D$2:$D$41,MATCH(C66,Customers!$A$2:$A$41,0)),INDEX(Customers!$F$2:$F$41,MATCH(C66,Customers!$A$2:$A$41,0)))</f>
        <v>0.114</v>
      </c>
      <c r="I66" s="16" t="n">
        <f aca="false">F66*G66</f>
        <v>356945.4</v>
      </c>
      <c r="J66" s="16" t="n">
        <f aca="false">I66*(1-H66)</f>
        <v>316253.6244</v>
      </c>
      <c r="K66" s="16" t="n">
        <f aca="false">J66*INDEX(Customers!$G$2:$G$41,MATCH(C66,Customers!$A$2:$A$41,0))</f>
        <v>0</v>
      </c>
      <c r="L66" s="16" t="n">
        <f aca="false">F66*INDEX(Customers!$H$2:$H$41,MATCH(C66,Customers!$A$2:$A$41,0))</f>
        <v>3724</v>
      </c>
      <c r="M66" s="16" t="n">
        <f aca="false">J66*INDEX(Customers!$I$2:$I$41,MATCH(C66,Customers!$A$2:$A$41,0))/365*Assumptions!$B$6</f>
        <v>4158.95177293151</v>
      </c>
      <c r="N66" s="16" t="n">
        <f aca="false">J66-K66-L66-M66</f>
        <v>308370.672627069</v>
      </c>
      <c r="O66" s="16" t="n">
        <f aca="false">F66*IF(A66="2025",INDEX(Products!$D$2:$D$13,MATCH(D66,Products!$A$2:$A$13,0)),INDEX(Products!$F$2:$F$13,MATCH(D66,Products!$A$2:$A$13,0)))</f>
        <v>167812.75</v>
      </c>
      <c r="P66" s="16" t="n">
        <f aca="false">N66-O66</f>
        <v>140557.922627069</v>
      </c>
    </row>
    <row r="67" customFormat="false" ht="15" hidden="false" customHeight="false" outlineLevel="0" collapsed="false">
      <c r="A67" s="2" t="s">
        <v>119</v>
      </c>
      <c r="B67" s="2" t="n">
        <v>6</v>
      </c>
      <c r="C67" s="2" t="s">
        <v>59</v>
      </c>
      <c r="D67" s="2" t="s">
        <v>46</v>
      </c>
      <c r="E67" s="2" t="str">
        <f aca="false">INDEX(Products!$B$2:$B$13,MATCH(D67,Products!$A$2:$A$13,0))</f>
        <v>Specialty</v>
      </c>
      <c r="F67" s="15" t="n">
        <v>15.8</v>
      </c>
      <c r="G67" s="16" t="n">
        <f aca="false">IF(A67="2025",INDEX(Products!$C$2:$C$13,MATCH(D67,Products!$A$2:$A$13,0)),INDEX(Products!$E$2:$E$13,MATCH(D67,Products!$A$2:$A$13,0)))</f>
        <v>26838</v>
      </c>
      <c r="H67" s="13" t="n">
        <f aca="false">IF(A67="2025",INDEX(Customers!$D$2:$D$41,MATCH(C67,Customers!$A$2:$A$41,0)),INDEX(Customers!$F$2:$F$41,MATCH(C67,Customers!$A$2:$A$41,0)))</f>
        <v>0.114</v>
      </c>
      <c r="I67" s="16" t="n">
        <f aca="false">F67*G67</f>
        <v>424040.4</v>
      </c>
      <c r="J67" s="16" t="n">
        <f aca="false">I67*(1-H67)</f>
        <v>375699.7944</v>
      </c>
      <c r="K67" s="16" t="n">
        <f aca="false">J67*INDEX(Customers!$G$2:$G$41,MATCH(C67,Customers!$A$2:$A$41,0))</f>
        <v>0</v>
      </c>
      <c r="L67" s="16" t="n">
        <f aca="false">F67*INDEX(Customers!$H$2:$H$41,MATCH(C67,Customers!$A$2:$A$41,0))</f>
        <v>4424</v>
      </c>
      <c r="M67" s="16" t="n">
        <f aca="false">J67*INDEX(Customers!$I$2:$I$41,MATCH(C67,Customers!$A$2:$A$41,0))/365*Assumptions!$B$6</f>
        <v>4940.7096249863</v>
      </c>
      <c r="N67" s="16" t="n">
        <f aca="false">J67-K67-L67-M67</f>
        <v>366335.084775014</v>
      </c>
      <c r="O67" s="16" t="n">
        <f aca="false">F67*IF(A67="2025",INDEX(Products!$D$2:$D$13,MATCH(D67,Products!$A$2:$A$13,0)),INDEX(Products!$F$2:$F$13,MATCH(D67,Products!$A$2:$A$13,0)))</f>
        <v>199356.5</v>
      </c>
      <c r="P67" s="16" t="n">
        <f aca="false">N67-O67</f>
        <v>166978.584775014</v>
      </c>
    </row>
    <row r="68" customFormat="false" ht="15" hidden="false" customHeight="false" outlineLevel="0" collapsed="false">
      <c r="A68" s="2" t="s">
        <v>119</v>
      </c>
      <c r="B68" s="2" t="n">
        <v>7</v>
      </c>
      <c r="C68" s="2" t="s">
        <v>59</v>
      </c>
      <c r="D68" s="2" t="s">
        <v>46</v>
      </c>
      <c r="E68" s="2" t="str">
        <f aca="false">INDEX(Products!$B$2:$B$13,MATCH(D68,Products!$A$2:$A$13,0))</f>
        <v>Specialty</v>
      </c>
      <c r="F68" s="15" t="n">
        <v>13.9</v>
      </c>
      <c r="G68" s="16" t="n">
        <f aca="false">IF(A68="2025",INDEX(Products!$C$2:$C$13,MATCH(D68,Products!$A$2:$A$13,0)),INDEX(Products!$E$2:$E$13,MATCH(D68,Products!$A$2:$A$13,0)))</f>
        <v>26838</v>
      </c>
      <c r="H68" s="13" t="n">
        <f aca="false">IF(A68="2025",INDEX(Customers!$D$2:$D$41,MATCH(C68,Customers!$A$2:$A$41,0)),INDEX(Customers!$F$2:$F$41,MATCH(C68,Customers!$A$2:$A$41,0)))</f>
        <v>0.114</v>
      </c>
      <c r="I68" s="16" t="n">
        <f aca="false">F68*G68</f>
        <v>373048.2</v>
      </c>
      <c r="J68" s="16" t="n">
        <f aca="false">I68*(1-H68)</f>
        <v>330520.7052</v>
      </c>
      <c r="K68" s="16" t="n">
        <f aca="false">J68*INDEX(Customers!$G$2:$G$41,MATCH(C68,Customers!$A$2:$A$41,0))</f>
        <v>0</v>
      </c>
      <c r="L68" s="16" t="n">
        <f aca="false">F68*INDEX(Customers!$H$2:$H$41,MATCH(C68,Customers!$A$2:$A$41,0))</f>
        <v>3892</v>
      </c>
      <c r="M68" s="16" t="n">
        <f aca="false">J68*INDEX(Customers!$I$2:$I$41,MATCH(C68,Customers!$A$2:$A$41,0))/365*Assumptions!$B$6</f>
        <v>4346.57365742466</v>
      </c>
      <c r="N68" s="16" t="n">
        <f aca="false">J68-K68-L68-M68</f>
        <v>322282.131542575</v>
      </c>
      <c r="O68" s="16" t="n">
        <f aca="false">F68*IF(A68="2025",INDEX(Products!$D$2:$D$13,MATCH(D68,Products!$A$2:$A$13,0)),INDEX(Products!$F$2:$F$13,MATCH(D68,Products!$A$2:$A$13,0)))</f>
        <v>175383.25</v>
      </c>
      <c r="P68" s="16" t="n">
        <f aca="false">N68-O68</f>
        <v>146898.881542575</v>
      </c>
    </row>
    <row r="69" customFormat="false" ht="15" hidden="false" customHeight="false" outlineLevel="0" collapsed="false">
      <c r="A69" s="2" t="s">
        <v>119</v>
      </c>
      <c r="B69" s="2" t="n">
        <v>8</v>
      </c>
      <c r="C69" s="2" t="s">
        <v>59</v>
      </c>
      <c r="D69" s="2" t="s">
        <v>46</v>
      </c>
      <c r="E69" s="2" t="str">
        <f aca="false">INDEX(Products!$B$2:$B$13,MATCH(D69,Products!$A$2:$A$13,0))</f>
        <v>Specialty</v>
      </c>
      <c r="F69" s="15" t="n">
        <v>16.7</v>
      </c>
      <c r="G69" s="16" t="n">
        <f aca="false">IF(A69="2025",INDEX(Products!$C$2:$C$13,MATCH(D69,Products!$A$2:$A$13,0)),INDEX(Products!$E$2:$E$13,MATCH(D69,Products!$A$2:$A$13,0)))</f>
        <v>26838</v>
      </c>
      <c r="H69" s="13" t="n">
        <f aca="false">IF(A69="2025",INDEX(Customers!$D$2:$D$41,MATCH(C69,Customers!$A$2:$A$41,0)),INDEX(Customers!$F$2:$F$41,MATCH(C69,Customers!$A$2:$A$41,0)))</f>
        <v>0.114</v>
      </c>
      <c r="I69" s="16" t="n">
        <f aca="false">F69*G69</f>
        <v>448194.6</v>
      </c>
      <c r="J69" s="16" t="n">
        <f aca="false">I69*(1-H69)</f>
        <v>397100.4156</v>
      </c>
      <c r="K69" s="16" t="n">
        <f aca="false">J69*INDEX(Customers!$G$2:$G$41,MATCH(C69,Customers!$A$2:$A$41,0))</f>
        <v>0</v>
      </c>
      <c r="L69" s="16" t="n">
        <f aca="false">F69*INDEX(Customers!$H$2:$H$41,MATCH(C69,Customers!$A$2:$A$41,0))</f>
        <v>4676</v>
      </c>
      <c r="M69" s="16" t="n">
        <f aca="false">J69*INDEX(Customers!$I$2:$I$41,MATCH(C69,Customers!$A$2:$A$41,0))/365*Assumptions!$B$6</f>
        <v>5222.14245172603</v>
      </c>
      <c r="N69" s="16" t="n">
        <f aca="false">J69-K69-L69-M69</f>
        <v>387202.273148274</v>
      </c>
      <c r="O69" s="16" t="n">
        <f aca="false">F69*IF(A69="2025",INDEX(Products!$D$2:$D$13,MATCH(D69,Products!$A$2:$A$13,0)),INDEX(Products!$F$2:$F$13,MATCH(D69,Products!$A$2:$A$13,0)))</f>
        <v>210712.25</v>
      </c>
      <c r="P69" s="16" t="n">
        <f aca="false">N69-O69</f>
        <v>176490.023148274</v>
      </c>
    </row>
    <row r="70" customFormat="false" ht="15" hidden="false" customHeight="false" outlineLevel="0" collapsed="false">
      <c r="A70" s="2" t="s">
        <v>119</v>
      </c>
      <c r="B70" s="2" t="n">
        <v>9</v>
      </c>
      <c r="C70" s="2" t="s">
        <v>59</v>
      </c>
      <c r="D70" s="2" t="s">
        <v>46</v>
      </c>
      <c r="E70" s="2" t="str">
        <f aca="false">INDEX(Products!$B$2:$B$13,MATCH(D70,Products!$A$2:$A$13,0))</f>
        <v>Specialty</v>
      </c>
      <c r="F70" s="15" t="n">
        <v>14.1</v>
      </c>
      <c r="G70" s="16" t="n">
        <f aca="false">IF(A70="2025",INDEX(Products!$C$2:$C$13,MATCH(D70,Products!$A$2:$A$13,0)),INDEX(Products!$E$2:$E$13,MATCH(D70,Products!$A$2:$A$13,0)))</f>
        <v>26838</v>
      </c>
      <c r="H70" s="13" t="n">
        <f aca="false">IF(A70="2025",INDEX(Customers!$D$2:$D$41,MATCH(C70,Customers!$A$2:$A$41,0)),INDEX(Customers!$F$2:$F$41,MATCH(C70,Customers!$A$2:$A$41,0)))</f>
        <v>0.114</v>
      </c>
      <c r="I70" s="16" t="n">
        <f aca="false">F70*G70</f>
        <v>378415.8</v>
      </c>
      <c r="J70" s="16" t="n">
        <f aca="false">I70*(1-H70)</f>
        <v>335276.3988</v>
      </c>
      <c r="K70" s="16" t="n">
        <f aca="false">J70*INDEX(Customers!$G$2:$G$41,MATCH(C70,Customers!$A$2:$A$41,0))</f>
        <v>0</v>
      </c>
      <c r="L70" s="16" t="n">
        <f aca="false">F70*INDEX(Customers!$H$2:$H$41,MATCH(C70,Customers!$A$2:$A$41,0))</f>
        <v>3948</v>
      </c>
      <c r="M70" s="16" t="n">
        <f aca="false">J70*INDEX(Customers!$I$2:$I$41,MATCH(C70,Customers!$A$2:$A$41,0))/365*Assumptions!$B$6</f>
        <v>4409.11428558904</v>
      </c>
      <c r="N70" s="16" t="n">
        <f aca="false">J70-K70-L70-M70</f>
        <v>326919.284514411</v>
      </c>
      <c r="O70" s="16" t="n">
        <f aca="false">F70*IF(A70="2025",INDEX(Products!$D$2:$D$13,MATCH(D70,Products!$A$2:$A$13,0)),INDEX(Products!$F$2:$F$13,MATCH(D70,Products!$A$2:$A$13,0)))</f>
        <v>177906.75</v>
      </c>
      <c r="P70" s="16" t="n">
        <f aca="false">N70-O70</f>
        <v>149012.534514411</v>
      </c>
    </row>
    <row r="71" customFormat="false" ht="15" hidden="false" customHeight="false" outlineLevel="0" collapsed="false">
      <c r="A71" s="2" t="s">
        <v>119</v>
      </c>
      <c r="B71" s="2" t="n">
        <v>10</v>
      </c>
      <c r="C71" s="2" t="s">
        <v>59</v>
      </c>
      <c r="D71" s="2" t="s">
        <v>46</v>
      </c>
      <c r="E71" s="2" t="str">
        <f aca="false">INDEX(Products!$B$2:$B$13,MATCH(D71,Products!$A$2:$A$13,0))</f>
        <v>Specialty</v>
      </c>
      <c r="F71" s="15" t="n">
        <v>12.3</v>
      </c>
      <c r="G71" s="16" t="n">
        <f aca="false">IF(A71="2025",INDEX(Products!$C$2:$C$13,MATCH(D71,Products!$A$2:$A$13,0)),INDEX(Products!$E$2:$E$13,MATCH(D71,Products!$A$2:$A$13,0)))</f>
        <v>26838</v>
      </c>
      <c r="H71" s="13" t="n">
        <f aca="false">IF(A71="2025",INDEX(Customers!$D$2:$D$41,MATCH(C71,Customers!$A$2:$A$41,0)),INDEX(Customers!$F$2:$F$41,MATCH(C71,Customers!$A$2:$A$41,0)))</f>
        <v>0.114</v>
      </c>
      <c r="I71" s="16" t="n">
        <f aca="false">F71*G71</f>
        <v>330107.4</v>
      </c>
      <c r="J71" s="16" t="n">
        <f aca="false">I71*(1-H71)</f>
        <v>292475.1564</v>
      </c>
      <c r="K71" s="16" t="n">
        <f aca="false">J71*INDEX(Customers!$G$2:$G$41,MATCH(C71,Customers!$A$2:$A$41,0))</f>
        <v>0</v>
      </c>
      <c r="L71" s="16" t="n">
        <f aca="false">F71*INDEX(Customers!$H$2:$H$41,MATCH(C71,Customers!$A$2:$A$41,0))</f>
        <v>3444</v>
      </c>
      <c r="M71" s="16" t="n">
        <f aca="false">J71*INDEX(Customers!$I$2:$I$41,MATCH(C71,Customers!$A$2:$A$41,0))/365*Assumptions!$B$6</f>
        <v>3846.24863210959</v>
      </c>
      <c r="N71" s="16" t="n">
        <f aca="false">J71-K71-L71-M71</f>
        <v>285184.90776789</v>
      </c>
      <c r="O71" s="16" t="n">
        <f aca="false">F71*IF(A71="2025",INDEX(Products!$D$2:$D$13,MATCH(D71,Products!$A$2:$A$13,0)),INDEX(Products!$F$2:$F$13,MATCH(D71,Products!$A$2:$A$13,0)))</f>
        <v>155195.25</v>
      </c>
      <c r="P71" s="16" t="n">
        <f aca="false">N71-O71</f>
        <v>129989.65776789</v>
      </c>
    </row>
    <row r="72" customFormat="false" ht="15" hidden="false" customHeight="false" outlineLevel="0" collapsed="false">
      <c r="A72" s="2" t="s">
        <v>119</v>
      </c>
      <c r="B72" s="2" t="n">
        <v>11</v>
      </c>
      <c r="C72" s="2" t="s">
        <v>59</v>
      </c>
      <c r="D72" s="2" t="s">
        <v>46</v>
      </c>
      <c r="E72" s="2" t="str">
        <f aca="false">INDEX(Products!$B$2:$B$13,MATCH(D72,Products!$A$2:$A$13,0))</f>
        <v>Specialty</v>
      </c>
      <c r="F72" s="15" t="n">
        <v>11.5</v>
      </c>
      <c r="G72" s="16" t="n">
        <f aca="false">IF(A72="2025",INDEX(Products!$C$2:$C$13,MATCH(D72,Products!$A$2:$A$13,0)),INDEX(Products!$E$2:$E$13,MATCH(D72,Products!$A$2:$A$13,0)))</f>
        <v>26838</v>
      </c>
      <c r="H72" s="13" t="n">
        <f aca="false">IF(A72="2025",INDEX(Customers!$D$2:$D$41,MATCH(C72,Customers!$A$2:$A$41,0)),INDEX(Customers!$F$2:$F$41,MATCH(C72,Customers!$A$2:$A$41,0)))</f>
        <v>0.114</v>
      </c>
      <c r="I72" s="16" t="n">
        <f aca="false">F72*G72</f>
        <v>308637</v>
      </c>
      <c r="J72" s="16" t="n">
        <f aca="false">I72*(1-H72)</f>
        <v>273452.382</v>
      </c>
      <c r="K72" s="16" t="n">
        <f aca="false">J72*INDEX(Customers!$G$2:$G$41,MATCH(C72,Customers!$A$2:$A$41,0))</f>
        <v>0</v>
      </c>
      <c r="L72" s="16" t="n">
        <f aca="false">F72*INDEX(Customers!$H$2:$H$41,MATCH(C72,Customers!$A$2:$A$41,0))</f>
        <v>3220</v>
      </c>
      <c r="M72" s="16" t="n">
        <f aca="false">J72*INDEX(Customers!$I$2:$I$41,MATCH(C72,Customers!$A$2:$A$41,0))/365*Assumptions!$B$6</f>
        <v>3596.08611945205</v>
      </c>
      <c r="N72" s="16" t="n">
        <f aca="false">J72-K72-L72-M72</f>
        <v>266636.295880548</v>
      </c>
      <c r="O72" s="16" t="n">
        <f aca="false">F72*IF(A72="2025",INDEX(Products!$D$2:$D$13,MATCH(D72,Products!$A$2:$A$13,0)),INDEX(Products!$F$2:$F$13,MATCH(D72,Products!$A$2:$A$13,0)))</f>
        <v>145101.25</v>
      </c>
      <c r="P72" s="16" t="n">
        <f aca="false">N72-O72</f>
        <v>121535.045880548</v>
      </c>
    </row>
    <row r="73" customFormat="false" ht="15" hidden="false" customHeight="false" outlineLevel="0" collapsed="false">
      <c r="A73" s="2" t="s">
        <v>119</v>
      </c>
      <c r="B73" s="2" t="n">
        <v>12</v>
      </c>
      <c r="C73" s="2" t="s">
        <v>59</v>
      </c>
      <c r="D73" s="2" t="s">
        <v>46</v>
      </c>
      <c r="E73" s="2" t="str">
        <f aca="false">INDEX(Products!$B$2:$B$13,MATCH(D73,Products!$A$2:$A$13,0))</f>
        <v>Specialty</v>
      </c>
      <c r="F73" s="15" t="n">
        <v>16.3</v>
      </c>
      <c r="G73" s="16" t="n">
        <f aca="false">IF(A73="2025",INDEX(Products!$C$2:$C$13,MATCH(D73,Products!$A$2:$A$13,0)),INDEX(Products!$E$2:$E$13,MATCH(D73,Products!$A$2:$A$13,0)))</f>
        <v>26838</v>
      </c>
      <c r="H73" s="13" t="n">
        <f aca="false">IF(A73="2025",INDEX(Customers!$D$2:$D$41,MATCH(C73,Customers!$A$2:$A$41,0)),INDEX(Customers!$F$2:$F$41,MATCH(C73,Customers!$A$2:$A$41,0)))</f>
        <v>0.114</v>
      </c>
      <c r="I73" s="16" t="n">
        <f aca="false">F73*G73</f>
        <v>437459.4</v>
      </c>
      <c r="J73" s="16" t="n">
        <f aca="false">I73*(1-H73)</f>
        <v>387589.0284</v>
      </c>
      <c r="K73" s="16" t="n">
        <f aca="false">J73*INDEX(Customers!$G$2:$G$41,MATCH(C73,Customers!$A$2:$A$41,0))</f>
        <v>0</v>
      </c>
      <c r="L73" s="16" t="n">
        <f aca="false">F73*INDEX(Customers!$H$2:$H$41,MATCH(C73,Customers!$A$2:$A$41,0))</f>
        <v>4564</v>
      </c>
      <c r="M73" s="16" t="n">
        <f aca="false">J73*INDEX(Customers!$I$2:$I$41,MATCH(C73,Customers!$A$2:$A$41,0))/365*Assumptions!$B$6</f>
        <v>5097.06119539726</v>
      </c>
      <c r="N73" s="16" t="n">
        <f aca="false">J73-K73-L73-M73</f>
        <v>377927.967204603</v>
      </c>
      <c r="O73" s="16" t="n">
        <f aca="false">F73*IF(A73="2025",INDEX(Products!$D$2:$D$13,MATCH(D73,Products!$A$2:$A$13,0)),INDEX(Products!$F$2:$F$13,MATCH(D73,Products!$A$2:$A$13,0)))</f>
        <v>205665.25</v>
      </c>
      <c r="P73" s="16" t="n">
        <f aca="false">N73-O73</f>
        <v>172262.717204603</v>
      </c>
    </row>
    <row r="74" customFormat="false" ht="15" hidden="false" customHeight="false" outlineLevel="0" collapsed="false">
      <c r="A74" s="2" t="s">
        <v>118</v>
      </c>
      <c r="B74" s="2" t="n">
        <v>1</v>
      </c>
      <c r="C74" s="2" t="s">
        <v>62</v>
      </c>
      <c r="D74" s="2" t="s">
        <v>44</v>
      </c>
      <c r="E74" s="2" t="str">
        <f aca="false">INDEX(Products!$B$2:$B$13,MATCH(D74,Products!$A$2:$A$13,0))</f>
        <v>Specialty</v>
      </c>
      <c r="F74" s="15" t="n">
        <v>3.6</v>
      </c>
      <c r="G74" s="16" t="n">
        <f aca="false">IF(A74="2025",INDEX(Products!$C$2:$C$13,MATCH(D74,Products!$A$2:$A$13,0)),INDEX(Products!$E$2:$E$13,MATCH(D74,Products!$A$2:$A$13,0)))</f>
        <v>28970</v>
      </c>
      <c r="H74" s="13" t="n">
        <f aca="false">IF(A74="2025",INDEX(Customers!$D$2:$D$41,MATCH(C74,Customers!$A$2:$A$41,0)),INDEX(Customers!$F$2:$F$41,MATCH(C74,Customers!$A$2:$A$41,0)))</f>
        <v>0.048</v>
      </c>
      <c r="I74" s="16" t="n">
        <f aca="false">F74*G74</f>
        <v>104292</v>
      </c>
      <c r="J74" s="16" t="n">
        <f aca="false">I74*(1-H74)</f>
        <v>99285.984</v>
      </c>
      <c r="K74" s="16" t="n">
        <f aca="false">J74*INDEX(Customers!$G$2:$G$41,MATCH(C74,Customers!$A$2:$A$41,0))</f>
        <v>992.85984</v>
      </c>
      <c r="L74" s="16" t="n">
        <f aca="false">F74*INDEX(Customers!$H$2:$H$41,MATCH(C74,Customers!$A$2:$A$41,0))</f>
        <v>1404</v>
      </c>
      <c r="M74" s="16" t="n">
        <f aca="false">J74*INDEX(Customers!$I$2:$I$41,MATCH(C74,Customers!$A$2:$A$41,0))/365*Assumptions!$B$6</f>
        <v>652.839346849315</v>
      </c>
      <c r="N74" s="16" t="n">
        <f aca="false">J74-K74-L74-M74</f>
        <v>96236.2848131507</v>
      </c>
      <c r="O74" s="16" t="n">
        <f aca="false">F74*IF(A74="2025",INDEX(Products!$D$2:$D$13,MATCH(D74,Products!$A$2:$A$13,0)),INDEX(Products!$F$2:$F$13,MATCH(D74,Products!$A$2:$A$13,0)))</f>
        <v>51516</v>
      </c>
      <c r="P74" s="16" t="n">
        <f aca="false">N74-O74</f>
        <v>44720.2848131507</v>
      </c>
    </row>
    <row r="75" customFormat="false" ht="15" hidden="false" customHeight="false" outlineLevel="0" collapsed="false">
      <c r="A75" s="2" t="s">
        <v>118</v>
      </c>
      <c r="B75" s="2" t="n">
        <v>2</v>
      </c>
      <c r="C75" s="2" t="s">
        <v>62</v>
      </c>
      <c r="D75" s="2" t="s">
        <v>44</v>
      </c>
      <c r="E75" s="2" t="str">
        <f aca="false">INDEX(Products!$B$2:$B$13,MATCH(D75,Products!$A$2:$A$13,0))</f>
        <v>Specialty</v>
      </c>
      <c r="F75" s="15" t="n">
        <v>4.3</v>
      </c>
      <c r="G75" s="16" t="n">
        <f aca="false">IF(A75="2025",INDEX(Products!$C$2:$C$13,MATCH(D75,Products!$A$2:$A$13,0)),INDEX(Products!$E$2:$E$13,MATCH(D75,Products!$A$2:$A$13,0)))</f>
        <v>28970</v>
      </c>
      <c r="H75" s="13" t="n">
        <f aca="false">IF(A75="2025",INDEX(Customers!$D$2:$D$41,MATCH(C75,Customers!$A$2:$A$41,0)),INDEX(Customers!$F$2:$F$41,MATCH(C75,Customers!$A$2:$A$41,0)))</f>
        <v>0.048</v>
      </c>
      <c r="I75" s="16" t="n">
        <f aca="false">F75*G75</f>
        <v>124571</v>
      </c>
      <c r="J75" s="16" t="n">
        <f aca="false">I75*(1-H75)</f>
        <v>118591.592</v>
      </c>
      <c r="K75" s="16" t="n">
        <f aca="false">J75*INDEX(Customers!$G$2:$G$41,MATCH(C75,Customers!$A$2:$A$41,0))</f>
        <v>1185.91592</v>
      </c>
      <c r="L75" s="16" t="n">
        <f aca="false">F75*INDEX(Customers!$H$2:$H$41,MATCH(C75,Customers!$A$2:$A$41,0))</f>
        <v>1677</v>
      </c>
      <c r="M75" s="16" t="n">
        <f aca="false">J75*INDEX(Customers!$I$2:$I$41,MATCH(C75,Customers!$A$2:$A$41,0))/365*Assumptions!$B$6</f>
        <v>779.780330958904</v>
      </c>
      <c r="N75" s="16" t="n">
        <f aca="false">J75-K75-L75-M75</f>
        <v>114948.895749041</v>
      </c>
      <c r="O75" s="16" t="n">
        <f aca="false">F75*IF(A75="2025",INDEX(Products!$D$2:$D$13,MATCH(D75,Products!$A$2:$A$13,0)),INDEX(Products!$F$2:$F$13,MATCH(D75,Products!$A$2:$A$13,0)))</f>
        <v>61533</v>
      </c>
      <c r="P75" s="16" t="n">
        <f aca="false">N75-O75</f>
        <v>53415.8957490411</v>
      </c>
    </row>
    <row r="76" customFormat="false" ht="15" hidden="false" customHeight="false" outlineLevel="0" collapsed="false">
      <c r="A76" s="2" t="s">
        <v>118</v>
      </c>
      <c r="B76" s="2" t="n">
        <v>3</v>
      </c>
      <c r="C76" s="2" t="s">
        <v>62</v>
      </c>
      <c r="D76" s="2" t="s">
        <v>44</v>
      </c>
      <c r="E76" s="2" t="str">
        <f aca="false">INDEX(Products!$B$2:$B$13,MATCH(D76,Products!$A$2:$A$13,0))</f>
        <v>Specialty</v>
      </c>
      <c r="F76" s="15" t="n">
        <v>2.5</v>
      </c>
      <c r="G76" s="16" t="n">
        <f aca="false">IF(A76="2025",INDEX(Products!$C$2:$C$13,MATCH(D76,Products!$A$2:$A$13,0)),INDEX(Products!$E$2:$E$13,MATCH(D76,Products!$A$2:$A$13,0)))</f>
        <v>28970</v>
      </c>
      <c r="H76" s="13" t="n">
        <f aca="false">IF(A76="2025",INDEX(Customers!$D$2:$D$41,MATCH(C76,Customers!$A$2:$A$41,0)),INDEX(Customers!$F$2:$F$41,MATCH(C76,Customers!$A$2:$A$41,0)))</f>
        <v>0.048</v>
      </c>
      <c r="I76" s="16" t="n">
        <f aca="false">F76*G76</f>
        <v>72425</v>
      </c>
      <c r="J76" s="16" t="n">
        <f aca="false">I76*(1-H76)</f>
        <v>68948.6</v>
      </c>
      <c r="K76" s="16" t="n">
        <f aca="false">J76*INDEX(Customers!$G$2:$G$41,MATCH(C76,Customers!$A$2:$A$41,0))</f>
        <v>689.486</v>
      </c>
      <c r="L76" s="16" t="n">
        <f aca="false">F76*INDEX(Customers!$H$2:$H$41,MATCH(C76,Customers!$A$2:$A$41,0))</f>
        <v>975</v>
      </c>
      <c r="M76" s="16" t="n">
        <f aca="false">J76*INDEX(Customers!$I$2:$I$41,MATCH(C76,Customers!$A$2:$A$41,0))/365*Assumptions!$B$6</f>
        <v>453.360657534247</v>
      </c>
      <c r="N76" s="16" t="n">
        <f aca="false">J76-K76-L76-M76</f>
        <v>66830.7533424657</v>
      </c>
      <c r="O76" s="16" t="n">
        <f aca="false">F76*IF(A76="2025",INDEX(Products!$D$2:$D$13,MATCH(D76,Products!$A$2:$A$13,0)),INDEX(Products!$F$2:$F$13,MATCH(D76,Products!$A$2:$A$13,0)))</f>
        <v>35775</v>
      </c>
      <c r="P76" s="16" t="n">
        <f aca="false">N76-O76</f>
        <v>31055.7533424657</v>
      </c>
    </row>
    <row r="77" customFormat="false" ht="15" hidden="false" customHeight="false" outlineLevel="0" collapsed="false">
      <c r="A77" s="2" t="s">
        <v>118</v>
      </c>
      <c r="B77" s="2" t="n">
        <v>4</v>
      </c>
      <c r="C77" s="2" t="s">
        <v>62</v>
      </c>
      <c r="D77" s="2" t="s">
        <v>44</v>
      </c>
      <c r="E77" s="2" t="str">
        <f aca="false">INDEX(Products!$B$2:$B$13,MATCH(D77,Products!$A$2:$A$13,0))</f>
        <v>Specialty</v>
      </c>
      <c r="F77" s="15" t="n">
        <v>2.8</v>
      </c>
      <c r="G77" s="16" t="n">
        <f aca="false">IF(A77="2025",INDEX(Products!$C$2:$C$13,MATCH(D77,Products!$A$2:$A$13,0)),INDEX(Products!$E$2:$E$13,MATCH(D77,Products!$A$2:$A$13,0)))</f>
        <v>28970</v>
      </c>
      <c r="H77" s="13" t="n">
        <f aca="false">IF(A77="2025",INDEX(Customers!$D$2:$D$41,MATCH(C77,Customers!$A$2:$A$41,0)),INDEX(Customers!$F$2:$F$41,MATCH(C77,Customers!$A$2:$A$41,0)))</f>
        <v>0.048</v>
      </c>
      <c r="I77" s="16" t="n">
        <f aca="false">F77*G77</f>
        <v>81116</v>
      </c>
      <c r="J77" s="16" t="n">
        <f aca="false">I77*(1-H77)</f>
        <v>77222.432</v>
      </c>
      <c r="K77" s="16" t="n">
        <f aca="false">J77*INDEX(Customers!$G$2:$G$41,MATCH(C77,Customers!$A$2:$A$41,0))</f>
        <v>772.22432</v>
      </c>
      <c r="L77" s="16" t="n">
        <f aca="false">F77*INDEX(Customers!$H$2:$H$41,MATCH(C77,Customers!$A$2:$A$41,0))</f>
        <v>1092</v>
      </c>
      <c r="M77" s="16" t="n">
        <f aca="false">J77*INDEX(Customers!$I$2:$I$41,MATCH(C77,Customers!$A$2:$A$41,0))/365*Assumptions!$B$6</f>
        <v>507.763936438356</v>
      </c>
      <c r="N77" s="16" t="n">
        <f aca="false">J77-K77-L77-M77</f>
        <v>74850.4437435617</v>
      </c>
      <c r="O77" s="16" t="n">
        <f aca="false">F77*IF(A77="2025",INDEX(Products!$D$2:$D$13,MATCH(D77,Products!$A$2:$A$13,0)),INDEX(Products!$F$2:$F$13,MATCH(D77,Products!$A$2:$A$13,0)))</f>
        <v>40068</v>
      </c>
      <c r="P77" s="16" t="n">
        <f aca="false">N77-O77</f>
        <v>34782.4437435617</v>
      </c>
    </row>
    <row r="78" customFormat="false" ht="15" hidden="false" customHeight="false" outlineLevel="0" collapsed="false">
      <c r="A78" s="2" t="s">
        <v>118</v>
      </c>
      <c r="B78" s="2" t="n">
        <v>5</v>
      </c>
      <c r="C78" s="2" t="s">
        <v>62</v>
      </c>
      <c r="D78" s="2" t="s">
        <v>44</v>
      </c>
      <c r="E78" s="2" t="str">
        <f aca="false">INDEX(Products!$B$2:$B$13,MATCH(D78,Products!$A$2:$A$13,0))</f>
        <v>Specialty</v>
      </c>
      <c r="F78" s="15" t="n">
        <v>3.7</v>
      </c>
      <c r="G78" s="16" t="n">
        <f aca="false">IF(A78="2025",INDEX(Products!$C$2:$C$13,MATCH(D78,Products!$A$2:$A$13,0)),INDEX(Products!$E$2:$E$13,MATCH(D78,Products!$A$2:$A$13,0)))</f>
        <v>28970</v>
      </c>
      <c r="H78" s="13" t="n">
        <f aca="false">IF(A78="2025",INDEX(Customers!$D$2:$D$41,MATCH(C78,Customers!$A$2:$A$41,0)),INDEX(Customers!$F$2:$F$41,MATCH(C78,Customers!$A$2:$A$41,0)))</f>
        <v>0.048</v>
      </c>
      <c r="I78" s="16" t="n">
        <f aca="false">F78*G78</f>
        <v>107189</v>
      </c>
      <c r="J78" s="16" t="n">
        <f aca="false">I78*(1-H78)</f>
        <v>102043.928</v>
      </c>
      <c r="K78" s="16" t="n">
        <f aca="false">J78*INDEX(Customers!$G$2:$G$41,MATCH(C78,Customers!$A$2:$A$41,0))</f>
        <v>1020.43928</v>
      </c>
      <c r="L78" s="16" t="n">
        <f aca="false">F78*INDEX(Customers!$H$2:$H$41,MATCH(C78,Customers!$A$2:$A$41,0))</f>
        <v>1443</v>
      </c>
      <c r="M78" s="16" t="n">
        <f aca="false">J78*INDEX(Customers!$I$2:$I$41,MATCH(C78,Customers!$A$2:$A$41,0))/365*Assumptions!$B$6</f>
        <v>670.973773150685</v>
      </c>
      <c r="N78" s="16" t="n">
        <f aca="false">J78-K78-L78-M78</f>
        <v>98909.5149468493</v>
      </c>
      <c r="O78" s="16" t="n">
        <f aca="false">F78*IF(A78="2025",INDEX(Products!$D$2:$D$13,MATCH(D78,Products!$A$2:$A$13,0)),INDEX(Products!$F$2:$F$13,MATCH(D78,Products!$A$2:$A$13,0)))</f>
        <v>52947</v>
      </c>
      <c r="P78" s="16" t="n">
        <f aca="false">N78-O78</f>
        <v>45962.5149468493</v>
      </c>
    </row>
    <row r="79" customFormat="false" ht="15" hidden="false" customHeight="false" outlineLevel="0" collapsed="false">
      <c r="A79" s="2" t="s">
        <v>118</v>
      </c>
      <c r="B79" s="2" t="n">
        <v>6</v>
      </c>
      <c r="C79" s="2" t="s">
        <v>62</v>
      </c>
      <c r="D79" s="2" t="s">
        <v>44</v>
      </c>
      <c r="E79" s="2" t="str">
        <f aca="false">INDEX(Products!$B$2:$B$13,MATCH(D79,Products!$A$2:$A$13,0))</f>
        <v>Specialty</v>
      </c>
      <c r="F79" s="15" t="n">
        <v>3</v>
      </c>
      <c r="G79" s="16" t="n">
        <f aca="false">IF(A79="2025",INDEX(Products!$C$2:$C$13,MATCH(D79,Products!$A$2:$A$13,0)),INDEX(Products!$E$2:$E$13,MATCH(D79,Products!$A$2:$A$13,0)))</f>
        <v>28970</v>
      </c>
      <c r="H79" s="13" t="n">
        <f aca="false">IF(A79="2025",INDEX(Customers!$D$2:$D$41,MATCH(C79,Customers!$A$2:$A$41,0)),INDEX(Customers!$F$2:$F$41,MATCH(C79,Customers!$A$2:$A$41,0)))</f>
        <v>0.048</v>
      </c>
      <c r="I79" s="16" t="n">
        <f aca="false">F79*G79</f>
        <v>86910</v>
      </c>
      <c r="J79" s="16" t="n">
        <f aca="false">I79*(1-H79)</f>
        <v>82738.32</v>
      </c>
      <c r="K79" s="16" t="n">
        <f aca="false">J79*INDEX(Customers!$G$2:$G$41,MATCH(C79,Customers!$A$2:$A$41,0))</f>
        <v>827.3832</v>
      </c>
      <c r="L79" s="16" t="n">
        <f aca="false">F79*INDEX(Customers!$H$2:$H$41,MATCH(C79,Customers!$A$2:$A$41,0))</f>
        <v>1170</v>
      </c>
      <c r="M79" s="16" t="n">
        <f aca="false">J79*INDEX(Customers!$I$2:$I$41,MATCH(C79,Customers!$A$2:$A$41,0))/365*Assumptions!$B$6</f>
        <v>544.032789041096</v>
      </c>
      <c r="N79" s="16" t="n">
        <f aca="false">J79-K79-L79-M79</f>
        <v>80196.9040109589</v>
      </c>
      <c r="O79" s="16" t="n">
        <f aca="false">F79*IF(A79="2025",INDEX(Products!$D$2:$D$13,MATCH(D79,Products!$A$2:$A$13,0)),INDEX(Products!$F$2:$F$13,MATCH(D79,Products!$A$2:$A$13,0)))</f>
        <v>42930</v>
      </c>
      <c r="P79" s="16" t="n">
        <f aca="false">N79-O79</f>
        <v>37266.9040109589</v>
      </c>
    </row>
    <row r="80" customFormat="false" ht="15" hidden="false" customHeight="false" outlineLevel="0" collapsed="false">
      <c r="A80" s="2" t="s">
        <v>118</v>
      </c>
      <c r="B80" s="2" t="n">
        <v>7</v>
      </c>
      <c r="C80" s="2" t="s">
        <v>62</v>
      </c>
      <c r="D80" s="2" t="s">
        <v>44</v>
      </c>
      <c r="E80" s="2" t="str">
        <f aca="false">INDEX(Products!$B$2:$B$13,MATCH(D80,Products!$A$2:$A$13,0))</f>
        <v>Specialty</v>
      </c>
      <c r="F80" s="15" t="n">
        <v>2.6</v>
      </c>
      <c r="G80" s="16" t="n">
        <f aca="false">IF(A80="2025",INDEX(Products!$C$2:$C$13,MATCH(D80,Products!$A$2:$A$13,0)),INDEX(Products!$E$2:$E$13,MATCH(D80,Products!$A$2:$A$13,0)))</f>
        <v>28970</v>
      </c>
      <c r="H80" s="13" t="n">
        <f aca="false">IF(A80="2025",INDEX(Customers!$D$2:$D$41,MATCH(C80,Customers!$A$2:$A$41,0)),INDEX(Customers!$F$2:$F$41,MATCH(C80,Customers!$A$2:$A$41,0)))</f>
        <v>0.048</v>
      </c>
      <c r="I80" s="16" t="n">
        <f aca="false">F80*G80</f>
        <v>75322</v>
      </c>
      <c r="J80" s="16" t="n">
        <f aca="false">I80*(1-H80)</f>
        <v>71706.544</v>
      </c>
      <c r="K80" s="16" t="n">
        <f aca="false">J80*INDEX(Customers!$G$2:$G$41,MATCH(C80,Customers!$A$2:$A$41,0))</f>
        <v>717.06544</v>
      </c>
      <c r="L80" s="16" t="n">
        <f aca="false">F80*INDEX(Customers!$H$2:$H$41,MATCH(C80,Customers!$A$2:$A$41,0))</f>
        <v>1014</v>
      </c>
      <c r="M80" s="16" t="n">
        <f aca="false">J80*INDEX(Customers!$I$2:$I$41,MATCH(C80,Customers!$A$2:$A$41,0))/365*Assumptions!$B$6</f>
        <v>471.495083835616</v>
      </c>
      <c r="N80" s="16" t="n">
        <f aca="false">J80-K80-L80-M80</f>
        <v>69503.9834761644</v>
      </c>
      <c r="O80" s="16" t="n">
        <f aca="false">F80*IF(A80="2025",INDEX(Products!$D$2:$D$13,MATCH(D80,Products!$A$2:$A$13,0)),INDEX(Products!$F$2:$F$13,MATCH(D80,Products!$A$2:$A$13,0)))</f>
        <v>37206</v>
      </c>
      <c r="P80" s="16" t="n">
        <f aca="false">N80-O80</f>
        <v>32297.9834761644</v>
      </c>
    </row>
    <row r="81" customFormat="false" ht="15" hidden="false" customHeight="false" outlineLevel="0" collapsed="false">
      <c r="A81" s="2" t="s">
        <v>118</v>
      </c>
      <c r="B81" s="2" t="n">
        <v>8</v>
      </c>
      <c r="C81" s="2" t="s">
        <v>62</v>
      </c>
      <c r="D81" s="2" t="s">
        <v>44</v>
      </c>
      <c r="E81" s="2" t="str">
        <f aca="false">INDEX(Products!$B$2:$B$13,MATCH(D81,Products!$A$2:$A$13,0))</f>
        <v>Specialty</v>
      </c>
      <c r="F81" s="15" t="n">
        <v>4.2</v>
      </c>
      <c r="G81" s="16" t="n">
        <f aca="false">IF(A81="2025",INDEX(Products!$C$2:$C$13,MATCH(D81,Products!$A$2:$A$13,0)),INDEX(Products!$E$2:$E$13,MATCH(D81,Products!$A$2:$A$13,0)))</f>
        <v>28970</v>
      </c>
      <c r="H81" s="13" t="n">
        <f aca="false">IF(A81="2025",INDEX(Customers!$D$2:$D$41,MATCH(C81,Customers!$A$2:$A$41,0)),INDEX(Customers!$F$2:$F$41,MATCH(C81,Customers!$A$2:$A$41,0)))</f>
        <v>0.048</v>
      </c>
      <c r="I81" s="16" t="n">
        <f aca="false">F81*G81</f>
        <v>121674</v>
      </c>
      <c r="J81" s="16" t="n">
        <f aca="false">I81*(1-H81)</f>
        <v>115833.648</v>
      </c>
      <c r="K81" s="16" t="n">
        <f aca="false">J81*INDEX(Customers!$G$2:$G$41,MATCH(C81,Customers!$A$2:$A$41,0))</f>
        <v>1158.33648</v>
      </c>
      <c r="L81" s="16" t="n">
        <f aca="false">F81*INDEX(Customers!$H$2:$H$41,MATCH(C81,Customers!$A$2:$A$41,0))</f>
        <v>1638</v>
      </c>
      <c r="M81" s="16" t="n">
        <f aca="false">J81*INDEX(Customers!$I$2:$I$41,MATCH(C81,Customers!$A$2:$A$41,0))/365*Assumptions!$B$6</f>
        <v>761.645904657534</v>
      </c>
      <c r="N81" s="16" t="n">
        <f aca="false">J81-K81-L81-M81</f>
        <v>112275.665615342</v>
      </c>
      <c r="O81" s="16" t="n">
        <f aca="false">F81*IF(A81="2025",INDEX(Products!$D$2:$D$13,MATCH(D81,Products!$A$2:$A$13,0)),INDEX(Products!$F$2:$F$13,MATCH(D81,Products!$A$2:$A$13,0)))</f>
        <v>60102</v>
      </c>
      <c r="P81" s="16" t="n">
        <f aca="false">N81-O81</f>
        <v>52173.6656153425</v>
      </c>
    </row>
    <row r="82" customFormat="false" ht="15" hidden="false" customHeight="false" outlineLevel="0" collapsed="false">
      <c r="A82" s="2" t="s">
        <v>118</v>
      </c>
      <c r="B82" s="2" t="n">
        <v>9</v>
      </c>
      <c r="C82" s="2" t="s">
        <v>62</v>
      </c>
      <c r="D82" s="2" t="s">
        <v>44</v>
      </c>
      <c r="E82" s="2" t="str">
        <f aca="false">INDEX(Products!$B$2:$B$13,MATCH(D82,Products!$A$2:$A$13,0))</f>
        <v>Specialty</v>
      </c>
      <c r="F82" s="15" t="n">
        <v>3.8</v>
      </c>
      <c r="G82" s="16" t="n">
        <f aca="false">IF(A82="2025",INDEX(Products!$C$2:$C$13,MATCH(D82,Products!$A$2:$A$13,0)),INDEX(Products!$E$2:$E$13,MATCH(D82,Products!$A$2:$A$13,0)))</f>
        <v>28970</v>
      </c>
      <c r="H82" s="13" t="n">
        <f aca="false">IF(A82="2025",INDEX(Customers!$D$2:$D$41,MATCH(C82,Customers!$A$2:$A$41,0)),INDEX(Customers!$F$2:$F$41,MATCH(C82,Customers!$A$2:$A$41,0)))</f>
        <v>0.048</v>
      </c>
      <c r="I82" s="16" t="n">
        <f aca="false">F82*G82</f>
        <v>110086</v>
      </c>
      <c r="J82" s="16" t="n">
        <f aca="false">I82*(1-H82)</f>
        <v>104801.872</v>
      </c>
      <c r="K82" s="16" t="n">
        <f aca="false">J82*INDEX(Customers!$G$2:$G$41,MATCH(C82,Customers!$A$2:$A$41,0))</f>
        <v>1048.01872</v>
      </c>
      <c r="L82" s="16" t="n">
        <f aca="false">F82*INDEX(Customers!$H$2:$H$41,MATCH(C82,Customers!$A$2:$A$41,0))</f>
        <v>1482</v>
      </c>
      <c r="M82" s="16" t="n">
        <f aca="false">J82*INDEX(Customers!$I$2:$I$41,MATCH(C82,Customers!$A$2:$A$41,0))/365*Assumptions!$B$6</f>
        <v>689.108199452055</v>
      </c>
      <c r="N82" s="16" t="n">
        <f aca="false">J82-K82-L82-M82</f>
        <v>101582.745080548</v>
      </c>
      <c r="O82" s="16" t="n">
        <f aca="false">F82*IF(A82="2025",INDEX(Products!$D$2:$D$13,MATCH(D82,Products!$A$2:$A$13,0)),INDEX(Products!$F$2:$F$13,MATCH(D82,Products!$A$2:$A$13,0)))</f>
        <v>54378</v>
      </c>
      <c r="P82" s="16" t="n">
        <f aca="false">N82-O82</f>
        <v>47204.7450805479</v>
      </c>
    </row>
    <row r="83" customFormat="false" ht="15" hidden="false" customHeight="false" outlineLevel="0" collapsed="false">
      <c r="A83" s="2" t="s">
        <v>118</v>
      </c>
      <c r="B83" s="2" t="n">
        <v>10</v>
      </c>
      <c r="C83" s="2" t="s">
        <v>62</v>
      </c>
      <c r="D83" s="2" t="s">
        <v>44</v>
      </c>
      <c r="E83" s="2" t="str">
        <f aca="false">INDEX(Products!$B$2:$B$13,MATCH(D83,Products!$A$2:$A$13,0))</f>
        <v>Specialty</v>
      </c>
      <c r="F83" s="15" t="n">
        <v>2.8</v>
      </c>
      <c r="G83" s="16" t="n">
        <f aca="false">IF(A83="2025",INDEX(Products!$C$2:$C$13,MATCH(D83,Products!$A$2:$A$13,0)),INDEX(Products!$E$2:$E$13,MATCH(D83,Products!$A$2:$A$13,0)))</f>
        <v>28970</v>
      </c>
      <c r="H83" s="13" t="n">
        <f aca="false">IF(A83="2025",INDEX(Customers!$D$2:$D$41,MATCH(C83,Customers!$A$2:$A$41,0)),INDEX(Customers!$F$2:$F$41,MATCH(C83,Customers!$A$2:$A$41,0)))</f>
        <v>0.048</v>
      </c>
      <c r="I83" s="16" t="n">
        <f aca="false">F83*G83</f>
        <v>81116</v>
      </c>
      <c r="J83" s="16" t="n">
        <f aca="false">I83*(1-H83)</f>
        <v>77222.432</v>
      </c>
      <c r="K83" s="16" t="n">
        <f aca="false">J83*INDEX(Customers!$G$2:$G$41,MATCH(C83,Customers!$A$2:$A$41,0))</f>
        <v>772.22432</v>
      </c>
      <c r="L83" s="16" t="n">
        <f aca="false">F83*INDEX(Customers!$H$2:$H$41,MATCH(C83,Customers!$A$2:$A$41,0))</f>
        <v>1092</v>
      </c>
      <c r="M83" s="16" t="n">
        <f aca="false">J83*INDEX(Customers!$I$2:$I$41,MATCH(C83,Customers!$A$2:$A$41,0))/365*Assumptions!$B$6</f>
        <v>507.763936438356</v>
      </c>
      <c r="N83" s="16" t="n">
        <f aca="false">J83-K83-L83-M83</f>
        <v>74850.4437435617</v>
      </c>
      <c r="O83" s="16" t="n">
        <f aca="false">F83*IF(A83="2025",INDEX(Products!$D$2:$D$13,MATCH(D83,Products!$A$2:$A$13,0)),INDEX(Products!$F$2:$F$13,MATCH(D83,Products!$A$2:$A$13,0)))</f>
        <v>40068</v>
      </c>
      <c r="P83" s="16" t="n">
        <f aca="false">N83-O83</f>
        <v>34782.4437435617</v>
      </c>
    </row>
    <row r="84" customFormat="false" ht="15" hidden="false" customHeight="false" outlineLevel="0" collapsed="false">
      <c r="A84" s="2" t="s">
        <v>118</v>
      </c>
      <c r="B84" s="2" t="n">
        <v>11</v>
      </c>
      <c r="C84" s="2" t="s">
        <v>62</v>
      </c>
      <c r="D84" s="2" t="s">
        <v>44</v>
      </c>
      <c r="E84" s="2" t="str">
        <f aca="false">INDEX(Products!$B$2:$B$13,MATCH(D84,Products!$A$2:$A$13,0))</f>
        <v>Specialty</v>
      </c>
      <c r="F84" s="15" t="n">
        <v>2.6</v>
      </c>
      <c r="G84" s="16" t="n">
        <f aca="false">IF(A84="2025",INDEX(Products!$C$2:$C$13,MATCH(D84,Products!$A$2:$A$13,0)),INDEX(Products!$E$2:$E$13,MATCH(D84,Products!$A$2:$A$13,0)))</f>
        <v>28970</v>
      </c>
      <c r="H84" s="13" t="n">
        <f aca="false">IF(A84="2025",INDEX(Customers!$D$2:$D$41,MATCH(C84,Customers!$A$2:$A$41,0)),INDEX(Customers!$F$2:$F$41,MATCH(C84,Customers!$A$2:$A$41,0)))</f>
        <v>0.048</v>
      </c>
      <c r="I84" s="16" t="n">
        <f aca="false">F84*G84</f>
        <v>75322</v>
      </c>
      <c r="J84" s="16" t="n">
        <f aca="false">I84*(1-H84)</f>
        <v>71706.544</v>
      </c>
      <c r="K84" s="16" t="n">
        <f aca="false">J84*INDEX(Customers!$G$2:$G$41,MATCH(C84,Customers!$A$2:$A$41,0))</f>
        <v>717.06544</v>
      </c>
      <c r="L84" s="16" t="n">
        <f aca="false">F84*INDEX(Customers!$H$2:$H$41,MATCH(C84,Customers!$A$2:$A$41,0))</f>
        <v>1014</v>
      </c>
      <c r="M84" s="16" t="n">
        <f aca="false">J84*INDEX(Customers!$I$2:$I$41,MATCH(C84,Customers!$A$2:$A$41,0))/365*Assumptions!$B$6</f>
        <v>471.495083835616</v>
      </c>
      <c r="N84" s="16" t="n">
        <f aca="false">J84-K84-L84-M84</f>
        <v>69503.9834761644</v>
      </c>
      <c r="O84" s="16" t="n">
        <f aca="false">F84*IF(A84="2025",INDEX(Products!$D$2:$D$13,MATCH(D84,Products!$A$2:$A$13,0)),INDEX(Products!$F$2:$F$13,MATCH(D84,Products!$A$2:$A$13,0)))</f>
        <v>37206</v>
      </c>
      <c r="P84" s="16" t="n">
        <f aca="false">N84-O84</f>
        <v>32297.9834761644</v>
      </c>
    </row>
    <row r="85" customFormat="false" ht="15" hidden="false" customHeight="false" outlineLevel="0" collapsed="false">
      <c r="A85" s="2" t="s">
        <v>118</v>
      </c>
      <c r="B85" s="2" t="n">
        <v>12</v>
      </c>
      <c r="C85" s="2" t="s">
        <v>62</v>
      </c>
      <c r="D85" s="2" t="s">
        <v>44</v>
      </c>
      <c r="E85" s="2" t="str">
        <f aca="false">INDEX(Products!$B$2:$B$13,MATCH(D85,Products!$A$2:$A$13,0))</f>
        <v>Specialty</v>
      </c>
      <c r="F85" s="15" t="n">
        <v>4.1</v>
      </c>
      <c r="G85" s="16" t="n">
        <f aca="false">IF(A85="2025",INDEX(Products!$C$2:$C$13,MATCH(D85,Products!$A$2:$A$13,0)),INDEX(Products!$E$2:$E$13,MATCH(D85,Products!$A$2:$A$13,0)))</f>
        <v>28970</v>
      </c>
      <c r="H85" s="13" t="n">
        <f aca="false">IF(A85="2025",INDEX(Customers!$D$2:$D$41,MATCH(C85,Customers!$A$2:$A$41,0)),INDEX(Customers!$F$2:$F$41,MATCH(C85,Customers!$A$2:$A$41,0)))</f>
        <v>0.048</v>
      </c>
      <c r="I85" s="16" t="n">
        <f aca="false">F85*G85</f>
        <v>118777</v>
      </c>
      <c r="J85" s="16" t="n">
        <f aca="false">I85*(1-H85)</f>
        <v>113075.704</v>
      </c>
      <c r="K85" s="16" t="n">
        <f aca="false">J85*INDEX(Customers!$G$2:$G$41,MATCH(C85,Customers!$A$2:$A$41,0))</f>
        <v>1130.75704</v>
      </c>
      <c r="L85" s="16" t="n">
        <f aca="false">F85*INDEX(Customers!$H$2:$H$41,MATCH(C85,Customers!$A$2:$A$41,0))</f>
        <v>1599</v>
      </c>
      <c r="M85" s="16" t="n">
        <f aca="false">J85*INDEX(Customers!$I$2:$I$41,MATCH(C85,Customers!$A$2:$A$41,0))/365*Assumptions!$B$6</f>
        <v>743.511478356164</v>
      </c>
      <c r="N85" s="16" t="n">
        <f aca="false">J85-K85-L85-M85</f>
        <v>109602.435481644</v>
      </c>
      <c r="O85" s="16" t="n">
        <f aca="false">F85*IF(A85="2025",INDEX(Products!$D$2:$D$13,MATCH(D85,Products!$A$2:$A$13,0)),INDEX(Products!$F$2:$F$13,MATCH(D85,Products!$A$2:$A$13,0)))</f>
        <v>58671</v>
      </c>
      <c r="P85" s="16" t="n">
        <f aca="false">N85-O85</f>
        <v>50931.4354816438</v>
      </c>
    </row>
    <row r="86" customFormat="false" ht="15" hidden="false" customHeight="false" outlineLevel="0" collapsed="false">
      <c r="A86" s="2" t="s">
        <v>119</v>
      </c>
      <c r="B86" s="2" t="n">
        <v>1</v>
      </c>
      <c r="C86" s="2" t="s">
        <v>62</v>
      </c>
      <c r="D86" s="2" t="s">
        <v>44</v>
      </c>
      <c r="E86" s="2" t="str">
        <f aca="false">INDEX(Products!$B$2:$B$13,MATCH(D86,Products!$A$2:$A$13,0))</f>
        <v>Specialty</v>
      </c>
      <c r="F86" s="15" t="n">
        <v>3.6</v>
      </c>
      <c r="G86" s="16" t="n">
        <f aca="false">IF(A86="2025",INDEX(Products!$C$2:$C$13,MATCH(D86,Products!$A$2:$A$13,0)),INDEX(Products!$E$2:$E$13,MATCH(D86,Products!$A$2:$A$13,0)))</f>
        <v>30418.5</v>
      </c>
      <c r="H86" s="13" t="n">
        <f aca="false">IF(A86="2025",INDEX(Customers!$D$2:$D$41,MATCH(C86,Customers!$A$2:$A$41,0)),INDEX(Customers!$F$2:$F$41,MATCH(C86,Customers!$A$2:$A$41,0)))</f>
        <v>0.067</v>
      </c>
      <c r="I86" s="16" t="n">
        <f aca="false">F86*G86</f>
        <v>109506.6</v>
      </c>
      <c r="J86" s="16" t="n">
        <f aca="false">I86*(1-H86)</f>
        <v>102169.6578</v>
      </c>
      <c r="K86" s="16" t="n">
        <f aca="false">J86*INDEX(Customers!$G$2:$G$41,MATCH(C86,Customers!$A$2:$A$41,0))</f>
        <v>1021.696578</v>
      </c>
      <c r="L86" s="16" t="n">
        <f aca="false">F86*INDEX(Customers!$H$2:$H$41,MATCH(C86,Customers!$A$2:$A$41,0))</f>
        <v>1404</v>
      </c>
      <c r="M86" s="16" t="n">
        <f aca="false">J86*INDEX(Customers!$I$2:$I$41,MATCH(C86,Customers!$A$2:$A$41,0))/365*Assumptions!$B$6</f>
        <v>671.800489643836</v>
      </c>
      <c r="N86" s="16" t="n">
        <f aca="false">J86-K86-L86-M86</f>
        <v>99072.1607323562</v>
      </c>
      <c r="O86" s="16" t="n">
        <f aca="false">F86*IF(A86="2025",INDEX(Products!$D$2:$D$13,MATCH(D86,Products!$A$2:$A$13,0)),INDEX(Products!$F$2:$F$13,MATCH(D86,Products!$A$2:$A$13,0)))</f>
        <v>53061.48</v>
      </c>
      <c r="P86" s="16" t="n">
        <f aca="false">N86-O86</f>
        <v>46010.6807323562</v>
      </c>
    </row>
    <row r="87" customFormat="false" ht="15" hidden="false" customHeight="false" outlineLevel="0" collapsed="false">
      <c r="A87" s="2" t="s">
        <v>119</v>
      </c>
      <c r="B87" s="2" t="n">
        <v>2</v>
      </c>
      <c r="C87" s="2" t="s">
        <v>62</v>
      </c>
      <c r="D87" s="2" t="s">
        <v>44</v>
      </c>
      <c r="E87" s="2" t="str">
        <f aca="false">INDEX(Products!$B$2:$B$13,MATCH(D87,Products!$A$2:$A$13,0))</f>
        <v>Specialty</v>
      </c>
      <c r="F87" s="15" t="n">
        <v>4.4</v>
      </c>
      <c r="G87" s="16" t="n">
        <f aca="false">IF(A87="2025",INDEX(Products!$C$2:$C$13,MATCH(D87,Products!$A$2:$A$13,0)),INDEX(Products!$E$2:$E$13,MATCH(D87,Products!$A$2:$A$13,0)))</f>
        <v>30418.5</v>
      </c>
      <c r="H87" s="13" t="n">
        <f aca="false">IF(A87="2025",INDEX(Customers!$D$2:$D$41,MATCH(C87,Customers!$A$2:$A$41,0)),INDEX(Customers!$F$2:$F$41,MATCH(C87,Customers!$A$2:$A$41,0)))</f>
        <v>0.067</v>
      </c>
      <c r="I87" s="16" t="n">
        <f aca="false">F87*G87</f>
        <v>133841.4</v>
      </c>
      <c r="J87" s="16" t="n">
        <f aca="false">I87*(1-H87)</f>
        <v>124874.0262</v>
      </c>
      <c r="K87" s="16" t="n">
        <f aca="false">J87*INDEX(Customers!$G$2:$G$41,MATCH(C87,Customers!$A$2:$A$41,0))</f>
        <v>1248.740262</v>
      </c>
      <c r="L87" s="16" t="n">
        <f aca="false">F87*INDEX(Customers!$H$2:$H$41,MATCH(C87,Customers!$A$2:$A$41,0))</f>
        <v>1716</v>
      </c>
      <c r="M87" s="16" t="n">
        <f aca="false">J87*INDEX(Customers!$I$2:$I$41,MATCH(C87,Customers!$A$2:$A$41,0))/365*Assumptions!$B$6</f>
        <v>821.089487342466</v>
      </c>
      <c r="N87" s="16" t="n">
        <f aca="false">J87-K87-L87-M87</f>
        <v>121088.196450658</v>
      </c>
      <c r="O87" s="16" t="n">
        <f aca="false">F87*IF(A87="2025",INDEX(Products!$D$2:$D$13,MATCH(D87,Products!$A$2:$A$13,0)),INDEX(Products!$F$2:$F$13,MATCH(D87,Products!$A$2:$A$13,0)))</f>
        <v>64852.92</v>
      </c>
      <c r="P87" s="16" t="n">
        <f aca="false">N87-O87</f>
        <v>56235.2764506575</v>
      </c>
    </row>
    <row r="88" customFormat="false" ht="15" hidden="false" customHeight="false" outlineLevel="0" collapsed="false">
      <c r="A88" s="2" t="s">
        <v>119</v>
      </c>
      <c r="B88" s="2" t="n">
        <v>3</v>
      </c>
      <c r="C88" s="2" t="s">
        <v>62</v>
      </c>
      <c r="D88" s="2" t="s">
        <v>44</v>
      </c>
      <c r="E88" s="2" t="str">
        <f aca="false">INDEX(Products!$B$2:$B$13,MATCH(D88,Products!$A$2:$A$13,0))</f>
        <v>Specialty</v>
      </c>
      <c r="F88" s="15" t="n">
        <v>3.5</v>
      </c>
      <c r="G88" s="16" t="n">
        <f aca="false">IF(A88="2025",INDEX(Products!$C$2:$C$13,MATCH(D88,Products!$A$2:$A$13,0)),INDEX(Products!$E$2:$E$13,MATCH(D88,Products!$A$2:$A$13,0)))</f>
        <v>30418.5</v>
      </c>
      <c r="H88" s="13" t="n">
        <f aca="false">IF(A88="2025",INDEX(Customers!$D$2:$D$41,MATCH(C88,Customers!$A$2:$A$41,0)),INDEX(Customers!$F$2:$F$41,MATCH(C88,Customers!$A$2:$A$41,0)))</f>
        <v>0.067</v>
      </c>
      <c r="I88" s="16" t="n">
        <f aca="false">F88*G88</f>
        <v>106464.75</v>
      </c>
      <c r="J88" s="16" t="n">
        <f aca="false">I88*(1-H88)</f>
        <v>99331.61175</v>
      </c>
      <c r="K88" s="16" t="n">
        <f aca="false">J88*INDEX(Customers!$G$2:$G$41,MATCH(C88,Customers!$A$2:$A$41,0))</f>
        <v>993.3161175</v>
      </c>
      <c r="L88" s="16" t="n">
        <f aca="false">F88*INDEX(Customers!$H$2:$H$41,MATCH(C88,Customers!$A$2:$A$41,0))</f>
        <v>1365</v>
      </c>
      <c r="M88" s="16" t="n">
        <f aca="false">J88*INDEX(Customers!$I$2:$I$41,MATCH(C88,Customers!$A$2:$A$41,0))/365*Assumptions!$B$6</f>
        <v>653.139364931507</v>
      </c>
      <c r="N88" s="16" t="n">
        <f aca="false">J88-K88-L88-M88</f>
        <v>96320.1562675685</v>
      </c>
      <c r="O88" s="16" t="n">
        <f aca="false">F88*IF(A88="2025",INDEX(Products!$D$2:$D$13,MATCH(D88,Products!$A$2:$A$13,0)),INDEX(Products!$F$2:$F$13,MATCH(D88,Products!$A$2:$A$13,0)))</f>
        <v>51587.55</v>
      </c>
      <c r="P88" s="16" t="n">
        <f aca="false">N88-O88</f>
        <v>44732.6062675685</v>
      </c>
    </row>
    <row r="89" customFormat="false" ht="15" hidden="false" customHeight="false" outlineLevel="0" collapsed="false">
      <c r="A89" s="2" t="s">
        <v>119</v>
      </c>
      <c r="B89" s="2" t="n">
        <v>4</v>
      </c>
      <c r="C89" s="2" t="s">
        <v>62</v>
      </c>
      <c r="D89" s="2" t="s">
        <v>44</v>
      </c>
      <c r="E89" s="2" t="str">
        <f aca="false">INDEX(Products!$B$2:$B$13,MATCH(D89,Products!$A$2:$A$13,0))</f>
        <v>Specialty</v>
      </c>
      <c r="F89" s="15" t="n">
        <v>2.9</v>
      </c>
      <c r="G89" s="16" t="n">
        <f aca="false">IF(A89="2025",INDEX(Products!$C$2:$C$13,MATCH(D89,Products!$A$2:$A$13,0)),INDEX(Products!$E$2:$E$13,MATCH(D89,Products!$A$2:$A$13,0)))</f>
        <v>30418.5</v>
      </c>
      <c r="H89" s="13" t="n">
        <f aca="false">IF(A89="2025",INDEX(Customers!$D$2:$D$41,MATCH(C89,Customers!$A$2:$A$41,0)),INDEX(Customers!$F$2:$F$41,MATCH(C89,Customers!$A$2:$A$41,0)))</f>
        <v>0.067</v>
      </c>
      <c r="I89" s="16" t="n">
        <f aca="false">F89*G89</f>
        <v>88213.65</v>
      </c>
      <c r="J89" s="16" t="n">
        <f aca="false">I89*(1-H89)</f>
        <v>82303.33545</v>
      </c>
      <c r="K89" s="16" t="n">
        <f aca="false">J89*INDEX(Customers!$G$2:$G$41,MATCH(C89,Customers!$A$2:$A$41,0))</f>
        <v>823.0333545</v>
      </c>
      <c r="L89" s="16" t="n">
        <f aca="false">F89*INDEX(Customers!$H$2:$H$41,MATCH(C89,Customers!$A$2:$A$41,0))</f>
        <v>1131</v>
      </c>
      <c r="M89" s="16" t="n">
        <f aca="false">J89*INDEX(Customers!$I$2:$I$41,MATCH(C89,Customers!$A$2:$A$41,0))/365*Assumptions!$B$6</f>
        <v>541.172616657534</v>
      </c>
      <c r="N89" s="16" t="n">
        <f aca="false">J89-K89-L89-M89</f>
        <v>79808.1294788425</v>
      </c>
      <c r="O89" s="16" t="n">
        <f aca="false">F89*IF(A89="2025",INDEX(Products!$D$2:$D$13,MATCH(D89,Products!$A$2:$A$13,0)),INDEX(Products!$F$2:$F$13,MATCH(D89,Products!$A$2:$A$13,0)))</f>
        <v>42743.97</v>
      </c>
      <c r="P89" s="16" t="n">
        <f aca="false">N89-O89</f>
        <v>37064.1594788425</v>
      </c>
    </row>
    <row r="90" customFormat="false" ht="15" hidden="false" customHeight="false" outlineLevel="0" collapsed="false">
      <c r="A90" s="2" t="s">
        <v>119</v>
      </c>
      <c r="B90" s="2" t="n">
        <v>5</v>
      </c>
      <c r="C90" s="2" t="s">
        <v>62</v>
      </c>
      <c r="D90" s="2" t="s">
        <v>44</v>
      </c>
      <c r="E90" s="2" t="str">
        <f aca="false">INDEX(Products!$B$2:$B$13,MATCH(D90,Products!$A$2:$A$13,0))</f>
        <v>Specialty</v>
      </c>
      <c r="F90" s="15" t="n">
        <v>2.7</v>
      </c>
      <c r="G90" s="16" t="n">
        <f aca="false">IF(A90="2025",INDEX(Products!$C$2:$C$13,MATCH(D90,Products!$A$2:$A$13,0)),INDEX(Products!$E$2:$E$13,MATCH(D90,Products!$A$2:$A$13,0)))</f>
        <v>30418.5</v>
      </c>
      <c r="H90" s="13" t="n">
        <f aca="false">IF(A90="2025",INDEX(Customers!$D$2:$D$41,MATCH(C90,Customers!$A$2:$A$41,0)),INDEX(Customers!$F$2:$F$41,MATCH(C90,Customers!$A$2:$A$41,0)))</f>
        <v>0.067</v>
      </c>
      <c r="I90" s="16" t="n">
        <f aca="false">F90*G90</f>
        <v>82129.95</v>
      </c>
      <c r="J90" s="16" t="n">
        <f aca="false">I90*(1-H90)</f>
        <v>76627.24335</v>
      </c>
      <c r="K90" s="16" t="n">
        <f aca="false">J90*INDEX(Customers!$G$2:$G$41,MATCH(C90,Customers!$A$2:$A$41,0))</f>
        <v>766.2724335</v>
      </c>
      <c r="L90" s="16" t="n">
        <f aca="false">F90*INDEX(Customers!$H$2:$H$41,MATCH(C90,Customers!$A$2:$A$41,0))</f>
        <v>1053</v>
      </c>
      <c r="M90" s="16" t="n">
        <f aca="false">J90*INDEX(Customers!$I$2:$I$41,MATCH(C90,Customers!$A$2:$A$41,0))/365*Assumptions!$B$6</f>
        <v>503.850367232877</v>
      </c>
      <c r="N90" s="16" t="n">
        <f aca="false">J90-K90-L90-M90</f>
        <v>74304.1205492671</v>
      </c>
      <c r="O90" s="16" t="n">
        <f aca="false">F90*IF(A90="2025",INDEX(Products!$D$2:$D$13,MATCH(D90,Products!$A$2:$A$13,0)),INDEX(Products!$F$2:$F$13,MATCH(D90,Products!$A$2:$A$13,0)))</f>
        <v>39796.11</v>
      </c>
      <c r="P90" s="16" t="n">
        <f aca="false">N90-O90</f>
        <v>34508.0105492671</v>
      </c>
    </row>
    <row r="91" customFormat="false" ht="15" hidden="false" customHeight="false" outlineLevel="0" collapsed="false">
      <c r="A91" s="2" t="s">
        <v>119</v>
      </c>
      <c r="B91" s="2" t="n">
        <v>6</v>
      </c>
      <c r="C91" s="2" t="s">
        <v>62</v>
      </c>
      <c r="D91" s="2" t="s">
        <v>44</v>
      </c>
      <c r="E91" s="2" t="str">
        <f aca="false">INDEX(Products!$B$2:$B$13,MATCH(D91,Products!$A$2:$A$13,0))</f>
        <v>Specialty</v>
      </c>
      <c r="F91" s="15" t="n">
        <v>3.3</v>
      </c>
      <c r="G91" s="16" t="n">
        <f aca="false">IF(A91="2025",INDEX(Products!$C$2:$C$13,MATCH(D91,Products!$A$2:$A$13,0)),INDEX(Products!$E$2:$E$13,MATCH(D91,Products!$A$2:$A$13,0)))</f>
        <v>30418.5</v>
      </c>
      <c r="H91" s="13" t="n">
        <f aca="false">IF(A91="2025",INDEX(Customers!$D$2:$D$41,MATCH(C91,Customers!$A$2:$A$41,0)),INDEX(Customers!$F$2:$F$41,MATCH(C91,Customers!$A$2:$A$41,0)))</f>
        <v>0.067</v>
      </c>
      <c r="I91" s="16" t="n">
        <f aca="false">F91*G91</f>
        <v>100381.05</v>
      </c>
      <c r="J91" s="16" t="n">
        <f aca="false">I91*(1-H91)</f>
        <v>93655.51965</v>
      </c>
      <c r="K91" s="16" t="n">
        <f aca="false">J91*INDEX(Customers!$G$2:$G$41,MATCH(C91,Customers!$A$2:$A$41,0))</f>
        <v>936.5551965</v>
      </c>
      <c r="L91" s="16" t="n">
        <f aca="false">F91*INDEX(Customers!$H$2:$H$41,MATCH(C91,Customers!$A$2:$A$41,0))</f>
        <v>1287</v>
      </c>
      <c r="M91" s="16" t="n">
        <f aca="false">J91*INDEX(Customers!$I$2:$I$41,MATCH(C91,Customers!$A$2:$A$41,0))/365*Assumptions!$B$6</f>
        <v>615.817115506849</v>
      </c>
      <c r="N91" s="16" t="n">
        <f aca="false">J91-K91-L91-M91</f>
        <v>90816.1473379931</v>
      </c>
      <c r="O91" s="16" t="n">
        <f aca="false">F91*IF(A91="2025",INDEX(Products!$D$2:$D$13,MATCH(D91,Products!$A$2:$A$13,0)),INDEX(Products!$F$2:$F$13,MATCH(D91,Products!$A$2:$A$13,0)))</f>
        <v>48639.69</v>
      </c>
      <c r="P91" s="16" t="n">
        <f aca="false">N91-O91</f>
        <v>42176.4573379931</v>
      </c>
    </row>
    <row r="92" customFormat="false" ht="15" hidden="false" customHeight="false" outlineLevel="0" collapsed="false">
      <c r="A92" s="2" t="s">
        <v>119</v>
      </c>
      <c r="B92" s="2" t="n">
        <v>7</v>
      </c>
      <c r="C92" s="2" t="s">
        <v>62</v>
      </c>
      <c r="D92" s="2" t="s">
        <v>44</v>
      </c>
      <c r="E92" s="2" t="str">
        <f aca="false">INDEX(Products!$B$2:$B$13,MATCH(D92,Products!$A$2:$A$13,0))</f>
        <v>Specialty</v>
      </c>
      <c r="F92" s="15" t="n">
        <v>3.9</v>
      </c>
      <c r="G92" s="16" t="n">
        <f aca="false">IF(A92="2025",INDEX(Products!$C$2:$C$13,MATCH(D92,Products!$A$2:$A$13,0)),INDEX(Products!$E$2:$E$13,MATCH(D92,Products!$A$2:$A$13,0)))</f>
        <v>30418.5</v>
      </c>
      <c r="H92" s="13" t="n">
        <f aca="false">IF(A92="2025",INDEX(Customers!$D$2:$D$41,MATCH(C92,Customers!$A$2:$A$41,0)),INDEX(Customers!$F$2:$F$41,MATCH(C92,Customers!$A$2:$A$41,0)))</f>
        <v>0.067</v>
      </c>
      <c r="I92" s="16" t="n">
        <f aca="false">F92*G92</f>
        <v>118632.15</v>
      </c>
      <c r="J92" s="16" t="n">
        <f aca="false">I92*(1-H92)</f>
        <v>110683.79595</v>
      </c>
      <c r="K92" s="16" t="n">
        <f aca="false">J92*INDEX(Customers!$G$2:$G$41,MATCH(C92,Customers!$A$2:$A$41,0))</f>
        <v>1106.8379595</v>
      </c>
      <c r="L92" s="16" t="n">
        <f aca="false">F92*INDEX(Customers!$H$2:$H$41,MATCH(C92,Customers!$A$2:$A$41,0))</f>
        <v>1521</v>
      </c>
      <c r="M92" s="16" t="n">
        <f aca="false">J92*INDEX(Customers!$I$2:$I$41,MATCH(C92,Customers!$A$2:$A$41,0))/365*Assumptions!$B$6</f>
        <v>727.783863780822</v>
      </c>
      <c r="N92" s="16" t="n">
        <f aca="false">J92-K92-L92-M92</f>
        <v>107328.174126719</v>
      </c>
      <c r="O92" s="16" t="n">
        <f aca="false">F92*IF(A92="2025",INDEX(Products!$D$2:$D$13,MATCH(D92,Products!$A$2:$A$13,0)),INDEX(Products!$F$2:$F$13,MATCH(D92,Products!$A$2:$A$13,0)))</f>
        <v>57483.27</v>
      </c>
      <c r="P92" s="16" t="n">
        <f aca="false">N92-O92</f>
        <v>49844.9041267192</v>
      </c>
    </row>
    <row r="93" customFormat="false" ht="15" hidden="false" customHeight="false" outlineLevel="0" collapsed="false">
      <c r="A93" s="2" t="s">
        <v>119</v>
      </c>
      <c r="B93" s="2" t="n">
        <v>8</v>
      </c>
      <c r="C93" s="2" t="s">
        <v>62</v>
      </c>
      <c r="D93" s="2" t="s">
        <v>44</v>
      </c>
      <c r="E93" s="2" t="str">
        <f aca="false">INDEX(Products!$B$2:$B$13,MATCH(D93,Products!$A$2:$A$13,0))</f>
        <v>Specialty</v>
      </c>
      <c r="F93" s="15" t="n">
        <v>2.5</v>
      </c>
      <c r="G93" s="16" t="n">
        <f aca="false">IF(A93="2025",INDEX(Products!$C$2:$C$13,MATCH(D93,Products!$A$2:$A$13,0)),INDEX(Products!$E$2:$E$13,MATCH(D93,Products!$A$2:$A$13,0)))</f>
        <v>30418.5</v>
      </c>
      <c r="H93" s="13" t="n">
        <f aca="false">IF(A93="2025",INDEX(Customers!$D$2:$D$41,MATCH(C93,Customers!$A$2:$A$41,0)),INDEX(Customers!$F$2:$F$41,MATCH(C93,Customers!$A$2:$A$41,0)))</f>
        <v>0.067</v>
      </c>
      <c r="I93" s="16" t="n">
        <f aca="false">F93*G93</f>
        <v>76046.25</v>
      </c>
      <c r="J93" s="16" t="n">
        <f aca="false">I93*(1-H93)</f>
        <v>70951.15125</v>
      </c>
      <c r="K93" s="16" t="n">
        <f aca="false">J93*INDEX(Customers!$G$2:$G$41,MATCH(C93,Customers!$A$2:$A$41,0))</f>
        <v>709.5115125</v>
      </c>
      <c r="L93" s="16" t="n">
        <f aca="false">F93*INDEX(Customers!$H$2:$H$41,MATCH(C93,Customers!$A$2:$A$41,0))</f>
        <v>975</v>
      </c>
      <c r="M93" s="16" t="n">
        <f aca="false">J93*INDEX(Customers!$I$2:$I$41,MATCH(C93,Customers!$A$2:$A$41,0))/365*Assumptions!$B$6</f>
        <v>466.528117808219</v>
      </c>
      <c r="N93" s="16" t="n">
        <f aca="false">J93-K93-L93-M93</f>
        <v>68800.1116196918</v>
      </c>
      <c r="O93" s="16" t="n">
        <f aca="false">F93*IF(A93="2025",INDEX(Products!$D$2:$D$13,MATCH(D93,Products!$A$2:$A$13,0)),INDEX(Products!$F$2:$F$13,MATCH(D93,Products!$A$2:$A$13,0)))</f>
        <v>36848.25</v>
      </c>
      <c r="P93" s="16" t="n">
        <f aca="false">N93-O93</f>
        <v>31951.8616196918</v>
      </c>
    </row>
    <row r="94" customFormat="false" ht="15" hidden="false" customHeight="false" outlineLevel="0" collapsed="false">
      <c r="A94" s="2" t="s">
        <v>119</v>
      </c>
      <c r="B94" s="2" t="n">
        <v>9</v>
      </c>
      <c r="C94" s="2" t="s">
        <v>62</v>
      </c>
      <c r="D94" s="2" t="s">
        <v>44</v>
      </c>
      <c r="E94" s="2" t="str">
        <f aca="false">INDEX(Products!$B$2:$B$13,MATCH(D94,Products!$A$2:$A$13,0))</f>
        <v>Specialty</v>
      </c>
      <c r="F94" s="15" t="n">
        <v>3.3</v>
      </c>
      <c r="G94" s="16" t="n">
        <f aca="false">IF(A94="2025",INDEX(Products!$C$2:$C$13,MATCH(D94,Products!$A$2:$A$13,0)),INDEX(Products!$E$2:$E$13,MATCH(D94,Products!$A$2:$A$13,0)))</f>
        <v>30418.5</v>
      </c>
      <c r="H94" s="13" t="n">
        <f aca="false">IF(A94="2025",INDEX(Customers!$D$2:$D$41,MATCH(C94,Customers!$A$2:$A$41,0)),INDEX(Customers!$F$2:$F$41,MATCH(C94,Customers!$A$2:$A$41,0)))</f>
        <v>0.067</v>
      </c>
      <c r="I94" s="16" t="n">
        <f aca="false">F94*G94</f>
        <v>100381.05</v>
      </c>
      <c r="J94" s="16" t="n">
        <f aca="false">I94*(1-H94)</f>
        <v>93655.51965</v>
      </c>
      <c r="K94" s="16" t="n">
        <f aca="false">J94*INDEX(Customers!$G$2:$G$41,MATCH(C94,Customers!$A$2:$A$41,0))</f>
        <v>936.5551965</v>
      </c>
      <c r="L94" s="16" t="n">
        <f aca="false">F94*INDEX(Customers!$H$2:$H$41,MATCH(C94,Customers!$A$2:$A$41,0))</f>
        <v>1287</v>
      </c>
      <c r="M94" s="16" t="n">
        <f aca="false">J94*INDEX(Customers!$I$2:$I$41,MATCH(C94,Customers!$A$2:$A$41,0))/365*Assumptions!$B$6</f>
        <v>615.817115506849</v>
      </c>
      <c r="N94" s="16" t="n">
        <f aca="false">J94-K94-L94-M94</f>
        <v>90816.1473379931</v>
      </c>
      <c r="O94" s="16" t="n">
        <f aca="false">F94*IF(A94="2025",INDEX(Products!$D$2:$D$13,MATCH(D94,Products!$A$2:$A$13,0)),INDEX(Products!$F$2:$F$13,MATCH(D94,Products!$A$2:$A$13,0)))</f>
        <v>48639.69</v>
      </c>
      <c r="P94" s="16" t="n">
        <f aca="false">N94-O94</f>
        <v>42176.4573379931</v>
      </c>
    </row>
    <row r="95" customFormat="false" ht="15" hidden="false" customHeight="false" outlineLevel="0" collapsed="false">
      <c r="A95" s="2" t="s">
        <v>119</v>
      </c>
      <c r="B95" s="2" t="n">
        <v>10</v>
      </c>
      <c r="C95" s="2" t="s">
        <v>62</v>
      </c>
      <c r="D95" s="2" t="s">
        <v>44</v>
      </c>
      <c r="E95" s="2" t="str">
        <f aca="false">INDEX(Products!$B$2:$B$13,MATCH(D95,Products!$A$2:$A$13,0))</f>
        <v>Specialty</v>
      </c>
      <c r="F95" s="15" t="n">
        <v>3.3</v>
      </c>
      <c r="G95" s="16" t="n">
        <f aca="false">IF(A95="2025",INDEX(Products!$C$2:$C$13,MATCH(D95,Products!$A$2:$A$13,0)),INDEX(Products!$E$2:$E$13,MATCH(D95,Products!$A$2:$A$13,0)))</f>
        <v>30418.5</v>
      </c>
      <c r="H95" s="13" t="n">
        <f aca="false">IF(A95="2025",INDEX(Customers!$D$2:$D$41,MATCH(C95,Customers!$A$2:$A$41,0)),INDEX(Customers!$F$2:$F$41,MATCH(C95,Customers!$A$2:$A$41,0)))</f>
        <v>0.067</v>
      </c>
      <c r="I95" s="16" t="n">
        <f aca="false">F95*G95</f>
        <v>100381.05</v>
      </c>
      <c r="J95" s="16" t="n">
        <f aca="false">I95*(1-H95)</f>
        <v>93655.51965</v>
      </c>
      <c r="K95" s="16" t="n">
        <f aca="false">J95*INDEX(Customers!$G$2:$G$41,MATCH(C95,Customers!$A$2:$A$41,0))</f>
        <v>936.5551965</v>
      </c>
      <c r="L95" s="16" t="n">
        <f aca="false">F95*INDEX(Customers!$H$2:$H$41,MATCH(C95,Customers!$A$2:$A$41,0))</f>
        <v>1287</v>
      </c>
      <c r="M95" s="16" t="n">
        <f aca="false">J95*INDEX(Customers!$I$2:$I$41,MATCH(C95,Customers!$A$2:$A$41,0))/365*Assumptions!$B$6</f>
        <v>615.817115506849</v>
      </c>
      <c r="N95" s="16" t="n">
        <f aca="false">J95-K95-L95-M95</f>
        <v>90816.1473379931</v>
      </c>
      <c r="O95" s="16" t="n">
        <f aca="false">F95*IF(A95="2025",INDEX(Products!$D$2:$D$13,MATCH(D95,Products!$A$2:$A$13,0)),INDEX(Products!$F$2:$F$13,MATCH(D95,Products!$A$2:$A$13,0)))</f>
        <v>48639.69</v>
      </c>
      <c r="P95" s="16" t="n">
        <f aca="false">N95-O95</f>
        <v>42176.4573379931</v>
      </c>
    </row>
    <row r="96" customFormat="false" ht="15" hidden="false" customHeight="false" outlineLevel="0" collapsed="false">
      <c r="A96" s="2" t="s">
        <v>119</v>
      </c>
      <c r="B96" s="2" t="n">
        <v>11</v>
      </c>
      <c r="C96" s="2" t="s">
        <v>62</v>
      </c>
      <c r="D96" s="2" t="s">
        <v>44</v>
      </c>
      <c r="E96" s="2" t="str">
        <f aca="false">INDEX(Products!$B$2:$B$13,MATCH(D96,Products!$A$2:$A$13,0))</f>
        <v>Specialty</v>
      </c>
      <c r="F96" s="15" t="n">
        <v>3.8</v>
      </c>
      <c r="G96" s="16" t="n">
        <f aca="false">IF(A96="2025",INDEX(Products!$C$2:$C$13,MATCH(D96,Products!$A$2:$A$13,0)),INDEX(Products!$E$2:$E$13,MATCH(D96,Products!$A$2:$A$13,0)))</f>
        <v>30418.5</v>
      </c>
      <c r="H96" s="13" t="n">
        <f aca="false">IF(A96="2025",INDEX(Customers!$D$2:$D$41,MATCH(C96,Customers!$A$2:$A$41,0)),INDEX(Customers!$F$2:$F$41,MATCH(C96,Customers!$A$2:$A$41,0)))</f>
        <v>0.067</v>
      </c>
      <c r="I96" s="16" t="n">
        <f aca="false">F96*G96</f>
        <v>115590.3</v>
      </c>
      <c r="J96" s="16" t="n">
        <f aca="false">I96*(1-H96)</f>
        <v>107845.7499</v>
      </c>
      <c r="K96" s="16" t="n">
        <f aca="false">J96*INDEX(Customers!$G$2:$G$41,MATCH(C96,Customers!$A$2:$A$41,0))</f>
        <v>1078.457499</v>
      </c>
      <c r="L96" s="16" t="n">
        <f aca="false">F96*INDEX(Customers!$H$2:$H$41,MATCH(C96,Customers!$A$2:$A$41,0))</f>
        <v>1482</v>
      </c>
      <c r="M96" s="16" t="n">
        <f aca="false">J96*INDEX(Customers!$I$2:$I$41,MATCH(C96,Customers!$A$2:$A$41,0))/365*Assumptions!$B$6</f>
        <v>709.122739068493</v>
      </c>
      <c r="N96" s="16" t="n">
        <f aca="false">J96-K96-L96-M96</f>
        <v>104576.169661932</v>
      </c>
      <c r="O96" s="16" t="n">
        <f aca="false">F96*IF(A96="2025",INDEX(Products!$D$2:$D$13,MATCH(D96,Products!$A$2:$A$13,0)),INDEX(Products!$F$2:$F$13,MATCH(D96,Products!$A$2:$A$13,0)))</f>
        <v>56009.34</v>
      </c>
      <c r="P96" s="16" t="n">
        <f aca="false">N96-O96</f>
        <v>48566.8296619315</v>
      </c>
    </row>
    <row r="97" customFormat="false" ht="15" hidden="false" customHeight="false" outlineLevel="0" collapsed="false">
      <c r="A97" s="2" t="s">
        <v>119</v>
      </c>
      <c r="B97" s="2" t="n">
        <v>12</v>
      </c>
      <c r="C97" s="2" t="s">
        <v>62</v>
      </c>
      <c r="D97" s="2" t="s">
        <v>44</v>
      </c>
      <c r="E97" s="2" t="str">
        <f aca="false">INDEX(Products!$B$2:$B$13,MATCH(D97,Products!$A$2:$A$13,0))</f>
        <v>Specialty</v>
      </c>
      <c r="F97" s="15" t="n">
        <v>2.9</v>
      </c>
      <c r="G97" s="16" t="n">
        <f aca="false">IF(A97="2025",INDEX(Products!$C$2:$C$13,MATCH(D97,Products!$A$2:$A$13,0)),INDEX(Products!$E$2:$E$13,MATCH(D97,Products!$A$2:$A$13,0)))</f>
        <v>30418.5</v>
      </c>
      <c r="H97" s="13" t="n">
        <f aca="false">IF(A97="2025",INDEX(Customers!$D$2:$D$41,MATCH(C97,Customers!$A$2:$A$41,0)),INDEX(Customers!$F$2:$F$41,MATCH(C97,Customers!$A$2:$A$41,0)))</f>
        <v>0.067</v>
      </c>
      <c r="I97" s="16" t="n">
        <f aca="false">F97*G97</f>
        <v>88213.65</v>
      </c>
      <c r="J97" s="16" t="n">
        <f aca="false">I97*(1-H97)</f>
        <v>82303.33545</v>
      </c>
      <c r="K97" s="16" t="n">
        <f aca="false">J97*INDEX(Customers!$G$2:$G$41,MATCH(C97,Customers!$A$2:$A$41,0))</f>
        <v>823.0333545</v>
      </c>
      <c r="L97" s="16" t="n">
        <f aca="false">F97*INDEX(Customers!$H$2:$H$41,MATCH(C97,Customers!$A$2:$A$41,0))</f>
        <v>1131</v>
      </c>
      <c r="M97" s="16" t="n">
        <f aca="false">J97*INDEX(Customers!$I$2:$I$41,MATCH(C97,Customers!$A$2:$A$41,0))/365*Assumptions!$B$6</f>
        <v>541.172616657534</v>
      </c>
      <c r="N97" s="16" t="n">
        <f aca="false">J97-K97-L97-M97</f>
        <v>79808.1294788425</v>
      </c>
      <c r="O97" s="16" t="n">
        <f aca="false">F97*IF(A97="2025",INDEX(Products!$D$2:$D$13,MATCH(D97,Products!$A$2:$A$13,0)),INDEX(Products!$F$2:$F$13,MATCH(D97,Products!$A$2:$A$13,0)))</f>
        <v>42743.97</v>
      </c>
      <c r="P97" s="16" t="n">
        <f aca="false">N97-O97</f>
        <v>37064.1594788425</v>
      </c>
    </row>
    <row r="98" customFormat="false" ht="15" hidden="false" customHeight="false" outlineLevel="0" collapsed="false">
      <c r="A98" s="2" t="s">
        <v>118</v>
      </c>
      <c r="B98" s="2" t="n">
        <v>1</v>
      </c>
      <c r="C98" s="2" t="s">
        <v>62</v>
      </c>
      <c r="D98" s="2" t="s">
        <v>42</v>
      </c>
      <c r="E98" s="2" t="str">
        <f aca="false">INDEX(Products!$B$2:$B$13,MATCH(D98,Products!$A$2:$A$13,0))</f>
        <v>Hydroprocessing</v>
      </c>
      <c r="F98" s="15" t="n">
        <v>6.9</v>
      </c>
      <c r="G98" s="16" t="n">
        <f aca="false">IF(A98="2025",INDEX(Products!$C$2:$C$13,MATCH(D98,Products!$A$2:$A$13,0)),INDEX(Products!$E$2:$E$13,MATCH(D98,Products!$A$2:$A$13,0)))</f>
        <v>12450</v>
      </c>
      <c r="H98" s="13" t="n">
        <f aca="false">IF(A98="2025",INDEX(Customers!$D$2:$D$41,MATCH(C98,Customers!$A$2:$A$41,0)),INDEX(Customers!$F$2:$F$41,MATCH(C98,Customers!$A$2:$A$41,0)))</f>
        <v>0.048</v>
      </c>
      <c r="I98" s="16" t="n">
        <f aca="false">F98*G98</f>
        <v>85905</v>
      </c>
      <c r="J98" s="16" t="n">
        <f aca="false">I98*(1-H98)</f>
        <v>81781.56</v>
      </c>
      <c r="K98" s="16" t="n">
        <f aca="false">J98*INDEX(Customers!$G$2:$G$41,MATCH(C98,Customers!$A$2:$A$41,0))</f>
        <v>817.8156</v>
      </c>
      <c r="L98" s="16" t="n">
        <f aca="false">F98*INDEX(Customers!$H$2:$H$41,MATCH(C98,Customers!$A$2:$A$41,0))</f>
        <v>2691</v>
      </c>
      <c r="M98" s="16" t="n">
        <f aca="false">J98*INDEX(Customers!$I$2:$I$41,MATCH(C98,Customers!$A$2:$A$41,0))/365*Assumptions!$B$6</f>
        <v>537.741764383562</v>
      </c>
      <c r="N98" s="16" t="n">
        <f aca="false">J98-K98-L98-M98</f>
        <v>77735.0026356164</v>
      </c>
      <c r="O98" s="16" t="n">
        <f aca="false">F98*IF(A98="2025",INDEX(Products!$D$2:$D$13,MATCH(D98,Products!$A$2:$A$13,0)),INDEX(Products!$F$2:$F$13,MATCH(D98,Products!$A$2:$A$13,0)))</f>
        <v>53682</v>
      </c>
      <c r="P98" s="16" t="n">
        <f aca="false">N98-O98</f>
        <v>24053.0026356164</v>
      </c>
    </row>
    <row r="99" customFormat="false" ht="15" hidden="false" customHeight="false" outlineLevel="0" collapsed="false">
      <c r="A99" s="2" t="s">
        <v>118</v>
      </c>
      <c r="B99" s="2" t="n">
        <v>2</v>
      </c>
      <c r="C99" s="2" t="s">
        <v>62</v>
      </c>
      <c r="D99" s="2" t="s">
        <v>42</v>
      </c>
      <c r="E99" s="2" t="str">
        <f aca="false">INDEX(Products!$B$2:$B$13,MATCH(D99,Products!$A$2:$A$13,0))</f>
        <v>Hydroprocessing</v>
      </c>
      <c r="F99" s="15" t="n">
        <v>5</v>
      </c>
      <c r="G99" s="16" t="n">
        <f aca="false">IF(A99="2025",INDEX(Products!$C$2:$C$13,MATCH(D99,Products!$A$2:$A$13,0)),INDEX(Products!$E$2:$E$13,MATCH(D99,Products!$A$2:$A$13,0)))</f>
        <v>12450</v>
      </c>
      <c r="H99" s="13" t="n">
        <f aca="false">IF(A99="2025",INDEX(Customers!$D$2:$D$41,MATCH(C99,Customers!$A$2:$A$41,0)),INDEX(Customers!$F$2:$F$41,MATCH(C99,Customers!$A$2:$A$41,0)))</f>
        <v>0.048</v>
      </c>
      <c r="I99" s="16" t="n">
        <f aca="false">F99*G99</f>
        <v>62250</v>
      </c>
      <c r="J99" s="16" t="n">
        <f aca="false">I99*(1-H99)</f>
        <v>59262</v>
      </c>
      <c r="K99" s="16" t="n">
        <f aca="false">J99*INDEX(Customers!$G$2:$G$41,MATCH(C99,Customers!$A$2:$A$41,0))</f>
        <v>592.62</v>
      </c>
      <c r="L99" s="16" t="n">
        <f aca="false">F99*INDEX(Customers!$H$2:$H$41,MATCH(C99,Customers!$A$2:$A$41,0))</f>
        <v>1950</v>
      </c>
      <c r="M99" s="16" t="n">
        <f aca="false">J99*INDEX(Customers!$I$2:$I$41,MATCH(C99,Customers!$A$2:$A$41,0))/365*Assumptions!$B$6</f>
        <v>389.66794520548</v>
      </c>
      <c r="N99" s="16" t="n">
        <f aca="false">J99-K99-L99-M99</f>
        <v>56329.7120547945</v>
      </c>
      <c r="O99" s="16" t="n">
        <f aca="false">F99*IF(A99="2025",INDEX(Products!$D$2:$D$13,MATCH(D99,Products!$A$2:$A$13,0)),INDEX(Products!$F$2:$F$13,MATCH(D99,Products!$A$2:$A$13,0)))</f>
        <v>38900</v>
      </c>
      <c r="P99" s="16" t="n">
        <f aca="false">N99-O99</f>
        <v>17429.7120547945</v>
      </c>
    </row>
    <row r="100" customFormat="false" ht="15" hidden="false" customHeight="false" outlineLevel="0" collapsed="false">
      <c r="A100" s="2" t="s">
        <v>118</v>
      </c>
      <c r="B100" s="2" t="n">
        <v>3</v>
      </c>
      <c r="C100" s="2" t="s">
        <v>62</v>
      </c>
      <c r="D100" s="2" t="s">
        <v>42</v>
      </c>
      <c r="E100" s="2" t="str">
        <f aca="false">INDEX(Products!$B$2:$B$13,MATCH(D100,Products!$A$2:$A$13,0))</f>
        <v>Hydroprocessing</v>
      </c>
      <c r="F100" s="15" t="n">
        <v>6.7</v>
      </c>
      <c r="G100" s="16" t="n">
        <f aca="false">IF(A100="2025",INDEX(Products!$C$2:$C$13,MATCH(D100,Products!$A$2:$A$13,0)),INDEX(Products!$E$2:$E$13,MATCH(D100,Products!$A$2:$A$13,0)))</f>
        <v>12450</v>
      </c>
      <c r="H100" s="13" t="n">
        <f aca="false">IF(A100="2025",INDEX(Customers!$D$2:$D$41,MATCH(C100,Customers!$A$2:$A$41,0)),INDEX(Customers!$F$2:$F$41,MATCH(C100,Customers!$A$2:$A$41,0)))</f>
        <v>0.048</v>
      </c>
      <c r="I100" s="16" t="n">
        <f aca="false">F100*G100</f>
        <v>83415</v>
      </c>
      <c r="J100" s="16" t="n">
        <f aca="false">I100*(1-H100)</f>
        <v>79411.08</v>
      </c>
      <c r="K100" s="16" t="n">
        <f aca="false">J100*INDEX(Customers!$G$2:$G$41,MATCH(C100,Customers!$A$2:$A$41,0))</f>
        <v>794.1108</v>
      </c>
      <c r="L100" s="16" t="n">
        <f aca="false">F100*INDEX(Customers!$H$2:$H$41,MATCH(C100,Customers!$A$2:$A$41,0))</f>
        <v>2613</v>
      </c>
      <c r="M100" s="16" t="n">
        <f aca="false">J100*INDEX(Customers!$I$2:$I$41,MATCH(C100,Customers!$A$2:$A$41,0))/365*Assumptions!$B$6</f>
        <v>522.155046575343</v>
      </c>
      <c r="N100" s="16" t="n">
        <f aca="false">J100-K100-L100-M100</f>
        <v>75481.8141534247</v>
      </c>
      <c r="O100" s="16" t="n">
        <f aca="false">F100*IF(A100="2025",INDEX(Products!$D$2:$D$13,MATCH(D100,Products!$A$2:$A$13,0)),INDEX(Products!$F$2:$F$13,MATCH(D100,Products!$A$2:$A$13,0)))</f>
        <v>52126</v>
      </c>
      <c r="P100" s="16" t="n">
        <f aca="false">N100-O100</f>
        <v>23355.8141534247</v>
      </c>
    </row>
    <row r="101" customFormat="false" ht="15" hidden="false" customHeight="false" outlineLevel="0" collapsed="false">
      <c r="A101" s="2" t="s">
        <v>118</v>
      </c>
      <c r="B101" s="2" t="n">
        <v>4</v>
      </c>
      <c r="C101" s="2" t="s">
        <v>62</v>
      </c>
      <c r="D101" s="2" t="s">
        <v>42</v>
      </c>
      <c r="E101" s="2" t="str">
        <f aca="false">INDEX(Products!$B$2:$B$13,MATCH(D101,Products!$A$2:$A$13,0))</f>
        <v>Hydroprocessing</v>
      </c>
      <c r="F101" s="15" t="n">
        <v>6.7</v>
      </c>
      <c r="G101" s="16" t="n">
        <f aca="false">IF(A101="2025",INDEX(Products!$C$2:$C$13,MATCH(D101,Products!$A$2:$A$13,0)),INDEX(Products!$E$2:$E$13,MATCH(D101,Products!$A$2:$A$13,0)))</f>
        <v>12450</v>
      </c>
      <c r="H101" s="13" t="n">
        <f aca="false">IF(A101="2025",INDEX(Customers!$D$2:$D$41,MATCH(C101,Customers!$A$2:$A$41,0)),INDEX(Customers!$F$2:$F$41,MATCH(C101,Customers!$A$2:$A$41,0)))</f>
        <v>0.048</v>
      </c>
      <c r="I101" s="16" t="n">
        <f aca="false">F101*G101</f>
        <v>83415</v>
      </c>
      <c r="J101" s="16" t="n">
        <f aca="false">I101*(1-H101)</f>
        <v>79411.08</v>
      </c>
      <c r="K101" s="16" t="n">
        <f aca="false">J101*INDEX(Customers!$G$2:$G$41,MATCH(C101,Customers!$A$2:$A$41,0))</f>
        <v>794.1108</v>
      </c>
      <c r="L101" s="16" t="n">
        <f aca="false">F101*INDEX(Customers!$H$2:$H$41,MATCH(C101,Customers!$A$2:$A$41,0))</f>
        <v>2613</v>
      </c>
      <c r="M101" s="16" t="n">
        <f aca="false">J101*INDEX(Customers!$I$2:$I$41,MATCH(C101,Customers!$A$2:$A$41,0))/365*Assumptions!$B$6</f>
        <v>522.155046575343</v>
      </c>
      <c r="N101" s="16" t="n">
        <f aca="false">J101-K101-L101-M101</f>
        <v>75481.8141534247</v>
      </c>
      <c r="O101" s="16" t="n">
        <f aca="false">F101*IF(A101="2025",INDEX(Products!$D$2:$D$13,MATCH(D101,Products!$A$2:$A$13,0)),INDEX(Products!$F$2:$F$13,MATCH(D101,Products!$A$2:$A$13,0)))</f>
        <v>52126</v>
      </c>
      <c r="P101" s="16" t="n">
        <f aca="false">N101-O101</f>
        <v>23355.8141534247</v>
      </c>
    </row>
    <row r="102" customFormat="false" ht="15" hidden="false" customHeight="false" outlineLevel="0" collapsed="false">
      <c r="A102" s="2" t="s">
        <v>118</v>
      </c>
      <c r="B102" s="2" t="n">
        <v>5</v>
      </c>
      <c r="C102" s="2" t="s">
        <v>62</v>
      </c>
      <c r="D102" s="2" t="s">
        <v>42</v>
      </c>
      <c r="E102" s="2" t="str">
        <f aca="false">INDEX(Products!$B$2:$B$13,MATCH(D102,Products!$A$2:$A$13,0))</f>
        <v>Hydroprocessing</v>
      </c>
      <c r="F102" s="15" t="n">
        <v>6.9</v>
      </c>
      <c r="G102" s="16" t="n">
        <f aca="false">IF(A102="2025",INDEX(Products!$C$2:$C$13,MATCH(D102,Products!$A$2:$A$13,0)),INDEX(Products!$E$2:$E$13,MATCH(D102,Products!$A$2:$A$13,0)))</f>
        <v>12450</v>
      </c>
      <c r="H102" s="13" t="n">
        <f aca="false">IF(A102="2025",INDEX(Customers!$D$2:$D$41,MATCH(C102,Customers!$A$2:$A$41,0)),INDEX(Customers!$F$2:$F$41,MATCH(C102,Customers!$A$2:$A$41,0)))</f>
        <v>0.048</v>
      </c>
      <c r="I102" s="16" t="n">
        <f aca="false">F102*G102</f>
        <v>85905</v>
      </c>
      <c r="J102" s="16" t="n">
        <f aca="false">I102*(1-H102)</f>
        <v>81781.56</v>
      </c>
      <c r="K102" s="16" t="n">
        <f aca="false">J102*INDEX(Customers!$G$2:$G$41,MATCH(C102,Customers!$A$2:$A$41,0))</f>
        <v>817.8156</v>
      </c>
      <c r="L102" s="16" t="n">
        <f aca="false">F102*INDEX(Customers!$H$2:$H$41,MATCH(C102,Customers!$A$2:$A$41,0))</f>
        <v>2691</v>
      </c>
      <c r="M102" s="16" t="n">
        <f aca="false">J102*INDEX(Customers!$I$2:$I$41,MATCH(C102,Customers!$A$2:$A$41,0))/365*Assumptions!$B$6</f>
        <v>537.741764383562</v>
      </c>
      <c r="N102" s="16" t="n">
        <f aca="false">J102-K102-L102-M102</f>
        <v>77735.0026356164</v>
      </c>
      <c r="O102" s="16" t="n">
        <f aca="false">F102*IF(A102="2025",INDEX(Products!$D$2:$D$13,MATCH(D102,Products!$A$2:$A$13,0)),INDEX(Products!$F$2:$F$13,MATCH(D102,Products!$A$2:$A$13,0)))</f>
        <v>53682</v>
      </c>
      <c r="P102" s="16" t="n">
        <f aca="false">N102-O102</f>
        <v>24053.0026356164</v>
      </c>
    </row>
    <row r="103" customFormat="false" ht="15" hidden="false" customHeight="false" outlineLevel="0" collapsed="false">
      <c r="A103" s="2" t="s">
        <v>118</v>
      </c>
      <c r="B103" s="2" t="n">
        <v>6</v>
      </c>
      <c r="C103" s="2" t="s">
        <v>62</v>
      </c>
      <c r="D103" s="2" t="s">
        <v>42</v>
      </c>
      <c r="E103" s="2" t="str">
        <f aca="false">INDEX(Products!$B$2:$B$13,MATCH(D103,Products!$A$2:$A$13,0))</f>
        <v>Hydroprocessing</v>
      </c>
      <c r="F103" s="15" t="n">
        <v>4.8</v>
      </c>
      <c r="G103" s="16" t="n">
        <f aca="false">IF(A103="2025",INDEX(Products!$C$2:$C$13,MATCH(D103,Products!$A$2:$A$13,0)),INDEX(Products!$E$2:$E$13,MATCH(D103,Products!$A$2:$A$13,0)))</f>
        <v>12450</v>
      </c>
      <c r="H103" s="13" t="n">
        <f aca="false">IF(A103="2025",INDEX(Customers!$D$2:$D$41,MATCH(C103,Customers!$A$2:$A$41,0)),INDEX(Customers!$F$2:$F$41,MATCH(C103,Customers!$A$2:$A$41,0)))</f>
        <v>0.048</v>
      </c>
      <c r="I103" s="16" t="n">
        <f aca="false">F103*G103</f>
        <v>59760</v>
      </c>
      <c r="J103" s="16" t="n">
        <f aca="false">I103*(1-H103)</f>
        <v>56891.52</v>
      </c>
      <c r="K103" s="16" t="n">
        <f aca="false">J103*INDEX(Customers!$G$2:$G$41,MATCH(C103,Customers!$A$2:$A$41,0))</f>
        <v>568.9152</v>
      </c>
      <c r="L103" s="16" t="n">
        <f aca="false">F103*INDEX(Customers!$H$2:$H$41,MATCH(C103,Customers!$A$2:$A$41,0))</f>
        <v>1872</v>
      </c>
      <c r="M103" s="16" t="n">
        <f aca="false">J103*INDEX(Customers!$I$2:$I$41,MATCH(C103,Customers!$A$2:$A$41,0))/365*Assumptions!$B$6</f>
        <v>374.08122739726</v>
      </c>
      <c r="N103" s="16" t="n">
        <f aca="false">J103-K103-L103-M103</f>
        <v>54076.5235726027</v>
      </c>
      <c r="O103" s="16" t="n">
        <f aca="false">F103*IF(A103="2025",INDEX(Products!$D$2:$D$13,MATCH(D103,Products!$A$2:$A$13,0)),INDEX(Products!$F$2:$F$13,MATCH(D103,Products!$A$2:$A$13,0)))</f>
        <v>37344</v>
      </c>
      <c r="P103" s="16" t="n">
        <f aca="false">N103-O103</f>
        <v>16732.5235726027</v>
      </c>
    </row>
    <row r="104" customFormat="false" ht="15" hidden="false" customHeight="false" outlineLevel="0" collapsed="false">
      <c r="A104" s="2" t="s">
        <v>118</v>
      </c>
      <c r="B104" s="2" t="n">
        <v>7</v>
      </c>
      <c r="C104" s="2" t="s">
        <v>62</v>
      </c>
      <c r="D104" s="2" t="s">
        <v>42</v>
      </c>
      <c r="E104" s="2" t="str">
        <f aca="false">INDEX(Products!$B$2:$B$13,MATCH(D104,Products!$A$2:$A$13,0))</f>
        <v>Hydroprocessing</v>
      </c>
      <c r="F104" s="15" t="n">
        <v>6.7</v>
      </c>
      <c r="G104" s="16" t="n">
        <f aca="false">IF(A104="2025",INDEX(Products!$C$2:$C$13,MATCH(D104,Products!$A$2:$A$13,0)),INDEX(Products!$E$2:$E$13,MATCH(D104,Products!$A$2:$A$13,0)))</f>
        <v>12450</v>
      </c>
      <c r="H104" s="13" t="n">
        <f aca="false">IF(A104="2025",INDEX(Customers!$D$2:$D$41,MATCH(C104,Customers!$A$2:$A$41,0)),INDEX(Customers!$F$2:$F$41,MATCH(C104,Customers!$A$2:$A$41,0)))</f>
        <v>0.048</v>
      </c>
      <c r="I104" s="16" t="n">
        <f aca="false">F104*G104</f>
        <v>83415</v>
      </c>
      <c r="J104" s="16" t="n">
        <f aca="false">I104*(1-H104)</f>
        <v>79411.08</v>
      </c>
      <c r="K104" s="16" t="n">
        <f aca="false">J104*INDEX(Customers!$G$2:$G$41,MATCH(C104,Customers!$A$2:$A$41,0))</f>
        <v>794.1108</v>
      </c>
      <c r="L104" s="16" t="n">
        <f aca="false">F104*INDEX(Customers!$H$2:$H$41,MATCH(C104,Customers!$A$2:$A$41,0))</f>
        <v>2613</v>
      </c>
      <c r="M104" s="16" t="n">
        <f aca="false">J104*INDEX(Customers!$I$2:$I$41,MATCH(C104,Customers!$A$2:$A$41,0))/365*Assumptions!$B$6</f>
        <v>522.155046575343</v>
      </c>
      <c r="N104" s="16" t="n">
        <f aca="false">J104-K104-L104-M104</f>
        <v>75481.8141534247</v>
      </c>
      <c r="O104" s="16" t="n">
        <f aca="false">F104*IF(A104="2025",INDEX(Products!$D$2:$D$13,MATCH(D104,Products!$A$2:$A$13,0)),INDEX(Products!$F$2:$F$13,MATCH(D104,Products!$A$2:$A$13,0)))</f>
        <v>52126</v>
      </c>
      <c r="P104" s="16" t="n">
        <f aca="false">N104-O104</f>
        <v>23355.8141534247</v>
      </c>
    </row>
    <row r="105" customFormat="false" ht="15" hidden="false" customHeight="false" outlineLevel="0" collapsed="false">
      <c r="A105" s="2" t="s">
        <v>118</v>
      </c>
      <c r="B105" s="2" t="n">
        <v>8</v>
      </c>
      <c r="C105" s="2" t="s">
        <v>62</v>
      </c>
      <c r="D105" s="2" t="s">
        <v>42</v>
      </c>
      <c r="E105" s="2" t="str">
        <f aca="false">INDEX(Products!$B$2:$B$13,MATCH(D105,Products!$A$2:$A$13,0))</f>
        <v>Hydroprocessing</v>
      </c>
      <c r="F105" s="15" t="n">
        <v>4.7</v>
      </c>
      <c r="G105" s="16" t="n">
        <f aca="false">IF(A105="2025",INDEX(Products!$C$2:$C$13,MATCH(D105,Products!$A$2:$A$13,0)),INDEX(Products!$E$2:$E$13,MATCH(D105,Products!$A$2:$A$13,0)))</f>
        <v>12450</v>
      </c>
      <c r="H105" s="13" t="n">
        <f aca="false">IF(A105="2025",INDEX(Customers!$D$2:$D$41,MATCH(C105,Customers!$A$2:$A$41,0)),INDEX(Customers!$F$2:$F$41,MATCH(C105,Customers!$A$2:$A$41,0)))</f>
        <v>0.048</v>
      </c>
      <c r="I105" s="16" t="n">
        <f aca="false">F105*G105</f>
        <v>58515</v>
      </c>
      <c r="J105" s="16" t="n">
        <f aca="false">I105*(1-H105)</f>
        <v>55706.28</v>
      </c>
      <c r="K105" s="16" t="n">
        <f aca="false">J105*INDEX(Customers!$G$2:$G$41,MATCH(C105,Customers!$A$2:$A$41,0))</f>
        <v>557.0628</v>
      </c>
      <c r="L105" s="16" t="n">
        <f aca="false">F105*INDEX(Customers!$H$2:$H$41,MATCH(C105,Customers!$A$2:$A$41,0))</f>
        <v>1833</v>
      </c>
      <c r="M105" s="16" t="n">
        <f aca="false">J105*INDEX(Customers!$I$2:$I$41,MATCH(C105,Customers!$A$2:$A$41,0))/365*Assumptions!$B$6</f>
        <v>366.287868493151</v>
      </c>
      <c r="N105" s="16" t="n">
        <f aca="false">J105-K105-L105-M105</f>
        <v>52949.9293315069</v>
      </c>
      <c r="O105" s="16" t="n">
        <f aca="false">F105*IF(A105="2025",INDEX(Products!$D$2:$D$13,MATCH(D105,Products!$A$2:$A$13,0)),INDEX(Products!$F$2:$F$13,MATCH(D105,Products!$A$2:$A$13,0)))</f>
        <v>36566</v>
      </c>
      <c r="P105" s="16" t="n">
        <f aca="false">N105-O105</f>
        <v>16383.9293315069</v>
      </c>
    </row>
    <row r="106" customFormat="false" ht="15" hidden="false" customHeight="false" outlineLevel="0" collapsed="false">
      <c r="A106" s="2" t="s">
        <v>118</v>
      </c>
      <c r="B106" s="2" t="n">
        <v>9</v>
      </c>
      <c r="C106" s="2" t="s">
        <v>62</v>
      </c>
      <c r="D106" s="2" t="s">
        <v>42</v>
      </c>
      <c r="E106" s="2" t="str">
        <f aca="false">INDEX(Products!$B$2:$B$13,MATCH(D106,Products!$A$2:$A$13,0))</f>
        <v>Hydroprocessing</v>
      </c>
      <c r="F106" s="15" t="n">
        <v>5.3</v>
      </c>
      <c r="G106" s="16" t="n">
        <f aca="false">IF(A106="2025",INDEX(Products!$C$2:$C$13,MATCH(D106,Products!$A$2:$A$13,0)),INDEX(Products!$E$2:$E$13,MATCH(D106,Products!$A$2:$A$13,0)))</f>
        <v>12450</v>
      </c>
      <c r="H106" s="13" t="n">
        <f aca="false">IF(A106="2025",INDEX(Customers!$D$2:$D$41,MATCH(C106,Customers!$A$2:$A$41,0)),INDEX(Customers!$F$2:$F$41,MATCH(C106,Customers!$A$2:$A$41,0)))</f>
        <v>0.048</v>
      </c>
      <c r="I106" s="16" t="n">
        <f aca="false">F106*G106</f>
        <v>65985</v>
      </c>
      <c r="J106" s="16" t="n">
        <f aca="false">I106*(1-H106)</f>
        <v>62817.72</v>
      </c>
      <c r="K106" s="16" t="n">
        <f aca="false">J106*INDEX(Customers!$G$2:$G$41,MATCH(C106,Customers!$A$2:$A$41,0))</f>
        <v>628.1772</v>
      </c>
      <c r="L106" s="16" t="n">
        <f aca="false">F106*INDEX(Customers!$H$2:$H$41,MATCH(C106,Customers!$A$2:$A$41,0))</f>
        <v>2067</v>
      </c>
      <c r="M106" s="16" t="n">
        <f aca="false">J106*INDEX(Customers!$I$2:$I$41,MATCH(C106,Customers!$A$2:$A$41,0))/365*Assumptions!$B$6</f>
        <v>413.048021917808</v>
      </c>
      <c r="N106" s="16" t="n">
        <f aca="false">J106-K106-L106-M106</f>
        <v>59709.4947780822</v>
      </c>
      <c r="O106" s="16" t="n">
        <f aca="false">F106*IF(A106="2025",INDEX(Products!$D$2:$D$13,MATCH(D106,Products!$A$2:$A$13,0)),INDEX(Products!$F$2:$F$13,MATCH(D106,Products!$A$2:$A$13,0)))</f>
        <v>41234</v>
      </c>
      <c r="P106" s="16" t="n">
        <f aca="false">N106-O106</f>
        <v>18475.4947780822</v>
      </c>
    </row>
    <row r="107" customFormat="false" ht="15" hidden="false" customHeight="false" outlineLevel="0" collapsed="false">
      <c r="A107" s="2" t="s">
        <v>118</v>
      </c>
      <c r="B107" s="2" t="n">
        <v>10</v>
      </c>
      <c r="C107" s="2" t="s">
        <v>62</v>
      </c>
      <c r="D107" s="2" t="s">
        <v>42</v>
      </c>
      <c r="E107" s="2" t="str">
        <f aca="false">INDEX(Products!$B$2:$B$13,MATCH(D107,Products!$A$2:$A$13,0))</f>
        <v>Hydroprocessing</v>
      </c>
      <c r="F107" s="15" t="n">
        <v>4.5</v>
      </c>
      <c r="G107" s="16" t="n">
        <f aca="false">IF(A107="2025",INDEX(Products!$C$2:$C$13,MATCH(D107,Products!$A$2:$A$13,0)),INDEX(Products!$E$2:$E$13,MATCH(D107,Products!$A$2:$A$13,0)))</f>
        <v>12450</v>
      </c>
      <c r="H107" s="13" t="n">
        <f aca="false">IF(A107="2025",INDEX(Customers!$D$2:$D$41,MATCH(C107,Customers!$A$2:$A$41,0)),INDEX(Customers!$F$2:$F$41,MATCH(C107,Customers!$A$2:$A$41,0)))</f>
        <v>0.048</v>
      </c>
      <c r="I107" s="16" t="n">
        <f aca="false">F107*G107</f>
        <v>56025</v>
      </c>
      <c r="J107" s="16" t="n">
        <f aca="false">I107*(1-H107)</f>
        <v>53335.8</v>
      </c>
      <c r="K107" s="16" t="n">
        <f aca="false">J107*INDEX(Customers!$G$2:$G$41,MATCH(C107,Customers!$A$2:$A$41,0))</f>
        <v>533.358</v>
      </c>
      <c r="L107" s="16" t="n">
        <f aca="false">F107*INDEX(Customers!$H$2:$H$41,MATCH(C107,Customers!$A$2:$A$41,0))</f>
        <v>1755</v>
      </c>
      <c r="M107" s="16" t="n">
        <f aca="false">J107*INDEX(Customers!$I$2:$I$41,MATCH(C107,Customers!$A$2:$A$41,0))/365*Assumptions!$B$6</f>
        <v>350.701150684932</v>
      </c>
      <c r="N107" s="16" t="n">
        <f aca="false">J107-K107-L107-M107</f>
        <v>50696.7408493151</v>
      </c>
      <c r="O107" s="16" t="n">
        <f aca="false">F107*IF(A107="2025",INDEX(Products!$D$2:$D$13,MATCH(D107,Products!$A$2:$A$13,0)),INDEX(Products!$F$2:$F$13,MATCH(D107,Products!$A$2:$A$13,0)))</f>
        <v>35010</v>
      </c>
      <c r="P107" s="16" t="n">
        <f aca="false">N107-O107</f>
        <v>15686.7408493151</v>
      </c>
    </row>
    <row r="108" customFormat="false" ht="15" hidden="false" customHeight="false" outlineLevel="0" collapsed="false">
      <c r="A108" s="2" t="s">
        <v>118</v>
      </c>
      <c r="B108" s="2" t="n">
        <v>11</v>
      </c>
      <c r="C108" s="2" t="s">
        <v>62</v>
      </c>
      <c r="D108" s="2" t="s">
        <v>42</v>
      </c>
      <c r="E108" s="2" t="str">
        <f aca="false">INDEX(Products!$B$2:$B$13,MATCH(D108,Products!$A$2:$A$13,0))</f>
        <v>Hydroprocessing</v>
      </c>
      <c r="F108" s="15" t="n">
        <v>5.5</v>
      </c>
      <c r="G108" s="16" t="n">
        <f aca="false">IF(A108="2025",INDEX(Products!$C$2:$C$13,MATCH(D108,Products!$A$2:$A$13,0)),INDEX(Products!$E$2:$E$13,MATCH(D108,Products!$A$2:$A$13,0)))</f>
        <v>12450</v>
      </c>
      <c r="H108" s="13" t="n">
        <f aca="false">IF(A108="2025",INDEX(Customers!$D$2:$D$41,MATCH(C108,Customers!$A$2:$A$41,0)),INDEX(Customers!$F$2:$F$41,MATCH(C108,Customers!$A$2:$A$41,0)))</f>
        <v>0.048</v>
      </c>
      <c r="I108" s="16" t="n">
        <f aca="false">F108*G108</f>
        <v>68475</v>
      </c>
      <c r="J108" s="16" t="n">
        <f aca="false">I108*(1-H108)</f>
        <v>65188.2</v>
      </c>
      <c r="K108" s="16" t="n">
        <f aca="false">J108*INDEX(Customers!$G$2:$G$41,MATCH(C108,Customers!$A$2:$A$41,0))</f>
        <v>651.882</v>
      </c>
      <c r="L108" s="16" t="n">
        <f aca="false">F108*INDEX(Customers!$H$2:$H$41,MATCH(C108,Customers!$A$2:$A$41,0))</f>
        <v>2145</v>
      </c>
      <c r="M108" s="16" t="n">
        <f aca="false">J108*INDEX(Customers!$I$2:$I$41,MATCH(C108,Customers!$A$2:$A$41,0))/365*Assumptions!$B$6</f>
        <v>428.634739726027</v>
      </c>
      <c r="N108" s="16" t="n">
        <f aca="false">J108-K108-L108-M108</f>
        <v>61962.683260274</v>
      </c>
      <c r="O108" s="16" t="n">
        <f aca="false">F108*IF(A108="2025",INDEX(Products!$D$2:$D$13,MATCH(D108,Products!$A$2:$A$13,0)),INDEX(Products!$F$2:$F$13,MATCH(D108,Products!$A$2:$A$13,0)))</f>
        <v>42790</v>
      </c>
      <c r="P108" s="16" t="n">
        <f aca="false">N108-O108</f>
        <v>19172.683260274</v>
      </c>
    </row>
    <row r="109" customFormat="false" ht="15" hidden="false" customHeight="false" outlineLevel="0" collapsed="false">
      <c r="A109" s="2" t="s">
        <v>118</v>
      </c>
      <c r="B109" s="2" t="n">
        <v>12</v>
      </c>
      <c r="C109" s="2" t="s">
        <v>62</v>
      </c>
      <c r="D109" s="2" t="s">
        <v>42</v>
      </c>
      <c r="E109" s="2" t="str">
        <f aca="false">INDEX(Products!$B$2:$B$13,MATCH(D109,Products!$A$2:$A$13,0))</f>
        <v>Hydroprocessing</v>
      </c>
      <c r="F109" s="15" t="n">
        <v>4.2</v>
      </c>
      <c r="G109" s="16" t="n">
        <f aca="false">IF(A109="2025",INDEX(Products!$C$2:$C$13,MATCH(D109,Products!$A$2:$A$13,0)),INDEX(Products!$E$2:$E$13,MATCH(D109,Products!$A$2:$A$13,0)))</f>
        <v>12450</v>
      </c>
      <c r="H109" s="13" t="n">
        <f aca="false">IF(A109="2025",INDEX(Customers!$D$2:$D$41,MATCH(C109,Customers!$A$2:$A$41,0)),INDEX(Customers!$F$2:$F$41,MATCH(C109,Customers!$A$2:$A$41,0)))</f>
        <v>0.048</v>
      </c>
      <c r="I109" s="16" t="n">
        <f aca="false">F109*G109</f>
        <v>52290</v>
      </c>
      <c r="J109" s="16" t="n">
        <f aca="false">I109*(1-H109)</f>
        <v>49780.08</v>
      </c>
      <c r="K109" s="16" t="n">
        <f aca="false">J109*INDEX(Customers!$G$2:$G$41,MATCH(C109,Customers!$A$2:$A$41,0))</f>
        <v>497.8008</v>
      </c>
      <c r="L109" s="16" t="n">
        <f aca="false">F109*INDEX(Customers!$H$2:$H$41,MATCH(C109,Customers!$A$2:$A$41,0))</f>
        <v>1638</v>
      </c>
      <c r="M109" s="16" t="n">
        <f aca="false">J109*INDEX(Customers!$I$2:$I$41,MATCH(C109,Customers!$A$2:$A$41,0))/365*Assumptions!$B$6</f>
        <v>327.321073972603</v>
      </c>
      <c r="N109" s="16" t="n">
        <f aca="false">J109-K109-L109-M109</f>
        <v>47316.9581260274</v>
      </c>
      <c r="O109" s="16" t="n">
        <f aca="false">F109*IF(A109="2025",INDEX(Products!$D$2:$D$13,MATCH(D109,Products!$A$2:$A$13,0)),INDEX(Products!$F$2:$F$13,MATCH(D109,Products!$A$2:$A$13,0)))</f>
        <v>32676</v>
      </c>
      <c r="P109" s="16" t="n">
        <f aca="false">N109-O109</f>
        <v>14640.9581260274</v>
      </c>
    </row>
    <row r="110" customFormat="false" ht="15" hidden="false" customHeight="false" outlineLevel="0" collapsed="false">
      <c r="A110" s="2" t="s">
        <v>119</v>
      </c>
      <c r="B110" s="2" t="n">
        <v>1</v>
      </c>
      <c r="C110" s="2" t="s">
        <v>62</v>
      </c>
      <c r="D110" s="2" t="s">
        <v>42</v>
      </c>
      <c r="E110" s="2" t="str">
        <f aca="false">INDEX(Products!$B$2:$B$13,MATCH(D110,Products!$A$2:$A$13,0))</f>
        <v>Hydroprocessing</v>
      </c>
      <c r="F110" s="15" t="n">
        <v>6.4</v>
      </c>
      <c r="G110" s="16" t="n">
        <f aca="false">IF(A110="2025",INDEX(Products!$C$2:$C$13,MATCH(D110,Products!$A$2:$A$13,0)),INDEX(Products!$E$2:$E$13,MATCH(D110,Products!$A$2:$A$13,0)))</f>
        <v>13072.5</v>
      </c>
      <c r="H110" s="13" t="n">
        <f aca="false">IF(A110="2025",INDEX(Customers!$D$2:$D$41,MATCH(C110,Customers!$A$2:$A$41,0)),INDEX(Customers!$F$2:$F$41,MATCH(C110,Customers!$A$2:$A$41,0)))</f>
        <v>0.067</v>
      </c>
      <c r="I110" s="16" t="n">
        <f aca="false">F110*G110</f>
        <v>83664</v>
      </c>
      <c r="J110" s="16" t="n">
        <f aca="false">I110*(1-H110)</f>
        <v>78058.512</v>
      </c>
      <c r="K110" s="16" t="n">
        <f aca="false">J110*INDEX(Customers!$G$2:$G$41,MATCH(C110,Customers!$A$2:$A$41,0))</f>
        <v>780.58512</v>
      </c>
      <c r="L110" s="16" t="n">
        <f aca="false">F110*INDEX(Customers!$H$2:$H$41,MATCH(C110,Customers!$A$2:$A$41,0))</f>
        <v>2496</v>
      </c>
      <c r="M110" s="16" t="n">
        <f aca="false">J110*INDEX(Customers!$I$2:$I$41,MATCH(C110,Customers!$A$2:$A$41,0))/365*Assumptions!$B$6</f>
        <v>513.261448767123</v>
      </c>
      <c r="N110" s="16" t="n">
        <f aca="false">J110-K110-L110-M110</f>
        <v>74268.6654312329</v>
      </c>
      <c r="O110" s="16" t="n">
        <f aca="false">F110*IF(A110="2025",INDEX(Products!$D$2:$D$13,MATCH(D110,Products!$A$2:$A$13,0)),INDEX(Products!$F$2:$F$13,MATCH(D110,Products!$A$2:$A$13,0)))</f>
        <v>51285.76</v>
      </c>
      <c r="P110" s="16" t="n">
        <f aca="false">N110-O110</f>
        <v>22982.9054312329</v>
      </c>
    </row>
    <row r="111" customFormat="false" ht="15" hidden="false" customHeight="false" outlineLevel="0" collapsed="false">
      <c r="A111" s="2" t="s">
        <v>119</v>
      </c>
      <c r="B111" s="2" t="n">
        <v>2</v>
      </c>
      <c r="C111" s="2" t="s">
        <v>62</v>
      </c>
      <c r="D111" s="2" t="s">
        <v>42</v>
      </c>
      <c r="E111" s="2" t="str">
        <f aca="false">INDEX(Products!$B$2:$B$13,MATCH(D111,Products!$A$2:$A$13,0))</f>
        <v>Hydroprocessing</v>
      </c>
      <c r="F111" s="15" t="n">
        <v>3.6</v>
      </c>
      <c r="G111" s="16" t="n">
        <f aca="false">IF(A111="2025",INDEX(Products!$C$2:$C$13,MATCH(D111,Products!$A$2:$A$13,0)),INDEX(Products!$E$2:$E$13,MATCH(D111,Products!$A$2:$A$13,0)))</f>
        <v>13072.5</v>
      </c>
      <c r="H111" s="13" t="n">
        <f aca="false">IF(A111="2025",INDEX(Customers!$D$2:$D$41,MATCH(C111,Customers!$A$2:$A$41,0)),INDEX(Customers!$F$2:$F$41,MATCH(C111,Customers!$A$2:$A$41,0)))</f>
        <v>0.067</v>
      </c>
      <c r="I111" s="16" t="n">
        <f aca="false">F111*G111</f>
        <v>47061</v>
      </c>
      <c r="J111" s="16" t="n">
        <f aca="false">I111*(1-H111)</f>
        <v>43907.913</v>
      </c>
      <c r="K111" s="16" t="n">
        <f aca="false">J111*INDEX(Customers!$G$2:$G$41,MATCH(C111,Customers!$A$2:$A$41,0))</f>
        <v>439.07913</v>
      </c>
      <c r="L111" s="16" t="n">
        <f aca="false">F111*INDEX(Customers!$H$2:$H$41,MATCH(C111,Customers!$A$2:$A$41,0))</f>
        <v>1404</v>
      </c>
      <c r="M111" s="16" t="n">
        <f aca="false">J111*INDEX(Customers!$I$2:$I$41,MATCH(C111,Customers!$A$2:$A$41,0))/365*Assumptions!$B$6</f>
        <v>288.709564931507</v>
      </c>
      <c r="N111" s="16" t="n">
        <f aca="false">J111-K111-L111-M111</f>
        <v>41776.1243050685</v>
      </c>
      <c r="O111" s="16" t="n">
        <f aca="false">F111*IF(A111="2025",INDEX(Products!$D$2:$D$13,MATCH(D111,Products!$A$2:$A$13,0)),INDEX(Products!$F$2:$F$13,MATCH(D111,Products!$A$2:$A$13,0)))</f>
        <v>28848.24</v>
      </c>
      <c r="P111" s="16" t="n">
        <f aca="false">N111-O111</f>
        <v>12927.8843050685</v>
      </c>
    </row>
    <row r="112" customFormat="false" ht="15" hidden="false" customHeight="false" outlineLevel="0" collapsed="false">
      <c r="A112" s="2" t="s">
        <v>119</v>
      </c>
      <c r="B112" s="2" t="n">
        <v>3</v>
      </c>
      <c r="C112" s="2" t="s">
        <v>62</v>
      </c>
      <c r="D112" s="2" t="s">
        <v>42</v>
      </c>
      <c r="E112" s="2" t="str">
        <f aca="false">INDEX(Products!$B$2:$B$13,MATCH(D112,Products!$A$2:$A$13,0))</f>
        <v>Hydroprocessing</v>
      </c>
      <c r="F112" s="15" t="n">
        <v>5</v>
      </c>
      <c r="G112" s="16" t="n">
        <f aca="false">IF(A112="2025",INDEX(Products!$C$2:$C$13,MATCH(D112,Products!$A$2:$A$13,0)),INDEX(Products!$E$2:$E$13,MATCH(D112,Products!$A$2:$A$13,0)))</f>
        <v>13072.5</v>
      </c>
      <c r="H112" s="13" t="n">
        <f aca="false">IF(A112="2025",INDEX(Customers!$D$2:$D$41,MATCH(C112,Customers!$A$2:$A$41,0)),INDEX(Customers!$F$2:$F$41,MATCH(C112,Customers!$A$2:$A$41,0)))</f>
        <v>0.067</v>
      </c>
      <c r="I112" s="16" t="n">
        <f aca="false">F112*G112</f>
        <v>65362.5</v>
      </c>
      <c r="J112" s="16" t="n">
        <f aca="false">I112*(1-H112)</f>
        <v>60983.2125</v>
      </c>
      <c r="K112" s="16" t="n">
        <f aca="false">J112*INDEX(Customers!$G$2:$G$41,MATCH(C112,Customers!$A$2:$A$41,0))</f>
        <v>609.832125</v>
      </c>
      <c r="L112" s="16" t="n">
        <f aca="false">F112*INDEX(Customers!$H$2:$H$41,MATCH(C112,Customers!$A$2:$A$41,0))</f>
        <v>1950</v>
      </c>
      <c r="M112" s="16" t="n">
        <f aca="false">J112*INDEX(Customers!$I$2:$I$41,MATCH(C112,Customers!$A$2:$A$41,0))/365*Assumptions!$B$6</f>
        <v>400.985506849315</v>
      </c>
      <c r="N112" s="16" t="n">
        <f aca="false">J112-K112-L112-M112</f>
        <v>58022.3948681507</v>
      </c>
      <c r="O112" s="16" t="n">
        <f aca="false">F112*IF(A112="2025",INDEX(Products!$D$2:$D$13,MATCH(D112,Products!$A$2:$A$13,0)),INDEX(Products!$F$2:$F$13,MATCH(D112,Products!$A$2:$A$13,0)))</f>
        <v>40067</v>
      </c>
      <c r="P112" s="16" t="n">
        <f aca="false">N112-O112</f>
        <v>17955.3948681507</v>
      </c>
    </row>
    <row r="113" customFormat="false" ht="15" hidden="false" customHeight="false" outlineLevel="0" collapsed="false">
      <c r="A113" s="2" t="s">
        <v>119</v>
      </c>
      <c r="B113" s="2" t="n">
        <v>4</v>
      </c>
      <c r="C113" s="2" t="s">
        <v>62</v>
      </c>
      <c r="D113" s="2" t="s">
        <v>42</v>
      </c>
      <c r="E113" s="2" t="str">
        <f aca="false">INDEX(Products!$B$2:$B$13,MATCH(D113,Products!$A$2:$A$13,0))</f>
        <v>Hydroprocessing</v>
      </c>
      <c r="F113" s="15" t="n">
        <v>6</v>
      </c>
      <c r="G113" s="16" t="n">
        <f aca="false">IF(A113="2025",INDEX(Products!$C$2:$C$13,MATCH(D113,Products!$A$2:$A$13,0)),INDEX(Products!$E$2:$E$13,MATCH(D113,Products!$A$2:$A$13,0)))</f>
        <v>13072.5</v>
      </c>
      <c r="H113" s="13" t="n">
        <f aca="false">IF(A113="2025",INDEX(Customers!$D$2:$D$41,MATCH(C113,Customers!$A$2:$A$41,0)),INDEX(Customers!$F$2:$F$41,MATCH(C113,Customers!$A$2:$A$41,0)))</f>
        <v>0.067</v>
      </c>
      <c r="I113" s="16" t="n">
        <f aca="false">F113*G113</f>
        <v>78435</v>
      </c>
      <c r="J113" s="16" t="n">
        <f aca="false">I113*(1-H113)</f>
        <v>73179.855</v>
      </c>
      <c r="K113" s="16" t="n">
        <f aca="false">J113*INDEX(Customers!$G$2:$G$41,MATCH(C113,Customers!$A$2:$A$41,0))</f>
        <v>731.79855</v>
      </c>
      <c r="L113" s="16" t="n">
        <f aca="false">F113*INDEX(Customers!$H$2:$H$41,MATCH(C113,Customers!$A$2:$A$41,0))</f>
        <v>2340</v>
      </c>
      <c r="M113" s="16" t="n">
        <f aca="false">J113*INDEX(Customers!$I$2:$I$41,MATCH(C113,Customers!$A$2:$A$41,0))/365*Assumptions!$B$6</f>
        <v>481.182608219178</v>
      </c>
      <c r="N113" s="16" t="n">
        <f aca="false">J113-K113-L113-M113</f>
        <v>69626.8738417808</v>
      </c>
      <c r="O113" s="16" t="n">
        <f aca="false">F113*IF(A113="2025",INDEX(Products!$D$2:$D$13,MATCH(D113,Products!$A$2:$A$13,0)),INDEX(Products!$F$2:$F$13,MATCH(D113,Products!$A$2:$A$13,0)))</f>
        <v>48080.4</v>
      </c>
      <c r="P113" s="16" t="n">
        <f aca="false">N113-O113</f>
        <v>21546.4738417808</v>
      </c>
    </row>
    <row r="114" customFormat="false" ht="15" hidden="false" customHeight="false" outlineLevel="0" collapsed="false">
      <c r="A114" s="2" t="s">
        <v>119</v>
      </c>
      <c r="B114" s="2" t="n">
        <v>5</v>
      </c>
      <c r="C114" s="2" t="s">
        <v>62</v>
      </c>
      <c r="D114" s="2" t="s">
        <v>42</v>
      </c>
      <c r="E114" s="2" t="str">
        <f aca="false">INDEX(Products!$B$2:$B$13,MATCH(D114,Products!$A$2:$A$13,0))</f>
        <v>Hydroprocessing</v>
      </c>
      <c r="F114" s="15" t="n">
        <v>3.9</v>
      </c>
      <c r="G114" s="16" t="n">
        <f aca="false">IF(A114="2025",INDEX(Products!$C$2:$C$13,MATCH(D114,Products!$A$2:$A$13,0)),INDEX(Products!$E$2:$E$13,MATCH(D114,Products!$A$2:$A$13,0)))</f>
        <v>13072.5</v>
      </c>
      <c r="H114" s="13" t="n">
        <f aca="false">IF(A114="2025",INDEX(Customers!$D$2:$D$41,MATCH(C114,Customers!$A$2:$A$41,0)),INDEX(Customers!$F$2:$F$41,MATCH(C114,Customers!$A$2:$A$41,0)))</f>
        <v>0.067</v>
      </c>
      <c r="I114" s="16" t="n">
        <f aca="false">F114*G114</f>
        <v>50982.75</v>
      </c>
      <c r="J114" s="16" t="n">
        <f aca="false">I114*(1-H114)</f>
        <v>47566.90575</v>
      </c>
      <c r="K114" s="16" t="n">
        <f aca="false">J114*INDEX(Customers!$G$2:$G$41,MATCH(C114,Customers!$A$2:$A$41,0))</f>
        <v>475.6690575</v>
      </c>
      <c r="L114" s="16" t="n">
        <f aca="false">F114*INDEX(Customers!$H$2:$H$41,MATCH(C114,Customers!$A$2:$A$41,0))</f>
        <v>1521</v>
      </c>
      <c r="M114" s="16" t="n">
        <f aca="false">J114*INDEX(Customers!$I$2:$I$41,MATCH(C114,Customers!$A$2:$A$41,0))/365*Assumptions!$B$6</f>
        <v>312.768695342466</v>
      </c>
      <c r="N114" s="16" t="n">
        <f aca="false">J114-K114-L114-M114</f>
        <v>45257.4679971575</v>
      </c>
      <c r="O114" s="16" t="n">
        <f aca="false">F114*IF(A114="2025",INDEX(Products!$D$2:$D$13,MATCH(D114,Products!$A$2:$A$13,0)),INDEX(Products!$F$2:$F$13,MATCH(D114,Products!$A$2:$A$13,0)))</f>
        <v>31252.26</v>
      </c>
      <c r="P114" s="16" t="n">
        <f aca="false">N114-O114</f>
        <v>14005.2079971575</v>
      </c>
    </row>
    <row r="115" customFormat="false" ht="15" hidden="false" customHeight="false" outlineLevel="0" collapsed="false">
      <c r="A115" s="2" t="s">
        <v>119</v>
      </c>
      <c r="B115" s="2" t="n">
        <v>6</v>
      </c>
      <c r="C115" s="2" t="s">
        <v>62</v>
      </c>
      <c r="D115" s="2" t="s">
        <v>42</v>
      </c>
      <c r="E115" s="2" t="str">
        <f aca="false">INDEX(Products!$B$2:$B$13,MATCH(D115,Products!$A$2:$A$13,0))</f>
        <v>Hydroprocessing</v>
      </c>
      <c r="F115" s="15" t="n">
        <v>5.3</v>
      </c>
      <c r="G115" s="16" t="n">
        <f aca="false">IF(A115="2025",INDEX(Products!$C$2:$C$13,MATCH(D115,Products!$A$2:$A$13,0)),INDEX(Products!$E$2:$E$13,MATCH(D115,Products!$A$2:$A$13,0)))</f>
        <v>13072.5</v>
      </c>
      <c r="H115" s="13" t="n">
        <f aca="false">IF(A115="2025",INDEX(Customers!$D$2:$D$41,MATCH(C115,Customers!$A$2:$A$41,0)),INDEX(Customers!$F$2:$F$41,MATCH(C115,Customers!$A$2:$A$41,0)))</f>
        <v>0.067</v>
      </c>
      <c r="I115" s="16" t="n">
        <f aca="false">F115*G115</f>
        <v>69284.25</v>
      </c>
      <c r="J115" s="16" t="n">
        <f aca="false">I115*(1-H115)</f>
        <v>64642.20525</v>
      </c>
      <c r="K115" s="16" t="n">
        <f aca="false">J115*INDEX(Customers!$G$2:$G$41,MATCH(C115,Customers!$A$2:$A$41,0))</f>
        <v>646.4220525</v>
      </c>
      <c r="L115" s="16" t="n">
        <f aca="false">F115*INDEX(Customers!$H$2:$H$41,MATCH(C115,Customers!$A$2:$A$41,0))</f>
        <v>2067</v>
      </c>
      <c r="M115" s="16" t="n">
        <f aca="false">J115*INDEX(Customers!$I$2:$I$41,MATCH(C115,Customers!$A$2:$A$41,0))/365*Assumptions!$B$6</f>
        <v>425.044637260274</v>
      </c>
      <c r="N115" s="16" t="n">
        <f aca="false">J115-K115-L115-M115</f>
        <v>61503.7385602397</v>
      </c>
      <c r="O115" s="16" t="n">
        <f aca="false">F115*IF(A115="2025",INDEX(Products!$D$2:$D$13,MATCH(D115,Products!$A$2:$A$13,0)),INDEX(Products!$F$2:$F$13,MATCH(D115,Products!$A$2:$A$13,0)))</f>
        <v>42471.02</v>
      </c>
      <c r="P115" s="16" t="n">
        <f aca="false">N115-O115</f>
        <v>19032.7185602397</v>
      </c>
    </row>
    <row r="116" customFormat="false" ht="15" hidden="false" customHeight="false" outlineLevel="0" collapsed="false">
      <c r="A116" s="2" t="s">
        <v>119</v>
      </c>
      <c r="B116" s="2" t="n">
        <v>7</v>
      </c>
      <c r="C116" s="2" t="s">
        <v>62</v>
      </c>
      <c r="D116" s="2" t="s">
        <v>42</v>
      </c>
      <c r="E116" s="2" t="str">
        <f aca="false">INDEX(Products!$B$2:$B$13,MATCH(D116,Products!$A$2:$A$13,0))</f>
        <v>Hydroprocessing</v>
      </c>
      <c r="F116" s="15" t="n">
        <v>5.1</v>
      </c>
      <c r="G116" s="16" t="n">
        <f aca="false">IF(A116="2025",INDEX(Products!$C$2:$C$13,MATCH(D116,Products!$A$2:$A$13,0)),INDEX(Products!$E$2:$E$13,MATCH(D116,Products!$A$2:$A$13,0)))</f>
        <v>13072.5</v>
      </c>
      <c r="H116" s="13" t="n">
        <f aca="false">IF(A116="2025",INDEX(Customers!$D$2:$D$41,MATCH(C116,Customers!$A$2:$A$41,0)),INDEX(Customers!$F$2:$F$41,MATCH(C116,Customers!$A$2:$A$41,0)))</f>
        <v>0.067</v>
      </c>
      <c r="I116" s="16" t="n">
        <f aca="false">F116*G116</f>
        <v>66669.75</v>
      </c>
      <c r="J116" s="16" t="n">
        <f aca="false">I116*(1-H116)</f>
        <v>62202.87675</v>
      </c>
      <c r="K116" s="16" t="n">
        <f aca="false">J116*INDEX(Customers!$G$2:$G$41,MATCH(C116,Customers!$A$2:$A$41,0))</f>
        <v>622.0287675</v>
      </c>
      <c r="L116" s="16" t="n">
        <f aca="false">F116*INDEX(Customers!$H$2:$H$41,MATCH(C116,Customers!$A$2:$A$41,0))</f>
        <v>1989</v>
      </c>
      <c r="M116" s="16" t="n">
        <f aca="false">J116*INDEX(Customers!$I$2:$I$41,MATCH(C116,Customers!$A$2:$A$41,0))/365*Assumptions!$B$6</f>
        <v>409.005216986301</v>
      </c>
      <c r="N116" s="16" t="n">
        <f aca="false">J116-K116-L116-M116</f>
        <v>59182.8427655137</v>
      </c>
      <c r="O116" s="16" t="n">
        <f aca="false">F116*IF(A116="2025",INDEX(Products!$D$2:$D$13,MATCH(D116,Products!$A$2:$A$13,0)),INDEX(Products!$F$2:$F$13,MATCH(D116,Products!$A$2:$A$13,0)))</f>
        <v>40868.34</v>
      </c>
      <c r="P116" s="16" t="n">
        <f aca="false">N116-O116</f>
        <v>18314.5027655137</v>
      </c>
    </row>
    <row r="117" customFormat="false" ht="15" hidden="false" customHeight="false" outlineLevel="0" collapsed="false">
      <c r="A117" s="2" t="s">
        <v>119</v>
      </c>
      <c r="B117" s="2" t="n">
        <v>8</v>
      </c>
      <c r="C117" s="2" t="s">
        <v>62</v>
      </c>
      <c r="D117" s="2" t="s">
        <v>42</v>
      </c>
      <c r="E117" s="2" t="str">
        <f aca="false">INDEX(Products!$B$2:$B$13,MATCH(D117,Products!$A$2:$A$13,0))</f>
        <v>Hydroprocessing</v>
      </c>
      <c r="F117" s="15" t="n">
        <v>5.8</v>
      </c>
      <c r="G117" s="16" t="n">
        <f aca="false">IF(A117="2025",INDEX(Products!$C$2:$C$13,MATCH(D117,Products!$A$2:$A$13,0)),INDEX(Products!$E$2:$E$13,MATCH(D117,Products!$A$2:$A$13,0)))</f>
        <v>13072.5</v>
      </c>
      <c r="H117" s="13" t="n">
        <f aca="false">IF(A117="2025",INDEX(Customers!$D$2:$D$41,MATCH(C117,Customers!$A$2:$A$41,0)),INDEX(Customers!$F$2:$F$41,MATCH(C117,Customers!$A$2:$A$41,0)))</f>
        <v>0.067</v>
      </c>
      <c r="I117" s="16" t="n">
        <f aca="false">F117*G117</f>
        <v>75820.5</v>
      </c>
      <c r="J117" s="16" t="n">
        <f aca="false">I117*(1-H117)</f>
        <v>70740.5265</v>
      </c>
      <c r="K117" s="16" t="n">
        <f aca="false">J117*INDEX(Customers!$G$2:$G$41,MATCH(C117,Customers!$A$2:$A$41,0))</f>
        <v>707.405265</v>
      </c>
      <c r="L117" s="16" t="n">
        <f aca="false">F117*INDEX(Customers!$H$2:$H$41,MATCH(C117,Customers!$A$2:$A$41,0))</f>
        <v>2262</v>
      </c>
      <c r="M117" s="16" t="n">
        <f aca="false">J117*INDEX(Customers!$I$2:$I$41,MATCH(C117,Customers!$A$2:$A$41,0))/365*Assumptions!$B$6</f>
        <v>465.143187945206</v>
      </c>
      <c r="N117" s="16" t="n">
        <f aca="false">J117-K117-L117-M117</f>
        <v>67305.9780470548</v>
      </c>
      <c r="O117" s="16" t="n">
        <f aca="false">F117*IF(A117="2025",INDEX(Products!$D$2:$D$13,MATCH(D117,Products!$A$2:$A$13,0)),INDEX(Products!$F$2:$F$13,MATCH(D117,Products!$A$2:$A$13,0)))</f>
        <v>46477.72</v>
      </c>
      <c r="P117" s="16" t="n">
        <f aca="false">N117-O117</f>
        <v>20828.2580470548</v>
      </c>
    </row>
    <row r="118" customFormat="false" ht="15" hidden="false" customHeight="false" outlineLevel="0" collapsed="false">
      <c r="A118" s="2" t="s">
        <v>119</v>
      </c>
      <c r="B118" s="2" t="n">
        <v>9</v>
      </c>
      <c r="C118" s="2" t="s">
        <v>62</v>
      </c>
      <c r="D118" s="2" t="s">
        <v>42</v>
      </c>
      <c r="E118" s="2" t="str">
        <f aca="false">INDEX(Products!$B$2:$B$13,MATCH(D118,Products!$A$2:$A$13,0))</f>
        <v>Hydroprocessing</v>
      </c>
      <c r="F118" s="15" t="n">
        <v>5.6</v>
      </c>
      <c r="G118" s="16" t="n">
        <f aca="false">IF(A118="2025",INDEX(Products!$C$2:$C$13,MATCH(D118,Products!$A$2:$A$13,0)),INDEX(Products!$E$2:$E$13,MATCH(D118,Products!$A$2:$A$13,0)))</f>
        <v>13072.5</v>
      </c>
      <c r="H118" s="13" t="n">
        <f aca="false">IF(A118="2025",INDEX(Customers!$D$2:$D$41,MATCH(C118,Customers!$A$2:$A$41,0)),INDEX(Customers!$F$2:$F$41,MATCH(C118,Customers!$A$2:$A$41,0)))</f>
        <v>0.067</v>
      </c>
      <c r="I118" s="16" t="n">
        <f aca="false">F118*G118</f>
        <v>73206</v>
      </c>
      <c r="J118" s="16" t="n">
        <f aca="false">I118*(1-H118)</f>
        <v>68301.198</v>
      </c>
      <c r="K118" s="16" t="n">
        <f aca="false">J118*INDEX(Customers!$G$2:$G$41,MATCH(C118,Customers!$A$2:$A$41,0))</f>
        <v>683.01198</v>
      </c>
      <c r="L118" s="16" t="n">
        <f aca="false">F118*INDEX(Customers!$H$2:$H$41,MATCH(C118,Customers!$A$2:$A$41,0))</f>
        <v>2184</v>
      </c>
      <c r="M118" s="16" t="n">
        <f aca="false">J118*INDEX(Customers!$I$2:$I$41,MATCH(C118,Customers!$A$2:$A$41,0))/365*Assumptions!$B$6</f>
        <v>449.103767671233</v>
      </c>
      <c r="N118" s="16" t="n">
        <f aca="false">J118-K118-L118-M118</f>
        <v>64985.0822523288</v>
      </c>
      <c r="O118" s="16" t="n">
        <f aca="false">F118*IF(A118="2025",INDEX(Products!$D$2:$D$13,MATCH(D118,Products!$A$2:$A$13,0)),INDEX(Products!$F$2:$F$13,MATCH(D118,Products!$A$2:$A$13,0)))</f>
        <v>44875.04</v>
      </c>
      <c r="P118" s="16" t="n">
        <f aca="false">N118-O118</f>
        <v>20110.0422523288</v>
      </c>
    </row>
    <row r="119" customFormat="false" ht="15" hidden="false" customHeight="false" outlineLevel="0" collapsed="false">
      <c r="A119" s="2" t="s">
        <v>119</v>
      </c>
      <c r="B119" s="2" t="n">
        <v>10</v>
      </c>
      <c r="C119" s="2" t="s">
        <v>62</v>
      </c>
      <c r="D119" s="2" t="s">
        <v>42</v>
      </c>
      <c r="E119" s="2" t="str">
        <f aca="false">INDEX(Products!$B$2:$B$13,MATCH(D119,Products!$A$2:$A$13,0))</f>
        <v>Hydroprocessing</v>
      </c>
      <c r="F119" s="15" t="n">
        <v>6</v>
      </c>
      <c r="G119" s="16" t="n">
        <f aca="false">IF(A119="2025",INDEX(Products!$C$2:$C$13,MATCH(D119,Products!$A$2:$A$13,0)),INDEX(Products!$E$2:$E$13,MATCH(D119,Products!$A$2:$A$13,0)))</f>
        <v>13072.5</v>
      </c>
      <c r="H119" s="13" t="n">
        <f aca="false">IF(A119="2025",INDEX(Customers!$D$2:$D$41,MATCH(C119,Customers!$A$2:$A$41,0)),INDEX(Customers!$F$2:$F$41,MATCH(C119,Customers!$A$2:$A$41,0)))</f>
        <v>0.067</v>
      </c>
      <c r="I119" s="16" t="n">
        <f aca="false">F119*G119</f>
        <v>78435</v>
      </c>
      <c r="J119" s="16" t="n">
        <f aca="false">I119*(1-H119)</f>
        <v>73179.855</v>
      </c>
      <c r="K119" s="16" t="n">
        <f aca="false">J119*INDEX(Customers!$G$2:$G$41,MATCH(C119,Customers!$A$2:$A$41,0))</f>
        <v>731.79855</v>
      </c>
      <c r="L119" s="16" t="n">
        <f aca="false">F119*INDEX(Customers!$H$2:$H$41,MATCH(C119,Customers!$A$2:$A$41,0))</f>
        <v>2340</v>
      </c>
      <c r="M119" s="16" t="n">
        <f aca="false">J119*INDEX(Customers!$I$2:$I$41,MATCH(C119,Customers!$A$2:$A$41,0))/365*Assumptions!$B$6</f>
        <v>481.182608219178</v>
      </c>
      <c r="N119" s="16" t="n">
        <f aca="false">J119-K119-L119-M119</f>
        <v>69626.8738417808</v>
      </c>
      <c r="O119" s="16" t="n">
        <f aca="false">F119*IF(A119="2025",INDEX(Products!$D$2:$D$13,MATCH(D119,Products!$A$2:$A$13,0)),INDEX(Products!$F$2:$F$13,MATCH(D119,Products!$A$2:$A$13,0)))</f>
        <v>48080.4</v>
      </c>
      <c r="P119" s="16" t="n">
        <f aca="false">N119-O119</f>
        <v>21546.4738417808</v>
      </c>
    </row>
    <row r="120" customFormat="false" ht="15" hidden="false" customHeight="false" outlineLevel="0" collapsed="false">
      <c r="A120" s="2" t="s">
        <v>119</v>
      </c>
      <c r="B120" s="2" t="n">
        <v>11</v>
      </c>
      <c r="C120" s="2" t="s">
        <v>62</v>
      </c>
      <c r="D120" s="2" t="s">
        <v>42</v>
      </c>
      <c r="E120" s="2" t="str">
        <f aca="false">INDEX(Products!$B$2:$B$13,MATCH(D120,Products!$A$2:$A$13,0))</f>
        <v>Hydroprocessing</v>
      </c>
      <c r="F120" s="15" t="n">
        <v>5.9</v>
      </c>
      <c r="G120" s="16" t="n">
        <f aca="false">IF(A120="2025",INDEX(Products!$C$2:$C$13,MATCH(D120,Products!$A$2:$A$13,0)),INDEX(Products!$E$2:$E$13,MATCH(D120,Products!$A$2:$A$13,0)))</f>
        <v>13072.5</v>
      </c>
      <c r="H120" s="13" t="n">
        <f aca="false">IF(A120="2025",INDEX(Customers!$D$2:$D$41,MATCH(C120,Customers!$A$2:$A$41,0)),INDEX(Customers!$F$2:$F$41,MATCH(C120,Customers!$A$2:$A$41,0)))</f>
        <v>0.067</v>
      </c>
      <c r="I120" s="16" t="n">
        <f aca="false">F120*G120</f>
        <v>77127.75</v>
      </c>
      <c r="J120" s="16" t="n">
        <f aca="false">I120*(1-H120)</f>
        <v>71960.19075</v>
      </c>
      <c r="K120" s="16" t="n">
        <f aca="false">J120*INDEX(Customers!$G$2:$G$41,MATCH(C120,Customers!$A$2:$A$41,0))</f>
        <v>719.6019075</v>
      </c>
      <c r="L120" s="16" t="n">
        <f aca="false">F120*INDEX(Customers!$H$2:$H$41,MATCH(C120,Customers!$A$2:$A$41,0))</f>
        <v>2301</v>
      </c>
      <c r="M120" s="16" t="n">
        <f aca="false">J120*INDEX(Customers!$I$2:$I$41,MATCH(C120,Customers!$A$2:$A$41,0))/365*Assumptions!$B$6</f>
        <v>473.162898082192</v>
      </c>
      <c r="N120" s="16" t="n">
        <f aca="false">J120-K120-L120-M120</f>
        <v>68466.4259444178</v>
      </c>
      <c r="O120" s="16" t="n">
        <f aca="false">F120*IF(A120="2025",INDEX(Products!$D$2:$D$13,MATCH(D120,Products!$A$2:$A$13,0)),INDEX(Products!$F$2:$F$13,MATCH(D120,Products!$A$2:$A$13,0)))</f>
        <v>47279.06</v>
      </c>
      <c r="P120" s="16" t="n">
        <f aca="false">N120-O120</f>
        <v>21187.3659444178</v>
      </c>
    </row>
    <row r="121" customFormat="false" ht="15" hidden="false" customHeight="false" outlineLevel="0" collapsed="false">
      <c r="A121" s="2" t="s">
        <v>119</v>
      </c>
      <c r="B121" s="2" t="n">
        <v>12</v>
      </c>
      <c r="C121" s="2" t="s">
        <v>62</v>
      </c>
      <c r="D121" s="2" t="s">
        <v>42</v>
      </c>
      <c r="E121" s="2" t="str">
        <f aca="false">INDEX(Products!$B$2:$B$13,MATCH(D121,Products!$A$2:$A$13,0))</f>
        <v>Hydroprocessing</v>
      </c>
      <c r="F121" s="15" t="n">
        <v>5.3</v>
      </c>
      <c r="G121" s="16" t="n">
        <f aca="false">IF(A121="2025",INDEX(Products!$C$2:$C$13,MATCH(D121,Products!$A$2:$A$13,0)),INDEX(Products!$E$2:$E$13,MATCH(D121,Products!$A$2:$A$13,0)))</f>
        <v>13072.5</v>
      </c>
      <c r="H121" s="13" t="n">
        <f aca="false">IF(A121="2025",INDEX(Customers!$D$2:$D$41,MATCH(C121,Customers!$A$2:$A$41,0)),INDEX(Customers!$F$2:$F$41,MATCH(C121,Customers!$A$2:$A$41,0)))</f>
        <v>0.067</v>
      </c>
      <c r="I121" s="16" t="n">
        <f aca="false">F121*G121</f>
        <v>69284.25</v>
      </c>
      <c r="J121" s="16" t="n">
        <f aca="false">I121*(1-H121)</f>
        <v>64642.20525</v>
      </c>
      <c r="K121" s="16" t="n">
        <f aca="false">J121*INDEX(Customers!$G$2:$G$41,MATCH(C121,Customers!$A$2:$A$41,0))</f>
        <v>646.4220525</v>
      </c>
      <c r="L121" s="16" t="n">
        <f aca="false">F121*INDEX(Customers!$H$2:$H$41,MATCH(C121,Customers!$A$2:$A$41,0))</f>
        <v>2067</v>
      </c>
      <c r="M121" s="16" t="n">
        <f aca="false">J121*INDEX(Customers!$I$2:$I$41,MATCH(C121,Customers!$A$2:$A$41,0))/365*Assumptions!$B$6</f>
        <v>425.044637260274</v>
      </c>
      <c r="N121" s="16" t="n">
        <f aca="false">J121-K121-L121-M121</f>
        <v>61503.7385602397</v>
      </c>
      <c r="O121" s="16" t="n">
        <f aca="false">F121*IF(A121="2025",INDEX(Products!$D$2:$D$13,MATCH(D121,Products!$A$2:$A$13,0)),INDEX(Products!$F$2:$F$13,MATCH(D121,Products!$A$2:$A$13,0)))</f>
        <v>42471.02</v>
      </c>
      <c r="P121" s="16" t="n">
        <f aca="false">N121-O121</f>
        <v>19032.7185602397</v>
      </c>
    </row>
    <row r="122" customFormat="false" ht="15" hidden="false" customHeight="false" outlineLevel="0" collapsed="false">
      <c r="A122" s="2" t="s">
        <v>118</v>
      </c>
      <c r="B122" s="2" t="n">
        <v>1</v>
      </c>
      <c r="C122" s="2" t="s">
        <v>62</v>
      </c>
      <c r="D122" s="2" t="s">
        <v>37</v>
      </c>
      <c r="E122" s="2" t="str">
        <f aca="false">INDEX(Products!$B$2:$B$13,MATCH(D122,Products!$A$2:$A$13,0))</f>
        <v>FCC</v>
      </c>
      <c r="F122" s="15" t="n">
        <v>10.8</v>
      </c>
      <c r="G122" s="16" t="n">
        <f aca="false">IF(A122="2025",INDEX(Products!$C$2:$C$13,MATCH(D122,Products!$A$2:$A$13,0)),INDEX(Products!$E$2:$E$13,MATCH(D122,Products!$A$2:$A$13,0)))</f>
        <v>3530</v>
      </c>
      <c r="H122" s="13" t="n">
        <f aca="false">IF(A122="2025",INDEX(Customers!$D$2:$D$41,MATCH(C122,Customers!$A$2:$A$41,0)),INDEX(Customers!$F$2:$F$41,MATCH(C122,Customers!$A$2:$A$41,0)))</f>
        <v>0.048</v>
      </c>
      <c r="I122" s="16" t="n">
        <f aca="false">F122*G122</f>
        <v>38124</v>
      </c>
      <c r="J122" s="16" t="n">
        <f aca="false">I122*(1-H122)</f>
        <v>36294.048</v>
      </c>
      <c r="K122" s="16" t="n">
        <f aca="false">J122*INDEX(Customers!$G$2:$G$41,MATCH(C122,Customers!$A$2:$A$41,0))</f>
        <v>362.94048</v>
      </c>
      <c r="L122" s="16" t="n">
        <f aca="false">F122*INDEX(Customers!$H$2:$H$41,MATCH(C122,Customers!$A$2:$A$41,0))</f>
        <v>4212</v>
      </c>
      <c r="M122" s="16" t="n">
        <f aca="false">J122*INDEX(Customers!$I$2:$I$41,MATCH(C122,Customers!$A$2:$A$41,0))/365*Assumptions!$B$6</f>
        <v>238.645795068493</v>
      </c>
      <c r="N122" s="16" t="n">
        <f aca="false">J122-K122-L122-M122</f>
        <v>31480.4617249315</v>
      </c>
      <c r="O122" s="16" t="n">
        <f aca="false">F122*IF(A122="2025",INDEX(Products!$D$2:$D$13,MATCH(D122,Products!$A$2:$A$13,0)),INDEX(Products!$F$2:$F$13,MATCH(D122,Products!$A$2:$A$13,0)))</f>
        <v>26028</v>
      </c>
      <c r="P122" s="16" t="n">
        <f aca="false">N122-O122</f>
        <v>5452.46172493151</v>
      </c>
    </row>
    <row r="123" customFormat="false" ht="15" hidden="false" customHeight="false" outlineLevel="0" collapsed="false">
      <c r="A123" s="2" t="s">
        <v>118</v>
      </c>
      <c r="B123" s="2" t="n">
        <v>2</v>
      </c>
      <c r="C123" s="2" t="s">
        <v>62</v>
      </c>
      <c r="D123" s="2" t="s">
        <v>37</v>
      </c>
      <c r="E123" s="2" t="str">
        <f aca="false">INDEX(Products!$B$2:$B$13,MATCH(D123,Products!$A$2:$A$13,0))</f>
        <v>FCC</v>
      </c>
      <c r="F123" s="15" t="n">
        <v>9.1</v>
      </c>
      <c r="G123" s="16" t="n">
        <f aca="false">IF(A123="2025",INDEX(Products!$C$2:$C$13,MATCH(D123,Products!$A$2:$A$13,0)),INDEX(Products!$E$2:$E$13,MATCH(D123,Products!$A$2:$A$13,0)))</f>
        <v>3530</v>
      </c>
      <c r="H123" s="13" t="n">
        <f aca="false">IF(A123="2025",INDEX(Customers!$D$2:$D$41,MATCH(C123,Customers!$A$2:$A$41,0)),INDEX(Customers!$F$2:$F$41,MATCH(C123,Customers!$A$2:$A$41,0)))</f>
        <v>0.048</v>
      </c>
      <c r="I123" s="16" t="n">
        <f aca="false">F123*G123</f>
        <v>32123</v>
      </c>
      <c r="J123" s="16" t="n">
        <f aca="false">I123*(1-H123)</f>
        <v>30581.096</v>
      </c>
      <c r="K123" s="16" t="n">
        <f aca="false">J123*INDEX(Customers!$G$2:$G$41,MATCH(C123,Customers!$A$2:$A$41,0))</f>
        <v>305.81096</v>
      </c>
      <c r="L123" s="16" t="n">
        <f aca="false">F123*INDEX(Customers!$H$2:$H$41,MATCH(C123,Customers!$A$2:$A$41,0))</f>
        <v>3549</v>
      </c>
      <c r="M123" s="16" t="n">
        <f aca="false">J123*INDEX(Customers!$I$2:$I$41,MATCH(C123,Customers!$A$2:$A$41,0))/365*Assumptions!$B$6</f>
        <v>201.081179178082</v>
      </c>
      <c r="N123" s="16" t="n">
        <f aca="false">J123-K123-L123-M123</f>
        <v>26525.2038608219</v>
      </c>
      <c r="O123" s="16" t="n">
        <f aca="false">F123*IF(A123="2025",INDEX(Products!$D$2:$D$13,MATCH(D123,Products!$A$2:$A$13,0)),INDEX(Products!$F$2:$F$13,MATCH(D123,Products!$A$2:$A$13,0)))</f>
        <v>21931</v>
      </c>
      <c r="P123" s="16" t="n">
        <f aca="false">N123-O123</f>
        <v>4594.20386082192</v>
      </c>
    </row>
    <row r="124" customFormat="false" ht="15" hidden="false" customHeight="false" outlineLevel="0" collapsed="false">
      <c r="A124" s="2" t="s">
        <v>118</v>
      </c>
      <c r="B124" s="2" t="n">
        <v>3</v>
      </c>
      <c r="C124" s="2" t="s">
        <v>62</v>
      </c>
      <c r="D124" s="2" t="s">
        <v>37</v>
      </c>
      <c r="E124" s="2" t="str">
        <f aca="false">INDEX(Products!$B$2:$B$13,MATCH(D124,Products!$A$2:$A$13,0))</f>
        <v>FCC</v>
      </c>
      <c r="F124" s="15" t="n">
        <v>9.5</v>
      </c>
      <c r="G124" s="16" t="n">
        <f aca="false">IF(A124="2025",INDEX(Products!$C$2:$C$13,MATCH(D124,Products!$A$2:$A$13,0)),INDEX(Products!$E$2:$E$13,MATCH(D124,Products!$A$2:$A$13,0)))</f>
        <v>3530</v>
      </c>
      <c r="H124" s="13" t="n">
        <f aca="false">IF(A124="2025",INDEX(Customers!$D$2:$D$41,MATCH(C124,Customers!$A$2:$A$41,0)),INDEX(Customers!$F$2:$F$41,MATCH(C124,Customers!$A$2:$A$41,0)))</f>
        <v>0.048</v>
      </c>
      <c r="I124" s="16" t="n">
        <f aca="false">F124*G124</f>
        <v>33535</v>
      </c>
      <c r="J124" s="16" t="n">
        <f aca="false">I124*(1-H124)</f>
        <v>31925.32</v>
      </c>
      <c r="K124" s="16" t="n">
        <f aca="false">J124*INDEX(Customers!$G$2:$G$41,MATCH(C124,Customers!$A$2:$A$41,0))</f>
        <v>319.2532</v>
      </c>
      <c r="L124" s="16" t="n">
        <f aca="false">F124*INDEX(Customers!$H$2:$H$41,MATCH(C124,Customers!$A$2:$A$41,0))</f>
        <v>3705</v>
      </c>
      <c r="M124" s="16" t="n">
        <f aca="false">J124*INDEX(Customers!$I$2:$I$41,MATCH(C124,Customers!$A$2:$A$41,0))/365*Assumptions!$B$6</f>
        <v>209.919912328767</v>
      </c>
      <c r="N124" s="16" t="n">
        <f aca="false">J124-K124-L124-M124</f>
        <v>27691.1468876712</v>
      </c>
      <c r="O124" s="16" t="n">
        <f aca="false">F124*IF(A124="2025",INDEX(Products!$D$2:$D$13,MATCH(D124,Products!$A$2:$A$13,0)),INDEX(Products!$F$2:$F$13,MATCH(D124,Products!$A$2:$A$13,0)))</f>
        <v>22895</v>
      </c>
      <c r="P124" s="16" t="n">
        <f aca="false">N124-O124</f>
        <v>4796.14688767124</v>
      </c>
    </row>
    <row r="125" customFormat="false" ht="15" hidden="false" customHeight="false" outlineLevel="0" collapsed="false">
      <c r="A125" s="2" t="s">
        <v>118</v>
      </c>
      <c r="B125" s="2" t="n">
        <v>4</v>
      </c>
      <c r="C125" s="2" t="s">
        <v>62</v>
      </c>
      <c r="D125" s="2" t="s">
        <v>37</v>
      </c>
      <c r="E125" s="2" t="str">
        <f aca="false">INDEX(Products!$B$2:$B$13,MATCH(D125,Products!$A$2:$A$13,0))</f>
        <v>FCC</v>
      </c>
      <c r="F125" s="15" t="n">
        <v>14.6</v>
      </c>
      <c r="G125" s="16" t="n">
        <f aca="false">IF(A125="2025",INDEX(Products!$C$2:$C$13,MATCH(D125,Products!$A$2:$A$13,0)),INDEX(Products!$E$2:$E$13,MATCH(D125,Products!$A$2:$A$13,0)))</f>
        <v>3530</v>
      </c>
      <c r="H125" s="13" t="n">
        <f aca="false">IF(A125="2025",INDEX(Customers!$D$2:$D$41,MATCH(C125,Customers!$A$2:$A$41,0)),INDEX(Customers!$F$2:$F$41,MATCH(C125,Customers!$A$2:$A$41,0)))</f>
        <v>0.048</v>
      </c>
      <c r="I125" s="16" t="n">
        <f aca="false">F125*G125</f>
        <v>51538</v>
      </c>
      <c r="J125" s="16" t="n">
        <f aca="false">I125*(1-H125)</f>
        <v>49064.176</v>
      </c>
      <c r="K125" s="16" t="n">
        <f aca="false">J125*INDEX(Customers!$G$2:$G$41,MATCH(C125,Customers!$A$2:$A$41,0))</f>
        <v>490.64176</v>
      </c>
      <c r="L125" s="16" t="n">
        <f aca="false">F125*INDEX(Customers!$H$2:$H$41,MATCH(C125,Customers!$A$2:$A$41,0))</f>
        <v>5694</v>
      </c>
      <c r="M125" s="16" t="n">
        <f aca="false">J125*INDEX(Customers!$I$2:$I$41,MATCH(C125,Customers!$A$2:$A$41,0))/365*Assumptions!$B$6</f>
        <v>322.61376</v>
      </c>
      <c r="N125" s="16" t="n">
        <f aca="false">J125-K125-L125-M125</f>
        <v>42556.92048</v>
      </c>
      <c r="O125" s="16" t="n">
        <f aca="false">F125*IF(A125="2025",INDEX(Products!$D$2:$D$13,MATCH(D125,Products!$A$2:$A$13,0)),INDEX(Products!$F$2:$F$13,MATCH(D125,Products!$A$2:$A$13,0)))</f>
        <v>35186</v>
      </c>
      <c r="P125" s="16" t="n">
        <f aca="false">N125-O125</f>
        <v>7370.92048</v>
      </c>
    </row>
    <row r="126" customFormat="false" ht="15" hidden="false" customHeight="false" outlineLevel="0" collapsed="false">
      <c r="A126" s="2" t="s">
        <v>118</v>
      </c>
      <c r="B126" s="2" t="n">
        <v>5</v>
      </c>
      <c r="C126" s="2" t="s">
        <v>62</v>
      </c>
      <c r="D126" s="2" t="s">
        <v>37</v>
      </c>
      <c r="E126" s="2" t="str">
        <f aca="false">INDEX(Products!$B$2:$B$13,MATCH(D126,Products!$A$2:$A$13,0))</f>
        <v>FCC</v>
      </c>
      <c r="F126" s="15" t="n">
        <v>10.2</v>
      </c>
      <c r="G126" s="16" t="n">
        <f aca="false">IF(A126="2025",INDEX(Products!$C$2:$C$13,MATCH(D126,Products!$A$2:$A$13,0)),INDEX(Products!$E$2:$E$13,MATCH(D126,Products!$A$2:$A$13,0)))</f>
        <v>3530</v>
      </c>
      <c r="H126" s="13" t="n">
        <f aca="false">IF(A126="2025",INDEX(Customers!$D$2:$D$41,MATCH(C126,Customers!$A$2:$A$41,0)),INDEX(Customers!$F$2:$F$41,MATCH(C126,Customers!$A$2:$A$41,0)))</f>
        <v>0.048</v>
      </c>
      <c r="I126" s="16" t="n">
        <f aca="false">F126*G126</f>
        <v>36006</v>
      </c>
      <c r="J126" s="16" t="n">
        <f aca="false">I126*(1-H126)</f>
        <v>34277.712</v>
      </c>
      <c r="K126" s="16" t="n">
        <f aca="false">J126*INDEX(Customers!$G$2:$G$41,MATCH(C126,Customers!$A$2:$A$41,0))</f>
        <v>342.77712</v>
      </c>
      <c r="L126" s="16" t="n">
        <f aca="false">F126*INDEX(Customers!$H$2:$H$41,MATCH(C126,Customers!$A$2:$A$41,0))</f>
        <v>3978</v>
      </c>
      <c r="M126" s="16" t="n">
        <f aca="false">J126*INDEX(Customers!$I$2:$I$41,MATCH(C126,Customers!$A$2:$A$41,0))/365*Assumptions!$B$6</f>
        <v>225.387695342466</v>
      </c>
      <c r="N126" s="16" t="n">
        <f aca="false">J126-K126-L126-M126</f>
        <v>29731.5471846575</v>
      </c>
      <c r="O126" s="16" t="n">
        <f aca="false">F126*IF(A126="2025",INDEX(Products!$D$2:$D$13,MATCH(D126,Products!$A$2:$A$13,0)),INDEX(Products!$F$2:$F$13,MATCH(D126,Products!$A$2:$A$13,0)))</f>
        <v>24582</v>
      </c>
      <c r="P126" s="16" t="n">
        <f aca="false">N126-O126</f>
        <v>5149.54718465754</v>
      </c>
    </row>
    <row r="127" customFormat="false" ht="15" hidden="false" customHeight="false" outlineLevel="0" collapsed="false">
      <c r="A127" s="2" t="s">
        <v>118</v>
      </c>
      <c r="B127" s="2" t="n">
        <v>6</v>
      </c>
      <c r="C127" s="2" t="s">
        <v>62</v>
      </c>
      <c r="D127" s="2" t="s">
        <v>37</v>
      </c>
      <c r="E127" s="2" t="str">
        <f aca="false">INDEX(Products!$B$2:$B$13,MATCH(D127,Products!$A$2:$A$13,0))</f>
        <v>FCC</v>
      </c>
      <c r="F127" s="15" t="n">
        <v>14.7</v>
      </c>
      <c r="G127" s="16" t="n">
        <f aca="false">IF(A127="2025",INDEX(Products!$C$2:$C$13,MATCH(D127,Products!$A$2:$A$13,0)),INDEX(Products!$E$2:$E$13,MATCH(D127,Products!$A$2:$A$13,0)))</f>
        <v>3530</v>
      </c>
      <c r="H127" s="13" t="n">
        <f aca="false">IF(A127="2025",INDEX(Customers!$D$2:$D$41,MATCH(C127,Customers!$A$2:$A$41,0)),INDEX(Customers!$F$2:$F$41,MATCH(C127,Customers!$A$2:$A$41,0)))</f>
        <v>0.048</v>
      </c>
      <c r="I127" s="16" t="n">
        <f aca="false">F127*G127</f>
        <v>51891</v>
      </c>
      <c r="J127" s="16" t="n">
        <f aca="false">I127*(1-H127)</f>
        <v>49400.232</v>
      </c>
      <c r="K127" s="16" t="n">
        <f aca="false">J127*INDEX(Customers!$G$2:$G$41,MATCH(C127,Customers!$A$2:$A$41,0))</f>
        <v>494.00232</v>
      </c>
      <c r="L127" s="16" t="n">
        <f aca="false">F127*INDEX(Customers!$H$2:$H$41,MATCH(C127,Customers!$A$2:$A$41,0))</f>
        <v>5733</v>
      </c>
      <c r="M127" s="16" t="n">
        <f aca="false">J127*INDEX(Customers!$I$2:$I$41,MATCH(C127,Customers!$A$2:$A$41,0))/365*Assumptions!$B$6</f>
        <v>324.823443287671</v>
      </c>
      <c r="N127" s="16" t="n">
        <f aca="false">J127-K127-L127-M127</f>
        <v>42848.4062367123</v>
      </c>
      <c r="O127" s="16" t="n">
        <f aca="false">F127*IF(A127="2025",INDEX(Products!$D$2:$D$13,MATCH(D127,Products!$A$2:$A$13,0)),INDEX(Products!$F$2:$F$13,MATCH(D127,Products!$A$2:$A$13,0)))</f>
        <v>35427</v>
      </c>
      <c r="P127" s="16" t="n">
        <f aca="false">N127-O127</f>
        <v>7421.40623671233</v>
      </c>
    </row>
    <row r="128" customFormat="false" ht="15" hidden="false" customHeight="false" outlineLevel="0" collapsed="false">
      <c r="A128" s="2" t="s">
        <v>118</v>
      </c>
      <c r="B128" s="2" t="n">
        <v>7</v>
      </c>
      <c r="C128" s="2" t="s">
        <v>62</v>
      </c>
      <c r="D128" s="2" t="s">
        <v>37</v>
      </c>
      <c r="E128" s="2" t="str">
        <f aca="false">INDEX(Products!$B$2:$B$13,MATCH(D128,Products!$A$2:$A$13,0))</f>
        <v>FCC</v>
      </c>
      <c r="F128" s="15" t="n">
        <v>10.5</v>
      </c>
      <c r="G128" s="16" t="n">
        <f aca="false">IF(A128="2025",INDEX(Products!$C$2:$C$13,MATCH(D128,Products!$A$2:$A$13,0)),INDEX(Products!$E$2:$E$13,MATCH(D128,Products!$A$2:$A$13,0)))</f>
        <v>3530</v>
      </c>
      <c r="H128" s="13" t="n">
        <f aca="false">IF(A128="2025",INDEX(Customers!$D$2:$D$41,MATCH(C128,Customers!$A$2:$A$41,0)),INDEX(Customers!$F$2:$F$41,MATCH(C128,Customers!$A$2:$A$41,0)))</f>
        <v>0.048</v>
      </c>
      <c r="I128" s="16" t="n">
        <f aca="false">F128*G128</f>
        <v>37065</v>
      </c>
      <c r="J128" s="16" t="n">
        <f aca="false">I128*(1-H128)</f>
        <v>35285.88</v>
      </c>
      <c r="K128" s="16" t="n">
        <f aca="false">J128*INDEX(Customers!$G$2:$G$41,MATCH(C128,Customers!$A$2:$A$41,0))</f>
        <v>352.8588</v>
      </c>
      <c r="L128" s="16" t="n">
        <f aca="false">F128*INDEX(Customers!$H$2:$H$41,MATCH(C128,Customers!$A$2:$A$41,0))</f>
        <v>4095</v>
      </c>
      <c r="M128" s="16" t="n">
        <f aca="false">J128*INDEX(Customers!$I$2:$I$41,MATCH(C128,Customers!$A$2:$A$41,0))/365*Assumptions!$B$6</f>
        <v>232.016745205479</v>
      </c>
      <c r="N128" s="16" t="n">
        <f aca="false">J128-K128-L128-M128</f>
        <v>30606.0044547945</v>
      </c>
      <c r="O128" s="16" t="n">
        <f aca="false">F128*IF(A128="2025",INDEX(Products!$D$2:$D$13,MATCH(D128,Products!$A$2:$A$13,0)),INDEX(Products!$F$2:$F$13,MATCH(D128,Products!$A$2:$A$13,0)))</f>
        <v>25305</v>
      </c>
      <c r="P128" s="16" t="n">
        <f aca="false">N128-O128</f>
        <v>5301.00445479451</v>
      </c>
    </row>
    <row r="129" customFormat="false" ht="15" hidden="false" customHeight="false" outlineLevel="0" collapsed="false">
      <c r="A129" s="2" t="s">
        <v>118</v>
      </c>
      <c r="B129" s="2" t="n">
        <v>8</v>
      </c>
      <c r="C129" s="2" t="s">
        <v>62</v>
      </c>
      <c r="D129" s="2" t="s">
        <v>37</v>
      </c>
      <c r="E129" s="2" t="str">
        <f aca="false">INDEX(Products!$B$2:$B$13,MATCH(D129,Products!$A$2:$A$13,0))</f>
        <v>FCC</v>
      </c>
      <c r="F129" s="15" t="n">
        <v>8.7</v>
      </c>
      <c r="G129" s="16" t="n">
        <f aca="false">IF(A129="2025",INDEX(Products!$C$2:$C$13,MATCH(D129,Products!$A$2:$A$13,0)),INDEX(Products!$E$2:$E$13,MATCH(D129,Products!$A$2:$A$13,0)))</f>
        <v>3530</v>
      </c>
      <c r="H129" s="13" t="n">
        <f aca="false">IF(A129="2025",INDEX(Customers!$D$2:$D$41,MATCH(C129,Customers!$A$2:$A$41,0)),INDEX(Customers!$F$2:$F$41,MATCH(C129,Customers!$A$2:$A$41,0)))</f>
        <v>0.048</v>
      </c>
      <c r="I129" s="16" t="n">
        <f aca="false">F129*G129</f>
        <v>30711</v>
      </c>
      <c r="J129" s="16" t="n">
        <f aca="false">I129*(1-H129)</f>
        <v>29236.872</v>
      </c>
      <c r="K129" s="16" t="n">
        <f aca="false">J129*INDEX(Customers!$G$2:$G$41,MATCH(C129,Customers!$A$2:$A$41,0))</f>
        <v>292.36872</v>
      </c>
      <c r="L129" s="16" t="n">
        <f aca="false">F129*INDEX(Customers!$H$2:$H$41,MATCH(C129,Customers!$A$2:$A$41,0))</f>
        <v>3393</v>
      </c>
      <c r="M129" s="16" t="n">
        <f aca="false">J129*INDEX(Customers!$I$2:$I$41,MATCH(C129,Customers!$A$2:$A$41,0))/365*Assumptions!$B$6</f>
        <v>192.242446027397</v>
      </c>
      <c r="N129" s="16" t="n">
        <f aca="false">J129-K129-L129-M129</f>
        <v>25359.2608339726</v>
      </c>
      <c r="O129" s="16" t="n">
        <f aca="false">F129*IF(A129="2025",INDEX(Products!$D$2:$D$13,MATCH(D129,Products!$A$2:$A$13,0)),INDEX(Products!$F$2:$F$13,MATCH(D129,Products!$A$2:$A$13,0)))</f>
        <v>20967</v>
      </c>
      <c r="P129" s="16" t="n">
        <f aca="false">N129-O129</f>
        <v>4392.2608339726</v>
      </c>
    </row>
    <row r="130" customFormat="false" ht="15" hidden="false" customHeight="false" outlineLevel="0" collapsed="false">
      <c r="A130" s="2" t="s">
        <v>118</v>
      </c>
      <c r="B130" s="2" t="n">
        <v>9</v>
      </c>
      <c r="C130" s="2" t="s">
        <v>62</v>
      </c>
      <c r="D130" s="2" t="s">
        <v>37</v>
      </c>
      <c r="E130" s="2" t="str">
        <f aca="false">INDEX(Products!$B$2:$B$13,MATCH(D130,Products!$A$2:$A$13,0))</f>
        <v>FCC</v>
      </c>
      <c r="F130" s="15" t="n">
        <v>10.4</v>
      </c>
      <c r="G130" s="16" t="n">
        <f aca="false">IF(A130="2025",INDEX(Products!$C$2:$C$13,MATCH(D130,Products!$A$2:$A$13,0)),INDEX(Products!$E$2:$E$13,MATCH(D130,Products!$A$2:$A$13,0)))</f>
        <v>3530</v>
      </c>
      <c r="H130" s="13" t="n">
        <f aca="false">IF(A130="2025",INDEX(Customers!$D$2:$D$41,MATCH(C130,Customers!$A$2:$A$41,0)),INDEX(Customers!$F$2:$F$41,MATCH(C130,Customers!$A$2:$A$41,0)))</f>
        <v>0.048</v>
      </c>
      <c r="I130" s="16" t="n">
        <f aca="false">F130*G130</f>
        <v>36712</v>
      </c>
      <c r="J130" s="16" t="n">
        <f aca="false">I130*(1-H130)</f>
        <v>34949.824</v>
      </c>
      <c r="K130" s="16" t="n">
        <f aca="false">J130*INDEX(Customers!$G$2:$G$41,MATCH(C130,Customers!$A$2:$A$41,0))</f>
        <v>349.49824</v>
      </c>
      <c r="L130" s="16" t="n">
        <f aca="false">F130*INDEX(Customers!$H$2:$H$41,MATCH(C130,Customers!$A$2:$A$41,0))</f>
        <v>4056</v>
      </c>
      <c r="M130" s="16" t="n">
        <f aca="false">J130*INDEX(Customers!$I$2:$I$41,MATCH(C130,Customers!$A$2:$A$41,0))/365*Assumptions!$B$6</f>
        <v>229.807061917808</v>
      </c>
      <c r="N130" s="16" t="n">
        <f aca="false">J130-K130-L130-M130</f>
        <v>30314.5186980822</v>
      </c>
      <c r="O130" s="16" t="n">
        <f aca="false">F130*IF(A130="2025",INDEX(Products!$D$2:$D$13,MATCH(D130,Products!$A$2:$A$13,0)),INDEX(Products!$F$2:$F$13,MATCH(D130,Products!$A$2:$A$13,0)))</f>
        <v>25064</v>
      </c>
      <c r="P130" s="16" t="n">
        <f aca="false">N130-O130</f>
        <v>5250.51869808219</v>
      </c>
    </row>
    <row r="131" customFormat="false" ht="15" hidden="false" customHeight="false" outlineLevel="0" collapsed="false">
      <c r="A131" s="2" t="s">
        <v>118</v>
      </c>
      <c r="B131" s="2" t="n">
        <v>10</v>
      </c>
      <c r="C131" s="2" t="s">
        <v>62</v>
      </c>
      <c r="D131" s="2" t="s">
        <v>37</v>
      </c>
      <c r="E131" s="2" t="str">
        <f aca="false">INDEX(Products!$B$2:$B$13,MATCH(D131,Products!$A$2:$A$13,0))</f>
        <v>FCC</v>
      </c>
      <c r="F131" s="15" t="n">
        <v>11.1</v>
      </c>
      <c r="G131" s="16" t="n">
        <f aca="false">IF(A131="2025",INDEX(Products!$C$2:$C$13,MATCH(D131,Products!$A$2:$A$13,0)),INDEX(Products!$E$2:$E$13,MATCH(D131,Products!$A$2:$A$13,0)))</f>
        <v>3530</v>
      </c>
      <c r="H131" s="13" t="n">
        <f aca="false">IF(A131="2025",INDEX(Customers!$D$2:$D$41,MATCH(C131,Customers!$A$2:$A$41,0)),INDEX(Customers!$F$2:$F$41,MATCH(C131,Customers!$A$2:$A$41,0)))</f>
        <v>0.048</v>
      </c>
      <c r="I131" s="16" t="n">
        <f aca="false">F131*G131</f>
        <v>39183</v>
      </c>
      <c r="J131" s="16" t="n">
        <f aca="false">I131*(1-H131)</f>
        <v>37302.216</v>
      </c>
      <c r="K131" s="16" t="n">
        <f aca="false">J131*INDEX(Customers!$G$2:$G$41,MATCH(C131,Customers!$A$2:$A$41,0))</f>
        <v>373.02216</v>
      </c>
      <c r="L131" s="16" t="n">
        <f aca="false">F131*INDEX(Customers!$H$2:$H$41,MATCH(C131,Customers!$A$2:$A$41,0))</f>
        <v>4329</v>
      </c>
      <c r="M131" s="16" t="n">
        <f aca="false">J131*INDEX(Customers!$I$2:$I$41,MATCH(C131,Customers!$A$2:$A$41,0))/365*Assumptions!$B$6</f>
        <v>245.274844931507</v>
      </c>
      <c r="N131" s="16" t="n">
        <f aca="false">J131-K131-L131-M131</f>
        <v>32354.9189950685</v>
      </c>
      <c r="O131" s="16" t="n">
        <f aca="false">F131*IF(A131="2025",INDEX(Products!$D$2:$D$13,MATCH(D131,Products!$A$2:$A$13,0)),INDEX(Products!$F$2:$F$13,MATCH(D131,Products!$A$2:$A$13,0)))</f>
        <v>26751</v>
      </c>
      <c r="P131" s="16" t="n">
        <f aca="false">N131-O131</f>
        <v>5603.91899506849</v>
      </c>
    </row>
    <row r="132" customFormat="false" ht="15" hidden="false" customHeight="false" outlineLevel="0" collapsed="false">
      <c r="A132" s="2" t="s">
        <v>118</v>
      </c>
      <c r="B132" s="2" t="n">
        <v>11</v>
      </c>
      <c r="C132" s="2" t="s">
        <v>62</v>
      </c>
      <c r="D132" s="2" t="s">
        <v>37</v>
      </c>
      <c r="E132" s="2" t="str">
        <f aca="false">INDEX(Products!$B$2:$B$13,MATCH(D132,Products!$A$2:$A$13,0))</f>
        <v>FCC</v>
      </c>
      <c r="F132" s="15" t="n">
        <v>9.1</v>
      </c>
      <c r="G132" s="16" t="n">
        <f aca="false">IF(A132="2025",INDEX(Products!$C$2:$C$13,MATCH(D132,Products!$A$2:$A$13,0)),INDEX(Products!$E$2:$E$13,MATCH(D132,Products!$A$2:$A$13,0)))</f>
        <v>3530</v>
      </c>
      <c r="H132" s="13" t="n">
        <f aca="false">IF(A132="2025",INDEX(Customers!$D$2:$D$41,MATCH(C132,Customers!$A$2:$A$41,0)),INDEX(Customers!$F$2:$F$41,MATCH(C132,Customers!$A$2:$A$41,0)))</f>
        <v>0.048</v>
      </c>
      <c r="I132" s="16" t="n">
        <f aca="false">F132*G132</f>
        <v>32123</v>
      </c>
      <c r="J132" s="16" t="n">
        <f aca="false">I132*(1-H132)</f>
        <v>30581.096</v>
      </c>
      <c r="K132" s="16" t="n">
        <f aca="false">J132*INDEX(Customers!$G$2:$G$41,MATCH(C132,Customers!$A$2:$A$41,0))</f>
        <v>305.81096</v>
      </c>
      <c r="L132" s="16" t="n">
        <f aca="false">F132*INDEX(Customers!$H$2:$H$41,MATCH(C132,Customers!$A$2:$A$41,0))</f>
        <v>3549</v>
      </c>
      <c r="M132" s="16" t="n">
        <f aca="false">J132*INDEX(Customers!$I$2:$I$41,MATCH(C132,Customers!$A$2:$A$41,0))/365*Assumptions!$B$6</f>
        <v>201.081179178082</v>
      </c>
      <c r="N132" s="16" t="n">
        <f aca="false">J132-K132-L132-M132</f>
        <v>26525.2038608219</v>
      </c>
      <c r="O132" s="16" t="n">
        <f aca="false">F132*IF(A132="2025",INDEX(Products!$D$2:$D$13,MATCH(D132,Products!$A$2:$A$13,0)),INDEX(Products!$F$2:$F$13,MATCH(D132,Products!$A$2:$A$13,0)))</f>
        <v>21931</v>
      </c>
      <c r="P132" s="16" t="n">
        <f aca="false">N132-O132</f>
        <v>4594.20386082192</v>
      </c>
    </row>
    <row r="133" customFormat="false" ht="15" hidden="false" customHeight="false" outlineLevel="0" collapsed="false">
      <c r="A133" s="2" t="s">
        <v>118</v>
      </c>
      <c r="B133" s="2" t="n">
        <v>12</v>
      </c>
      <c r="C133" s="2" t="s">
        <v>62</v>
      </c>
      <c r="D133" s="2" t="s">
        <v>37</v>
      </c>
      <c r="E133" s="2" t="str">
        <f aca="false">INDEX(Products!$B$2:$B$13,MATCH(D133,Products!$A$2:$A$13,0))</f>
        <v>FCC</v>
      </c>
      <c r="F133" s="15" t="n">
        <v>11.4</v>
      </c>
      <c r="G133" s="16" t="n">
        <f aca="false">IF(A133="2025",INDEX(Products!$C$2:$C$13,MATCH(D133,Products!$A$2:$A$13,0)),INDEX(Products!$E$2:$E$13,MATCH(D133,Products!$A$2:$A$13,0)))</f>
        <v>3530</v>
      </c>
      <c r="H133" s="13" t="n">
        <f aca="false">IF(A133="2025",INDEX(Customers!$D$2:$D$41,MATCH(C133,Customers!$A$2:$A$41,0)),INDEX(Customers!$F$2:$F$41,MATCH(C133,Customers!$A$2:$A$41,0)))</f>
        <v>0.048</v>
      </c>
      <c r="I133" s="16" t="n">
        <f aca="false">F133*G133</f>
        <v>40242</v>
      </c>
      <c r="J133" s="16" t="n">
        <f aca="false">I133*(1-H133)</f>
        <v>38310.384</v>
      </c>
      <c r="K133" s="16" t="n">
        <f aca="false">J133*INDEX(Customers!$G$2:$G$41,MATCH(C133,Customers!$A$2:$A$41,0))</f>
        <v>383.10384</v>
      </c>
      <c r="L133" s="16" t="n">
        <f aca="false">F133*INDEX(Customers!$H$2:$H$41,MATCH(C133,Customers!$A$2:$A$41,0))</f>
        <v>4446</v>
      </c>
      <c r="M133" s="16" t="n">
        <f aca="false">J133*INDEX(Customers!$I$2:$I$41,MATCH(C133,Customers!$A$2:$A$41,0))/365*Assumptions!$B$6</f>
        <v>251.903894794521</v>
      </c>
      <c r="N133" s="16" t="n">
        <f aca="false">J133-K133-L133-M133</f>
        <v>33229.3762652055</v>
      </c>
      <c r="O133" s="16" t="n">
        <f aca="false">F133*IF(A133="2025",INDEX(Products!$D$2:$D$13,MATCH(D133,Products!$A$2:$A$13,0)),INDEX(Products!$F$2:$F$13,MATCH(D133,Products!$A$2:$A$13,0)))</f>
        <v>27474</v>
      </c>
      <c r="P133" s="16" t="n">
        <f aca="false">N133-O133</f>
        <v>5755.37626520547</v>
      </c>
    </row>
    <row r="134" customFormat="false" ht="15" hidden="false" customHeight="false" outlineLevel="0" collapsed="false">
      <c r="A134" s="2" t="s">
        <v>119</v>
      </c>
      <c r="B134" s="2" t="n">
        <v>1</v>
      </c>
      <c r="C134" s="2" t="s">
        <v>62</v>
      </c>
      <c r="D134" s="2" t="s">
        <v>37</v>
      </c>
      <c r="E134" s="2" t="str">
        <f aca="false">INDEX(Products!$B$2:$B$13,MATCH(D134,Products!$A$2:$A$13,0))</f>
        <v>FCC</v>
      </c>
      <c r="F134" s="15" t="n">
        <v>12.6</v>
      </c>
      <c r="G134" s="16" t="n">
        <f aca="false">IF(A134="2025",INDEX(Products!$C$2:$C$13,MATCH(D134,Products!$A$2:$A$13,0)),INDEX(Products!$E$2:$E$13,MATCH(D134,Products!$A$2:$A$13,0)))</f>
        <v>3706.5</v>
      </c>
      <c r="H134" s="13" t="n">
        <f aca="false">IF(A134="2025",INDEX(Customers!$D$2:$D$41,MATCH(C134,Customers!$A$2:$A$41,0)),INDEX(Customers!$F$2:$F$41,MATCH(C134,Customers!$A$2:$A$41,0)))</f>
        <v>0.067</v>
      </c>
      <c r="I134" s="16" t="n">
        <f aca="false">F134*G134</f>
        <v>46701.9</v>
      </c>
      <c r="J134" s="16" t="n">
        <f aca="false">I134*(1-H134)</f>
        <v>43572.8727</v>
      </c>
      <c r="K134" s="16" t="n">
        <f aca="false">J134*INDEX(Customers!$G$2:$G$41,MATCH(C134,Customers!$A$2:$A$41,0))</f>
        <v>435.728727</v>
      </c>
      <c r="L134" s="16" t="n">
        <f aca="false">F134*INDEX(Customers!$H$2:$H$41,MATCH(C134,Customers!$A$2:$A$41,0))</f>
        <v>4914</v>
      </c>
      <c r="M134" s="16" t="n">
        <f aca="false">J134*INDEX(Customers!$I$2:$I$41,MATCH(C134,Customers!$A$2:$A$41,0))/365*Assumptions!$B$6</f>
        <v>286.506560219178</v>
      </c>
      <c r="N134" s="16" t="n">
        <f aca="false">J134-K134-L134-M134</f>
        <v>37936.6374127808</v>
      </c>
      <c r="O134" s="16" t="n">
        <f aca="false">F134*IF(A134="2025",INDEX(Products!$D$2:$D$13,MATCH(D134,Products!$A$2:$A$13,0)),INDEX(Products!$F$2:$F$13,MATCH(D134,Products!$A$2:$A$13,0)))</f>
        <v>31276.98</v>
      </c>
      <c r="P134" s="16" t="n">
        <f aca="false">N134-O134</f>
        <v>6659.65741278083</v>
      </c>
    </row>
    <row r="135" customFormat="false" ht="15" hidden="false" customHeight="false" outlineLevel="0" collapsed="false">
      <c r="A135" s="2" t="s">
        <v>119</v>
      </c>
      <c r="B135" s="2" t="n">
        <v>2</v>
      </c>
      <c r="C135" s="2" t="s">
        <v>62</v>
      </c>
      <c r="D135" s="2" t="s">
        <v>37</v>
      </c>
      <c r="E135" s="2" t="str">
        <f aca="false">INDEX(Products!$B$2:$B$13,MATCH(D135,Products!$A$2:$A$13,0))</f>
        <v>FCC</v>
      </c>
      <c r="F135" s="15" t="n">
        <v>10.1</v>
      </c>
      <c r="G135" s="16" t="n">
        <f aca="false">IF(A135="2025",INDEX(Products!$C$2:$C$13,MATCH(D135,Products!$A$2:$A$13,0)),INDEX(Products!$E$2:$E$13,MATCH(D135,Products!$A$2:$A$13,0)))</f>
        <v>3706.5</v>
      </c>
      <c r="H135" s="13" t="n">
        <f aca="false">IF(A135="2025",INDEX(Customers!$D$2:$D$41,MATCH(C135,Customers!$A$2:$A$41,0)),INDEX(Customers!$F$2:$F$41,MATCH(C135,Customers!$A$2:$A$41,0)))</f>
        <v>0.067</v>
      </c>
      <c r="I135" s="16" t="n">
        <f aca="false">F135*G135</f>
        <v>37435.65</v>
      </c>
      <c r="J135" s="16" t="n">
        <f aca="false">I135*(1-H135)</f>
        <v>34927.46145</v>
      </c>
      <c r="K135" s="16" t="n">
        <f aca="false">J135*INDEX(Customers!$G$2:$G$41,MATCH(C135,Customers!$A$2:$A$41,0))</f>
        <v>349.2746145</v>
      </c>
      <c r="L135" s="16" t="n">
        <f aca="false">F135*INDEX(Customers!$H$2:$H$41,MATCH(C135,Customers!$A$2:$A$41,0))</f>
        <v>3939</v>
      </c>
      <c r="M135" s="16" t="n">
        <f aca="false">J135*INDEX(Customers!$I$2:$I$41,MATCH(C135,Customers!$A$2:$A$41,0))/365*Assumptions!$B$6</f>
        <v>229.660020493151</v>
      </c>
      <c r="N135" s="16" t="n">
        <f aca="false">J135-K135-L135-M135</f>
        <v>30409.5268150069</v>
      </c>
      <c r="O135" s="16" t="n">
        <f aca="false">F135*IF(A135="2025",INDEX(Products!$D$2:$D$13,MATCH(D135,Products!$A$2:$A$13,0)),INDEX(Products!$F$2:$F$13,MATCH(D135,Products!$A$2:$A$13,0)))</f>
        <v>25071.23</v>
      </c>
      <c r="P135" s="16" t="n">
        <f aca="false">N135-O135</f>
        <v>5338.29681500686</v>
      </c>
    </row>
    <row r="136" customFormat="false" ht="15" hidden="false" customHeight="false" outlineLevel="0" collapsed="false">
      <c r="A136" s="2" t="s">
        <v>119</v>
      </c>
      <c r="B136" s="2" t="n">
        <v>3</v>
      </c>
      <c r="C136" s="2" t="s">
        <v>62</v>
      </c>
      <c r="D136" s="2" t="s">
        <v>37</v>
      </c>
      <c r="E136" s="2" t="str">
        <f aca="false">INDEX(Products!$B$2:$B$13,MATCH(D136,Products!$A$2:$A$13,0))</f>
        <v>FCC</v>
      </c>
      <c r="F136" s="15" t="n">
        <v>10.6</v>
      </c>
      <c r="G136" s="16" t="n">
        <f aca="false">IF(A136="2025",INDEX(Products!$C$2:$C$13,MATCH(D136,Products!$A$2:$A$13,0)),INDEX(Products!$E$2:$E$13,MATCH(D136,Products!$A$2:$A$13,0)))</f>
        <v>3706.5</v>
      </c>
      <c r="H136" s="13" t="n">
        <f aca="false">IF(A136="2025",INDEX(Customers!$D$2:$D$41,MATCH(C136,Customers!$A$2:$A$41,0)),INDEX(Customers!$F$2:$F$41,MATCH(C136,Customers!$A$2:$A$41,0)))</f>
        <v>0.067</v>
      </c>
      <c r="I136" s="16" t="n">
        <f aca="false">F136*G136</f>
        <v>39288.9</v>
      </c>
      <c r="J136" s="16" t="n">
        <f aca="false">I136*(1-H136)</f>
        <v>36656.5437</v>
      </c>
      <c r="K136" s="16" t="n">
        <f aca="false">J136*INDEX(Customers!$G$2:$G$41,MATCH(C136,Customers!$A$2:$A$41,0))</f>
        <v>366.565437</v>
      </c>
      <c r="L136" s="16" t="n">
        <f aca="false">F136*INDEX(Customers!$H$2:$H$41,MATCH(C136,Customers!$A$2:$A$41,0))</f>
        <v>4134</v>
      </c>
      <c r="M136" s="16" t="n">
        <f aca="false">J136*INDEX(Customers!$I$2:$I$41,MATCH(C136,Customers!$A$2:$A$41,0))/365*Assumptions!$B$6</f>
        <v>241.029328438356</v>
      </c>
      <c r="N136" s="16" t="n">
        <f aca="false">J136-K136-L136-M136</f>
        <v>31914.9489345617</v>
      </c>
      <c r="O136" s="16" t="n">
        <f aca="false">F136*IF(A136="2025",INDEX(Products!$D$2:$D$13,MATCH(D136,Products!$A$2:$A$13,0)),INDEX(Products!$F$2:$F$13,MATCH(D136,Products!$A$2:$A$13,0)))</f>
        <v>26312.38</v>
      </c>
      <c r="P136" s="16" t="n">
        <f aca="false">N136-O136</f>
        <v>5602.56893456165</v>
      </c>
    </row>
    <row r="137" customFormat="false" ht="15" hidden="false" customHeight="false" outlineLevel="0" collapsed="false">
      <c r="A137" s="2" t="s">
        <v>119</v>
      </c>
      <c r="B137" s="2" t="n">
        <v>4</v>
      </c>
      <c r="C137" s="2" t="s">
        <v>62</v>
      </c>
      <c r="D137" s="2" t="s">
        <v>37</v>
      </c>
      <c r="E137" s="2" t="str">
        <f aca="false">INDEX(Products!$B$2:$B$13,MATCH(D137,Products!$A$2:$A$13,0))</f>
        <v>FCC</v>
      </c>
      <c r="F137" s="15" t="n">
        <v>13.9</v>
      </c>
      <c r="G137" s="16" t="n">
        <f aca="false">IF(A137="2025",INDEX(Products!$C$2:$C$13,MATCH(D137,Products!$A$2:$A$13,0)),INDEX(Products!$E$2:$E$13,MATCH(D137,Products!$A$2:$A$13,0)))</f>
        <v>3706.5</v>
      </c>
      <c r="H137" s="13" t="n">
        <f aca="false">IF(A137="2025",INDEX(Customers!$D$2:$D$41,MATCH(C137,Customers!$A$2:$A$41,0)),INDEX(Customers!$F$2:$F$41,MATCH(C137,Customers!$A$2:$A$41,0)))</f>
        <v>0.067</v>
      </c>
      <c r="I137" s="16" t="n">
        <f aca="false">F137*G137</f>
        <v>51520.35</v>
      </c>
      <c r="J137" s="16" t="n">
        <f aca="false">I137*(1-H137)</f>
        <v>48068.48655</v>
      </c>
      <c r="K137" s="16" t="n">
        <f aca="false">J137*INDEX(Customers!$G$2:$G$41,MATCH(C137,Customers!$A$2:$A$41,0))</f>
        <v>480.6848655</v>
      </c>
      <c r="L137" s="16" t="n">
        <f aca="false">F137*INDEX(Customers!$H$2:$H$41,MATCH(C137,Customers!$A$2:$A$41,0))</f>
        <v>5421</v>
      </c>
      <c r="M137" s="16" t="n">
        <f aca="false">J137*INDEX(Customers!$I$2:$I$41,MATCH(C137,Customers!$A$2:$A$41,0))/365*Assumptions!$B$6</f>
        <v>316.066760876712</v>
      </c>
      <c r="N137" s="16" t="n">
        <f aca="false">J137-K137-L137-M137</f>
        <v>41850.7349236233</v>
      </c>
      <c r="O137" s="16" t="n">
        <f aca="false">F137*IF(A137="2025",INDEX(Products!$D$2:$D$13,MATCH(D137,Products!$A$2:$A$13,0)),INDEX(Products!$F$2:$F$13,MATCH(D137,Products!$A$2:$A$13,0)))</f>
        <v>34503.97</v>
      </c>
      <c r="P137" s="16" t="n">
        <f aca="false">N137-O137</f>
        <v>7346.76492362329</v>
      </c>
    </row>
    <row r="138" customFormat="false" ht="15" hidden="false" customHeight="false" outlineLevel="0" collapsed="false">
      <c r="A138" s="2" t="s">
        <v>119</v>
      </c>
      <c r="B138" s="2" t="n">
        <v>5</v>
      </c>
      <c r="C138" s="2" t="s">
        <v>62</v>
      </c>
      <c r="D138" s="2" t="s">
        <v>37</v>
      </c>
      <c r="E138" s="2" t="str">
        <f aca="false">INDEX(Products!$B$2:$B$13,MATCH(D138,Products!$A$2:$A$13,0))</f>
        <v>FCC</v>
      </c>
      <c r="F138" s="15" t="n">
        <v>8.9</v>
      </c>
      <c r="G138" s="16" t="n">
        <f aca="false">IF(A138="2025",INDEX(Products!$C$2:$C$13,MATCH(D138,Products!$A$2:$A$13,0)),INDEX(Products!$E$2:$E$13,MATCH(D138,Products!$A$2:$A$13,0)))</f>
        <v>3706.5</v>
      </c>
      <c r="H138" s="13" t="n">
        <f aca="false">IF(A138="2025",INDEX(Customers!$D$2:$D$41,MATCH(C138,Customers!$A$2:$A$41,0)),INDEX(Customers!$F$2:$F$41,MATCH(C138,Customers!$A$2:$A$41,0)))</f>
        <v>0.067</v>
      </c>
      <c r="I138" s="16" t="n">
        <f aca="false">F138*G138</f>
        <v>32987.85</v>
      </c>
      <c r="J138" s="16" t="n">
        <f aca="false">I138*(1-H138)</f>
        <v>30777.66405</v>
      </c>
      <c r="K138" s="16" t="n">
        <f aca="false">J138*INDEX(Customers!$G$2:$G$41,MATCH(C138,Customers!$A$2:$A$41,0))</f>
        <v>307.7766405</v>
      </c>
      <c r="L138" s="16" t="n">
        <f aca="false">F138*INDEX(Customers!$H$2:$H$41,MATCH(C138,Customers!$A$2:$A$41,0))</f>
        <v>3471</v>
      </c>
      <c r="M138" s="16" t="n">
        <f aca="false">J138*INDEX(Customers!$I$2:$I$41,MATCH(C138,Customers!$A$2:$A$41,0))/365*Assumptions!$B$6</f>
        <v>202.373681424658</v>
      </c>
      <c r="N138" s="16" t="n">
        <f aca="false">J138-K138-L138-M138</f>
        <v>26796.5137280753</v>
      </c>
      <c r="O138" s="16" t="n">
        <f aca="false">F138*IF(A138="2025",INDEX(Products!$D$2:$D$13,MATCH(D138,Products!$A$2:$A$13,0)),INDEX(Products!$F$2:$F$13,MATCH(D138,Products!$A$2:$A$13,0)))</f>
        <v>22092.47</v>
      </c>
      <c r="P138" s="16" t="n">
        <f aca="false">N138-O138</f>
        <v>4704.04372807534</v>
      </c>
    </row>
    <row r="139" customFormat="false" ht="15" hidden="false" customHeight="false" outlineLevel="0" collapsed="false">
      <c r="A139" s="2" t="s">
        <v>119</v>
      </c>
      <c r="B139" s="2" t="n">
        <v>6</v>
      </c>
      <c r="C139" s="2" t="s">
        <v>62</v>
      </c>
      <c r="D139" s="2" t="s">
        <v>37</v>
      </c>
      <c r="E139" s="2" t="str">
        <f aca="false">INDEX(Products!$B$2:$B$13,MATCH(D139,Products!$A$2:$A$13,0))</f>
        <v>FCC</v>
      </c>
      <c r="F139" s="15" t="n">
        <v>11</v>
      </c>
      <c r="G139" s="16" t="n">
        <f aca="false">IF(A139="2025",INDEX(Products!$C$2:$C$13,MATCH(D139,Products!$A$2:$A$13,0)),INDEX(Products!$E$2:$E$13,MATCH(D139,Products!$A$2:$A$13,0)))</f>
        <v>3706.5</v>
      </c>
      <c r="H139" s="13" t="n">
        <f aca="false">IF(A139="2025",INDEX(Customers!$D$2:$D$41,MATCH(C139,Customers!$A$2:$A$41,0)),INDEX(Customers!$F$2:$F$41,MATCH(C139,Customers!$A$2:$A$41,0)))</f>
        <v>0.067</v>
      </c>
      <c r="I139" s="16" t="n">
        <f aca="false">F139*G139</f>
        <v>40771.5</v>
      </c>
      <c r="J139" s="16" t="n">
        <f aca="false">I139*(1-H139)</f>
        <v>38039.8095</v>
      </c>
      <c r="K139" s="16" t="n">
        <f aca="false">J139*INDEX(Customers!$G$2:$G$41,MATCH(C139,Customers!$A$2:$A$41,0))</f>
        <v>380.398095</v>
      </c>
      <c r="L139" s="16" t="n">
        <f aca="false">F139*INDEX(Customers!$H$2:$H$41,MATCH(C139,Customers!$A$2:$A$41,0))</f>
        <v>4290</v>
      </c>
      <c r="M139" s="16" t="n">
        <f aca="false">J139*INDEX(Customers!$I$2:$I$41,MATCH(C139,Customers!$A$2:$A$41,0))/365*Assumptions!$B$6</f>
        <v>250.124774794521</v>
      </c>
      <c r="N139" s="16" t="n">
        <f aca="false">J139-K139-L139-M139</f>
        <v>33119.2866302055</v>
      </c>
      <c r="O139" s="16" t="n">
        <f aca="false">F139*IF(A139="2025",INDEX(Products!$D$2:$D$13,MATCH(D139,Products!$A$2:$A$13,0)),INDEX(Products!$F$2:$F$13,MATCH(D139,Products!$A$2:$A$13,0)))</f>
        <v>27305.3</v>
      </c>
      <c r="P139" s="16" t="n">
        <f aca="false">N139-O139</f>
        <v>5813.98663020548</v>
      </c>
    </row>
    <row r="140" customFormat="false" ht="15" hidden="false" customHeight="false" outlineLevel="0" collapsed="false">
      <c r="A140" s="2" t="s">
        <v>119</v>
      </c>
      <c r="B140" s="2" t="n">
        <v>7</v>
      </c>
      <c r="C140" s="2" t="s">
        <v>62</v>
      </c>
      <c r="D140" s="2" t="s">
        <v>37</v>
      </c>
      <c r="E140" s="2" t="str">
        <f aca="false">INDEX(Products!$B$2:$B$13,MATCH(D140,Products!$A$2:$A$13,0))</f>
        <v>FCC</v>
      </c>
      <c r="F140" s="15" t="n">
        <v>13.8</v>
      </c>
      <c r="G140" s="16" t="n">
        <f aca="false">IF(A140="2025",INDEX(Products!$C$2:$C$13,MATCH(D140,Products!$A$2:$A$13,0)),INDEX(Products!$E$2:$E$13,MATCH(D140,Products!$A$2:$A$13,0)))</f>
        <v>3706.5</v>
      </c>
      <c r="H140" s="13" t="n">
        <f aca="false">IF(A140="2025",INDEX(Customers!$D$2:$D$41,MATCH(C140,Customers!$A$2:$A$41,0)),INDEX(Customers!$F$2:$F$41,MATCH(C140,Customers!$A$2:$A$41,0)))</f>
        <v>0.067</v>
      </c>
      <c r="I140" s="16" t="n">
        <f aca="false">F140*G140</f>
        <v>51149.7</v>
      </c>
      <c r="J140" s="16" t="n">
        <f aca="false">I140*(1-H140)</f>
        <v>47722.6701</v>
      </c>
      <c r="K140" s="16" t="n">
        <f aca="false">J140*INDEX(Customers!$G$2:$G$41,MATCH(C140,Customers!$A$2:$A$41,0))</f>
        <v>477.226701</v>
      </c>
      <c r="L140" s="16" t="n">
        <f aca="false">F140*INDEX(Customers!$H$2:$H$41,MATCH(C140,Customers!$A$2:$A$41,0))</f>
        <v>5382</v>
      </c>
      <c r="M140" s="16" t="n">
        <f aca="false">J140*INDEX(Customers!$I$2:$I$41,MATCH(C140,Customers!$A$2:$A$41,0))/365*Assumptions!$B$6</f>
        <v>313.792899287671</v>
      </c>
      <c r="N140" s="16" t="n">
        <f aca="false">J140-K140-L140-M140</f>
        <v>41549.6504997123</v>
      </c>
      <c r="O140" s="16" t="n">
        <f aca="false">F140*IF(A140="2025",INDEX(Products!$D$2:$D$13,MATCH(D140,Products!$A$2:$A$13,0)),INDEX(Products!$F$2:$F$13,MATCH(D140,Products!$A$2:$A$13,0)))</f>
        <v>34255.74</v>
      </c>
      <c r="P140" s="16" t="n">
        <f aca="false">N140-O140</f>
        <v>7293.91049971234</v>
      </c>
    </row>
    <row r="141" customFormat="false" ht="15" hidden="false" customHeight="false" outlineLevel="0" collapsed="false">
      <c r="A141" s="2" t="s">
        <v>119</v>
      </c>
      <c r="B141" s="2" t="n">
        <v>8</v>
      </c>
      <c r="C141" s="2" t="s">
        <v>62</v>
      </c>
      <c r="D141" s="2" t="s">
        <v>37</v>
      </c>
      <c r="E141" s="2" t="str">
        <f aca="false">INDEX(Products!$B$2:$B$13,MATCH(D141,Products!$A$2:$A$13,0))</f>
        <v>FCC</v>
      </c>
      <c r="F141" s="15" t="n">
        <v>10.7</v>
      </c>
      <c r="G141" s="16" t="n">
        <f aca="false">IF(A141="2025",INDEX(Products!$C$2:$C$13,MATCH(D141,Products!$A$2:$A$13,0)),INDEX(Products!$E$2:$E$13,MATCH(D141,Products!$A$2:$A$13,0)))</f>
        <v>3706.5</v>
      </c>
      <c r="H141" s="13" t="n">
        <f aca="false">IF(A141="2025",INDEX(Customers!$D$2:$D$41,MATCH(C141,Customers!$A$2:$A$41,0)),INDEX(Customers!$F$2:$F$41,MATCH(C141,Customers!$A$2:$A$41,0)))</f>
        <v>0.067</v>
      </c>
      <c r="I141" s="16" t="n">
        <f aca="false">F141*G141</f>
        <v>39659.55</v>
      </c>
      <c r="J141" s="16" t="n">
        <f aca="false">I141*(1-H141)</f>
        <v>37002.36015</v>
      </c>
      <c r="K141" s="16" t="n">
        <f aca="false">J141*INDEX(Customers!$G$2:$G$41,MATCH(C141,Customers!$A$2:$A$41,0))</f>
        <v>370.0236015</v>
      </c>
      <c r="L141" s="16" t="n">
        <f aca="false">F141*INDEX(Customers!$H$2:$H$41,MATCH(C141,Customers!$A$2:$A$41,0))</f>
        <v>4173</v>
      </c>
      <c r="M141" s="16" t="n">
        <f aca="false">J141*INDEX(Customers!$I$2:$I$41,MATCH(C141,Customers!$A$2:$A$41,0))/365*Assumptions!$B$6</f>
        <v>243.303190027397</v>
      </c>
      <c r="N141" s="16" t="n">
        <f aca="false">J141-K141-L141-M141</f>
        <v>32216.0333584726</v>
      </c>
      <c r="O141" s="16" t="n">
        <f aca="false">F141*IF(A141="2025",INDEX(Products!$D$2:$D$13,MATCH(D141,Products!$A$2:$A$13,0)),INDEX(Products!$F$2:$F$13,MATCH(D141,Products!$A$2:$A$13,0)))</f>
        <v>26560.61</v>
      </c>
      <c r="P141" s="16" t="n">
        <f aca="false">N141-O141</f>
        <v>5655.42335847261</v>
      </c>
    </row>
    <row r="142" customFormat="false" ht="15" hidden="false" customHeight="false" outlineLevel="0" collapsed="false">
      <c r="A142" s="2" t="s">
        <v>119</v>
      </c>
      <c r="B142" s="2" t="n">
        <v>9</v>
      </c>
      <c r="C142" s="2" t="s">
        <v>62</v>
      </c>
      <c r="D142" s="2" t="s">
        <v>37</v>
      </c>
      <c r="E142" s="2" t="str">
        <f aca="false">INDEX(Products!$B$2:$B$13,MATCH(D142,Products!$A$2:$A$13,0))</f>
        <v>FCC</v>
      </c>
      <c r="F142" s="15" t="n">
        <v>11.3</v>
      </c>
      <c r="G142" s="16" t="n">
        <f aca="false">IF(A142="2025",INDEX(Products!$C$2:$C$13,MATCH(D142,Products!$A$2:$A$13,0)),INDEX(Products!$E$2:$E$13,MATCH(D142,Products!$A$2:$A$13,0)))</f>
        <v>3706.5</v>
      </c>
      <c r="H142" s="13" t="n">
        <f aca="false">IF(A142="2025",INDEX(Customers!$D$2:$D$41,MATCH(C142,Customers!$A$2:$A$41,0)),INDEX(Customers!$F$2:$F$41,MATCH(C142,Customers!$A$2:$A$41,0)))</f>
        <v>0.067</v>
      </c>
      <c r="I142" s="16" t="n">
        <f aca="false">F142*G142</f>
        <v>41883.45</v>
      </c>
      <c r="J142" s="16" t="n">
        <f aca="false">I142*(1-H142)</f>
        <v>39077.25885</v>
      </c>
      <c r="K142" s="16" t="n">
        <f aca="false">J142*INDEX(Customers!$G$2:$G$41,MATCH(C142,Customers!$A$2:$A$41,0))</f>
        <v>390.7725885</v>
      </c>
      <c r="L142" s="16" t="n">
        <f aca="false">F142*INDEX(Customers!$H$2:$H$41,MATCH(C142,Customers!$A$2:$A$41,0))</f>
        <v>4407</v>
      </c>
      <c r="M142" s="16" t="n">
        <f aca="false">J142*INDEX(Customers!$I$2:$I$41,MATCH(C142,Customers!$A$2:$A$41,0))/365*Assumptions!$B$6</f>
        <v>256.946359561644</v>
      </c>
      <c r="N142" s="16" t="n">
        <f aca="false">J142-K142-L142-M142</f>
        <v>34022.5399019384</v>
      </c>
      <c r="O142" s="16" t="n">
        <f aca="false">F142*IF(A142="2025",INDEX(Products!$D$2:$D$13,MATCH(D142,Products!$A$2:$A$13,0)),INDEX(Products!$F$2:$F$13,MATCH(D142,Products!$A$2:$A$13,0)))</f>
        <v>28049.99</v>
      </c>
      <c r="P142" s="16" t="n">
        <f aca="false">N142-O142</f>
        <v>5972.54990193835</v>
      </c>
    </row>
    <row r="143" customFormat="false" ht="15" hidden="false" customHeight="false" outlineLevel="0" collapsed="false">
      <c r="A143" s="2" t="s">
        <v>119</v>
      </c>
      <c r="B143" s="2" t="n">
        <v>10</v>
      </c>
      <c r="C143" s="2" t="s">
        <v>62</v>
      </c>
      <c r="D143" s="2" t="s">
        <v>37</v>
      </c>
      <c r="E143" s="2" t="str">
        <f aca="false">INDEX(Products!$B$2:$B$13,MATCH(D143,Products!$A$2:$A$13,0))</f>
        <v>FCC</v>
      </c>
      <c r="F143" s="15" t="n">
        <v>11</v>
      </c>
      <c r="G143" s="16" t="n">
        <f aca="false">IF(A143="2025",INDEX(Products!$C$2:$C$13,MATCH(D143,Products!$A$2:$A$13,0)),INDEX(Products!$E$2:$E$13,MATCH(D143,Products!$A$2:$A$13,0)))</f>
        <v>3706.5</v>
      </c>
      <c r="H143" s="13" t="n">
        <f aca="false">IF(A143="2025",INDEX(Customers!$D$2:$D$41,MATCH(C143,Customers!$A$2:$A$41,0)),INDEX(Customers!$F$2:$F$41,MATCH(C143,Customers!$A$2:$A$41,0)))</f>
        <v>0.067</v>
      </c>
      <c r="I143" s="16" t="n">
        <f aca="false">F143*G143</f>
        <v>40771.5</v>
      </c>
      <c r="J143" s="16" t="n">
        <f aca="false">I143*(1-H143)</f>
        <v>38039.8095</v>
      </c>
      <c r="K143" s="16" t="n">
        <f aca="false">J143*INDEX(Customers!$G$2:$G$41,MATCH(C143,Customers!$A$2:$A$41,0))</f>
        <v>380.398095</v>
      </c>
      <c r="L143" s="16" t="n">
        <f aca="false">F143*INDEX(Customers!$H$2:$H$41,MATCH(C143,Customers!$A$2:$A$41,0))</f>
        <v>4290</v>
      </c>
      <c r="M143" s="16" t="n">
        <f aca="false">J143*INDEX(Customers!$I$2:$I$41,MATCH(C143,Customers!$A$2:$A$41,0))/365*Assumptions!$B$6</f>
        <v>250.124774794521</v>
      </c>
      <c r="N143" s="16" t="n">
        <f aca="false">J143-K143-L143-M143</f>
        <v>33119.2866302055</v>
      </c>
      <c r="O143" s="16" t="n">
        <f aca="false">F143*IF(A143="2025",INDEX(Products!$D$2:$D$13,MATCH(D143,Products!$A$2:$A$13,0)),INDEX(Products!$F$2:$F$13,MATCH(D143,Products!$A$2:$A$13,0)))</f>
        <v>27305.3</v>
      </c>
      <c r="P143" s="16" t="n">
        <f aca="false">N143-O143</f>
        <v>5813.98663020548</v>
      </c>
    </row>
    <row r="144" customFormat="false" ht="15" hidden="false" customHeight="false" outlineLevel="0" collapsed="false">
      <c r="A144" s="2" t="s">
        <v>119</v>
      </c>
      <c r="B144" s="2" t="n">
        <v>11</v>
      </c>
      <c r="C144" s="2" t="s">
        <v>62</v>
      </c>
      <c r="D144" s="2" t="s">
        <v>37</v>
      </c>
      <c r="E144" s="2" t="str">
        <f aca="false">INDEX(Products!$B$2:$B$13,MATCH(D144,Products!$A$2:$A$13,0))</f>
        <v>FCC</v>
      </c>
      <c r="F144" s="15" t="n">
        <v>8.2</v>
      </c>
      <c r="G144" s="16" t="n">
        <f aca="false">IF(A144="2025",INDEX(Products!$C$2:$C$13,MATCH(D144,Products!$A$2:$A$13,0)),INDEX(Products!$E$2:$E$13,MATCH(D144,Products!$A$2:$A$13,0)))</f>
        <v>3706.5</v>
      </c>
      <c r="H144" s="13" t="n">
        <f aca="false">IF(A144="2025",INDEX(Customers!$D$2:$D$41,MATCH(C144,Customers!$A$2:$A$41,0)),INDEX(Customers!$F$2:$F$41,MATCH(C144,Customers!$A$2:$A$41,0)))</f>
        <v>0.067</v>
      </c>
      <c r="I144" s="16" t="n">
        <f aca="false">F144*G144</f>
        <v>30393.3</v>
      </c>
      <c r="J144" s="16" t="n">
        <f aca="false">I144*(1-H144)</f>
        <v>28356.9489</v>
      </c>
      <c r="K144" s="16" t="n">
        <f aca="false">J144*INDEX(Customers!$G$2:$G$41,MATCH(C144,Customers!$A$2:$A$41,0))</f>
        <v>283.569489</v>
      </c>
      <c r="L144" s="16" t="n">
        <f aca="false">F144*INDEX(Customers!$H$2:$H$41,MATCH(C144,Customers!$A$2:$A$41,0))</f>
        <v>3198</v>
      </c>
      <c r="M144" s="16" t="n">
        <f aca="false">J144*INDEX(Customers!$I$2:$I$41,MATCH(C144,Customers!$A$2:$A$41,0))/365*Assumptions!$B$6</f>
        <v>186.45665030137</v>
      </c>
      <c r="N144" s="16" t="n">
        <f aca="false">J144-K144-L144-M144</f>
        <v>24688.9227606986</v>
      </c>
      <c r="O144" s="16" t="n">
        <f aca="false">F144*IF(A144="2025",INDEX(Products!$D$2:$D$13,MATCH(D144,Products!$A$2:$A$13,0)),INDEX(Products!$F$2:$F$13,MATCH(D144,Products!$A$2:$A$13,0)))</f>
        <v>20354.86</v>
      </c>
      <c r="P144" s="16" t="n">
        <f aca="false">N144-O144</f>
        <v>4334.06276069862</v>
      </c>
    </row>
    <row r="145" customFormat="false" ht="15" hidden="false" customHeight="false" outlineLevel="0" collapsed="false">
      <c r="A145" s="2" t="s">
        <v>119</v>
      </c>
      <c r="B145" s="2" t="n">
        <v>12</v>
      </c>
      <c r="C145" s="2" t="s">
        <v>62</v>
      </c>
      <c r="D145" s="2" t="s">
        <v>37</v>
      </c>
      <c r="E145" s="2" t="str">
        <f aca="false">INDEX(Products!$B$2:$B$13,MATCH(D145,Products!$A$2:$A$13,0))</f>
        <v>FCC</v>
      </c>
      <c r="F145" s="15" t="n">
        <v>12.1</v>
      </c>
      <c r="G145" s="16" t="n">
        <f aca="false">IF(A145="2025",INDEX(Products!$C$2:$C$13,MATCH(D145,Products!$A$2:$A$13,0)),INDEX(Products!$E$2:$E$13,MATCH(D145,Products!$A$2:$A$13,0)))</f>
        <v>3706.5</v>
      </c>
      <c r="H145" s="13" t="n">
        <f aca="false">IF(A145="2025",INDEX(Customers!$D$2:$D$41,MATCH(C145,Customers!$A$2:$A$41,0)),INDEX(Customers!$F$2:$F$41,MATCH(C145,Customers!$A$2:$A$41,0)))</f>
        <v>0.067</v>
      </c>
      <c r="I145" s="16" t="n">
        <f aca="false">F145*G145</f>
        <v>44848.65</v>
      </c>
      <c r="J145" s="16" t="n">
        <f aca="false">I145*(1-H145)</f>
        <v>41843.79045</v>
      </c>
      <c r="K145" s="16" t="n">
        <f aca="false">J145*INDEX(Customers!$G$2:$G$41,MATCH(C145,Customers!$A$2:$A$41,0))</f>
        <v>418.4379045</v>
      </c>
      <c r="L145" s="16" t="n">
        <f aca="false">F145*INDEX(Customers!$H$2:$H$41,MATCH(C145,Customers!$A$2:$A$41,0))</f>
        <v>4719</v>
      </c>
      <c r="M145" s="16" t="n">
        <f aca="false">J145*INDEX(Customers!$I$2:$I$41,MATCH(C145,Customers!$A$2:$A$41,0))/365*Assumptions!$B$6</f>
        <v>275.137252273973</v>
      </c>
      <c r="N145" s="16" t="n">
        <f aca="false">J145-K145-L145-M145</f>
        <v>36431.215293226</v>
      </c>
      <c r="O145" s="16" t="n">
        <f aca="false">F145*IF(A145="2025",INDEX(Products!$D$2:$D$13,MATCH(D145,Products!$A$2:$A$13,0)),INDEX(Products!$F$2:$F$13,MATCH(D145,Products!$A$2:$A$13,0)))</f>
        <v>30035.83</v>
      </c>
      <c r="P145" s="16" t="n">
        <f aca="false">N145-O145</f>
        <v>6395.38529322603</v>
      </c>
    </row>
    <row r="146" customFormat="false" ht="15" hidden="false" customHeight="false" outlineLevel="0" collapsed="false">
      <c r="A146" s="2" t="s">
        <v>118</v>
      </c>
      <c r="B146" s="2" t="n">
        <v>1</v>
      </c>
      <c r="C146" s="2" t="s">
        <v>62</v>
      </c>
      <c r="D146" s="2" t="s">
        <v>43</v>
      </c>
      <c r="E146" s="2" t="str">
        <f aca="false">INDEX(Products!$B$2:$B$13,MATCH(D146,Products!$A$2:$A$13,0))</f>
        <v>Hydroprocessing</v>
      </c>
      <c r="F146" s="15" t="n">
        <v>7.3</v>
      </c>
      <c r="G146" s="16" t="n">
        <f aca="false">IF(A146="2025",INDEX(Products!$C$2:$C$13,MATCH(D146,Products!$A$2:$A$13,0)),INDEX(Products!$E$2:$E$13,MATCH(D146,Products!$A$2:$A$13,0)))</f>
        <v>11610</v>
      </c>
      <c r="H146" s="13" t="n">
        <f aca="false">IF(A146="2025",INDEX(Customers!$D$2:$D$41,MATCH(C146,Customers!$A$2:$A$41,0)),INDEX(Customers!$F$2:$F$41,MATCH(C146,Customers!$A$2:$A$41,0)))</f>
        <v>0.048</v>
      </c>
      <c r="I146" s="16" t="n">
        <f aca="false">F146*G146</f>
        <v>84753</v>
      </c>
      <c r="J146" s="16" t="n">
        <f aca="false">I146*(1-H146)</f>
        <v>80684.856</v>
      </c>
      <c r="K146" s="16" t="n">
        <f aca="false">J146*INDEX(Customers!$G$2:$G$41,MATCH(C146,Customers!$A$2:$A$41,0))</f>
        <v>806.84856</v>
      </c>
      <c r="L146" s="16" t="n">
        <f aca="false">F146*INDEX(Customers!$H$2:$H$41,MATCH(C146,Customers!$A$2:$A$41,0))</f>
        <v>2847</v>
      </c>
      <c r="M146" s="16" t="n">
        <f aca="false">J146*INDEX(Customers!$I$2:$I$41,MATCH(C146,Customers!$A$2:$A$41,0))/365*Assumptions!$B$6</f>
        <v>530.53056</v>
      </c>
      <c r="N146" s="16" t="n">
        <f aca="false">J146-K146-L146-M146</f>
        <v>76500.47688</v>
      </c>
      <c r="O146" s="16" t="n">
        <f aca="false">F146*IF(A146="2025",INDEX(Products!$D$2:$D$13,MATCH(D146,Products!$A$2:$A$13,0)),INDEX(Products!$F$2:$F$13,MATCH(D146,Products!$A$2:$A$13,0)))</f>
        <v>53582</v>
      </c>
      <c r="P146" s="16" t="n">
        <f aca="false">N146-O146</f>
        <v>22918.47688</v>
      </c>
    </row>
    <row r="147" customFormat="false" ht="15" hidden="false" customHeight="false" outlineLevel="0" collapsed="false">
      <c r="A147" s="2" t="s">
        <v>118</v>
      </c>
      <c r="B147" s="2" t="n">
        <v>2</v>
      </c>
      <c r="C147" s="2" t="s">
        <v>62</v>
      </c>
      <c r="D147" s="2" t="s">
        <v>43</v>
      </c>
      <c r="E147" s="2" t="str">
        <f aca="false">INDEX(Products!$B$2:$B$13,MATCH(D147,Products!$A$2:$A$13,0))</f>
        <v>Hydroprocessing</v>
      </c>
      <c r="F147" s="15" t="n">
        <v>7.3</v>
      </c>
      <c r="G147" s="16" t="n">
        <f aca="false">IF(A147="2025",INDEX(Products!$C$2:$C$13,MATCH(D147,Products!$A$2:$A$13,0)),INDEX(Products!$E$2:$E$13,MATCH(D147,Products!$A$2:$A$13,0)))</f>
        <v>11610</v>
      </c>
      <c r="H147" s="13" t="n">
        <f aca="false">IF(A147="2025",INDEX(Customers!$D$2:$D$41,MATCH(C147,Customers!$A$2:$A$41,0)),INDEX(Customers!$F$2:$F$41,MATCH(C147,Customers!$A$2:$A$41,0)))</f>
        <v>0.048</v>
      </c>
      <c r="I147" s="16" t="n">
        <f aca="false">F147*G147</f>
        <v>84753</v>
      </c>
      <c r="J147" s="16" t="n">
        <f aca="false">I147*(1-H147)</f>
        <v>80684.856</v>
      </c>
      <c r="K147" s="16" t="n">
        <f aca="false">J147*INDEX(Customers!$G$2:$G$41,MATCH(C147,Customers!$A$2:$A$41,0))</f>
        <v>806.84856</v>
      </c>
      <c r="L147" s="16" t="n">
        <f aca="false">F147*INDEX(Customers!$H$2:$H$41,MATCH(C147,Customers!$A$2:$A$41,0))</f>
        <v>2847</v>
      </c>
      <c r="M147" s="16" t="n">
        <f aca="false">J147*INDEX(Customers!$I$2:$I$41,MATCH(C147,Customers!$A$2:$A$41,0))/365*Assumptions!$B$6</f>
        <v>530.53056</v>
      </c>
      <c r="N147" s="16" t="n">
        <f aca="false">J147-K147-L147-M147</f>
        <v>76500.47688</v>
      </c>
      <c r="O147" s="16" t="n">
        <f aca="false">F147*IF(A147="2025",INDEX(Products!$D$2:$D$13,MATCH(D147,Products!$A$2:$A$13,0)),INDEX(Products!$F$2:$F$13,MATCH(D147,Products!$A$2:$A$13,0)))</f>
        <v>53582</v>
      </c>
      <c r="P147" s="16" t="n">
        <f aca="false">N147-O147</f>
        <v>22918.47688</v>
      </c>
    </row>
    <row r="148" customFormat="false" ht="15" hidden="false" customHeight="false" outlineLevel="0" collapsed="false">
      <c r="A148" s="2" t="s">
        <v>118</v>
      </c>
      <c r="B148" s="2" t="n">
        <v>3</v>
      </c>
      <c r="C148" s="2" t="s">
        <v>62</v>
      </c>
      <c r="D148" s="2" t="s">
        <v>43</v>
      </c>
      <c r="E148" s="2" t="str">
        <f aca="false">INDEX(Products!$B$2:$B$13,MATCH(D148,Products!$A$2:$A$13,0))</f>
        <v>Hydroprocessing</v>
      </c>
      <c r="F148" s="15" t="n">
        <v>6.1</v>
      </c>
      <c r="G148" s="16" t="n">
        <f aca="false">IF(A148="2025",INDEX(Products!$C$2:$C$13,MATCH(D148,Products!$A$2:$A$13,0)),INDEX(Products!$E$2:$E$13,MATCH(D148,Products!$A$2:$A$13,0)))</f>
        <v>11610</v>
      </c>
      <c r="H148" s="13" t="n">
        <f aca="false">IF(A148="2025",INDEX(Customers!$D$2:$D$41,MATCH(C148,Customers!$A$2:$A$41,0)),INDEX(Customers!$F$2:$F$41,MATCH(C148,Customers!$A$2:$A$41,0)))</f>
        <v>0.048</v>
      </c>
      <c r="I148" s="16" t="n">
        <f aca="false">F148*G148</f>
        <v>70821</v>
      </c>
      <c r="J148" s="16" t="n">
        <f aca="false">I148*(1-H148)</f>
        <v>67421.592</v>
      </c>
      <c r="K148" s="16" t="n">
        <f aca="false">J148*INDEX(Customers!$G$2:$G$41,MATCH(C148,Customers!$A$2:$A$41,0))</f>
        <v>674.21592</v>
      </c>
      <c r="L148" s="16" t="n">
        <f aca="false">F148*INDEX(Customers!$H$2:$H$41,MATCH(C148,Customers!$A$2:$A$41,0))</f>
        <v>2379</v>
      </c>
      <c r="M148" s="16" t="n">
        <f aca="false">J148*INDEX(Customers!$I$2:$I$41,MATCH(C148,Customers!$A$2:$A$41,0))/365*Assumptions!$B$6</f>
        <v>443.320056986301</v>
      </c>
      <c r="N148" s="16" t="n">
        <f aca="false">J148-K148-L148-M148</f>
        <v>63925.0560230137</v>
      </c>
      <c r="O148" s="16" t="n">
        <f aca="false">F148*IF(A148="2025",INDEX(Products!$D$2:$D$13,MATCH(D148,Products!$A$2:$A$13,0)),INDEX(Products!$F$2:$F$13,MATCH(D148,Products!$A$2:$A$13,0)))</f>
        <v>44774</v>
      </c>
      <c r="P148" s="16" t="n">
        <f aca="false">N148-O148</f>
        <v>19151.0560230137</v>
      </c>
    </row>
    <row r="149" customFormat="false" ht="15" hidden="false" customHeight="false" outlineLevel="0" collapsed="false">
      <c r="A149" s="2" t="s">
        <v>118</v>
      </c>
      <c r="B149" s="2" t="n">
        <v>4</v>
      </c>
      <c r="C149" s="2" t="s">
        <v>62</v>
      </c>
      <c r="D149" s="2" t="s">
        <v>43</v>
      </c>
      <c r="E149" s="2" t="str">
        <f aca="false">INDEX(Products!$B$2:$B$13,MATCH(D149,Products!$A$2:$A$13,0))</f>
        <v>Hydroprocessing</v>
      </c>
      <c r="F149" s="15" t="n">
        <v>5.3</v>
      </c>
      <c r="G149" s="16" t="n">
        <f aca="false">IF(A149="2025",INDEX(Products!$C$2:$C$13,MATCH(D149,Products!$A$2:$A$13,0)),INDEX(Products!$E$2:$E$13,MATCH(D149,Products!$A$2:$A$13,0)))</f>
        <v>11610</v>
      </c>
      <c r="H149" s="13" t="n">
        <f aca="false">IF(A149="2025",INDEX(Customers!$D$2:$D$41,MATCH(C149,Customers!$A$2:$A$41,0)),INDEX(Customers!$F$2:$F$41,MATCH(C149,Customers!$A$2:$A$41,0)))</f>
        <v>0.048</v>
      </c>
      <c r="I149" s="16" t="n">
        <f aca="false">F149*G149</f>
        <v>61533</v>
      </c>
      <c r="J149" s="16" t="n">
        <f aca="false">I149*(1-H149)</f>
        <v>58579.416</v>
      </c>
      <c r="K149" s="16" t="n">
        <f aca="false">J149*INDEX(Customers!$G$2:$G$41,MATCH(C149,Customers!$A$2:$A$41,0))</f>
        <v>585.79416</v>
      </c>
      <c r="L149" s="16" t="n">
        <f aca="false">F149*INDEX(Customers!$H$2:$H$41,MATCH(C149,Customers!$A$2:$A$41,0))</f>
        <v>2067</v>
      </c>
      <c r="M149" s="16" t="n">
        <f aca="false">J149*INDEX(Customers!$I$2:$I$41,MATCH(C149,Customers!$A$2:$A$41,0))/365*Assumptions!$B$6</f>
        <v>385.179721643836</v>
      </c>
      <c r="N149" s="16" t="n">
        <f aca="false">J149-K149-L149-M149</f>
        <v>55541.4421183562</v>
      </c>
      <c r="O149" s="16" t="n">
        <f aca="false">F149*IF(A149="2025",INDEX(Products!$D$2:$D$13,MATCH(D149,Products!$A$2:$A$13,0)),INDEX(Products!$F$2:$F$13,MATCH(D149,Products!$A$2:$A$13,0)))</f>
        <v>38902</v>
      </c>
      <c r="P149" s="16" t="n">
        <f aca="false">N149-O149</f>
        <v>16639.4421183562</v>
      </c>
    </row>
    <row r="150" customFormat="false" ht="15" hidden="false" customHeight="false" outlineLevel="0" collapsed="false">
      <c r="A150" s="2" t="s">
        <v>118</v>
      </c>
      <c r="B150" s="2" t="n">
        <v>5</v>
      </c>
      <c r="C150" s="2" t="s">
        <v>62</v>
      </c>
      <c r="D150" s="2" t="s">
        <v>43</v>
      </c>
      <c r="E150" s="2" t="str">
        <f aca="false">INDEX(Products!$B$2:$B$13,MATCH(D150,Products!$A$2:$A$13,0))</f>
        <v>Hydroprocessing</v>
      </c>
      <c r="F150" s="15" t="n">
        <v>6.4</v>
      </c>
      <c r="G150" s="16" t="n">
        <f aca="false">IF(A150="2025",INDEX(Products!$C$2:$C$13,MATCH(D150,Products!$A$2:$A$13,0)),INDEX(Products!$E$2:$E$13,MATCH(D150,Products!$A$2:$A$13,0)))</f>
        <v>11610</v>
      </c>
      <c r="H150" s="13" t="n">
        <f aca="false">IF(A150="2025",INDEX(Customers!$D$2:$D$41,MATCH(C150,Customers!$A$2:$A$41,0)),INDEX(Customers!$F$2:$F$41,MATCH(C150,Customers!$A$2:$A$41,0)))</f>
        <v>0.048</v>
      </c>
      <c r="I150" s="16" t="n">
        <f aca="false">F150*G150</f>
        <v>74304</v>
      </c>
      <c r="J150" s="16" t="n">
        <f aca="false">I150*(1-H150)</f>
        <v>70737.408</v>
      </c>
      <c r="K150" s="16" t="n">
        <f aca="false">J150*INDEX(Customers!$G$2:$G$41,MATCH(C150,Customers!$A$2:$A$41,0))</f>
        <v>707.37408</v>
      </c>
      <c r="L150" s="16" t="n">
        <f aca="false">F150*INDEX(Customers!$H$2:$H$41,MATCH(C150,Customers!$A$2:$A$41,0))</f>
        <v>2496</v>
      </c>
      <c r="M150" s="16" t="n">
        <f aca="false">J150*INDEX(Customers!$I$2:$I$41,MATCH(C150,Customers!$A$2:$A$41,0))/365*Assumptions!$B$6</f>
        <v>465.122682739726</v>
      </c>
      <c r="N150" s="16" t="n">
        <f aca="false">J150-K150-L150-M150</f>
        <v>67068.9112372603</v>
      </c>
      <c r="O150" s="16" t="n">
        <f aca="false">F150*IF(A150="2025",INDEX(Products!$D$2:$D$13,MATCH(D150,Products!$A$2:$A$13,0)),INDEX(Products!$F$2:$F$13,MATCH(D150,Products!$A$2:$A$13,0)))</f>
        <v>46976</v>
      </c>
      <c r="P150" s="16" t="n">
        <f aca="false">N150-O150</f>
        <v>20092.9112372603</v>
      </c>
    </row>
    <row r="151" customFormat="false" ht="15" hidden="false" customHeight="false" outlineLevel="0" collapsed="false">
      <c r="A151" s="2" t="s">
        <v>118</v>
      </c>
      <c r="B151" s="2" t="n">
        <v>6</v>
      </c>
      <c r="C151" s="2" t="s">
        <v>62</v>
      </c>
      <c r="D151" s="2" t="s">
        <v>43</v>
      </c>
      <c r="E151" s="2" t="str">
        <f aca="false">INDEX(Products!$B$2:$B$13,MATCH(D151,Products!$A$2:$A$13,0))</f>
        <v>Hydroprocessing</v>
      </c>
      <c r="F151" s="15" t="n">
        <v>7.4</v>
      </c>
      <c r="G151" s="16" t="n">
        <f aca="false">IF(A151="2025",INDEX(Products!$C$2:$C$13,MATCH(D151,Products!$A$2:$A$13,0)),INDEX(Products!$E$2:$E$13,MATCH(D151,Products!$A$2:$A$13,0)))</f>
        <v>11610</v>
      </c>
      <c r="H151" s="13" t="n">
        <f aca="false">IF(A151="2025",INDEX(Customers!$D$2:$D$41,MATCH(C151,Customers!$A$2:$A$41,0)),INDEX(Customers!$F$2:$F$41,MATCH(C151,Customers!$A$2:$A$41,0)))</f>
        <v>0.048</v>
      </c>
      <c r="I151" s="16" t="n">
        <f aca="false">F151*G151</f>
        <v>85914</v>
      </c>
      <c r="J151" s="16" t="n">
        <f aca="false">I151*(1-H151)</f>
        <v>81790.128</v>
      </c>
      <c r="K151" s="16" t="n">
        <f aca="false">J151*INDEX(Customers!$G$2:$G$41,MATCH(C151,Customers!$A$2:$A$41,0))</f>
        <v>817.90128</v>
      </c>
      <c r="L151" s="16" t="n">
        <f aca="false">F151*INDEX(Customers!$H$2:$H$41,MATCH(C151,Customers!$A$2:$A$41,0))</f>
        <v>2886</v>
      </c>
      <c r="M151" s="16" t="n">
        <f aca="false">J151*INDEX(Customers!$I$2:$I$41,MATCH(C151,Customers!$A$2:$A$41,0))/365*Assumptions!$B$6</f>
        <v>537.798101917808</v>
      </c>
      <c r="N151" s="16" t="n">
        <f aca="false">J151-K151-L151-M151</f>
        <v>77548.4286180822</v>
      </c>
      <c r="O151" s="16" t="n">
        <f aca="false">F151*IF(A151="2025",INDEX(Products!$D$2:$D$13,MATCH(D151,Products!$A$2:$A$13,0)),INDEX(Products!$F$2:$F$13,MATCH(D151,Products!$A$2:$A$13,0)))</f>
        <v>54316</v>
      </c>
      <c r="P151" s="16" t="n">
        <f aca="false">N151-O151</f>
        <v>23232.4286180822</v>
      </c>
    </row>
    <row r="152" customFormat="false" ht="15" hidden="false" customHeight="false" outlineLevel="0" collapsed="false">
      <c r="A152" s="2" t="s">
        <v>118</v>
      </c>
      <c r="B152" s="2" t="n">
        <v>7</v>
      </c>
      <c r="C152" s="2" t="s">
        <v>62</v>
      </c>
      <c r="D152" s="2" t="s">
        <v>43</v>
      </c>
      <c r="E152" s="2" t="str">
        <f aca="false">INDEX(Products!$B$2:$B$13,MATCH(D152,Products!$A$2:$A$13,0))</f>
        <v>Hydroprocessing</v>
      </c>
      <c r="F152" s="15" t="n">
        <v>7.5</v>
      </c>
      <c r="G152" s="16" t="n">
        <f aca="false">IF(A152="2025",INDEX(Products!$C$2:$C$13,MATCH(D152,Products!$A$2:$A$13,0)),INDEX(Products!$E$2:$E$13,MATCH(D152,Products!$A$2:$A$13,0)))</f>
        <v>11610</v>
      </c>
      <c r="H152" s="13" t="n">
        <f aca="false">IF(A152="2025",INDEX(Customers!$D$2:$D$41,MATCH(C152,Customers!$A$2:$A$41,0)),INDEX(Customers!$F$2:$F$41,MATCH(C152,Customers!$A$2:$A$41,0)))</f>
        <v>0.048</v>
      </c>
      <c r="I152" s="16" t="n">
        <f aca="false">F152*G152</f>
        <v>87075</v>
      </c>
      <c r="J152" s="16" t="n">
        <f aca="false">I152*(1-H152)</f>
        <v>82895.4</v>
      </c>
      <c r="K152" s="16" t="n">
        <f aca="false">J152*INDEX(Customers!$G$2:$G$41,MATCH(C152,Customers!$A$2:$A$41,0))</f>
        <v>828.954</v>
      </c>
      <c r="L152" s="16" t="n">
        <f aca="false">F152*INDEX(Customers!$H$2:$H$41,MATCH(C152,Customers!$A$2:$A$41,0))</f>
        <v>2925</v>
      </c>
      <c r="M152" s="16" t="n">
        <f aca="false">J152*INDEX(Customers!$I$2:$I$41,MATCH(C152,Customers!$A$2:$A$41,0))/365*Assumptions!$B$6</f>
        <v>545.065643835617</v>
      </c>
      <c r="N152" s="16" t="n">
        <f aca="false">J152-K152-L152-M152</f>
        <v>78596.3803561644</v>
      </c>
      <c r="O152" s="16" t="n">
        <f aca="false">F152*IF(A152="2025",INDEX(Products!$D$2:$D$13,MATCH(D152,Products!$A$2:$A$13,0)),INDEX(Products!$F$2:$F$13,MATCH(D152,Products!$A$2:$A$13,0)))</f>
        <v>55050</v>
      </c>
      <c r="P152" s="16" t="n">
        <f aca="false">N152-O152</f>
        <v>23546.3803561644</v>
      </c>
    </row>
    <row r="153" customFormat="false" ht="15" hidden="false" customHeight="false" outlineLevel="0" collapsed="false">
      <c r="A153" s="2" t="s">
        <v>118</v>
      </c>
      <c r="B153" s="2" t="n">
        <v>8</v>
      </c>
      <c r="C153" s="2" t="s">
        <v>62</v>
      </c>
      <c r="D153" s="2" t="s">
        <v>43</v>
      </c>
      <c r="E153" s="2" t="str">
        <f aca="false">INDEX(Products!$B$2:$B$13,MATCH(D153,Products!$A$2:$A$13,0))</f>
        <v>Hydroprocessing</v>
      </c>
      <c r="F153" s="15" t="n">
        <v>5.1</v>
      </c>
      <c r="G153" s="16" t="n">
        <f aca="false">IF(A153="2025",INDEX(Products!$C$2:$C$13,MATCH(D153,Products!$A$2:$A$13,0)),INDEX(Products!$E$2:$E$13,MATCH(D153,Products!$A$2:$A$13,0)))</f>
        <v>11610</v>
      </c>
      <c r="H153" s="13" t="n">
        <f aca="false">IF(A153="2025",INDEX(Customers!$D$2:$D$41,MATCH(C153,Customers!$A$2:$A$41,0)),INDEX(Customers!$F$2:$F$41,MATCH(C153,Customers!$A$2:$A$41,0)))</f>
        <v>0.048</v>
      </c>
      <c r="I153" s="16" t="n">
        <f aca="false">F153*G153</f>
        <v>59211</v>
      </c>
      <c r="J153" s="16" t="n">
        <f aca="false">I153*(1-H153)</f>
        <v>56368.872</v>
      </c>
      <c r="K153" s="16" t="n">
        <f aca="false">J153*INDEX(Customers!$G$2:$G$41,MATCH(C153,Customers!$A$2:$A$41,0))</f>
        <v>563.68872</v>
      </c>
      <c r="L153" s="16" t="n">
        <f aca="false">F153*INDEX(Customers!$H$2:$H$41,MATCH(C153,Customers!$A$2:$A$41,0))</f>
        <v>1989</v>
      </c>
      <c r="M153" s="16" t="n">
        <f aca="false">J153*INDEX(Customers!$I$2:$I$41,MATCH(C153,Customers!$A$2:$A$41,0))/365*Assumptions!$B$6</f>
        <v>370.644637808219</v>
      </c>
      <c r="N153" s="16" t="n">
        <f aca="false">J153-K153-L153-M153</f>
        <v>53445.5386421918</v>
      </c>
      <c r="O153" s="16" t="n">
        <f aca="false">F153*IF(A153="2025",INDEX(Products!$D$2:$D$13,MATCH(D153,Products!$A$2:$A$13,0)),INDEX(Products!$F$2:$F$13,MATCH(D153,Products!$A$2:$A$13,0)))</f>
        <v>37434</v>
      </c>
      <c r="P153" s="16" t="n">
        <f aca="false">N153-O153</f>
        <v>16011.5386421918</v>
      </c>
    </row>
    <row r="154" customFormat="false" ht="15" hidden="false" customHeight="false" outlineLevel="0" collapsed="false">
      <c r="A154" s="2" t="s">
        <v>118</v>
      </c>
      <c r="B154" s="2" t="n">
        <v>9</v>
      </c>
      <c r="C154" s="2" t="s">
        <v>62</v>
      </c>
      <c r="D154" s="2" t="s">
        <v>43</v>
      </c>
      <c r="E154" s="2" t="str">
        <f aca="false">INDEX(Products!$B$2:$B$13,MATCH(D154,Products!$A$2:$A$13,0))</f>
        <v>Hydroprocessing</v>
      </c>
      <c r="F154" s="15" t="n">
        <v>7.4</v>
      </c>
      <c r="G154" s="16" t="n">
        <f aca="false">IF(A154="2025",INDEX(Products!$C$2:$C$13,MATCH(D154,Products!$A$2:$A$13,0)),INDEX(Products!$E$2:$E$13,MATCH(D154,Products!$A$2:$A$13,0)))</f>
        <v>11610</v>
      </c>
      <c r="H154" s="13" t="n">
        <f aca="false">IF(A154="2025",INDEX(Customers!$D$2:$D$41,MATCH(C154,Customers!$A$2:$A$41,0)),INDEX(Customers!$F$2:$F$41,MATCH(C154,Customers!$A$2:$A$41,0)))</f>
        <v>0.048</v>
      </c>
      <c r="I154" s="16" t="n">
        <f aca="false">F154*G154</f>
        <v>85914</v>
      </c>
      <c r="J154" s="16" t="n">
        <f aca="false">I154*(1-H154)</f>
        <v>81790.128</v>
      </c>
      <c r="K154" s="16" t="n">
        <f aca="false">J154*INDEX(Customers!$G$2:$G$41,MATCH(C154,Customers!$A$2:$A$41,0))</f>
        <v>817.90128</v>
      </c>
      <c r="L154" s="16" t="n">
        <f aca="false">F154*INDEX(Customers!$H$2:$H$41,MATCH(C154,Customers!$A$2:$A$41,0))</f>
        <v>2886</v>
      </c>
      <c r="M154" s="16" t="n">
        <f aca="false">J154*INDEX(Customers!$I$2:$I$41,MATCH(C154,Customers!$A$2:$A$41,0))/365*Assumptions!$B$6</f>
        <v>537.798101917808</v>
      </c>
      <c r="N154" s="16" t="n">
        <f aca="false">J154-K154-L154-M154</f>
        <v>77548.4286180822</v>
      </c>
      <c r="O154" s="16" t="n">
        <f aca="false">F154*IF(A154="2025",INDEX(Products!$D$2:$D$13,MATCH(D154,Products!$A$2:$A$13,0)),INDEX(Products!$F$2:$F$13,MATCH(D154,Products!$A$2:$A$13,0)))</f>
        <v>54316</v>
      </c>
      <c r="P154" s="16" t="n">
        <f aca="false">N154-O154</f>
        <v>23232.4286180822</v>
      </c>
    </row>
    <row r="155" customFormat="false" ht="15" hidden="false" customHeight="false" outlineLevel="0" collapsed="false">
      <c r="A155" s="2" t="s">
        <v>118</v>
      </c>
      <c r="B155" s="2" t="n">
        <v>10</v>
      </c>
      <c r="C155" s="2" t="s">
        <v>62</v>
      </c>
      <c r="D155" s="2" t="s">
        <v>43</v>
      </c>
      <c r="E155" s="2" t="str">
        <f aca="false">INDEX(Products!$B$2:$B$13,MATCH(D155,Products!$A$2:$A$13,0))</f>
        <v>Hydroprocessing</v>
      </c>
      <c r="F155" s="15" t="n">
        <v>6.6</v>
      </c>
      <c r="G155" s="16" t="n">
        <f aca="false">IF(A155="2025",INDEX(Products!$C$2:$C$13,MATCH(D155,Products!$A$2:$A$13,0)),INDEX(Products!$E$2:$E$13,MATCH(D155,Products!$A$2:$A$13,0)))</f>
        <v>11610</v>
      </c>
      <c r="H155" s="13" t="n">
        <f aca="false">IF(A155="2025",INDEX(Customers!$D$2:$D$41,MATCH(C155,Customers!$A$2:$A$41,0)),INDEX(Customers!$F$2:$F$41,MATCH(C155,Customers!$A$2:$A$41,0)))</f>
        <v>0.048</v>
      </c>
      <c r="I155" s="16" t="n">
        <f aca="false">F155*G155</f>
        <v>76626</v>
      </c>
      <c r="J155" s="16" t="n">
        <f aca="false">I155*(1-H155)</f>
        <v>72947.952</v>
      </c>
      <c r="K155" s="16" t="n">
        <f aca="false">J155*INDEX(Customers!$G$2:$G$41,MATCH(C155,Customers!$A$2:$A$41,0))</f>
        <v>729.47952</v>
      </c>
      <c r="L155" s="16" t="n">
        <f aca="false">F155*INDEX(Customers!$H$2:$H$41,MATCH(C155,Customers!$A$2:$A$41,0))</f>
        <v>2574</v>
      </c>
      <c r="M155" s="16" t="n">
        <f aca="false">J155*INDEX(Customers!$I$2:$I$41,MATCH(C155,Customers!$A$2:$A$41,0))/365*Assumptions!$B$6</f>
        <v>479.657766575342</v>
      </c>
      <c r="N155" s="16" t="n">
        <f aca="false">J155-K155-L155-M155</f>
        <v>69164.8147134247</v>
      </c>
      <c r="O155" s="16" t="n">
        <f aca="false">F155*IF(A155="2025",INDEX(Products!$D$2:$D$13,MATCH(D155,Products!$A$2:$A$13,0)),INDEX(Products!$F$2:$F$13,MATCH(D155,Products!$A$2:$A$13,0)))</f>
        <v>48444</v>
      </c>
      <c r="P155" s="16" t="n">
        <f aca="false">N155-O155</f>
        <v>20720.8147134247</v>
      </c>
    </row>
    <row r="156" customFormat="false" ht="15" hidden="false" customHeight="false" outlineLevel="0" collapsed="false">
      <c r="A156" s="2" t="s">
        <v>118</v>
      </c>
      <c r="B156" s="2" t="n">
        <v>11</v>
      </c>
      <c r="C156" s="2" t="s">
        <v>62</v>
      </c>
      <c r="D156" s="2" t="s">
        <v>43</v>
      </c>
      <c r="E156" s="2" t="str">
        <f aca="false">INDEX(Products!$B$2:$B$13,MATCH(D156,Products!$A$2:$A$13,0))</f>
        <v>Hydroprocessing</v>
      </c>
      <c r="F156" s="15" t="n">
        <v>7.1</v>
      </c>
      <c r="G156" s="16" t="n">
        <f aca="false">IF(A156="2025",INDEX(Products!$C$2:$C$13,MATCH(D156,Products!$A$2:$A$13,0)),INDEX(Products!$E$2:$E$13,MATCH(D156,Products!$A$2:$A$13,0)))</f>
        <v>11610</v>
      </c>
      <c r="H156" s="13" t="n">
        <f aca="false">IF(A156="2025",INDEX(Customers!$D$2:$D$41,MATCH(C156,Customers!$A$2:$A$41,0)),INDEX(Customers!$F$2:$F$41,MATCH(C156,Customers!$A$2:$A$41,0)))</f>
        <v>0.048</v>
      </c>
      <c r="I156" s="16" t="n">
        <f aca="false">F156*G156</f>
        <v>82431</v>
      </c>
      <c r="J156" s="16" t="n">
        <f aca="false">I156*(1-H156)</f>
        <v>78474.312</v>
      </c>
      <c r="K156" s="16" t="n">
        <f aca="false">J156*INDEX(Customers!$G$2:$G$41,MATCH(C156,Customers!$A$2:$A$41,0))</f>
        <v>784.74312</v>
      </c>
      <c r="L156" s="16" t="n">
        <f aca="false">F156*INDEX(Customers!$H$2:$H$41,MATCH(C156,Customers!$A$2:$A$41,0))</f>
        <v>2769</v>
      </c>
      <c r="M156" s="16" t="n">
        <f aca="false">J156*INDEX(Customers!$I$2:$I$41,MATCH(C156,Customers!$A$2:$A$41,0))/365*Assumptions!$B$6</f>
        <v>515.995476164384</v>
      </c>
      <c r="N156" s="16" t="n">
        <f aca="false">J156-K156-L156-M156</f>
        <v>74404.5734038356</v>
      </c>
      <c r="O156" s="16" t="n">
        <f aca="false">F156*IF(A156="2025",INDEX(Products!$D$2:$D$13,MATCH(D156,Products!$A$2:$A$13,0)),INDEX(Products!$F$2:$F$13,MATCH(D156,Products!$A$2:$A$13,0)))</f>
        <v>52114</v>
      </c>
      <c r="P156" s="16" t="n">
        <f aca="false">N156-O156</f>
        <v>22290.5734038356</v>
      </c>
    </row>
    <row r="157" customFormat="false" ht="15" hidden="false" customHeight="false" outlineLevel="0" collapsed="false">
      <c r="A157" s="2" t="s">
        <v>118</v>
      </c>
      <c r="B157" s="2" t="n">
        <v>12</v>
      </c>
      <c r="C157" s="2" t="s">
        <v>62</v>
      </c>
      <c r="D157" s="2" t="s">
        <v>43</v>
      </c>
      <c r="E157" s="2" t="str">
        <f aca="false">INDEX(Products!$B$2:$B$13,MATCH(D157,Products!$A$2:$A$13,0))</f>
        <v>Hydroprocessing</v>
      </c>
      <c r="F157" s="15" t="n">
        <v>4.7</v>
      </c>
      <c r="G157" s="16" t="n">
        <f aca="false">IF(A157="2025",INDEX(Products!$C$2:$C$13,MATCH(D157,Products!$A$2:$A$13,0)),INDEX(Products!$E$2:$E$13,MATCH(D157,Products!$A$2:$A$13,0)))</f>
        <v>11610</v>
      </c>
      <c r="H157" s="13" t="n">
        <f aca="false">IF(A157="2025",INDEX(Customers!$D$2:$D$41,MATCH(C157,Customers!$A$2:$A$41,0)),INDEX(Customers!$F$2:$F$41,MATCH(C157,Customers!$A$2:$A$41,0)))</f>
        <v>0.048</v>
      </c>
      <c r="I157" s="16" t="n">
        <f aca="false">F157*G157</f>
        <v>54567</v>
      </c>
      <c r="J157" s="16" t="n">
        <f aca="false">I157*(1-H157)</f>
        <v>51947.784</v>
      </c>
      <c r="K157" s="16" t="n">
        <f aca="false">J157*INDEX(Customers!$G$2:$G$41,MATCH(C157,Customers!$A$2:$A$41,0))</f>
        <v>519.47784</v>
      </c>
      <c r="L157" s="16" t="n">
        <f aca="false">F157*INDEX(Customers!$H$2:$H$41,MATCH(C157,Customers!$A$2:$A$41,0))</f>
        <v>1833</v>
      </c>
      <c r="M157" s="16" t="n">
        <f aca="false">J157*INDEX(Customers!$I$2:$I$41,MATCH(C157,Customers!$A$2:$A$41,0))/365*Assumptions!$B$6</f>
        <v>341.574470136986</v>
      </c>
      <c r="N157" s="16" t="n">
        <f aca="false">J157-K157-L157-M157</f>
        <v>49253.731689863</v>
      </c>
      <c r="O157" s="16" t="n">
        <f aca="false">F157*IF(A157="2025",INDEX(Products!$D$2:$D$13,MATCH(D157,Products!$A$2:$A$13,0)),INDEX(Products!$F$2:$F$13,MATCH(D157,Products!$A$2:$A$13,0)))</f>
        <v>34498</v>
      </c>
      <c r="P157" s="16" t="n">
        <f aca="false">N157-O157</f>
        <v>14755.731689863</v>
      </c>
    </row>
    <row r="158" customFormat="false" ht="15" hidden="false" customHeight="false" outlineLevel="0" collapsed="false">
      <c r="A158" s="2" t="s">
        <v>119</v>
      </c>
      <c r="B158" s="2" t="n">
        <v>1</v>
      </c>
      <c r="C158" s="2" t="s">
        <v>62</v>
      </c>
      <c r="D158" s="2" t="s">
        <v>43</v>
      </c>
      <c r="E158" s="2" t="str">
        <f aca="false">INDEX(Products!$B$2:$B$13,MATCH(D158,Products!$A$2:$A$13,0))</f>
        <v>Hydroprocessing</v>
      </c>
      <c r="F158" s="15" t="n">
        <v>6.7</v>
      </c>
      <c r="G158" s="16" t="n">
        <f aca="false">IF(A158="2025",INDEX(Products!$C$2:$C$13,MATCH(D158,Products!$A$2:$A$13,0)),INDEX(Products!$E$2:$E$13,MATCH(D158,Products!$A$2:$A$13,0)))</f>
        <v>12190.5</v>
      </c>
      <c r="H158" s="13" t="n">
        <f aca="false">IF(A158="2025",INDEX(Customers!$D$2:$D$41,MATCH(C158,Customers!$A$2:$A$41,0)),INDEX(Customers!$F$2:$F$41,MATCH(C158,Customers!$A$2:$A$41,0)))</f>
        <v>0.067</v>
      </c>
      <c r="I158" s="16" t="n">
        <f aca="false">F158*G158</f>
        <v>81676.35</v>
      </c>
      <c r="J158" s="16" t="n">
        <f aca="false">I158*(1-H158)</f>
        <v>76204.03455</v>
      </c>
      <c r="K158" s="16" t="n">
        <f aca="false">J158*INDEX(Customers!$G$2:$G$41,MATCH(C158,Customers!$A$2:$A$41,0))</f>
        <v>762.0403455</v>
      </c>
      <c r="L158" s="16" t="n">
        <f aca="false">F158*INDEX(Customers!$H$2:$H$41,MATCH(C158,Customers!$A$2:$A$41,0))</f>
        <v>2613</v>
      </c>
      <c r="M158" s="16" t="n">
        <f aca="false">J158*INDEX(Customers!$I$2:$I$41,MATCH(C158,Customers!$A$2:$A$41,0))/365*Assumptions!$B$6</f>
        <v>501.067624438356</v>
      </c>
      <c r="N158" s="16" t="n">
        <f aca="false">J158-K158-L158-M158</f>
        <v>72327.9265800617</v>
      </c>
      <c r="O158" s="16" t="n">
        <f aca="false">F158*IF(A158="2025",INDEX(Products!$D$2:$D$13,MATCH(D158,Products!$A$2:$A$13,0)),INDEX(Products!$F$2:$F$13,MATCH(D158,Products!$A$2:$A$13,0)))</f>
        <v>50653.34</v>
      </c>
      <c r="P158" s="16" t="n">
        <f aca="false">N158-O158</f>
        <v>21674.5865800617</v>
      </c>
    </row>
    <row r="159" customFormat="false" ht="15" hidden="false" customHeight="false" outlineLevel="0" collapsed="false">
      <c r="A159" s="2" t="s">
        <v>119</v>
      </c>
      <c r="B159" s="2" t="n">
        <v>2</v>
      </c>
      <c r="C159" s="2" t="s">
        <v>62</v>
      </c>
      <c r="D159" s="2" t="s">
        <v>43</v>
      </c>
      <c r="E159" s="2" t="str">
        <f aca="false">INDEX(Products!$B$2:$B$13,MATCH(D159,Products!$A$2:$A$13,0))</f>
        <v>Hydroprocessing</v>
      </c>
      <c r="F159" s="15" t="n">
        <v>6</v>
      </c>
      <c r="G159" s="16" t="n">
        <f aca="false">IF(A159="2025",INDEX(Products!$C$2:$C$13,MATCH(D159,Products!$A$2:$A$13,0)),INDEX(Products!$E$2:$E$13,MATCH(D159,Products!$A$2:$A$13,0)))</f>
        <v>12190.5</v>
      </c>
      <c r="H159" s="13" t="n">
        <f aca="false">IF(A159="2025",INDEX(Customers!$D$2:$D$41,MATCH(C159,Customers!$A$2:$A$41,0)),INDEX(Customers!$F$2:$F$41,MATCH(C159,Customers!$A$2:$A$41,0)))</f>
        <v>0.067</v>
      </c>
      <c r="I159" s="16" t="n">
        <f aca="false">F159*G159</f>
        <v>73143</v>
      </c>
      <c r="J159" s="16" t="n">
        <f aca="false">I159*(1-H159)</f>
        <v>68242.419</v>
      </c>
      <c r="K159" s="16" t="n">
        <f aca="false">J159*INDEX(Customers!$G$2:$G$41,MATCH(C159,Customers!$A$2:$A$41,0))</f>
        <v>682.42419</v>
      </c>
      <c r="L159" s="16" t="n">
        <f aca="false">F159*INDEX(Customers!$H$2:$H$41,MATCH(C159,Customers!$A$2:$A$41,0))</f>
        <v>2340</v>
      </c>
      <c r="M159" s="16" t="n">
        <f aca="false">J159*INDEX(Customers!$I$2:$I$41,MATCH(C159,Customers!$A$2:$A$41,0))/365*Assumptions!$B$6</f>
        <v>448.717275616438</v>
      </c>
      <c r="N159" s="16" t="n">
        <f aca="false">J159-K159-L159-M159</f>
        <v>64771.2775343836</v>
      </c>
      <c r="O159" s="16" t="n">
        <f aca="false">F159*IF(A159="2025",INDEX(Products!$D$2:$D$13,MATCH(D159,Products!$A$2:$A$13,0)),INDEX(Products!$F$2:$F$13,MATCH(D159,Products!$A$2:$A$13,0)))</f>
        <v>45361.2</v>
      </c>
      <c r="P159" s="16" t="n">
        <f aca="false">N159-O159</f>
        <v>19410.0775343836</v>
      </c>
    </row>
    <row r="160" customFormat="false" ht="15" hidden="false" customHeight="false" outlineLevel="0" collapsed="false">
      <c r="A160" s="2" t="s">
        <v>119</v>
      </c>
      <c r="B160" s="2" t="n">
        <v>3</v>
      </c>
      <c r="C160" s="2" t="s">
        <v>62</v>
      </c>
      <c r="D160" s="2" t="s">
        <v>43</v>
      </c>
      <c r="E160" s="2" t="str">
        <f aca="false">INDEX(Products!$B$2:$B$13,MATCH(D160,Products!$A$2:$A$13,0))</f>
        <v>Hydroprocessing</v>
      </c>
      <c r="F160" s="15" t="n">
        <v>4.2</v>
      </c>
      <c r="G160" s="16" t="n">
        <f aca="false">IF(A160="2025",INDEX(Products!$C$2:$C$13,MATCH(D160,Products!$A$2:$A$13,0)),INDEX(Products!$E$2:$E$13,MATCH(D160,Products!$A$2:$A$13,0)))</f>
        <v>12190.5</v>
      </c>
      <c r="H160" s="13" t="n">
        <f aca="false">IF(A160="2025",INDEX(Customers!$D$2:$D$41,MATCH(C160,Customers!$A$2:$A$41,0)),INDEX(Customers!$F$2:$F$41,MATCH(C160,Customers!$A$2:$A$41,0)))</f>
        <v>0.067</v>
      </c>
      <c r="I160" s="16" t="n">
        <f aca="false">F160*G160</f>
        <v>51200.1</v>
      </c>
      <c r="J160" s="16" t="n">
        <f aca="false">I160*(1-H160)</f>
        <v>47769.6933</v>
      </c>
      <c r="K160" s="16" t="n">
        <f aca="false">J160*INDEX(Customers!$G$2:$G$41,MATCH(C160,Customers!$A$2:$A$41,0))</f>
        <v>477.696933</v>
      </c>
      <c r="L160" s="16" t="n">
        <f aca="false">F160*INDEX(Customers!$H$2:$H$41,MATCH(C160,Customers!$A$2:$A$41,0))</f>
        <v>1638</v>
      </c>
      <c r="M160" s="16" t="n">
        <f aca="false">J160*INDEX(Customers!$I$2:$I$41,MATCH(C160,Customers!$A$2:$A$41,0))/365*Assumptions!$B$6</f>
        <v>314.102092931507</v>
      </c>
      <c r="N160" s="16" t="n">
        <f aca="false">J160-K160-L160-M160</f>
        <v>45339.8942740685</v>
      </c>
      <c r="O160" s="16" t="n">
        <f aca="false">F160*IF(A160="2025",INDEX(Products!$D$2:$D$13,MATCH(D160,Products!$A$2:$A$13,0)),INDEX(Products!$F$2:$F$13,MATCH(D160,Products!$A$2:$A$13,0)))</f>
        <v>31752.84</v>
      </c>
      <c r="P160" s="16" t="n">
        <f aca="false">N160-O160</f>
        <v>13587.0542740685</v>
      </c>
    </row>
    <row r="161" customFormat="false" ht="15" hidden="false" customHeight="false" outlineLevel="0" collapsed="false">
      <c r="A161" s="2" t="s">
        <v>119</v>
      </c>
      <c r="B161" s="2" t="n">
        <v>4</v>
      </c>
      <c r="C161" s="2" t="s">
        <v>62</v>
      </c>
      <c r="D161" s="2" t="s">
        <v>43</v>
      </c>
      <c r="E161" s="2" t="str">
        <f aca="false">INDEX(Products!$B$2:$B$13,MATCH(D161,Products!$A$2:$A$13,0))</f>
        <v>Hydroprocessing</v>
      </c>
      <c r="F161" s="15" t="n">
        <v>5.4</v>
      </c>
      <c r="G161" s="16" t="n">
        <f aca="false">IF(A161="2025",INDEX(Products!$C$2:$C$13,MATCH(D161,Products!$A$2:$A$13,0)),INDEX(Products!$E$2:$E$13,MATCH(D161,Products!$A$2:$A$13,0)))</f>
        <v>12190.5</v>
      </c>
      <c r="H161" s="13" t="n">
        <f aca="false">IF(A161="2025",INDEX(Customers!$D$2:$D$41,MATCH(C161,Customers!$A$2:$A$41,0)),INDEX(Customers!$F$2:$F$41,MATCH(C161,Customers!$A$2:$A$41,0)))</f>
        <v>0.067</v>
      </c>
      <c r="I161" s="16" t="n">
        <f aca="false">F161*G161</f>
        <v>65828.7</v>
      </c>
      <c r="J161" s="16" t="n">
        <f aca="false">I161*(1-H161)</f>
        <v>61418.1771</v>
      </c>
      <c r="K161" s="16" t="n">
        <f aca="false">J161*INDEX(Customers!$G$2:$G$41,MATCH(C161,Customers!$A$2:$A$41,0))</f>
        <v>614.181771</v>
      </c>
      <c r="L161" s="16" t="n">
        <f aca="false">F161*INDEX(Customers!$H$2:$H$41,MATCH(C161,Customers!$A$2:$A$41,0))</f>
        <v>2106</v>
      </c>
      <c r="M161" s="16" t="n">
        <f aca="false">J161*INDEX(Customers!$I$2:$I$41,MATCH(C161,Customers!$A$2:$A$41,0))/365*Assumptions!$B$6</f>
        <v>403.845548054795</v>
      </c>
      <c r="N161" s="16" t="n">
        <f aca="false">J161-K161-L161-M161</f>
        <v>58294.1497809452</v>
      </c>
      <c r="O161" s="16" t="n">
        <f aca="false">F161*IF(A161="2025",INDEX(Products!$D$2:$D$13,MATCH(D161,Products!$A$2:$A$13,0)),INDEX(Products!$F$2:$F$13,MATCH(D161,Products!$A$2:$A$13,0)))</f>
        <v>40825.08</v>
      </c>
      <c r="P161" s="16" t="n">
        <f aca="false">N161-O161</f>
        <v>17469.0697809452</v>
      </c>
    </row>
    <row r="162" customFormat="false" ht="15" hidden="false" customHeight="false" outlineLevel="0" collapsed="false">
      <c r="A162" s="2" t="s">
        <v>119</v>
      </c>
      <c r="B162" s="2" t="n">
        <v>5</v>
      </c>
      <c r="C162" s="2" t="s">
        <v>62</v>
      </c>
      <c r="D162" s="2" t="s">
        <v>43</v>
      </c>
      <c r="E162" s="2" t="str">
        <f aca="false">INDEX(Products!$B$2:$B$13,MATCH(D162,Products!$A$2:$A$13,0))</f>
        <v>Hydroprocessing</v>
      </c>
      <c r="F162" s="15" t="n">
        <v>4</v>
      </c>
      <c r="G162" s="16" t="n">
        <f aca="false">IF(A162="2025",INDEX(Products!$C$2:$C$13,MATCH(D162,Products!$A$2:$A$13,0)),INDEX(Products!$E$2:$E$13,MATCH(D162,Products!$A$2:$A$13,0)))</f>
        <v>12190.5</v>
      </c>
      <c r="H162" s="13" t="n">
        <f aca="false">IF(A162="2025",INDEX(Customers!$D$2:$D$41,MATCH(C162,Customers!$A$2:$A$41,0)),INDEX(Customers!$F$2:$F$41,MATCH(C162,Customers!$A$2:$A$41,0)))</f>
        <v>0.067</v>
      </c>
      <c r="I162" s="16" t="n">
        <f aca="false">F162*G162</f>
        <v>48762</v>
      </c>
      <c r="J162" s="16" t="n">
        <f aca="false">I162*(1-H162)</f>
        <v>45494.946</v>
      </c>
      <c r="K162" s="16" t="n">
        <f aca="false">J162*INDEX(Customers!$G$2:$G$41,MATCH(C162,Customers!$A$2:$A$41,0))</f>
        <v>454.94946</v>
      </c>
      <c r="L162" s="16" t="n">
        <f aca="false">F162*INDEX(Customers!$H$2:$H$41,MATCH(C162,Customers!$A$2:$A$41,0))</f>
        <v>1560</v>
      </c>
      <c r="M162" s="16" t="n">
        <f aca="false">J162*INDEX(Customers!$I$2:$I$41,MATCH(C162,Customers!$A$2:$A$41,0))/365*Assumptions!$B$6</f>
        <v>299.144850410959</v>
      </c>
      <c r="N162" s="16" t="n">
        <f aca="false">J162-K162-L162-M162</f>
        <v>43180.851689589</v>
      </c>
      <c r="O162" s="16" t="n">
        <f aca="false">F162*IF(A162="2025",INDEX(Products!$D$2:$D$13,MATCH(D162,Products!$A$2:$A$13,0)),INDEX(Products!$F$2:$F$13,MATCH(D162,Products!$A$2:$A$13,0)))</f>
        <v>30240.8</v>
      </c>
      <c r="P162" s="16" t="n">
        <f aca="false">N162-O162</f>
        <v>12940.051689589</v>
      </c>
    </row>
    <row r="163" customFormat="false" ht="15" hidden="false" customHeight="false" outlineLevel="0" collapsed="false">
      <c r="A163" s="2" t="s">
        <v>119</v>
      </c>
      <c r="B163" s="2" t="n">
        <v>6</v>
      </c>
      <c r="C163" s="2" t="s">
        <v>62</v>
      </c>
      <c r="D163" s="2" t="s">
        <v>43</v>
      </c>
      <c r="E163" s="2" t="str">
        <f aca="false">INDEX(Products!$B$2:$B$13,MATCH(D163,Products!$A$2:$A$13,0))</f>
        <v>Hydroprocessing</v>
      </c>
      <c r="F163" s="15" t="n">
        <v>5.9</v>
      </c>
      <c r="G163" s="16" t="n">
        <f aca="false">IF(A163="2025",INDEX(Products!$C$2:$C$13,MATCH(D163,Products!$A$2:$A$13,0)),INDEX(Products!$E$2:$E$13,MATCH(D163,Products!$A$2:$A$13,0)))</f>
        <v>12190.5</v>
      </c>
      <c r="H163" s="13" t="n">
        <f aca="false">IF(A163="2025",INDEX(Customers!$D$2:$D$41,MATCH(C163,Customers!$A$2:$A$41,0)),INDEX(Customers!$F$2:$F$41,MATCH(C163,Customers!$A$2:$A$41,0)))</f>
        <v>0.067</v>
      </c>
      <c r="I163" s="16" t="n">
        <f aca="false">F163*G163</f>
        <v>71923.95</v>
      </c>
      <c r="J163" s="16" t="n">
        <f aca="false">I163*(1-H163)</f>
        <v>67105.04535</v>
      </c>
      <c r="K163" s="16" t="n">
        <f aca="false">J163*INDEX(Customers!$G$2:$G$41,MATCH(C163,Customers!$A$2:$A$41,0))</f>
        <v>671.0504535</v>
      </c>
      <c r="L163" s="16" t="n">
        <f aca="false">F163*INDEX(Customers!$H$2:$H$41,MATCH(C163,Customers!$A$2:$A$41,0))</f>
        <v>2301</v>
      </c>
      <c r="M163" s="16" t="n">
        <f aca="false">J163*INDEX(Customers!$I$2:$I$41,MATCH(C163,Customers!$A$2:$A$41,0))/365*Assumptions!$B$6</f>
        <v>441.238654356164</v>
      </c>
      <c r="N163" s="16" t="n">
        <f aca="false">J163-K163-L163-M163</f>
        <v>63691.7562421438</v>
      </c>
      <c r="O163" s="16" t="n">
        <f aca="false">F163*IF(A163="2025",INDEX(Products!$D$2:$D$13,MATCH(D163,Products!$A$2:$A$13,0)),INDEX(Products!$F$2:$F$13,MATCH(D163,Products!$A$2:$A$13,0)))</f>
        <v>44605.18</v>
      </c>
      <c r="P163" s="16" t="n">
        <f aca="false">N163-O163</f>
        <v>19086.5762421438</v>
      </c>
    </row>
    <row r="164" customFormat="false" ht="15" hidden="false" customHeight="false" outlineLevel="0" collapsed="false">
      <c r="A164" s="2" t="s">
        <v>119</v>
      </c>
      <c r="B164" s="2" t="n">
        <v>7</v>
      </c>
      <c r="C164" s="2" t="s">
        <v>62</v>
      </c>
      <c r="D164" s="2" t="s">
        <v>43</v>
      </c>
      <c r="E164" s="2" t="str">
        <f aca="false">INDEX(Products!$B$2:$B$13,MATCH(D164,Products!$A$2:$A$13,0))</f>
        <v>Hydroprocessing</v>
      </c>
      <c r="F164" s="15" t="n">
        <v>5.5</v>
      </c>
      <c r="G164" s="16" t="n">
        <f aca="false">IF(A164="2025",INDEX(Products!$C$2:$C$13,MATCH(D164,Products!$A$2:$A$13,0)),INDEX(Products!$E$2:$E$13,MATCH(D164,Products!$A$2:$A$13,0)))</f>
        <v>12190.5</v>
      </c>
      <c r="H164" s="13" t="n">
        <f aca="false">IF(A164="2025",INDEX(Customers!$D$2:$D$41,MATCH(C164,Customers!$A$2:$A$41,0)),INDEX(Customers!$F$2:$F$41,MATCH(C164,Customers!$A$2:$A$41,0)))</f>
        <v>0.067</v>
      </c>
      <c r="I164" s="16" t="n">
        <f aca="false">F164*G164</f>
        <v>67047.75</v>
      </c>
      <c r="J164" s="16" t="n">
        <f aca="false">I164*(1-H164)</f>
        <v>62555.55075</v>
      </c>
      <c r="K164" s="16" t="n">
        <f aca="false">J164*INDEX(Customers!$G$2:$G$41,MATCH(C164,Customers!$A$2:$A$41,0))</f>
        <v>625.5555075</v>
      </c>
      <c r="L164" s="16" t="n">
        <f aca="false">F164*INDEX(Customers!$H$2:$H$41,MATCH(C164,Customers!$A$2:$A$41,0))</f>
        <v>2145</v>
      </c>
      <c r="M164" s="16" t="n">
        <f aca="false">J164*INDEX(Customers!$I$2:$I$41,MATCH(C164,Customers!$A$2:$A$41,0))/365*Assumptions!$B$6</f>
        <v>411.324169315069</v>
      </c>
      <c r="N164" s="16" t="n">
        <f aca="false">J164-K164-L164-M164</f>
        <v>59373.6710731849</v>
      </c>
      <c r="O164" s="16" t="n">
        <f aca="false">F164*IF(A164="2025",INDEX(Products!$D$2:$D$13,MATCH(D164,Products!$A$2:$A$13,0)),INDEX(Products!$F$2:$F$13,MATCH(D164,Products!$A$2:$A$13,0)))</f>
        <v>41581.1</v>
      </c>
      <c r="P164" s="16" t="n">
        <f aca="false">N164-O164</f>
        <v>17792.5710731849</v>
      </c>
    </row>
    <row r="165" customFormat="false" ht="15" hidden="false" customHeight="false" outlineLevel="0" collapsed="false">
      <c r="A165" s="2" t="s">
        <v>119</v>
      </c>
      <c r="B165" s="2" t="n">
        <v>8</v>
      </c>
      <c r="C165" s="2" t="s">
        <v>62</v>
      </c>
      <c r="D165" s="2" t="s">
        <v>43</v>
      </c>
      <c r="E165" s="2" t="str">
        <f aca="false">INDEX(Products!$B$2:$B$13,MATCH(D165,Products!$A$2:$A$13,0))</f>
        <v>Hydroprocessing</v>
      </c>
      <c r="F165" s="15" t="n">
        <v>5.5</v>
      </c>
      <c r="G165" s="16" t="n">
        <f aca="false">IF(A165="2025",INDEX(Products!$C$2:$C$13,MATCH(D165,Products!$A$2:$A$13,0)),INDEX(Products!$E$2:$E$13,MATCH(D165,Products!$A$2:$A$13,0)))</f>
        <v>12190.5</v>
      </c>
      <c r="H165" s="13" t="n">
        <f aca="false">IF(A165="2025",INDEX(Customers!$D$2:$D$41,MATCH(C165,Customers!$A$2:$A$41,0)),INDEX(Customers!$F$2:$F$41,MATCH(C165,Customers!$A$2:$A$41,0)))</f>
        <v>0.067</v>
      </c>
      <c r="I165" s="16" t="n">
        <f aca="false">F165*G165</f>
        <v>67047.75</v>
      </c>
      <c r="J165" s="16" t="n">
        <f aca="false">I165*(1-H165)</f>
        <v>62555.55075</v>
      </c>
      <c r="K165" s="16" t="n">
        <f aca="false">J165*INDEX(Customers!$G$2:$G$41,MATCH(C165,Customers!$A$2:$A$41,0))</f>
        <v>625.5555075</v>
      </c>
      <c r="L165" s="16" t="n">
        <f aca="false">F165*INDEX(Customers!$H$2:$H$41,MATCH(C165,Customers!$A$2:$A$41,0))</f>
        <v>2145</v>
      </c>
      <c r="M165" s="16" t="n">
        <f aca="false">J165*INDEX(Customers!$I$2:$I$41,MATCH(C165,Customers!$A$2:$A$41,0))/365*Assumptions!$B$6</f>
        <v>411.324169315069</v>
      </c>
      <c r="N165" s="16" t="n">
        <f aca="false">J165-K165-L165-M165</f>
        <v>59373.6710731849</v>
      </c>
      <c r="O165" s="16" t="n">
        <f aca="false">F165*IF(A165="2025",INDEX(Products!$D$2:$D$13,MATCH(D165,Products!$A$2:$A$13,0)),INDEX(Products!$F$2:$F$13,MATCH(D165,Products!$A$2:$A$13,0)))</f>
        <v>41581.1</v>
      </c>
      <c r="P165" s="16" t="n">
        <f aca="false">N165-O165</f>
        <v>17792.5710731849</v>
      </c>
    </row>
    <row r="166" customFormat="false" ht="15" hidden="false" customHeight="false" outlineLevel="0" collapsed="false">
      <c r="A166" s="2" t="s">
        <v>119</v>
      </c>
      <c r="B166" s="2" t="n">
        <v>9</v>
      </c>
      <c r="C166" s="2" t="s">
        <v>62</v>
      </c>
      <c r="D166" s="2" t="s">
        <v>43</v>
      </c>
      <c r="E166" s="2" t="str">
        <f aca="false">INDEX(Products!$B$2:$B$13,MATCH(D166,Products!$A$2:$A$13,0))</f>
        <v>Hydroprocessing</v>
      </c>
      <c r="F166" s="15" t="n">
        <v>6.3</v>
      </c>
      <c r="G166" s="16" t="n">
        <f aca="false">IF(A166="2025",INDEX(Products!$C$2:$C$13,MATCH(D166,Products!$A$2:$A$13,0)),INDEX(Products!$E$2:$E$13,MATCH(D166,Products!$A$2:$A$13,0)))</f>
        <v>12190.5</v>
      </c>
      <c r="H166" s="13" t="n">
        <f aca="false">IF(A166="2025",INDEX(Customers!$D$2:$D$41,MATCH(C166,Customers!$A$2:$A$41,0)),INDEX(Customers!$F$2:$F$41,MATCH(C166,Customers!$A$2:$A$41,0)))</f>
        <v>0.067</v>
      </c>
      <c r="I166" s="16" t="n">
        <f aca="false">F166*G166</f>
        <v>76800.15</v>
      </c>
      <c r="J166" s="16" t="n">
        <f aca="false">I166*(1-H166)</f>
        <v>71654.53995</v>
      </c>
      <c r="K166" s="16" t="n">
        <f aca="false">J166*INDEX(Customers!$G$2:$G$41,MATCH(C166,Customers!$A$2:$A$41,0))</f>
        <v>716.5453995</v>
      </c>
      <c r="L166" s="16" t="n">
        <f aca="false">F166*INDEX(Customers!$H$2:$H$41,MATCH(C166,Customers!$A$2:$A$41,0))</f>
        <v>2457</v>
      </c>
      <c r="M166" s="16" t="n">
        <f aca="false">J166*INDEX(Customers!$I$2:$I$41,MATCH(C166,Customers!$A$2:$A$41,0))/365*Assumptions!$B$6</f>
        <v>471.15313939726</v>
      </c>
      <c r="N166" s="16" t="n">
        <f aca="false">J166-K166-L166-M166</f>
        <v>68009.8414111028</v>
      </c>
      <c r="O166" s="16" t="n">
        <f aca="false">F166*IF(A166="2025",INDEX(Products!$D$2:$D$13,MATCH(D166,Products!$A$2:$A$13,0)),INDEX(Products!$F$2:$F$13,MATCH(D166,Products!$A$2:$A$13,0)))</f>
        <v>47629.26</v>
      </c>
      <c r="P166" s="16" t="n">
        <f aca="false">N166-O166</f>
        <v>20380.5814111028</v>
      </c>
    </row>
    <row r="167" customFormat="false" ht="15" hidden="false" customHeight="false" outlineLevel="0" collapsed="false">
      <c r="A167" s="2" t="s">
        <v>119</v>
      </c>
      <c r="B167" s="2" t="n">
        <v>10</v>
      </c>
      <c r="C167" s="2" t="s">
        <v>62</v>
      </c>
      <c r="D167" s="2" t="s">
        <v>43</v>
      </c>
      <c r="E167" s="2" t="str">
        <f aca="false">INDEX(Products!$B$2:$B$13,MATCH(D167,Products!$A$2:$A$13,0))</f>
        <v>Hydroprocessing</v>
      </c>
      <c r="F167" s="15" t="n">
        <v>6.1</v>
      </c>
      <c r="G167" s="16" t="n">
        <f aca="false">IF(A167="2025",INDEX(Products!$C$2:$C$13,MATCH(D167,Products!$A$2:$A$13,0)),INDEX(Products!$E$2:$E$13,MATCH(D167,Products!$A$2:$A$13,0)))</f>
        <v>12190.5</v>
      </c>
      <c r="H167" s="13" t="n">
        <f aca="false">IF(A167="2025",INDEX(Customers!$D$2:$D$41,MATCH(C167,Customers!$A$2:$A$41,0)),INDEX(Customers!$F$2:$F$41,MATCH(C167,Customers!$A$2:$A$41,0)))</f>
        <v>0.067</v>
      </c>
      <c r="I167" s="16" t="n">
        <f aca="false">F167*G167</f>
        <v>74362.05</v>
      </c>
      <c r="J167" s="16" t="n">
        <f aca="false">I167*(1-H167)</f>
        <v>69379.79265</v>
      </c>
      <c r="K167" s="16" t="n">
        <f aca="false">J167*INDEX(Customers!$G$2:$G$41,MATCH(C167,Customers!$A$2:$A$41,0))</f>
        <v>693.7979265</v>
      </c>
      <c r="L167" s="16" t="n">
        <f aca="false">F167*INDEX(Customers!$H$2:$H$41,MATCH(C167,Customers!$A$2:$A$41,0))</f>
        <v>2379</v>
      </c>
      <c r="M167" s="16" t="n">
        <f aca="false">J167*INDEX(Customers!$I$2:$I$41,MATCH(C167,Customers!$A$2:$A$41,0))/365*Assumptions!$B$6</f>
        <v>456.195896876712</v>
      </c>
      <c r="N167" s="16" t="n">
        <f aca="false">J167-K167-L167-M167</f>
        <v>65850.7988266233</v>
      </c>
      <c r="O167" s="16" t="n">
        <f aca="false">F167*IF(A167="2025",INDEX(Products!$D$2:$D$13,MATCH(D167,Products!$A$2:$A$13,0)),INDEX(Products!$F$2:$F$13,MATCH(D167,Products!$A$2:$A$13,0)))</f>
        <v>46117.22</v>
      </c>
      <c r="P167" s="16" t="n">
        <f aca="false">N167-O167</f>
        <v>19733.5788266233</v>
      </c>
    </row>
    <row r="168" customFormat="false" ht="15" hidden="false" customHeight="false" outlineLevel="0" collapsed="false">
      <c r="A168" s="2" t="s">
        <v>119</v>
      </c>
      <c r="B168" s="2" t="n">
        <v>11</v>
      </c>
      <c r="C168" s="2" t="s">
        <v>62</v>
      </c>
      <c r="D168" s="2" t="s">
        <v>43</v>
      </c>
      <c r="E168" s="2" t="str">
        <f aca="false">INDEX(Products!$B$2:$B$13,MATCH(D168,Products!$A$2:$A$13,0))</f>
        <v>Hydroprocessing</v>
      </c>
      <c r="F168" s="15" t="n">
        <v>4</v>
      </c>
      <c r="G168" s="16" t="n">
        <f aca="false">IF(A168="2025",INDEX(Products!$C$2:$C$13,MATCH(D168,Products!$A$2:$A$13,0)),INDEX(Products!$E$2:$E$13,MATCH(D168,Products!$A$2:$A$13,0)))</f>
        <v>12190.5</v>
      </c>
      <c r="H168" s="13" t="n">
        <f aca="false">IF(A168="2025",INDEX(Customers!$D$2:$D$41,MATCH(C168,Customers!$A$2:$A$41,0)),INDEX(Customers!$F$2:$F$41,MATCH(C168,Customers!$A$2:$A$41,0)))</f>
        <v>0.067</v>
      </c>
      <c r="I168" s="16" t="n">
        <f aca="false">F168*G168</f>
        <v>48762</v>
      </c>
      <c r="J168" s="16" t="n">
        <f aca="false">I168*(1-H168)</f>
        <v>45494.946</v>
      </c>
      <c r="K168" s="16" t="n">
        <f aca="false">J168*INDEX(Customers!$G$2:$G$41,MATCH(C168,Customers!$A$2:$A$41,0))</f>
        <v>454.94946</v>
      </c>
      <c r="L168" s="16" t="n">
        <f aca="false">F168*INDEX(Customers!$H$2:$H$41,MATCH(C168,Customers!$A$2:$A$41,0))</f>
        <v>1560</v>
      </c>
      <c r="M168" s="16" t="n">
        <f aca="false">J168*INDEX(Customers!$I$2:$I$41,MATCH(C168,Customers!$A$2:$A$41,0))/365*Assumptions!$B$6</f>
        <v>299.144850410959</v>
      </c>
      <c r="N168" s="16" t="n">
        <f aca="false">J168-K168-L168-M168</f>
        <v>43180.851689589</v>
      </c>
      <c r="O168" s="16" t="n">
        <f aca="false">F168*IF(A168="2025",INDEX(Products!$D$2:$D$13,MATCH(D168,Products!$A$2:$A$13,0)),INDEX(Products!$F$2:$F$13,MATCH(D168,Products!$A$2:$A$13,0)))</f>
        <v>30240.8</v>
      </c>
      <c r="P168" s="16" t="n">
        <f aca="false">N168-O168</f>
        <v>12940.051689589</v>
      </c>
    </row>
    <row r="169" customFormat="false" ht="15" hidden="false" customHeight="false" outlineLevel="0" collapsed="false">
      <c r="A169" s="2" t="s">
        <v>119</v>
      </c>
      <c r="B169" s="2" t="n">
        <v>12</v>
      </c>
      <c r="C169" s="2" t="s">
        <v>62</v>
      </c>
      <c r="D169" s="2" t="s">
        <v>43</v>
      </c>
      <c r="E169" s="2" t="str">
        <f aca="false">INDEX(Products!$B$2:$B$13,MATCH(D169,Products!$A$2:$A$13,0))</f>
        <v>Hydroprocessing</v>
      </c>
      <c r="F169" s="15" t="n">
        <v>6.1</v>
      </c>
      <c r="G169" s="16" t="n">
        <f aca="false">IF(A169="2025",INDEX(Products!$C$2:$C$13,MATCH(D169,Products!$A$2:$A$13,0)),INDEX(Products!$E$2:$E$13,MATCH(D169,Products!$A$2:$A$13,0)))</f>
        <v>12190.5</v>
      </c>
      <c r="H169" s="13" t="n">
        <f aca="false">IF(A169="2025",INDEX(Customers!$D$2:$D$41,MATCH(C169,Customers!$A$2:$A$41,0)),INDEX(Customers!$F$2:$F$41,MATCH(C169,Customers!$A$2:$A$41,0)))</f>
        <v>0.067</v>
      </c>
      <c r="I169" s="16" t="n">
        <f aca="false">F169*G169</f>
        <v>74362.05</v>
      </c>
      <c r="J169" s="16" t="n">
        <f aca="false">I169*(1-H169)</f>
        <v>69379.79265</v>
      </c>
      <c r="K169" s="16" t="n">
        <f aca="false">J169*INDEX(Customers!$G$2:$G$41,MATCH(C169,Customers!$A$2:$A$41,0))</f>
        <v>693.7979265</v>
      </c>
      <c r="L169" s="16" t="n">
        <f aca="false">F169*INDEX(Customers!$H$2:$H$41,MATCH(C169,Customers!$A$2:$A$41,0))</f>
        <v>2379</v>
      </c>
      <c r="M169" s="16" t="n">
        <f aca="false">J169*INDEX(Customers!$I$2:$I$41,MATCH(C169,Customers!$A$2:$A$41,0))/365*Assumptions!$B$6</f>
        <v>456.195896876712</v>
      </c>
      <c r="N169" s="16" t="n">
        <f aca="false">J169-K169-L169-M169</f>
        <v>65850.7988266233</v>
      </c>
      <c r="O169" s="16" t="n">
        <f aca="false">F169*IF(A169="2025",INDEX(Products!$D$2:$D$13,MATCH(D169,Products!$A$2:$A$13,0)),INDEX(Products!$F$2:$F$13,MATCH(D169,Products!$A$2:$A$13,0)))</f>
        <v>46117.22</v>
      </c>
      <c r="P169" s="16" t="n">
        <f aca="false">N169-O169</f>
        <v>19733.5788266233</v>
      </c>
    </row>
    <row r="170" customFormat="false" ht="15" hidden="false" customHeight="false" outlineLevel="0" collapsed="false">
      <c r="A170" s="2" t="s">
        <v>118</v>
      </c>
      <c r="B170" s="2" t="n">
        <v>1</v>
      </c>
      <c r="C170" s="2" t="s">
        <v>65</v>
      </c>
      <c r="D170" s="2" t="s">
        <v>47</v>
      </c>
      <c r="E170" s="2" t="str">
        <f aca="false">INDEX(Products!$B$2:$B$13,MATCH(D170,Products!$A$2:$A$13,0))</f>
        <v>Specialty</v>
      </c>
      <c r="F170" s="15" t="n">
        <v>2.8</v>
      </c>
      <c r="G170" s="16" t="n">
        <f aca="false">IF(A170="2025",INDEX(Products!$C$2:$C$13,MATCH(D170,Products!$A$2:$A$13,0)),INDEX(Products!$E$2:$E$13,MATCH(D170,Products!$A$2:$A$13,0)))</f>
        <v>30520</v>
      </c>
      <c r="H170" s="13" t="n">
        <f aca="false">IF(A170="2025",INDEX(Customers!$D$2:$D$41,MATCH(C170,Customers!$A$2:$A$41,0)),INDEX(Customers!$F$2:$F$41,MATCH(C170,Customers!$A$2:$A$41,0)))</f>
        <v>0.08</v>
      </c>
      <c r="I170" s="16" t="n">
        <f aca="false">F170*G170</f>
        <v>85456</v>
      </c>
      <c r="J170" s="16" t="n">
        <f aca="false">I170*(1-H170)</f>
        <v>78619.52</v>
      </c>
      <c r="K170" s="16" t="n">
        <f aca="false">J170*INDEX(Customers!$G$2:$G$41,MATCH(C170,Customers!$A$2:$A$41,0))</f>
        <v>1572.3904</v>
      </c>
      <c r="L170" s="16" t="n">
        <f aca="false">F170*INDEX(Customers!$H$2:$H$41,MATCH(C170,Customers!$A$2:$A$41,0))</f>
        <v>392</v>
      </c>
      <c r="M170" s="16" t="n">
        <f aca="false">J170*INDEX(Customers!$I$2:$I$41,MATCH(C170,Customers!$A$2:$A$41,0))/365*Assumptions!$B$6</f>
        <v>1033.9005369863</v>
      </c>
      <c r="N170" s="16" t="n">
        <f aca="false">J170-K170-L170-M170</f>
        <v>75621.2290630137</v>
      </c>
      <c r="O170" s="16" t="n">
        <f aca="false">F170*IF(A170="2025",INDEX(Products!$D$2:$D$13,MATCH(D170,Products!$A$2:$A$13,0)),INDEX(Products!$F$2:$F$13,MATCH(D170,Products!$A$2:$A$13,0)))</f>
        <v>43232</v>
      </c>
      <c r="P170" s="16" t="n">
        <f aca="false">N170-O170</f>
        <v>32389.2290630137</v>
      </c>
    </row>
    <row r="171" customFormat="false" ht="15" hidden="false" customHeight="false" outlineLevel="0" collapsed="false">
      <c r="A171" s="2" t="s">
        <v>118</v>
      </c>
      <c r="B171" s="2" t="n">
        <v>2</v>
      </c>
      <c r="C171" s="2" t="s">
        <v>65</v>
      </c>
      <c r="D171" s="2" t="s">
        <v>47</v>
      </c>
      <c r="E171" s="2" t="str">
        <f aca="false">INDEX(Products!$B$2:$B$13,MATCH(D171,Products!$A$2:$A$13,0))</f>
        <v>Specialty</v>
      </c>
      <c r="F171" s="15" t="n">
        <v>3.1</v>
      </c>
      <c r="G171" s="16" t="n">
        <f aca="false">IF(A171="2025",INDEX(Products!$C$2:$C$13,MATCH(D171,Products!$A$2:$A$13,0)),INDEX(Products!$E$2:$E$13,MATCH(D171,Products!$A$2:$A$13,0)))</f>
        <v>30520</v>
      </c>
      <c r="H171" s="13" t="n">
        <f aca="false">IF(A171="2025",INDEX(Customers!$D$2:$D$41,MATCH(C171,Customers!$A$2:$A$41,0)),INDEX(Customers!$F$2:$F$41,MATCH(C171,Customers!$A$2:$A$41,0)))</f>
        <v>0.08</v>
      </c>
      <c r="I171" s="16" t="n">
        <f aca="false">F171*G171</f>
        <v>94612</v>
      </c>
      <c r="J171" s="16" t="n">
        <f aca="false">I171*(1-H171)</f>
        <v>87043.04</v>
      </c>
      <c r="K171" s="16" t="n">
        <f aca="false">J171*INDEX(Customers!$G$2:$G$41,MATCH(C171,Customers!$A$2:$A$41,0))</f>
        <v>1740.8608</v>
      </c>
      <c r="L171" s="16" t="n">
        <f aca="false">F171*INDEX(Customers!$H$2:$H$41,MATCH(C171,Customers!$A$2:$A$41,0))</f>
        <v>434</v>
      </c>
      <c r="M171" s="16" t="n">
        <f aca="false">J171*INDEX(Customers!$I$2:$I$41,MATCH(C171,Customers!$A$2:$A$41,0))/365*Assumptions!$B$6</f>
        <v>1144.67559452055</v>
      </c>
      <c r="N171" s="16" t="n">
        <f aca="false">J171-K171-L171-M171</f>
        <v>83723.5036054795</v>
      </c>
      <c r="O171" s="16" t="n">
        <f aca="false">F171*IF(A171="2025",INDEX(Products!$D$2:$D$13,MATCH(D171,Products!$A$2:$A$13,0)),INDEX(Products!$F$2:$F$13,MATCH(D171,Products!$A$2:$A$13,0)))</f>
        <v>47864</v>
      </c>
      <c r="P171" s="16" t="n">
        <f aca="false">N171-O171</f>
        <v>35859.5036054795</v>
      </c>
    </row>
    <row r="172" customFormat="false" ht="15" hidden="false" customHeight="false" outlineLevel="0" collapsed="false">
      <c r="A172" s="2" t="s">
        <v>118</v>
      </c>
      <c r="B172" s="2" t="n">
        <v>3</v>
      </c>
      <c r="C172" s="2" t="s">
        <v>65</v>
      </c>
      <c r="D172" s="2" t="s">
        <v>47</v>
      </c>
      <c r="E172" s="2" t="str">
        <f aca="false">INDEX(Products!$B$2:$B$13,MATCH(D172,Products!$A$2:$A$13,0))</f>
        <v>Specialty</v>
      </c>
      <c r="F172" s="15" t="n">
        <v>3.8</v>
      </c>
      <c r="G172" s="16" t="n">
        <f aca="false">IF(A172="2025",INDEX(Products!$C$2:$C$13,MATCH(D172,Products!$A$2:$A$13,0)),INDEX(Products!$E$2:$E$13,MATCH(D172,Products!$A$2:$A$13,0)))</f>
        <v>30520</v>
      </c>
      <c r="H172" s="13" t="n">
        <f aca="false">IF(A172="2025",INDEX(Customers!$D$2:$D$41,MATCH(C172,Customers!$A$2:$A$41,0)),INDEX(Customers!$F$2:$F$41,MATCH(C172,Customers!$A$2:$A$41,0)))</f>
        <v>0.08</v>
      </c>
      <c r="I172" s="16" t="n">
        <f aca="false">F172*G172</f>
        <v>115976</v>
      </c>
      <c r="J172" s="16" t="n">
        <f aca="false">I172*(1-H172)</f>
        <v>106697.92</v>
      </c>
      <c r="K172" s="16" t="n">
        <f aca="false">J172*INDEX(Customers!$G$2:$G$41,MATCH(C172,Customers!$A$2:$A$41,0))</f>
        <v>2133.9584</v>
      </c>
      <c r="L172" s="16" t="n">
        <f aca="false">F172*INDEX(Customers!$H$2:$H$41,MATCH(C172,Customers!$A$2:$A$41,0))</f>
        <v>532</v>
      </c>
      <c r="M172" s="16" t="n">
        <f aca="false">J172*INDEX(Customers!$I$2:$I$41,MATCH(C172,Customers!$A$2:$A$41,0))/365*Assumptions!$B$6</f>
        <v>1403.15072876712</v>
      </c>
      <c r="N172" s="16" t="n">
        <f aca="false">J172-K172-L172-M172</f>
        <v>102628.810871233</v>
      </c>
      <c r="O172" s="16" t="n">
        <f aca="false">F172*IF(A172="2025",INDEX(Products!$D$2:$D$13,MATCH(D172,Products!$A$2:$A$13,0)),INDEX(Products!$F$2:$F$13,MATCH(D172,Products!$A$2:$A$13,0)))</f>
        <v>58672</v>
      </c>
      <c r="P172" s="16" t="n">
        <f aca="false">N172-O172</f>
        <v>43956.8108712329</v>
      </c>
    </row>
    <row r="173" customFormat="false" ht="15" hidden="false" customHeight="false" outlineLevel="0" collapsed="false">
      <c r="A173" s="2" t="s">
        <v>118</v>
      </c>
      <c r="B173" s="2" t="n">
        <v>4</v>
      </c>
      <c r="C173" s="2" t="s">
        <v>65</v>
      </c>
      <c r="D173" s="2" t="s">
        <v>47</v>
      </c>
      <c r="E173" s="2" t="str">
        <f aca="false">INDEX(Products!$B$2:$B$13,MATCH(D173,Products!$A$2:$A$13,0))</f>
        <v>Specialty</v>
      </c>
      <c r="F173" s="15" t="n">
        <v>3.8</v>
      </c>
      <c r="G173" s="16" t="n">
        <f aca="false">IF(A173="2025",INDEX(Products!$C$2:$C$13,MATCH(D173,Products!$A$2:$A$13,0)),INDEX(Products!$E$2:$E$13,MATCH(D173,Products!$A$2:$A$13,0)))</f>
        <v>30520</v>
      </c>
      <c r="H173" s="13" t="n">
        <f aca="false">IF(A173="2025",INDEX(Customers!$D$2:$D$41,MATCH(C173,Customers!$A$2:$A$41,0)),INDEX(Customers!$F$2:$F$41,MATCH(C173,Customers!$A$2:$A$41,0)))</f>
        <v>0.08</v>
      </c>
      <c r="I173" s="16" t="n">
        <f aca="false">F173*G173</f>
        <v>115976</v>
      </c>
      <c r="J173" s="16" t="n">
        <f aca="false">I173*(1-H173)</f>
        <v>106697.92</v>
      </c>
      <c r="K173" s="16" t="n">
        <f aca="false">J173*INDEX(Customers!$G$2:$G$41,MATCH(C173,Customers!$A$2:$A$41,0))</f>
        <v>2133.9584</v>
      </c>
      <c r="L173" s="16" t="n">
        <f aca="false">F173*INDEX(Customers!$H$2:$H$41,MATCH(C173,Customers!$A$2:$A$41,0))</f>
        <v>532</v>
      </c>
      <c r="M173" s="16" t="n">
        <f aca="false">J173*INDEX(Customers!$I$2:$I$41,MATCH(C173,Customers!$A$2:$A$41,0))/365*Assumptions!$B$6</f>
        <v>1403.15072876712</v>
      </c>
      <c r="N173" s="16" t="n">
        <f aca="false">J173-K173-L173-M173</f>
        <v>102628.810871233</v>
      </c>
      <c r="O173" s="16" t="n">
        <f aca="false">F173*IF(A173="2025",INDEX(Products!$D$2:$D$13,MATCH(D173,Products!$A$2:$A$13,0)),INDEX(Products!$F$2:$F$13,MATCH(D173,Products!$A$2:$A$13,0)))</f>
        <v>58672</v>
      </c>
      <c r="P173" s="16" t="n">
        <f aca="false">N173-O173</f>
        <v>43956.8108712329</v>
      </c>
    </row>
    <row r="174" customFormat="false" ht="15" hidden="false" customHeight="false" outlineLevel="0" collapsed="false">
      <c r="A174" s="2" t="s">
        <v>118</v>
      </c>
      <c r="B174" s="2" t="n">
        <v>5</v>
      </c>
      <c r="C174" s="2" t="s">
        <v>65</v>
      </c>
      <c r="D174" s="2" t="s">
        <v>47</v>
      </c>
      <c r="E174" s="2" t="str">
        <f aca="false">INDEX(Products!$B$2:$B$13,MATCH(D174,Products!$A$2:$A$13,0))</f>
        <v>Specialty</v>
      </c>
      <c r="F174" s="15" t="n">
        <v>2.3</v>
      </c>
      <c r="G174" s="16" t="n">
        <f aca="false">IF(A174="2025",INDEX(Products!$C$2:$C$13,MATCH(D174,Products!$A$2:$A$13,0)),INDEX(Products!$E$2:$E$13,MATCH(D174,Products!$A$2:$A$13,0)))</f>
        <v>30520</v>
      </c>
      <c r="H174" s="13" t="n">
        <f aca="false">IF(A174="2025",INDEX(Customers!$D$2:$D$41,MATCH(C174,Customers!$A$2:$A$41,0)),INDEX(Customers!$F$2:$F$41,MATCH(C174,Customers!$A$2:$A$41,0)))</f>
        <v>0.08</v>
      </c>
      <c r="I174" s="16" t="n">
        <f aca="false">F174*G174</f>
        <v>70196</v>
      </c>
      <c r="J174" s="16" t="n">
        <f aca="false">I174*(1-H174)</f>
        <v>64580.32</v>
      </c>
      <c r="K174" s="16" t="n">
        <f aca="false">J174*INDEX(Customers!$G$2:$G$41,MATCH(C174,Customers!$A$2:$A$41,0))</f>
        <v>1291.6064</v>
      </c>
      <c r="L174" s="16" t="n">
        <f aca="false">F174*INDEX(Customers!$H$2:$H$41,MATCH(C174,Customers!$A$2:$A$41,0))</f>
        <v>322</v>
      </c>
      <c r="M174" s="16" t="n">
        <f aca="false">J174*INDEX(Customers!$I$2:$I$41,MATCH(C174,Customers!$A$2:$A$41,0))/365*Assumptions!$B$6</f>
        <v>849.27544109589</v>
      </c>
      <c r="N174" s="16" t="n">
        <f aca="false">J174-K174-L174-M174</f>
        <v>62117.4381589041</v>
      </c>
      <c r="O174" s="16" t="n">
        <f aca="false">F174*IF(A174="2025",INDEX(Products!$D$2:$D$13,MATCH(D174,Products!$A$2:$A$13,0)),INDEX(Products!$F$2:$F$13,MATCH(D174,Products!$A$2:$A$13,0)))</f>
        <v>35512</v>
      </c>
      <c r="P174" s="16" t="n">
        <f aca="false">N174-O174</f>
        <v>26605.4381589041</v>
      </c>
    </row>
    <row r="175" customFormat="false" ht="15" hidden="false" customHeight="false" outlineLevel="0" collapsed="false">
      <c r="A175" s="2" t="s">
        <v>118</v>
      </c>
      <c r="B175" s="2" t="n">
        <v>6</v>
      </c>
      <c r="C175" s="2" t="s">
        <v>65</v>
      </c>
      <c r="D175" s="2" t="s">
        <v>47</v>
      </c>
      <c r="E175" s="2" t="str">
        <f aca="false">INDEX(Products!$B$2:$B$13,MATCH(D175,Products!$A$2:$A$13,0))</f>
        <v>Specialty</v>
      </c>
      <c r="F175" s="15" t="n">
        <v>3</v>
      </c>
      <c r="G175" s="16" t="n">
        <f aca="false">IF(A175="2025",INDEX(Products!$C$2:$C$13,MATCH(D175,Products!$A$2:$A$13,0)),INDEX(Products!$E$2:$E$13,MATCH(D175,Products!$A$2:$A$13,0)))</f>
        <v>30520</v>
      </c>
      <c r="H175" s="13" t="n">
        <f aca="false">IF(A175="2025",INDEX(Customers!$D$2:$D$41,MATCH(C175,Customers!$A$2:$A$41,0)),INDEX(Customers!$F$2:$F$41,MATCH(C175,Customers!$A$2:$A$41,0)))</f>
        <v>0.08</v>
      </c>
      <c r="I175" s="16" t="n">
        <f aca="false">F175*G175</f>
        <v>91560</v>
      </c>
      <c r="J175" s="16" t="n">
        <f aca="false">I175*(1-H175)</f>
        <v>84235.2</v>
      </c>
      <c r="K175" s="16" t="n">
        <f aca="false">J175*INDEX(Customers!$G$2:$G$41,MATCH(C175,Customers!$A$2:$A$41,0))</f>
        <v>1684.704</v>
      </c>
      <c r="L175" s="16" t="n">
        <f aca="false">F175*INDEX(Customers!$H$2:$H$41,MATCH(C175,Customers!$A$2:$A$41,0))</f>
        <v>420</v>
      </c>
      <c r="M175" s="16" t="n">
        <f aca="false">J175*INDEX(Customers!$I$2:$I$41,MATCH(C175,Customers!$A$2:$A$41,0))/365*Assumptions!$B$6</f>
        <v>1107.75057534247</v>
      </c>
      <c r="N175" s="16" t="n">
        <f aca="false">J175-K175-L175-M175</f>
        <v>81022.7454246575</v>
      </c>
      <c r="O175" s="16" t="n">
        <f aca="false">F175*IF(A175="2025",INDEX(Products!$D$2:$D$13,MATCH(D175,Products!$A$2:$A$13,0)),INDEX(Products!$F$2:$F$13,MATCH(D175,Products!$A$2:$A$13,0)))</f>
        <v>46320</v>
      </c>
      <c r="P175" s="16" t="n">
        <f aca="false">N175-O175</f>
        <v>34702.7454246575</v>
      </c>
    </row>
    <row r="176" customFormat="false" ht="15" hidden="false" customHeight="false" outlineLevel="0" collapsed="false">
      <c r="A176" s="2" t="s">
        <v>118</v>
      </c>
      <c r="B176" s="2" t="n">
        <v>7</v>
      </c>
      <c r="C176" s="2" t="s">
        <v>65</v>
      </c>
      <c r="D176" s="2" t="s">
        <v>47</v>
      </c>
      <c r="E176" s="2" t="str">
        <f aca="false">INDEX(Products!$B$2:$B$13,MATCH(D176,Products!$A$2:$A$13,0))</f>
        <v>Specialty</v>
      </c>
      <c r="F176" s="15" t="n">
        <v>3.7</v>
      </c>
      <c r="G176" s="16" t="n">
        <f aca="false">IF(A176="2025",INDEX(Products!$C$2:$C$13,MATCH(D176,Products!$A$2:$A$13,0)),INDEX(Products!$E$2:$E$13,MATCH(D176,Products!$A$2:$A$13,0)))</f>
        <v>30520</v>
      </c>
      <c r="H176" s="13" t="n">
        <f aca="false">IF(A176="2025",INDEX(Customers!$D$2:$D$41,MATCH(C176,Customers!$A$2:$A$41,0)),INDEX(Customers!$F$2:$F$41,MATCH(C176,Customers!$A$2:$A$41,0)))</f>
        <v>0.08</v>
      </c>
      <c r="I176" s="16" t="n">
        <f aca="false">F176*G176</f>
        <v>112924</v>
      </c>
      <c r="J176" s="16" t="n">
        <f aca="false">I176*(1-H176)</f>
        <v>103890.08</v>
      </c>
      <c r="K176" s="16" t="n">
        <f aca="false">J176*INDEX(Customers!$G$2:$G$41,MATCH(C176,Customers!$A$2:$A$41,0))</f>
        <v>2077.8016</v>
      </c>
      <c r="L176" s="16" t="n">
        <f aca="false">F176*INDEX(Customers!$H$2:$H$41,MATCH(C176,Customers!$A$2:$A$41,0))</f>
        <v>518</v>
      </c>
      <c r="M176" s="16" t="n">
        <f aca="false">J176*INDEX(Customers!$I$2:$I$41,MATCH(C176,Customers!$A$2:$A$41,0))/365*Assumptions!$B$6</f>
        <v>1366.22570958904</v>
      </c>
      <c r="N176" s="16" t="n">
        <f aca="false">J176-K176-L176-M176</f>
        <v>99928.052690411</v>
      </c>
      <c r="O176" s="16" t="n">
        <f aca="false">F176*IF(A176="2025",INDEX(Products!$D$2:$D$13,MATCH(D176,Products!$A$2:$A$13,0)),INDEX(Products!$F$2:$F$13,MATCH(D176,Products!$A$2:$A$13,0)))</f>
        <v>57128</v>
      </c>
      <c r="P176" s="16" t="n">
        <f aca="false">N176-O176</f>
        <v>42800.052690411</v>
      </c>
    </row>
    <row r="177" customFormat="false" ht="15" hidden="false" customHeight="false" outlineLevel="0" collapsed="false">
      <c r="A177" s="2" t="s">
        <v>118</v>
      </c>
      <c r="B177" s="2" t="n">
        <v>8</v>
      </c>
      <c r="C177" s="2" t="s">
        <v>65</v>
      </c>
      <c r="D177" s="2" t="s">
        <v>47</v>
      </c>
      <c r="E177" s="2" t="str">
        <f aca="false">INDEX(Products!$B$2:$B$13,MATCH(D177,Products!$A$2:$A$13,0))</f>
        <v>Specialty</v>
      </c>
      <c r="F177" s="15" t="n">
        <v>3.3</v>
      </c>
      <c r="G177" s="16" t="n">
        <f aca="false">IF(A177="2025",INDEX(Products!$C$2:$C$13,MATCH(D177,Products!$A$2:$A$13,0)),INDEX(Products!$E$2:$E$13,MATCH(D177,Products!$A$2:$A$13,0)))</f>
        <v>30520</v>
      </c>
      <c r="H177" s="13" t="n">
        <f aca="false">IF(A177="2025",INDEX(Customers!$D$2:$D$41,MATCH(C177,Customers!$A$2:$A$41,0)),INDEX(Customers!$F$2:$F$41,MATCH(C177,Customers!$A$2:$A$41,0)))</f>
        <v>0.08</v>
      </c>
      <c r="I177" s="16" t="n">
        <f aca="false">F177*G177</f>
        <v>100716</v>
      </c>
      <c r="J177" s="16" t="n">
        <f aca="false">I177*(1-H177)</f>
        <v>92658.72</v>
      </c>
      <c r="K177" s="16" t="n">
        <f aca="false">J177*INDEX(Customers!$G$2:$G$41,MATCH(C177,Customers!$A$2:$A$41,0))</f>
        <v>1853.1744</v>
      </c>
      <c r="L177" s="16" t="n">
        <f aca="false">F177*INDEX(Customers!$H$2:$H$41,MATCH(C177,Customers!$A$2:$A$41,0))</f>
        <v>462</v>
      </c>
      <c r="M177" s="16" t="n">
        <f aca="false">J177*INDEX(Customers!$I$2:$I$41,MATCH(C177,Customers!$A$2:$A$41,0))/365*Assumptions!$B$6</f>
        <v>1218.52563287671</v>
      </c>
      <c r="N177" s="16" t="n">
        <f aca="false">J177-K177-L177-M177</f>
        <v>89125.0199671233</v>
      </c>
      <c r="O177" s="16" t="n">
        <f aca="false">F177*IF(A177="2025",INDEX(Products!$D$2:$D$13,MATCH(D177,Products!$A$2:$A$13,0)),INDEX(Products!$F$2:$F$13,MATCH(D177,Products!$A$2:$A$13,0)))</f>
        <v>50952</v>
      </c>
      <c r="P177" s="16" t="n">
        <f aca="false">N177-O177</f>
        <v>38173.0199671233</v>
      </c>
    </row>
    <row r="178" customFormat="false" ht="15" hidden="false" customHeight="false" outlineLevel="0" collapsed="false">
      <c r="A178" s="2" t="s">
        <v>118</v>
      </c>
      <c r="B178" s="2" t="n">
        <v>9</v>
      </c>
      <c r="C178" s="2" t="s">
        <v>65</v>
      </c>
      <c r="D178" s="2" t="s">
        <v>47</v>
      </c>
      <c r="E178" s="2" t="str">
        <f aca="false">INDEX(Products!$B$2:$B$13,MATCH(D178,Products!$A$2:$A$13,0))</f>
        <v>Specialty</v>
      </c>
      <c r="F178" s="15" t="n">
        <v>3.7</v>
      </c>
      <c r="G178" s="16" t="n">
        <f aca="false">IF(A178="2025",INDEX(Products!$C$2:$C$13,MATCH(D178,Products!$A$2:$A$13,0)),INDEX(Products!$E$2:$E$13,MATCH(D178,Products!$A$2:$A$13,0)))</f>
        <v>30520</v>
      </c>
      <c r="H178" s="13" t="n">
        <f aca="false">IF(A178="2025",INDEX(Customers!$D$2:$D$41,MATCH(C178,Customers!$A$2:$A$41,0)),INDEX(Customers!$F$2:$F$41,MATCH(C178,Customers!$A$2:$A$41,0)))</f>
        <v>0.08</v>
      </c>
      <c r="I178" s="16" t="n">
        <f aca="false">F178*G178</f>
        <v>112924</v>
      </c>
      <c r="J178" s="16" t="n">
        <f aca="false">I178*(1-H178)</f>
        <v>103890.08</v>
      </c>
      <c r="K178" s="16" t="n">
        <f aca="false">J178*INDEX(Customers!$G$2:$G$41,MATCH(C178,Customers!$A$2:$A$41,0))</f>
        <v>2077.8016</v>
      </c>
      <c r="L178" s="16" t="n">
        <f aca="false">F178*INDEX(Customers!$H$2:$H$41,MATCH(C178,Customers!$A$2:$A$41,0))</f>
        <v>518</v>
      </c>
      <c r="M178" s="16" t="n">
        <f aca="false">J178*INDEX(Customers!$I$2:$I$41,MATCH(C178,Customers!$A$2:$A$41,0))/365*Assumptions!$B$6</f>
        <v>1366.22570958904</v>
      </c>
      <c r="N178" s="16" t="n">
        <f aca="false">J178-K178-L178-M178</f>
        <v>99928.052690411</v>
      </c>
      <c r="O178" s="16" t="n">
        <f aca="false">F178*IF(A178="2025",INDEX(Products!$D$2:$D$13,MATCH(D178,Products!$A$2:$A$13,0)),INDEX(Products!$F$2:$F$13,MATCH(D178,Products!$A$2:$A$13,0)))</f>
        <v>57128</v>
      </c>
      <c r="P178" s="16" t="n">
        <f aca="false">N178-O178</f>
        <v>42800.052690411</v>
      </c>
    </row>
    <row r="179" customFormat="false" ht="15" hidden="false" customHeight="false" outlineLevel="0" collapsed="false">
      <c r="A179" s="2" t="s">
        <v>118</v>
      </c>
      <c r="B179" s="2" t="n">
        <v>10</v>
      </c>
      <c r="C179" s="2" t="s">
        <v>65</v>
      </c>
      <c r="D179" s="2" t="s">
        <v>47</v>
      </c>
      <c r="E179" s="2" t="str">
        <f aca="false">INDEX(Products!$B$2:$B$13,MATCH(D179,Products!$A$2:$A$13,0))</f>
        <v>Specialty</v>
      </c>
      <c r="F179" s="15" t="n">
        <v>3.3</v>
      </c>
      <c r="G179" s="16" t="n">
        <f aca="false">IF(A179="2025",INDEX(Products!$C$2:$C$13,MATCH(D179,Products!$A$2:$A$13,0)),INDEX(Products!$E$2:$E$13,MATCH(D179,Products!$A$2:$A$13,0)))</f>
        <v>30520</v>
      </c>
      <c r="H179" s="13" t="n">
        <f aca="false">IF(A179="2025",INDEX(Customers!$D$2:$D$41,MATCH(C179,Customers!$A$2:$A$41,0)),INDEX(Customers!$F$2:$F$41,MATCH(C179,Customers!$A$2:$A$41,0)))</f>
        <v>0.08</v>
      </c>
      <c r="I179" s="16" t="n">
        <f aca="false">F179*G179</f>
        <v>100716</v>
      </c>
      <c r="J179" s="16" t="n">
        <f aca="false">I179*(1-H179)</f>
        <v>92658.72</v>
      </c>
      <c r="K179" s="16" t="n">
        <f aca="false">J179*INDEX(Customers!$G$2:$G$41,MATCH(C179,Customers!$A$2:$A$41,0))</f>
        <v>1853.1744</v>
      </c>
      <c r="L179" s="16" t="n">
        <f aca="false">F179*INDEX(Customers!$H$2:$H$41,MATCH(C179,Customers!$A$2:$A$41,0))</f>
        <v>462</v>
      </c>
      <c r="M179" s="16" t="n">
        <f aca="false">J179*INDEX(Customers!$I$2:$I$41,MATCH(C179,Customers!$A$2:$A$41,0))/365*Assumptions!$B$6</f>
        <v>1218.52563287671</v>
      </c>
      <c r="N179" s="16" t="n">
        <f aca="false">J179-K179-L179-M179</f>
        <v>89125.0199671233</v>
      </c>
      <c r="O179" s="16" t="n">
        <f aca="false">F179*IF(A179="2025",INDEX(Products!$D$2:$D$13,MATCH(D179,Products!$A$2:$A$13,0)),INDEX(Products!$F$2:$F$13,MATCH(D179,Products!$A$2:$A$13,0)))</f>
        <v>50952</v>
      </c>
      <c r="P179" s="16" t="n">
        <f aca="false">N179-O179</f>
        <v>38173.0199671233</v>
      </c>
    </row>
    <row r="180" customFormat="false" ht="15" hidden="false" customHeight="false" outlineLevel="0" collapsed="false">
      <c r="A180" s="2" t="s">
        <v>118</v>
      </c>
      <c r="B180" s="2" t="n">
        <v>11</v>
      </c>
      <c r="C180" s="2" t="s">
        <v>65</v>
      </c>
      <c r="D180" s="2" t="s">
        <v>47</v>
      </c>
      <c r="E180" s="2" t="str">
        <f aca="false">INDEX(Products!$B$2:$B$13,MATCH(D180,Products!$A$2:$A$13,0))</f>
        <v>Specialty</v>
      </c>
      <c r="F180" s="15" t="n">
        <v>2.6</v>
      </c>
      <c r="G180" s="16" t="n">
        <f aca="false">IF(A180="2025",INDEX(Products!$C$2:$C$13,MATCH(D180,Products!$A$2:$A$13,0)),INDEX(Products!$E$2:$E$13,MATCH(D180,Products!$A$2:$A$13,0)))</f>
        <v>30520</v>
      </c>
      <c r="H180" s="13" t="n">
        <f aca="false">IF(A180="2025",INDEX(Customers!$D$2:$D$41,MATCH(C180,Customers!$A$2:$A$41,0)),INDEX(Customers!$F$2:$F$41,MATCH(C180,Customers!$A$2:$A$41,0)))</f>
        <v>0.08</v>
      </c>
      <c r="I180" s="16" t="n">
        <f aca="false">F180*G180</f>
        <v>79352</v>
      </c>
      <c r="J180" s="16" t="n">
        <f aca="false">I180*(1-H180)</f>
        <v>73003.84</v>
      </c>
      <c r="K180" s="16" t="n">
        <f aca="false">J180*INDEX(Customers!$G$2:$G$41,MATCH(C180,Customers!$A$2:$A$41,0))</f>
        <v>1460.0768</v>
      </c>
      <c r="L180" s="16" t="n">
        <f aca="false">F180*INDEX(Customers!$H$2:$H$41,MATCH(C180,Customers!$A$2:$A$41,0))</f>
        <v>364</v>
      </c>
      <c r="M180" s="16" t="n">
        <f aca="false">J180*INDEX(Customers!$I$2:$I$41,MATCH(C180,Customers!$A$2:$A$41,0))/365*Assumptions!$B$6</f>
        <v>960.050498630137</v>
      </c>
      <c r="N180" s="16" t="n">
        <f aca="false">J180-K180-L180-M180</f>
        <v>70219.7127013699</v>
      </c>
      <c r="O180" s="16" t="n">
        <f aca="false">F180*IF(A180="2025",INDEX(Products!$D$2:$D$13,MATCH(D180,Products!$A$2:$A$13,0)),INDEX(Products!$F$2:$F$13,MATCH(D180,Products!$A$2:$A$13,0)))</f>
        <v>40144</v>
      </c>
      <c r="P180" s="16" t="n">
        <f aca="false">N180-O180</f>
        <v>30075.7127013699</v>
      </c>
    </row>
    <row r="181" customFormat="false" ht="15" hidden="false" customHeight="false" outlineLevel="0" collapsed="false">
      <c r="A181" s="2" t="s">
        <v>118</v>
      </c>
      <c r="B181" s="2" t="n">
        <v>12</v>
      </c>
      <c r="C181" s="2" t="s">
        <v>65</v>
      </c>
      <c r="D181" s="2" t="s">
        <v>47</v>
      </c>
      <c r="E181" s="2" t="str">
        <f aca="false">INDEX(Products!$B$2:$B$13,MATCH(D181,Products!$A$2:$A$13,0))</f>
        <v>Specialty</v>
      </c>
      <c r="F181" s="15" t="n">
        <v>3.1</v>
      </c>
      <c r="G181" s="16" t="n">
        <f aca="false">IF(A181="2025",INDEX(Products!$C$2:$C$13,MATCH(D181,Products!$A$2:$A$13,0)),INDEX(Products!$E$2:$E$13,MATCH(D181,Products!$A$2:$A$13,0)))</f>
        <v>30520</v>
      </c>
      <c r="H181" s="13" t="n">
        <f aca="false">IF(A181="2025",INDEX(Customers!$D$2:$D$41,MATCH(C181,Customers!$A$2:$A$41,0)),INDEX(Customers!$F$2:$F$41,MATCH(C181,Customers!$A$2:$A$41,0)))</f>
        <v>0.08</v>
      </c>
      <c r="I181" s="16" t="n">
        <f aca="false">F181*G181</f>
        <v>94612</v>
      </c>
      <c r="J181" s="16" t="n">
        <f aca="false">I181*(1-H181)</f>
        <v>87043.04</v>
      </c>
      <c r="K181" s="16" t="n">
        <f aca="false">J181*INDEX(Customers!$G$2:$G$41,MATCH(C181,Customers!$A$2:$A$41,0))</f>
        <v>1740.8608</v>
      </c>
      <c r="L181" s="16" t="n">
        <f aca="false">F181*INDEX(Customers!$H$2:$H$41,MATCH(C181,Customers!$A$2:$A$41,0))</f>
        <v>434</v>
      </c>
      <c r="M181" s="16" t="n">
        <f aca="false">J181*INDEX(Customers!$I$2:$I$41,MATCH(C181,Customers!$A$2:$A$41,0))/365*Assumptions!$B$6</f>
        <v>1144.67559452055</v>
      </c>
      <c r="N181" s="16" t="n">
        <f aca="false">J181-K181-L181-M181</f>
        <v>83723.5036054795</v>
      </c>
      <c r="O181" s="16" t="n">
        <f aca="false">F181*IF(A181="2025",INDEX(Products!$D$2:$D$13,MATCH(D181,Products!$A$2:$A$13,0)),INDEX(Products!$F$2:$F$13,MATCH(D181,Products!$A$2:$A$13,0)))</f>
        <v>47864</v>
      </c>
      <c r="P181" s="16" t="n">
        <f aca="false">N181-O181</f>
        <v>35859.5036054795</v>
      </c>
    </row>
    <row r="182" customFormat="false" ht="15" hidden="false" customHeight="false" outlineLevel="0" collapsed="false">
      <c r="A182" s="2" t="s">
        <v>119</v>
      </c>
      <c r="B182" s="2" t="n">
        <v>1</v>
      </c>
      <c r="C182" s="2" t="s">
        <v>65</v>
      </c>
      <c r="D182" s="2" t="s">
        <v>47</v>
      </c>
      <c r="E182" s="2" t="str">
        <f aca="false">INDEX(Products!$B$2:$B$13,MATCH(D182,Products!$A$2:$A$13,0))</f>
        <v>Specialty</v>
      </c>
      <c r="F182" s="15" t="n">
        <v>4.8</v>
      </c>
      <c r="G182" s="16" t="n">
        <f aca="false">IF(A182="2025",INDEX(Products!$C$2:$C$13,MATCH(D182,Products!$A$2:$A$13,0)),INDEX(Products!$E$2:$E$13,MATCH(D182,Products!$A$2:$A$13,0)))</f>
        <v>32046</v>
      </c>
      <c r="H182" s="13" t="n">
        <f aca="false">IF(A182="2025",INDEX(Customers!$D$2:$D$41,MATCH(C182,Customers!$A$2:$A$41,0)),INDEX(Customers!$F$2:$F$41,MATCH(C182,Customers!$A$2:$A$41,0)))</f>
        <v>0.08</v>
      </c>
      <c r="I182" s="16" t="n">
        <f aca="false">F182*G182</f>
        <v>153820.8</v>
      </c>
      <c r="J182" s="16" t="n">
        <f aca="false">I182*(1-H182)</f>
        <v>141515.136</v>
      </c>
      <c r="K182" s="16" t="n">
        <f aca="false">J182*INDEX(Customers!$G$2:$G$41,MATCH(C182,Customers!$A$2:$A$41,0))</f>
        <v>2830.30272</v>
      </c>
      <c r="L182" s="16" t="n">
        <f aca="false">F182*INDEX(Customers!$H$2:$H$41,MATCH(C182,Customers!$A$2:$A$41,0))</f>
        <v>672</v>
      </c>
      <c r="M182" s="16" t="n">
        <f aca="false">J182*INDEX(Customers!$I$2:$I$41,MATCH(C182,Customers!$A$2:$A$41,0))/365*Assumptions!$B$6</f>
        <v>1861.02096657534</v>
      </c>
      <c r="N182" s="16" t="n">
        <f aca="false">J182-K182-L182-M182</f>
        <v>136151.812313425</v>
      </c>
      <c r="O182" s="16" t="n">
        <f aca="false">F182*IF(A182="2025",INDEX(Products!$D$2:$D$13,MATCH(D182,Products!$A$2:$A$13,0)),INDEX(Products!$F$2:$F$13,MATCH(D182,Products!$A$2:$A$13,0)))</f>
        <v>76335.36</v>
      </c>
      <c r="P182" s="16" t="n">
        <f aca="false">N182-O182</f>
        <v>59816.4523134247</v>
      </c>
    </row>
    <row r="183" customFormat="false" ht="15" hidden="false" customHeight="false" outlineLevel="0" collapsed="false">
      <c r="A183" s="2" t="s">
        <v>119</v>
      </c>
      <c r="B183" s="2" t="n">
        <v>2</v>
      </c>
      <c r="C183" s="2" t="s">
        <v>65</v>
      </c>
      <c r="D183" s="2" t="s">
        <v>47</v>
      </c>
      <c r="E183" s="2" t="str">
        <f aca="false">INDEX(Products!$B$2:$B$13,MATCH(D183,Products!$A$2:$A$13,0))</f>
        <v>Specialty</v>
      </c>
      <c r="F183" s="15" t="n">
        <v>5.9</v>
      </c>
      <c r="G183" s="16" t="n">
        <f aca="false">IF(A183="2025",INDEX(Products!$C$2:$C$13,MATCH(D183,Products!$A$2:$A$13,0)),INDEX(Products!$E$2:$E$13,MATCH(D183,Products!$A$2:$A$13,0)))</f>
        <v>32046</v>
      </c>
      <c r="H183" s="13" t="n">
        <f aca="false">IF(A183="2025",INDEX(Customers!$D$2:$D$41,MATCH(C183,Customers!$A$2:$A$41,0)),INDEX(Customers!$F$2:$F$41,MATCH(C183,Customers!$A$2:$A$41,0)))</f>
        <v>0.08</v>
      </c>
      <c r="I183" s="16" t="n">
        <f aca="false">F183*G183</f>
        <v>189071.4</v>
      </c>
      <c r="J183" s="16" t="n">
        <f aca="false">I183*(1-H183)</f>
        <v>173945.688</v>
      </c>
      <c r="K183" s="16" t="n">
        <f aca="false">J183*INDEX(Customers!$G$2:$G$41,MATCH(C183,Customers!$A$2:$A$41,0))</f>
        <v>3478.91376</v>
      </c>
      <c r="L183" s="16" t="n">
        <f aca="false">F183*INDEX(Customers!$H$2:$H$41,MATCH(C183,Customers!$A$2:$A$41,0))</f>
        <v>826</v>
      </c>
      <c r="M183" s="16" t="n">
        <f aca="false">J183*INDEX(Customers!$I$2:$I$41,MATCH(C183,Customers!$A$2:$A$41,0))/365*Assumptions!$B$6</f>
        <v>2287.50493808219</v>
      </c>
      <c r="N183" s="16" t="n">
        <f aca="false">J183-K183-L183-M183</f>
        <v>167353.269301918</v>
      </c>
      <c r="O183" s="16" t="n">
        <f aca="false">F183*IF(A183="2025",INDEX(Products!$D$2:$D$13,MATCH(D183,Products!$A$2:$A$13,0)),INDEX(Products!$F$2:$F$13,MATCH(D183,Products!$A$2:$A$13,0)))</f>
        <v>93828.88</v>
      </c>
      <c r="P183" s="16" t="n">
        <f aca="false">N183-O183</f>
        <v>73524.3893019178</v>
      </c>
    </row>
    <row r="184" customFormat="false" ht="15" hidden="false" customHeight="false" outlineLevel="0" collapsed="false">
      <c r="A184" s="2" t="s">
        <v>119</v>
      </c>
      <c r="B184" s="2" t="n">
        <v>3</v>
      </c>
      <c r="C184" s="2" t="s">
        <v>65</v>
      </c>
      <c r="D184" s="2" t="s">
        <v>47</v>
      </c>
      <c r="E184" s="2" t="str">
        <f aca="false">INDEX(Products!$B$2:$B$13,MATCH(D184,Products!$A$2:$A$13,0))</f>
        <v>Specialty</v>
      </c>
      <c r="F184" s="15" t="n">
        <v>4.4</v>
      </c>
      <c r="G184" s="16" t="n">
        <f aca="false">IF(A184="2025",INDEX(Products!$C$2:$C$13,MATCH(D184,Products!$A$2:$A$13,0)),INDEX(Products!$E$2:$E$13,MATCH(D184,Products!$A$2:$A$13,0)))</f>
        <v>32046</v>
      </c>
      <c r="H184" s="13" t="n">
        <f aca="false">IF(A184="2025",INDEX(Customers!$D$2:$D$41,MATCH(C184,Customers!$A$2:$A$41,0)),INDEX(Customers!$F$2:$F$41,MATCH(C184,Customers!$A$2:$A$41,0)))</f>
        <v>0.08</v>
      </c>
      <c r="I184" s="16" t="n">
        <f aca="false">F184*G184</f>
        <v>141002.4</v>
      </c>
      <c r="J184" s="16" t="n">
        <f aca="false">I184*(1-H184)</f>
        <v>129722.208</v>
      </c>
      <c r="K184" s="16" t="n">
        <f aca="false">J184*INDEX(Customers!$G$2:$G$41,MATCH(C184,Customers!$A$2:$A$41,0))</f>
        <v>2594.44416</v>
      </c>
      <c r="L184" s="16" t="n">
        <f aca="false">F184*INDEX(Customers!$H$2:$H$41,MATCH(C184,Customers!$A$2:$A$41,0))</f>
        <v>616</v>
      </c>
      <c r="M184" s="16" t="n">
        <f aca="false">J184*INDEX(Customers!$I$2:$I$41,MATCH(C184,Customers!$A$2:$A$41,0))/365*Assumptions!$B$6</f>
        <v>1705.9358860274</v>
      </c>
      <c r="N184" s="16" t="n">
        <f aca="false">J184-K184-L184-M184</f>
        <v>124805.827953973</v>
      </c>
      <c r="O184" s="16" t="n">
        <f aca="false">F184*IF(A184="2025",INDEX(Products!$D$2:$D$13,MATCH(D184,Products!$A$2:$A$13,0)),INDEX(Products!$F$2:$F$13,MATCH(D184,Products!$A$2:$A$13,0)))</f>
        <v>69974.08</v>
      </c>
      <c r="P184" s="16" t="n">
        <f aca="false">N184-O184</f>
        <v>54831.7479539726</v>
      </c>
    </row>
    <row r="185" customFormat="false" ht="15" hidden="false" customHeight="false" outlineLevel="0" collapsed="false">
      <c r="A185" s="2" t="s">
        <v>119</v>
      </c>
      <c r="B185" s="2" t="n">
        <v>4</v>
      </c>
      <c r="C185" s="2" t="s">
        <v>65</v>
      </c>
      <c r="D185" s="2" t="s">
        <v>47</v>
      </c>
      <c r="E185" s="2" t="str">
        <f aca="false">INDEX(Products!$B$2:$B$13,MATCH(D185,Products!$A$2:$A$13,0))</f>
        <v>Specialty</v>
      </c>
      <c r="F185" s="15" t="n">
        <v>4</v>
      </c>
      <c r="G185" s="16" t="n">
        <f aca="false">IF(A185="2025",INDEX(Products!$C$2:$C$13,MATCH(D185,Products!$A$2:$A$13,0)),INDEX(Products!$E$2:$E$13,MATCH(D185,Products!$A$2:$A$13,0)))</f>
        <v>32046</v>
      </c>
      <c r="H185" s="13" t="n">
        <f aca="false">IF(A185="2025",INDEX(Customers!$D$2:$D$41,MATCH(C185,Customers!$A$2:$A$41,0)),INDEX(Customers!$F$2:$F$41,MATCH(C185,Customers!$A$2:$A$41,0)))</f>
        <v>0.08</v>
      </c>
      <c r="I185" s="16" t="n">
        <f aca="false">F185*G185</f>
        <v>128184</v>
      </c>
      <c r="J185" s="16" t="n">
        <f aca="false">I185*(1-H185)</f>
        <v>117929.28</v>
      </c>
      <c r="K185" s="16" t="n">
        <f aca="false">J185*INDEX(Customers!$G$2:$G$41,MATCH(C185,Customers!$A$2:$A$41,0))</f>
        <v>2358.5856</v>
      </c>
      <c r="L185" s="16" t="n">
        <f aca="false">F185*INDEX(Customers!$H$2:$H$41,MATCH(C185,Customers!$A$2:$A$41,0))</f>
        <v>560</v>
      </c>
      <c r="M185" s="16" t="n">
        <f aca="false">J185*INDEX(Customers!$I$2:$I$41,MATCH(C185,Customers!$A$2:$A$41,0))/365*Assumptions!$B$6</f>
        <v>1550.85080547945</v>
      </c>
      <c r="N185" s="16" t="n">
        <f aca="false">J185-K185-L185-M185</f>
        <v>113459.843594521</v>
      </c>
      <c r="O185" s="16" t="n">
        <f aca="false">F185*IF(A185="2025",INDEX(Products!$D$2:$D$13,MATCH(D185,Products!$A$2:$A$13,0)),INDEX(Products!$F$2:$F$13,MATCH(D185,Products!$A$2:$A$13,0)))</f>
        <v>63612.8</v>
      </c>
      <c r="P185" s="16" t="n">
        <f aca="false">N185-O185</f>
        <v>49847.0435945205</v>
      </c>
    </row>
    <row r="186" customFormat="false" ht="15" hidden="false" customHeight="false" outlineLevel="0" collapsed="false">
      <c r="A186" s="2" t="s">
        <v>119</v>
      </c>
      <c r="B186" s="2" t="n">
        <v>5</v>
      </c>
      <c r="C186" s="2" t="s">
        <v>65</v>
      </c>
      <c r="D186" s="2" t="s">
        <v>47</v>
      </c>
      <c r="E186" s="2" t="str">
        <f aca="false">INDEX(Products!$B$2:$B$13,MATCH(D186,Products!$A$2:$A$13,0))</f>
        <v>Specialty</v>
      </c>
      <c r="F186" s="15" t="n">
        <v>5.5</v>
      </c>
      <c r="G186" s="16" t="n">
        <f aca="false">IF(A186="2025",INDEX(Products!$C$2:$C$13,MATCH(D186,Products!$A$2:$A$13,0)),INDEX(Products!$E$2:$E$13,MATCH(D186,Products!$A$2:$A$13,0)))</f>
        <v>32046</v>
      </c>
      <c r="H186" s="13" t="n">
        <f aca="false">IF(A186="2025",INDEX(Customers!$D$2:$D$41,MATCH(C186,Customers!$A$2:$A$41,0)),INDEX(Customers!$F$2:$F$41,MATCH(C186,Customers!$A$2:$A$41,0)))</f>
        <v>0.08</v>
      </c>
      <c r="I186" s="16" t="n">
        <f aca="false">F186*G186</f>
        <v>176253</v>
      </c>
      <c r="J186" s="16" t="n">
        <f aca="false">I186*(1-H186)</f>
        <v>162152.76</v>
      </c>
      <c r="K186" s="16" t="n">
        <f aca="false">J186*INDEX(Customers!$G$2:$G$41,MATCH(C186,Customers!$A$2:$A$41,0))</f>
        <v>3243.0552</v>
      </c>
      <c r="L186" s="16" t="n">
        <f aca="false">F186*INDEX(Customers!$H$2:$H$41,MATCH(C186,Customers!$A$2:$A$41,0))</f>
        <v>770</v>
      </c>
      <c r="M186" s="16" t="n">
        <f aca="false">J186*INDEX(Customers!$I$2:$I$41,MATCH(C186,Customers!$A$2:$A$41,0))/365*Assumptions!$B$6</f>
        <v>2132.41985753425</v>
      </c>
      <c r="N186" s="16" t="n">
        <f aca="false">J186-K186-L186-M186</f>
        <v>156007.284942466</v>
      </c>
      <c r="O186" s="16" t="n">
        <f aca="false">F186*IF(A186="2025",INDEX(Products!$D$2:$D$13,MATCH(D186,Products!$A$2:$A$13,0)),INDEX(Products!$F$2:$F$13,MATCH(D186,Products!$A$2:$A$13,0)))</f>
        <v>87467.6</v>
      </c>
      <c r="P186" s="16" t="n">
        <f aca="false">N186-O186</f>
        <v>68539.6849424657</v>
      </c>
    </row>
    <row r="187" customFormat="false" ht="15" hidden="false" customHeight="false" outlineLevel="0" collapsed="false">
      <c r="A187" s="2" t="s">
        <v>119</v>
      </c>
      <c r="B187" s="2" t="n">
        <v>6</v>
      </c>
      <c r="C187" s="2" t="s">
        <v>65</v>
      </c>
      <c r="D187" s="2" t="s">
        <v>47</v>
      </c>
      <c r="E187" s="2" t="str">
        <f aca="false">INDEX(Products!$B$2:$B$13,MATCH(D187,Products!$A$2:$A$13,0))</f>
        <v>Specialty</v>
      </c>
      <c r="F187" s="15" t="n">
        <v>4.5</v>
      </c>
      <c r="G187" s="16" t="n">
        <f aca="false">IF(A187="2025",INDEX(Products!$C$2:$C$13,MATCH(D187,Products!$A$2:$A$13,0)),INDEX(Products!$E$2:$E$13,MATCH(D187,Products!$A$2:$A$13,0)))</f>
        <v>32046</v>
      </c>
      <c r="H187" s="13" t="n">
        <f aca="false">IF(A187="2025",INDEX(Customers!$D$2:$D$41,MATCH(C187,Customers!$A$2:$A$41,0)),INDEX(Customers!$F$2:$F$41,MATCH(C187,Customers!$A$2:$A$41,0)))</f>
        <v>0.08</v>
      </c>
      <c r="I187" s="16" t="n">
        <f aca="false">F187*G187</f>
        <v>144207</v>
      </c>
      <c r="J187" s="16" t="n">
        <f aca="false">I187*(1-H187)</f>
        <v>132670.44</v>
      </c>
      <c r="K187" s="16" t="n">
        <f aca="false">J187*INDEX(Customers!$G$2:$G$41,MATCH(C187,Customers!$A$2:$A$41,0))</f>
        <v>2653.4088</v>
      </c>
      <c r="L187" s="16" t="n">
        <f aca="false">F187*INDEX(Customers!$H$2:$H$41,MATCH(C187,Customers!$A$2:$A$41,0))</f>
        <v>630</v>
      </c>
      <c r="M187" s="16" t="n">
        <f aca="false">J187*INDEX(Customers!$I$2:$I$41,MATCH(C187,Customers!$A$2:$A$41,0))/365*Assumptions!$B$6</f>
        <v>1744.70715616438</v>
      </c>
      <c r="N187" s="16" t="n">
        <f aca="false">J187-K187-L187-M187</f>
        <v>127642.324043836</v>
      </c>
      <c r="O187" s="16" t="n">
        <f aca="false">F187*IF(A187="2025",INDEX(Products!$D$2:$D$13,MATCH(D187,Products!$A$2:$A$13,0)),INDEX(Products!$F$2:$F$13,MATCH(D187,Products!$A$2:$A$13,0)))</f>
        <v>71564.4</v>
      </c>
      <c r="P187" s="16" t="n">
        <f aca="false">N187-O187</f>
        <v>56077.9240438356</v>
      </c>
    </row>
    <row r="188" customFormat="false" ht="15" hidden="false" customHeight="false" outlineLevel="0" collapsed="false">
      <c r="A188" s="2" t="s">
        <v>119</v>
      </c>
      <c r="B188" s="2" t="n">
        <v>7</v>
      </c>
      <c r="C188" s="2" t="s">
        <v>65</v>
      </c>
      <c r="D188" s="2" t="s">
        <v>47</v>
      </c>
      <c r="E188" s="2" t="str">
        <f aca="false">INDEX(Products!$B$2:$B$13,MATCH(D188,Products!$A$2:$A$13,0))</f>
        <v>Specialty</v>
      </c>
      <c r="F188" s="15" t="n">
        <v>4.7</v>
      </c>
      <c r="G188" s="16" t="n">
        <f aca="false">IF(A188="2025",INDEX(Products!$C$2:$C$13,MATCH(D188,Products!$A$2:$A$13,0)),INDEX(Products!$E$2:$E$13,MATCH(D188,Products!$A$2:$A$13,0)))</f>
        <v>32046</v>
      </c>
      <c r="H188" s="13" t="n">
        <f aca="false">IF(A188="2025",INDEX(Customers!$D$2:$D$41,MATCH(C188,Customers!$A$2:$A$41,0)),INDEX(Customers!$F$2:$F$41,MATCH(C188,Customers!$A$2:$A$41,0)))</f>
        <v>0.08</v>
      </c>
      <c r="I188" s="16" t="n">
        <f aca="false">F188*G188</f>
        <v>150616.2</v>
      </c>
      <c r="J188" s="16" t="n">
        <f aca="false">I188*(1-H188)</f>
        <v>138566.904</v>
      </c>
      <c r="K188" s="16" t="n">
        <f aca="false">J188*INDEX(Customers!$G$2:$G$41,MATCH(C188,Customers!$A$2:$A$41,0))</f>
        <v>2771.33808</v>
      </c>
      <c r="L188" s="16" t="n">
        <f aca="false">F188*INDEX(Customers!$H$2:$H$41,MATCH(C188,Customers!$A$2:$A$41,0))</f>
        <v>658</v>
      </c>
      <c r="M188" s="16" t="n">
        <f aca="false">J188*INDEX(Customers!$I$2:$I$41,MATCH(C188,Customers!$A$2:$A$41,0))/365*Assumptions!$B$6</f>
        <v>1822.24969643836</v>
      </c>
      <c r="N188" s="16" t="n">
        <f aca="false">J188-K188-L188-M188</f>
        <v>133315.316223562</v>
      </c>
      <c r="O188" s="16" t="n">
        <f aca="false">F188*IF(A188="2025",INDEX(Products!$D$2:$D$13,MATCH(D188,Products!$A$2:$A$13,0)),INDEX(Products!$F$2:$F$13,MATCH(D188,Products!$A$2:$A$13,0)))</f>
        <v>74745.04</v>
      </c>
      <c r="P188" s="16" t="n">
        <f aca="false">N188-O188</f>
        <v>58570.2762235617</v>
      </c>
    </row>
    <row r="189" customFormat="false" ht="15" hidden="false" customHeight="false" outlineLevel="0" collapsed="false">
      <c r="A189" s="2" t="s">
        <v>119</v>
      </c>
      <c r="B189" s="2" t="n">
        <v>8</v>
      </c>
      <c r="C189" s="2" t="s">
        <v>65</v>
      </c>
      <c r="D189" s="2" t="s">
        <v>47</v>
      </c>
      <c r="E189" s="2" t="str">
        <f aca="false">INDEX(Products!$B$2:$B$13,MATCH(D189,Products!$A$2:$A$13,0))</f>
        <v>Specialty</v>
      </c>
      <c r="F189" s="15" t="n">
        <v>6.1</v>
      </c>
      <c r="G189" s="16" t="n">
        <f aca="false">IF(A189="2025",INDEX(Products!$C$2:$C$13,MATCH(D189,Products!$A$2:$A$13,0)),INDEX(Products!$E$2:$E$13,MATCH(D189,Products!$A$2:$A$13,0)))</f>
        <v>32046</v>
      </c>
      <c r="H189" s="13" t="n">
        <f aca="false">IF(A189="2025",INDEX(Customers!$D$2:$D$41,MATCH(C189,Customers!$A$2:$A$41,0)),INDEX(Customers!$F$2:$F$41,MATCH(C189,Customers!$A$2:$A$41,0)))</f>
        <v>0.08</v>
      </c>
      <c r="I189" s="16" t="n">
        <f aca="false">F189*G189</f>
        <v>195480.6</v>
      </c>
      <c r="J189" s="16" t="n">
        <f aca="false">I189*(1-H189)</f>
        <v>179842.152</v>
      </c>
      <c r="K189" s="16" t="n">
        <f aca="false">J189*INDEX(Customers!$G$2:$G$41,MATCH(C189,Customers!$A$2:$A$41,0))</f>
        <v>3596.84304</v>
      </c>
      <c r="L189" s="16" t="n">
        <f aca="false">F189*INDEX(Customers!$H$2:$H$41,MATCH(C189,Customers!$A$2:$A$41,0))</f>
        <v>854</v>
      </c>
      <c r="M189" s="16" t="n">
        <f aca="false">J189*INDEX(Customers!$I$2:$I$41,MATCH(C189,Customers!$A$2:$A$41,0))/365*Assumptions!$B$6</f>
        <v>2365.04747835616</v>
      </c>
      <c r="N189" s="16" t="n">
        <f aca="false">J189-K189-L189-M189</f>
        <v>173026.261481644</v>
      </c>
      <c r="O189" s="16" t="n">
        <f aca="false">F189*IF(A189="2025",INDEX(Products!$D$2:$D$13,MATCH(D189,Products!$A$2:$A$13,0)),INDEX(Products!$F$2:$F$13,MATCH(D189,Products!$A$2:$A$13,0)))</f>
        <v>97009.52</v>
      </c>
      <c r="P189" s="16" t="n">
        <f aca="false">N189-O189</f>
        <v>76016.7414816438</v>
      </c>
    </row>
    <row r="190" customFormat="false" ht="15" hidden="false" customHeight="false" outlineLevel="0" collapsed="false">
      <c r="A190" s="2" t="s">
        <v>119</v>
      </c>
      <c r="B190" s="2" t="n">
        <v>9</v>
      </c>
      <c r="C190" s="2" t="s">
        <v>65</v>
      </c>
      <c r="D190" s="2" t="s">
        <v>47</v>
      </c>
      <c r="E190" s="2" t="str">
        <f aca="false">INDEX(Products!$B$2:$B$13,MATCH(D190,Products!$A$2:$A$13,0))</f>
        <v>Specialty</v>
      </c>
      <c r="F190" s="15" t="n">
        <v>5.3</v>
      </c>
      <c r="G190" s="16" t="n">
        <f aca="false">IF(A190="2025",INDEX(Products!$C$2:$C$13,MATCH(D190,Products!$A$2:$A$13,0)),INDEX(Products!$E$2:$E$13,MATCH(D190,Products!$A$2:$A$13,0)))</f>
        <v>32046</v>
      </c>
      <c r="H190" s="13" t="n">
        <f aca="false">IF(A190="2025",INDEX(Customers!$D$2:$D$41,MATCH(C190,Customers!$A$2:$A$41,0)),INDEX(Customers!$F$2:$F$41,MATCH(C190,Customers!$A$2:$A$41,0)))</f>
        <v>0.08</v>
      </c>
      <c r="I190" s="16" t="n">
        <f aca="false">F190*G190</f>
        <v>169843.8</v>
      </c>
      <c r="J190" s="16" t="n">
        <f aca="false">I190*(1-H190)</f>
        <v>156256.296</v>
      </c>
      <c r="K190" s="16" t="n">
        <f aca="false">J190*INDEX(Customers!$G$2:$G$41,MATCH(C190,Customers!$A$2:$A$41,0))</f>
        <v>3125.12592</v>
      </c>
      <c r="L190" s="16" t="n">
        <f aca="false">F190*INDEX(Customers!$H$2:$H$41,MATCH(C190,Customers!$A$2:$A$41,0))</f>
        <v>742</v>
      </c>
      <c r="M190" s="16" t="n">
        <f aca="false">J190*INDEX(Customers!$I$2:$I$41,MATCH(C190,Customers!$A$2:$A$41,0))/365*Assumptions!$B$6</f>
        <v>2054.87731726027</v>
      </c>
      <c r="N190" s="16" t="n">
        <f aca="false">J190-K190-L190-M190</f>
        <v>150334.29276274</v>
      </c>
      <c r="O190" s="16" t="n">
        <f aca="false">F190*IF(A190="2025",INDEX(Products!$D$2:$D$13,MATCH(D190,Products!$A$2:$A$13,0)),INDEX(Products!$F$2:$F$13,MATCH(D190,Products!$A$2:$A$13,0)))</f>
        <v>84286.96</v>
      </c>
      <c r="P190" s="16" t="n">
        <f aca="false">N190-O190</f>
        <v>66047.3327627397</v>
      </c>
    </row>
    <row r="191" customFormat="false" ht="15" hidden="false" customHeight="false" outlineLevel="0" collapsed="false">
      <c r="A191" s="2" t="s">
        <v>119</v>
      </c>
      <c r="B191" s="2" t="n">
        <v>10</v>
      </c>
      <c r="C191" s="2" t="s">
        <v>65</v>
      </c>
      <c r="D191" s="2" t="s">
        <v>47</v>
      </c>
      <c r="E191" s="2" t="str">
        <f aca="false">INDEX(Products!$B$2:$B$13,MATCH(D191,Products!$A$2:$A$13,0))</f>
        <v>Specialty</v>
      </c>
      <c r="F191" s="15" t="n">
        <v>5.3</v>
      </c>
      <c r="G191" s="16" t="n">
        <f aca="false">IF(A191="2025",INDEX(Products!$C$2:$C$13,MATCH(D191,Products!$A$2:$A$13,0)),INDEX(Products!$E$2:$E$13,MATCH(D191,Products!$A$2:$A$13,0)))</f>
        <v>32046</v>
      </c>
      <c r="H191" s="13" t="n">
        <f aca="false">IF(A191="2025",INDEX(Customers!$D$2:$D$41,MATCH(C191,Customers!$A$2:$A$41,0)),INDEX(Customers!$F$2:$F$41,MATCH(C191,Customers!$A$2:$A$41,0)))</f>
        <v>0.08</v>
      </c>
      <c r="I191" s="16" t="n">
        <f aca="false">F191*G191</f>
        <v>169843.8</v>
      </c>
      <c r="J191" s="16" t="n">
        <f aca="false">I191*(1-H191)</f>
        <v>156256.296</v>
      </c>
      <c r="K191" s="16" t="n">
        <f aca="false">J191*INDEX(Customers!$G$2:$G$41,MATCH(C191,Customers!$A$2:$A$41,0))</f>
        <v>3125.12592</v>
      </c>
      <c r="L191" s="16" t="n">
        <f aca="false">F191*INDEX(Customers!$H$2:$H$41,MATCH(C191,Customers!$A$2:$A$41,0))</f>
        <v>742</v>
      </c>
      <c r="M191" s="16" t="n">
        <f aca="false">J191*INDEX(Customers!$I$2:$I$41,MATCH(C191,Customers!$A$2:$A$41,0))/365*Assumptions!$B$6</f>
        <v>2054.87731726027</v>
      </c>
      <c r="N191" s="16" t="n">
        <f aca="false">J191-K191-L191-M191</f>
        <v>150334.29276274</v>
      </c>
      <c r="O191" s="16" t="n">
        <f aca="false">F191*IF(A191="2025",INDEX(Products!$D$2:$D$13,MATCH(D191,Products!$A$2:$A$13,0)),INDEX(Products!$F$2:$F$13,MATCH(D191,Products!$A$2:$A$13,0)))</f>
        <v>84286.96</v>
      </c>
      <c r="P191" s="16" t="n">
        <f aca="false">N191-O191</f>
        <v>66047.3327627397</v>
      </c>
    </row>
    <row r="192" customFormat="false" ht="15" hidden="false" customHeight="false" outlineLevel="0" collapsed="false">
      <c r="A192" s="2" t="s">
        <v>119</v>
      </c>
      <c r="B192" s="2" t="n">
        <v>11</v>
      </c>
      <c r="C192" s="2" t="s">
        <v>65</v>
      </c>
      <c r="D192" s="2" t="s">
        <v>47</v>
      </c>
      <c r="E192" s="2" t="str">
        <f aca="false">INDEX(Products!$B$2:$B$13,MATCH(D192,Products!$A$2:$A$13,0))</f>
        <v>Specialty</v>
      </c>
      <c r="F192" s="15" t="n">
        <v>6</v>
      </c>
      <c r="G192" s="16" t="n">
        <f aca="false">IF(A192="2025",INDEX(Products!$C$2:$C$13,MATCH(D192,Products!$A$2:$A$13,0)),INDEX(Products!$E$2:$E$13,MATCH(D192,Products!$A$2:$A$13,0)))</f>
        <v>32046</v>
      </c>
      <c r="H192" s="13" t="n">
        <f aca="false">IF(A192="2025",INDEX(Customers!$D$2:$D$41,MATCH(C192,Customers!$A$2:$A$41,0)),INDEX(Customers!$F$2:$F$41,MATCH(C192,Customers!$A$2:$A$41,0)))</f>
        <v>0.08</v>
      </c>
      <c r="I192" s="16" t="n">
        <f aca="false">F192*G192</f>
        <v>192276</v>
      </c>
      <c r="J192" s="16" t="n">
        <f aca="false">I192*(1-H192)</f>
        <v>176893.92</v>
      </c>
      <c r="K192" s="16" t="n">
        <f aca="false">J192*INDEX(Customers!$G$2:$G$41,MATCH(C192,Customers!$A$2:$A$41,0))</f>
        <v>3537.8784</v>
      </c>
      <c r="L192" s="16" t="n">
        <f aca="false">F192*INDEX(Customers!$H$2:$H$41,MATCH(C192,Customers!$A$2:$A$41,0))</f>
        <v>840</v>
      </c>
      <c r="M192" s="16" t="n">
        <f aca="false">J192*INDEX(Customers!$I$2:$I$41,MATCH(C192,Customers!$A$2:$A$41,0))/365*Assumptions!$B$6</f>
        <v>2326.27620821918</v>
      </c>
      <c r="N192" s="16" t="n">
        <f aca="false">J192-K192-L192-M192</f>
        <v>170189.765391781</v>
      </c>
      <c r="O192" s="16" t="n">
        <f aca="false">F192*IF(A192="2025",INDEX(Products!$D$2:$D$13,MATCH(D192,Products!$A$2:$A$13,0)),INDEX(Products!$F$2:$F$13,MATCH(D192,Products!$A$2:$A$13,0)))</f>
        <v>95419.2</v>
      </c>
      <c r="P192" s="16" t="n">
        <f aca="false">N192-O192</f>
        <v>74770.5653917808</v>
      </c>
    </row>
    <row r="193" customFormat="false" ht="15" hidden="false" customHeight="false" outlineLevel="0" collapsed="false">
      <c r="A193" s="2" t="s">
        <v>119</v>
      </c>
      <c r="B193" s="2" t="n">
        <v>12</v>
      </c>
      <c r="C193" s="2" t="s">
        <v>65</v>
      </c>
      <c r="D193" s="2" t="s">
        <v>47</v>
      </c>
      <c r="E193" s="2" t="str">
        <f aca="false">INDEX(Products!$B$2:$B$13,MATCH(D193,Products!$A$2:$A$13,0))</f>
        <v>Specialty</v>
      </c>
      <c r="F193" s="15" t="n">
        <v>5.4</v>
      </c>
      <c r="G193" s="16" t="n">
        <f aca="false">IF(A193="2025",INDEX(Products!$C$2:$C$13,MATCH(D193,Products!$A$2:$A$13,0)),INDEX(Products!$E$2:$E$13,MATCH(D193,Products!$A$2:$A$13,0)))</f>
        <v>32046</v>
      </c>
      <c r="H193" s="13" t="n">
        <f aca="false">IF(A193="2025",INDEX(Customers!$D$2:$D$41,MATCH(C193,Customers!$A$2:$A$41,0)),INDEX(Customers!$F$2:$F$41,MATCH(C193,Customers!$A$2:$A$41,0)))</f>
        <v>0.08</v>
      </c>
      <c r="I193" s="16" t="n">
        <f aca="false">F193*G193</f>
        <v>173048.4</v>
      </c>
      <c r="J193" s="16" t="n">
        <f aca="false">I193*(1-H193)</f>
        <v>159204.528</v>
      </c>
      <c r="K193" s="16" t="n">
        <f aca="false">J193*INDEX(Customers!$G$2:$G$41,MATCH(C193,Customers!$A$2:$A$41,0))</f>
        <v>3184.09056</v>
      </c>
      <c r="L193" s="16" t="n">
        <f aca="false">F193*INDEX(Customers!$H$2:$H$41,MATCH(C193,Customers!$A$2:$A$41,0))</f>
        <v>756</v>
      </c>
      <c r="M193" s="16" t="n">
        <f aca="false">J193*INDEX(Customers!$I$2:$I$41,MATCH(C193,Customers!$A$2:$A$41,0))/365*Assumptions!$B$6</f>
        <v>2093.64858739726</v>
      </c>
      <c r="N193" s="16" t="n">
        <f aca="false">J193-K193-L193-M193</f>
        <v>153170.788852603</v>
      </c>
      <c r="O193" s="16" t="n">
        <f aca="false">F193*IF(A193="2025",INDEX(Products!$D$2:$D$13,MATCH(D193,Products!$A$2:$A$13,0)),INDEX(Products!$F$2:$F$13,MATCH(D193,Products!$A$2:$A$13,0)))</f>
        <v>85877.28</v>
      </c>
      <c r="P193" s="16" t="n">
        <f aca="false">N193-O193</f>
        <v>67293.5088526027</v>
      </c>
    </row>
    <row r="194" customFormat="false" ht="15" hidden="false" customHeight="false" outlineLevel="0" collapsed="false">
      <c r="A194" s="2" t="s">
        <v>118</v>
      </c>
      <c r="B194" s="2" t="n">
        <v>1</v>
      </c>
      <c r="C194" s="2" t="s">
        <v>65</v>
      </c>
      <c r="D194" s="2" t="s">
        <v>34</v>
      </c>
      <c r="E194" s="2" t="str">
        <f aca="false">INDEX(Products!$B$2:$B$13,MATCH(D194,Products!$A$2:$A$13,0))</f>
        <v>FCC</v>
      </c>
      <c r="F194" s="15" t="n">
        <v>15</v>
      </c>
      <c r="G194" s="16" t="n">
        <f aca="false">IF(A194="2025",INDEX(Products!$C$2:$C$13,MATCH(D194,Products!$A$2:$A$13,0)),INDEX(Products!$E$2:$E$13,MATCH(D194,Products!$A$2:$A$13,0)))</f>
        <v>3270</v>
      </c>
      <c r="H194" s="13" t="n">
        <f aca="false">IF(A194="2025",INDEX(Customers!$D$2:$D$41,MATCH(C194,Customers!$A$2:$A$41,0)),INDEX(Customers!$F$2:$F$41,MATCH(C194,Customers!$A$2:$A$41,0)))</f>
        <v>0.08</v>
      </c>
      <c r="I194" s="16" t="n">
        <f aca="false">F194*G194</f>
        <v>49050</v>
      </c>
      <c r="J194" s="16" t="n">
        <f aca="false">I194*(1-H194)</f>
        <v>45126</v>
      </c>
      <c r="K194" s="16" t="n">
        <f aca="false">J194*INDEX(Customers!$G$2:$G$41,MATCH(C194,Customers!$A$2:$A$41,0))</f>
        <v>902.52</v>
      </c>
      <c r="L194" s="16" t="n">
        <f aca="false">F194*INDEX(Customers!$H$2:$H$41,MATCH(C194,Customers!$A$2:$A$41,0))</f>
        <v>2100</v>
      </c>
      <c r="M194" s="16" t="n">
        <f aca="false">J194*INDEX(Customers!$I$2:$I$41,MATCH(C194,Customers!$A$2:$A$41,0))/365*Assumptions!$B$6</f>
        <v>593.437808219178</v>
      </c>
      <c r="N194" s="16" t="n">
        <f aca="false">J194-K194-L194-M194</f>
        <v>41530.0421917808</v>
      </c>
      <c r="O194" s="16" t="n">
        <f aca="false">F194*IF(A194="2025",INDEX(Products!$D$2:$D$13,MATCH(D194,Products!$A$2:$A$13,0)),INDEX(Products!$F$2:$F$13,MATCH(D194,Products!$A$2:$A$13,0)))</f>
        <v>32850</v>
      </c>
      <c r="P194" s="16" t="n">
        <f aca="false">N194-O194</f>
        <v>8680.04219178083</v>
      </c>
    </row>
    <row r="195" customFormat="false" ht="15" hidden="false" customHeight="false" outlineLevel="0" collapsed="false">
      <c r="A195" s="2" t="s">
        <v>118</v>
      </c>
      <c r="B195" s="2" t="n">
        <v>2</v>
      </c>
      <c r="C195" s="2" t="s">
        <v>65</v>
      </c>
      <c r="D195" s="2" t="s">
        <v>34</v>
      </c>
      <c r="E195" s="2" t="str">
        <f aca="false">INDEX(Products!$B$2:$B$13,MATCH(D195,Products!$A$2:$A$13,0))</f>
        <v>FCC</v>
      </c>
      <c r="F195" s="15" t="n">
        <v>12.7</v>
      </c>
      <c r="G195" s="16" t="n">
        <f aca="false">IF(A195="2025",INDEX(Products!$C$2:$C$13,MATCH(D195,Products!$A$2:$A$13,0)),INDEX(Products!$E$2:$E$13,MATCH(D195,Products!$A$2:$A$13,0)))</f>
        <v>3270</v>
      </c>
      <c r="H195" s="13" t="n">
        <f aca="false">IF(A195="2025",INDEX(Customers!$D$2:$D$41,MATCH(C195,Customers!$A$2:$A$41,0)),INDEX(Customers!$F$2:$F$41,MATCH(C195,Customers!$A$2:$A$41,0)))</f>
        <v>0.08</v>
      </c>
      <c r="I195" s="16" t="n">
        <f aca="false">F195*G195</f>
        <v>41529</v>
      </c>
      <c r="J195" s="16" t="n">
        <f aca="false">I195*(1-H195)</f>
        <v>38206.68</v>
      </c>
      <c r="K195" s="16" t="n">
        <f aca="false">J195*INDEX(Customers!$G$2:$G$41,MATCH(C195,Customers!$A$2:$A$41,0))</f>
        <v>764.1336</v>
      </c>
      <c r="L195" s="16" t="n">
        <f aca="false">F195*INDEX(Customers!$H$2:$H$41,MATCH(C195,Customers!$A$2:$A$41,0))</f>
        <v>1778</v>
      </c>
      <c r="M195" s="16" t="n">
        <f aca="false">J195*INDEX(Customers!$I$2:$I$41,MATCH(C195,Customers!$A$2:$A$41,0))/365*Assumptions!$B$6</f>
        <v>502.444010958904</v>
      </c>
      <c r="N195" s="16" t="n">
        <f aca="false">J195-K195-L195-M195</f>
        <v>35162.1023890411</v>
      </c>
      <c r="O195" s="16" t="n">
        <f aca="false">F195*IF(A195="2025",INDEX(Products!$D$2:$D$13,MATCH(D195,Products!$A$2:$A$13,0)),INDEX(Products!$F$2:$F$13,MATCH(D195,Products!$A$2:$A$13,0)))</f>
        <v>27813</v>
      </c>
      <c r="P195" s="16" t="n">
        <f aca="false">N195-O195</f>
        <v>7349.10238904109</v>
      </c>
    </row>
    <row r="196" customFormat="false" ht="15" hidden="false" customHeight="false" outlineLevel="0" collapsed="false">
      <c r="A196" s="2" t="s">
        <v>118</v>
      </c>
      <c r="B196" s="2" t="n">
        <v>3</v>
      </c>
      <c r="C196" s="2" t="s">
        <v>65</v>
      </c>
      <c r="D196" s="2" t="s">
        <v>34</v>
      </c>
      <c r="E196" s="2" t="str">
        <f aca="false">INDEX(Products!$B$2:$B$13,MATCH(D196,Products!$A$2:$A$13,0))</f>
        <v>FCC</v>
      </c>
      <c r="F196" s="15" t="n">
        <v>12.4</v>
      </c>
      <c r="G196" s="16" t="n">
        <f aca="false">IF(A196="2025",INDEX(Products!$C$2:$C$13,MATCH(D196,Products!$A$2:$A$13,0)),INDEX(Products!$E$2:$E$13,MATCH(D196,Products!$A$2:$A$13,0)))</f>
        <v>3270</v>
      </c>
      <c r="H196" s="13" t="n">
        <f aca="false">IF(A196="2025",INDEX(Customers!$D$2:$D$41,MATCH(C196,Customers!$A$2:$A$41,0)),INDEX(Customers!$F$2:$F$41,MATCH(C196,Customers!$A$2:$A$41,0)))</f>
        <v>0.08</v>
      </c>
      <c r="I196" s="16" t="n">
        <f aca="false">F196*G196</f>
        <v>40548</v>
      </c>
      <c r="J196" s="16" t="n">
        <f aca="false">I196*(1-H196)</f>
        <v>37304.16</v>
      </c>
      <c r="K196" s="16" t="n">
        <f aca="false">J196*INDEX(Customers!$G$2:$G$41,MATCH(C196,Customers!$A$2:$A$41,0))</f>
        <v>746.0832</v>
      </c>
      <c r="L196" s="16" t="n">
        <f aca="false">F196*INDEX(Customers!$H$2:$H$41,MATCH(C196,Customers!$A$2:$A$41,0))</f>
        <v>1736</v>
      </c>
      <c r="M196" s="16" t="n">
        <f aca="false">J196*INDEX(Customers!$I$2:$I$41,MATCH(C196,Customers!$A$2:$A$41,0))/365*Assumptions!$B$6</f>
        <v>490.575254794521</v>
      </c>
      <c r="N196" s="16" t="n">
        <f aca="false">J196-K196-L196-M196</f>
        <v>34331.5015452055</v>
      </c>
      <c r="O196" s="16" t="n">
        <f aca="false">F196*IF(A196="2025",INDEX(Products!$D$2:$D$13,MATCH(D196,Products!$A$2:$A$13,0)),INDEX(Products!$F$2:$F$13,MATCH(D196,Products!$A$2:$A$13,0)))</f>
        <v>27156</v>
      </c>
      <c r="P196" s="16" t="n">
        <f aca="false">N196-O196</f>
        <v>7175.50154520548</v>
      </c>
    </row>
    <row r="197" customFormat="false" ht="15" hidden="false" customHeight="false" outlineLevel="0" collapsed="false">
      <c r="A197" s="2" t="s">
        <v>118</v>
      </c>
      <c r="B197" s="2" t="n">
        <v>4</v>
      </c>
      <c r="C197" s="2" t="s">
        <v>65</v>
      </c>
      <c r="D197" s="2" t="s">
        <v>34</v>
      </c>
      <c r="E197" s="2" t="str">
        <f aca="false">INDEX(Products!$B$2:$B$13,MATCH(D197,Products!$A$2:$A$13,0))</f>
        <v>FCC</v>
      </c>
      <c r="F197" s="15" t="n">
        <v>10.3</v>
      </c>
      <c r="G197" s="16" t="n">
        <f aca="false">IF(A197="2025",INDEX(Products!$C$2:$C$13,MATCH(D197,Products!$A$2:$A$13,0)),INDEX(Products!$E$2:$E$13,MATCH(D197,Products!$A$2:$A$13,0)))</f>
        <v>3270</v>
      </c>
      <c r="H197" s="13" t="n">
        <f aca="false">IF(A197="2025",INDEX(Customers!$D$2:$D$41,MATCH(C197,Customers!$A$2:$A$41,0)),INDEX(Customers!$F$2:$F$41,MATCH(C197,Customers!$A$2:$A$41,0)))</f>
        <v>0.08</v>
      </c>
      <c r="I197" s="16" t="n">
        <f aca="false">F197*G197</f>
        <v>33681</v>
      </c>
      <c r="J197" s="16" t="n">
        <f aca="false">I197*(1-H197)</f>
        <v>30986.52</v>
      </c>
      <c r="K197" s="16" t="n">
        <f aca="false">J197*INDEX(Customers!$G$2:$G$41,MATCH(C197,Customers!$A$2:$A$41,0))</f>
        <v>619.7304</v>
      </c>
      <c r="L197" s="16" t="n">
        <f aca="false">F197*INDEX(Customers!$H$2:$H$41,MATCH(C197,Customers!$A$2:$A$41,0))</f>
        <v>1442</v>
      </c>
      <c r="M197" s="16" t="n">
        <f aca="false">J197*INDEX(Customers!$I$2:$I$41,MATCH(C197,Customers!$A$2:$A$41,0))/365*Assumptions!$B$6</f>
        <v>407.493961643836</v>
      </c>
      <c r="N197" s="16" t="n">
        <f aca="false">J197-K197-L197-M197</f>
        <v>28517.2956383562</v>
      </c>
      <c r="O197" s="16" t="n">
        <f aca="false">F197*IF(A197="2025",INDEX(Products!$D$2:$D$13,MATCH(D197,Products!$A$2:$A$13,0)),INDEX(Products!$F$2:$F$13,MATCH(D197,Products!$A$2:$A$13,0)))</f>
        <v>22557</v>
      </c>
      <c r="P197" s="16" t="n">
        <f aca="false">N197-O197</f>
        <v>5960.29563835617</v>
      </c>
    </row>
    <row r="198" customFormat="false" ht="15" hidden="false" customHeight="false" outlineLevel="0" collapsed="false">
      <c r="A198" s="2" t="s">
        <v>118</v>
      </c>
      <c r="B198" s="2" t="n">
        <v>5</v>
      </c>
      <c r="C198" s="2" t="s">
        <v>65</v>
      </c>
      <c r="D198" s="2" t="s">
        <v>34</v>
      </c>
      <c r="E198" s="2" t="str">
        <f aca="false">INDEX(Products!$B$2:$B$13,MATCH(D198,Products!$A$2:$A$13,0))</f>
        <v>FCC</v>
      </c>
      <c r="F198" s="15" t="n">
        <v>9.9</v>
      </c>
      <c r="G198" s="16" t="n">
        <f aca="false">IF(A198="2025",INDEX(Products!$C$2:$C$13,MATCH(D198,Products!$A$2:$A$13,0)),INDEX(Products!$E$2:$E$13,MATCH(D198,Products!$A$2:$A$13,0)))</f>
        <v>3270</v>
      </c>
      <c r="H198" s="13" t="n">
        <f aca="false">IF(A198="2025",INDEX(Customers!$D$2:$D$41,MATCH(C198,Customers!$A$2:$A$41,0)),INDEX(Customers!$F$2:$F$41,MATCH(C198,Customers!$A$2:$A$41,0)))</f>
        <v>0.08</v>
      </c>
      <c r="I198" s="16" t="n">
        <f aca="false">F198*G198</f>
        <v>32373</v>
      </c>
      <c r="J198" s="16" t="n">
        <f aca="false">I198*(1-H198)</f>
        <v>29783.16</v>
      </c>
      <c r="K198" s="16" t="n">
        <f aca="false">J198*INDEX(Customers!$G$2:$G$41,MATCH(C198,Customers!$A$2:$A$41,0))</f>
        <v>595.6632</v>
      </c>
      <c r="L198" s="16" t="n">
        <f aca="false">F198*INDEX(Customers!$H$2:$H$41,MATCH(C198,Customers!$A$2:$A$41,0))</f>
        <v>1386</v>
      </c>
      <c r="M198" s="16" t="n">
        <f aca="false">J198*INDEX(Customers!$I$2:$I$41,MATCH(C198,Customers!$A$2:$A$41,0))/365*Assumptions!$B$6</f>
        <v>391.668953424658</v>
      </c>
      <c r="N198" s="16" t="n">
        <f aca="false">J198-K198-L198-M198</f>
        <v>27409.8278465753</v>
      </c>
      <c r="O198" s="16" t="n">
        <f aca="false">F198*IF(A198="2025",INDEX(Products!$D$2:$D$13,MATCH(D198,Products!$A$2:$A$13,0)),INDEX(Products!$F$2:$F$13,MATCH(D198,Products!$A$2:$A$13,0)))</f>
        <v>21681</v>
      </c>
      <c r="P198" s="16" t="n">
        <f aca="false">N198-O198</f>
        <v>5728.82784657534</v>
      </c>
    </row>
    <row r="199" customFormat="false" ht="15" hidden="false" customHeight="false" outlineLevel="0" collapsed="false">
      <c r="A199" s="2" t="s">
        <v>118</v>
      </c>
      <c r="B199" s="2" t="n">
        <v>6</v>
      </c>
      <c r="C199" s="2" t="s">
        <v>65</v>
      </c>
      <c r="D199" s="2" t="s">
        <v>34</v>
      </c>
      <c r="E199" s="2" t="str">
        <f aca="false">INDEX(Products!$B$2:$B$13,MATCH(D199,Products!$A$2:$A$13,0))</f>
        <v>FCC</v>
      </c>
      <c r="F199" s="15" t="n">
        <v>12</v>
      </c>
      <c r="G199" s="16" t="n">
        <f aca="false">IF(A199="2025",INDEX(Products!$C$2:$C$13,MATCH(D199,Products!$A$2:$A$13,0)),INDEX(Products!$E$2:$E$13,MATCH(D199,Products!$A$2:$A$13,0)))</f>
        <v>3270</v>
      </c>
      <c r="H199" s="13" t="n">
        <f aca="false">IF(A199="2025",INDEX(Customers!$D$2:$D$41,MATCH(C199,Customers!$A$2:$A$41,0)),INDEX(Customers!$F$2:$F$41,MATCH(C199,Customers!$A$2:$A$41,0)))</f>
        <v>0.08</v>
      </c>
      <c r="I199" s="16" t="n">
        <f aca="false">F199*G199</f>
        <v>39240</v>
      </c>
      <c r="J199" s="16" t="n">
        <f aca="false">I199*(1-H199)</f>
        <v>36100.8</v>
      </c>
      <c r="K199" s="16" t="n">
        <f aca="false">J199*INDEX(Customers!$G$2:$G$41,MATCH(C199,Customers!$A$2:$A$41,0))</f>
        <v>722.016</v>
      </c>
      <c r="L199" s="16" t="n">
        <f aca="false">F199*INDEX(Customers!$H$2:$H$41,MATCH(C199,Customers!$A$2:$A$41,0))</f>
        <v>1680</v>
      </c>
      <c r="M199" s="16" t="n">
        <f aca="false">J199*INDEX(Customers!$I$2:$I$41,MATCH(C199,Customers!$A$2:$A$41,0))/365*Assumptions!$B$6</f>
        <v>474.750246575343</v>
      </c>
      <c r="N199" s="16" t="n">
        <f aca="false">J199-K199-L199-M199</f>
        <v>33224.0337534247</v>
      </c>
      <c r="O199" s="16" t="n">
        <f aca="false">F199*IF(A199="2025",INDEX(Products!$D$2:$D$13,MATCH(D199,Products!$A$2:$A$13,0)),INDEX(Products!$F$2:$F$13,MATCH(D199,Products!$A$2:$A$13,0)))</f>
        <v>26280</v>
      </c>
      <c r="P199" s="16" t="n">
        <f aca="false">N199-O199</f>
        <v>6944.03375342466</v>
      </c>
    </row>
    <row r="200" customFormat="false" ht="15" hidden="false" customHeight="false" outlineLevel="0" collapsed="false">
      <c r="A200" s="2" t="s">
        <v>118</v>
      </c>
      <c r="B200" s="2" t="n">
        <v>7</v>
      </c>
      <c r="C200" s="2" t="s">
        <v>65</v>
      </c>
      <c r="D200" s="2" t="s">
        <v>34</v>
      </c>
      <c r="E200" s="2" t="str">
        <f aca="false">INDEX(Products!$B$2:$B$13,MATCH(D200,Products!$A$2:$A$13,0))</f>
        <v>FCC</v>
      </c>
      <c r="F200" s="15" t="n">
        <v>8.7</v>
      </c>
      <c r="G200" s="16" t="n">
        <f aca="false">IF(A200="2025",INDEX(Products!$C$2:$C$13,MATCH(D200,Products!$A$2:$A$13,0)),INDEX(Products!$E$2:$E$13,MATCH(D200,Products!$A$2:$A$13,0)))</f>
        <v>3270</v>
      </c>
      <c r="H200" s="13" t="n">
        <f aca="false">IF(A200="2025",INDEX(Customers!$D$2:$D$41,MATCH(C200,Customers!$A$2:$A$41,0)),INDEX(Customers!$F$2:$F$41,MATCH(C200,Customers!$A$2:$A$41,0)))</f>
        <v>0.08</v>
      </c>
      <c r="I200" s="16" t="n">
        <f aca="false">F200*G200</f>
        <v>28449</v>
      </c>
      <c r="J200" s="16" t="n">
        <f aca="false">I200*(1-H200)</f>
        <v>26173.08</v>
      </c>
      <c r="K200" s="16" t="n">
        <f aca="false">J200*INDEX(Customers!$G$2:$G$41,MATCH(C200,Customers!$A$2:$A$41,0))</f>
        <v>523.4616</v>
      </c>
      <c r="L200" s="16" t="n">
        <f aca="false">F200*INDEX(Customers!$H$2:$H$41,MATCH(C200,Customers!$A$2:$A$41,0))</f>
        <v>1218</v>
      </c>
      <c r="M200" s="16" t="n">
        <f aca="false">J200*INDEX(Customers!$I$2:$I$41,MATCH(C200,Customers!$A$2:$A$41,0))/365*Assumptions!$B$6</f>
        <v>344.193928767123</v>
      </c>
      <c r="N200" s="16" t="n">
        <f aca="false">J200-K200-L200-M200</f>
        <v>24087.4244712329</v>
      </c>
      <c r="O200" s="16" t="n">
        <f aca="false">F200*IF(A200="2025",INDEX(Products!$D$2:$D$13,MATCH(D200,Products!$A$2:$A$13,0)),INDEX(Products!$F$2:$F$13,MATCH(D200,Products!$A$2:$A$13,0)))</f>
        <v>19053</v>
      </c>
      <c r="P200" s="16" t="n">
        <f aca="false">N200-O200</f>
        <v>5034.42447123288</v>
      </c>
    </row>
    <row r="201" customFormat="false" ht="15" hidden="false" customHeight="false" outlineLevel="0" collapsed="false">
      <c r="A201" s="2" t="s">
        <v>118</v>
      </c>
      <c r="B201" s="2" t="n">
        <v>8</v>
      </c>
      <c r="C201" s="2" t="s">
        <v>65</v>
      </c>
      <c r="D201" s="2" t="s">
        <v>34</v>
      </c>
      <c r="E201" s="2" t="str">
        <f aca="false">INDEX(Products!$B$2:$B$13,MATCH(D201,Products!$A$2:$A$13,0))</f>
        <v>FCC</v>
      </c>
      <c r="F201" s="15" t="n">
        <v>9.4</v>
      </c>
      <c r="G201" s="16" t="n">
        <f aca="false">IF(A201="2025",INDEX(Products!$C$2:$C$13,MATCH(D201,Products!$A$2:$A$13,0)),INDEX(Products!$E$2:$E$13,MATCH(D201,Products!$A$2:$A$13,0)))</f>
        <v>3270</v>
      </c>
      <c r="H201" s="13" t="n">
        <f aca="false">IF(A201="2025",INDEX(Customers!$D$2:$D$41,MATCH(C201,Customers!$A$2:$A$41,0)),INDEX(Customers!$F$2:$F$41,MATCH(C201,Customers!$A$2:$A$41,0)))</f>
        <v>0.08</v>
      </c>
      <c r="I201" s="16" t="n">
        <f aca="false">F201*G201</f>
        <v>30738</v>
      </c>
      <c r="J201" s="16" t="n">
        <f aca="false">I201*(1-H201)</f>
        <v>28278.96</v>
      </c>
      <c r="K201" s="16" t="n">
        <f aca="false">J201*INDEX(Customers!$G$2:$G$41,MATCH(C201,Customers!$A$2:$A$41,0))</f>
        <v>565.5792</v>
      </c>
      <c r="L201" s="16" t="n">
        <f aca="false">F201*INDEX(Customers!$H$2:$H$41,MATCH(C201,Customers!$A$2:$A$41,0))</f>
        <v>1316</v>
      </c>
      <c r="M201" s="16" t="n">
        <f aca="false">J201*INDEX(Customers!$I$2:$I$41,MATCH(C201,Customers!$A$2:$A$41,0))/365*Assumptions!$B$6</f>
        <v>371.887693150685</v>
      </c>
      <c r="N201" s="16" t="n">
        <f aca="false">J201-K201-L201-M201</f>
        <v>26025.4931068493</v>
      </c>
      <c r="O201" s="16" t="n">
        <f aca="false">F201*IF(A201="2025",INDEX(Products!$D$2:$D$13,MATCH(D201,Products!$A$2:$A$13,0)),INDEX(Products!$F$2:$F$13,MATCH(D201,Products!$A$2:$A$13,0)))</f>
        <v>20586</v>
      </c>
      <c r="P201" s="16" t="n">
        <f aca="false">N201-O201</f>
        <v>5439.49310684932</v>
      </c>
    </row>
    <row r="202" customFormat="false" ht="15" hidden="false" customHeight="false" outlineLevel="0" collapsed="false">
      <c r="A202" s="2" t="s">
        <v>118</v>
      </c>
      <c r="B202" s="2" t="n">
        <v>9</v>
      </c>
      <c r="C202" s="2" t="s">
        <v>65</v>
      </c>
      <c r="D202" s="2" t="s">
        <v>34</v>
      </c>
      <c r="E202" s="2" t="str">
        <f aca="false">INDEX(Products!$B$2:$B$13,MATCH(D202,Products!$A$2:$A$13,0))</f>
        <v>FCC</v>
      </c>
      <c r="F202" s="15" t="n">
        <v>13.3</v>
      </c>
      <c r="G202" s="16" t="n">
        <f aca="false">IF(A202="2025",INDEX(Products!$C$2:$C$13,MATCH(D202,Products!$A$2:$A$13,0)),INDEX(Products!$E$2:$E$13,MATCH(D202,Products!$A$2:$A$13,0)))</f>
        <v>3270</v>
      </c>
      <c r="H202" s="13" t="n">
        <f aca="false">IF(A202="2025",INDEX(Customers!$D$2:$D$41,MATCH(C202,Customers!$A$2:$A$41,0)),INDEX(Customers!$F$2:$F$41,MATCH(C202,Customers!$A$2:$A$41,0)))</f>
        <v>0.08</v>
      </c>
      <c r="I202" s="16" t="n">
        <f aca="false">F202*G202</f>
        <v>43491</v>
      </c>
      <c r="J202" s="16" t="n">
        <f aca="false">I202*(1-H202)</f>
        <v>40011.72</v>
      </c>
      <c r="K202" s="16" t="n">
        <f aca="false">J202*INDEX(Customers!$G$2:$G$41,MATCH(C202,Customers!$A$2:$A$41,0))</f>
        <v>800.2344</v>
      </c>
      <c r="L202" s="16" t="n">
        <f aca="false">F202*INDEX(Customers!$H$2:$H$41,MATCH(C202,Customers!$A$2:$A$41,0))</f>
        <v>1862</v>
      </c>
      <c r="M202" s="16" t="n">
        <f aca="false">J202*INDEX(Customers!$I$2:$I$41,MATCH(C202,Customers!$A$2:$A$41,0))/365*Assumptions!$B$6</f>
        <v>526.181523287671</v>
      </c>
      <c r="N202" s="16" t="n">
        <f aca="false">J202-K202-L202-M202</f>
        <v>36823.3040767123</v>
      </c>
      <c r="O202" s="16" t="n">
        <f aca="false">F202*IF(A202="2025",INDEX(Products!$D$2:$D$13,MATCH(D202,Products!$A$2:$A$13,0)),INDEX(Products!$F$2:$F$13,MATCH(D202,Products!$A$2:$A$13,0)))</f>
        <v>29127</v>
      </c>
      <c r="P202" s="16" t="n">
        <f aca="false">N202-O202</f>
        <v>7696.30407671233</v>
      </c>
    </row>
    <row r="203" customFormat="false" ht="15" hidden="false" customHeight="false" outlineLevel="0" collapsed="false">
      <c r="A203" s="2" t="s">
        <v>118</v>
      </c>
      <c r="B203" s="2" t="n">
        <v>10</v>
      </c>
      <c r="C203" s="2" t="s">
        <v>65</v>
      </c>
      <c r="D203" s="2" t="s">
        <v>34</v>
      </c>
      <c r="E203" s="2" t="str">
        <f aca="false">INDEX(Products!$B$2:$B$13,MATCH(D203,Products!$A$2:$A$13,0))</f>
        <v>FCC</v>
      </c>
      <c r="F203" s="15" t="n">
        <v>13.1</v>
      </c>
      <c r="G203" s="16" t="n">
        <f aca="false">IF(A203="2025",INDEX(Products!$C$2:$C$13,MATCH(D203,Products!$A$2:$A$13,0)),INDEX(Products!$E$2:$E$13,MATCH(D203,Products!$A$2:$A$13,0)))</f>
        <v>3270</v>
      </c>
      <c r="H203" s="13" t="n">
        <f aca="false">IF(A203="2025",INDEX(Customers!$D$2:$D$41,MATCH(C203,Customers!$A$2:$A$41,0)),INDEX(Customers!$F$2:$F$41,MATCH(C203,Customers!$A$2:$A$41,0)))</f>
        <v>0.08</v>
      </c>
      <c r="I203" s="16" t="n">
        <f aca="false">F203*G203</f>
        <v>42837</v>
      </c>
      <c r="J203" s="16" t="n">
        <f aca="false">I203*(1-H203)</f>
        <v>39410.04</v>
      </c>
      <c r="K203" s="16" t="n">
        <f aca="false">J203*INDEX(Customers!$G$2:$G$41,MATCH(C203,Customers!$A$2:$A$41,0))</f>
        <v>788.2008</v>
      </c>
      <c r="L203" s="16" t="n">
        <f aca="false">F203*INDEX(Customers!$H$2:$H$41,MATCH(C203,Customers!$A$2:$A$41,0))</f>
        <v>1834</v>
      </c>
      <c r="M203" s="16" t="n">
        <f aca="false">J203*INDEX(Customers!$I$2:$I$41,MATCH(C203,Customers!$A$2:$A$41,0))/365*Assumptions!$B$6</f>
        <v>518.269019178082</v>
      </c>
      <c r="N203" s="16" t="n">
        <f aca="false">J203-K203-L203-M203</f>
        <v>36269.5701808219</v>
      </c>
      <c r="O203" s="16" t="n">
        <f aca="false">F203*IF(A203="2025",INDEX(Products!$D$2:$D$13,MATCH(D203,Products!$A$2:$A$13,0)),INDEX(Products!$F$2:$F$13,MATCH(D203,Products!$A$2:$A$13,0)))</f>
        <v>28689</v>
      </c>
      <c r="P203" s="16" t="n">
        <f aca="false">N203-O203</f>
        <v>7580.57018082192</v>
      </c>
    </row>
    <row r="204" customFormat="false" ht="15" hidden="false" customHeight="false" outlineLevel="0" collapsed="false">
      <c r="A204" s="2" t="s">
        <v>118</v>
      </c>
      <c r="B204" s="2" t="n">
        <v>11</v>
      </c>
      <c r="C204" s="2" t="s">
        <v>65</v>
      </c>
      <c r="D204" s="2" t="s">
        <v>34</v>
      </c>
      <c r="E204" s="2" t="str">
        <f aca="false">INDEX(Products!$B$2:$B$13,MATCH(D204,Products!$A$2:$A$13,0))</f>
        <v>FCC</v>
      </c>
      <c r="F204" s="15" t="n">
        <v>8.5</v>
      </c>
      <c r="G204" s="16" t="n">
        <f aca="false">IF(A204="2025",INDEX(Products!$C$2:$C$13,MATCH(D204,Products!$A$2:$A$13,0)),INDEX(Products!$E$2:$E$13,MATCH(D204,Products!$A$2:$A$13,0)))</f>
        <v>3270</v>
      </c>
      <c r="H204" s="13" t="n">
        <f aca="false">IF(A204="2025",INDEX(Customers!$D$2:$D$41,MATCH(C204,Customers!$A$2:$A$41,0)),INDEX(Customers!$F$2:$F$41,MATCH(C204,Customers!$A$2:$A$41,0)))</f>
        <v>0.08</v>
      </c>
      <c r="I204" s="16" t="n">
        <f aca="false">F204*G204</f>
        <v>27795</v>
      </c>
      <c r="J204" s="16" t="n">
        <f aca="false">I204*(1-H204)</f>
        <v>25571.4</v>
      </c>
      <c r="K204" s="16" t="n">
        <f aca="false">J204*INDEX(Customers!$G$2:$G$41,MATCH(C204,Customers!$A$2:$A$41,0))</f>
        <v>511.428</v>
      </c>
      <c r="L204" s="16" t="n">
        <f aca="false">F204*INDEX(Customers!$H$2:$H$41,MATCH(C204,Customers!$A$2:$A$41,0))</f>
        <v>1190</v>
      </c>
      <c r="M204" s="16" t="n">
        <f aca="false">J204*INDEX(Customers!$I$2:$I$41,MATCH(C204,Customers!$A$2:$A$41,0))/365*Assumptions!$B$6</f>
        <v>336.281424657534</v>
      </c>
      <c r="N204" s="16" t="n">
        <f aca="false">J204-K204-L204-M204</f>
        <v>23533.6905753425</v>
      </c>
      <c r="O204" s="16" t="n">
        <f aca="false">F204*IF(A204="2025",INDEX(Products!$D$2:$D$13,MATCH(D204,Products!$A$2:$A$13,0)),INDEX(Products!$F$2:$F$13,MATCH(D204,Products!$A$2:$A$13,0)))</f>
        <v>18615</v>
      </c>
      <c r="P204" s="16" t="n">
        <f aca="false">N204-O204</f>
        <v>4918.69057534247</v>
      </c>
    </row>
    <row r="205" customFormat="false" ht="15" hidden="false" customHeight="false" outlineLevel="0" collapsed="false">
      <c r="A205" s="2" t="s">
        <v>118</v>
      </c>
      <c r="B205" s="2" t="n">
        <v>12</v>
      </c>
      <c r="C205" s="2" t="s">
        <v>65</v>
      </c>
      <c r="D205" s="2" t="s">
        <v>34</v>
      </c>
      <c r="E205" s="2" t="str">
        <f aca="false">INDEX(Products!$B$2:$B$13,MATCH(D205,Products!$A$2:$A$13,0))</f>
        <v>FCC</v>
      </c>
      <c r="F205" s="15" t="n">
        <v>9.4</v>
      </c>
      <c r="G205" s="16" t="n">
        <f aca="false">IF(A205="2025",INDEX(Products!$C$2:$C$13,MATCH(D205,Products!$A$2:$A$13,0)),INDEX(Products!$E$2:$E$13,MATCH(D205,Products!$A$2:$A$13,0)))</f>
        <v>3270</v>
      </c>
      <c r="H205" s="13" t="n">
        <f aca="false">IF(A205="2025",INDEX(Customers!$D$2:$D$41,MATCH(C205,Customers!$A$2:$A$41,0)),INDEX(Customers!$F$2:$F$41,MATCH(C205,Customers!$A$2:$A$41,0)))</f>
        <v>0.08</v>
      </c>
      <c r="I205" s="16" t="n">
        <f aca="false">F205*G205</f>
        <v>30738</v>
      </c>
      <c r="J205" s="16" t="n">
        <f aca="false">I205*(1-H205)</f>
        <v>28278.96</v>
      </c>
      <c r="K205" s="16" t="n">
        <f aca="false">J205*INDEX(Customers!$G$2:$G$41,MATCH(C205,Customers!$A$2:$A$41,0))</f>
        <v>565.5792</v>
      </c>
      <c r="L205" s="16" t="n">
        <f aca="false">F205*INDEX(Customers!$H$2:$H$41,MATCH(C205,Customers!$A$2:$A$41,0))</f>
        <v>1316</v>
      </c>
      <c r="M205" s="16" t="n">
        <f aca="false">J205*INDEX(Customers!$I$2:$I$41,MATCH(C205,Customers!$A$2:$A$41,0))/365*Assumptions!$B$6</f>
        <v>371.887693150685</v>
      </c>
      <c r="N205" s="16" t="n">
        <f aca="false">J205-K205-L205-M205</f>
        <v>26025.4931068493</v>
      </c>
      <c r="O205" s="16" t="n">
        <f aca="false">F205*IF(A205="2025",INDEX(Products!$D$2:$D$13,MATCH(D205,Products!$A$2:$A$13,0)),INDEX(Products!$F$2:$F$13,MATCH(D205,Products!$A$2:$A$13,0)))</f>
        <v>20586</v>
      </c>
      <c r="P205" s="16" t="n">
        <f aca="false">N205-O205</f>
        <v>5439.49310684932</v>
      </c>
    </row>
    <row r="206" customFormat="false" ht="15" hidden="false" customHeight="false" outlineLevel="0" collapsed="false">
      <c r="A206" s="2" t="s">
        <v>119</v>
      </c>
      <c r="B206" s="2" t="n">
        <v>1</v>
      </c>
      <c r="C206" s="2" t="s">
        <v>65</v>
      </c>
      <c r="D206" s="2" t="s">
        <v>34</v>
      </c>
      <c r="E206" s="2" t="str">
        <f aca="false">INDEX(Products!$B$2:$B$13,MATCH(D206,Products!$A$2:$A$13,0))</f>
        <v>FCC</v>
      </c>
      <c r="F206" s="15" t="n">
        <v>16.9</v>
      </c>
      <c r="G206" s="16" t="n">
        <f aca="false">IF(A206="2025",INDEX(Products!$C$2:$C$13,MATCH(D206,Products!$A$2:$A$13,0)),INDEX(Products!$E$2:$E$13,MATCH(D206,Products!$A$2:$A$13,0)))</f>
        <v>3433.5</v>
      </c>
      <c r="H206" s="13" t="n">
        <f aca="false">IF(A206="2025",INDEX(Customers!$D$2:$D$41,MATCH(C206,Customers!$A$2:$A$41,0)),INDEX(Customers!$F$2:$F$41,MATCH(C206,Customers!$A$2:$A$41,0)))</f>
        <v>0.08</v>
      </c>
      <c r="I206" s="16" t="n">
        <f aca="false">F206*G206</f>
        <v>58026.15</v>
      </c>
      <c r="J206" s="16" t="n">
        <f aca="false">I206*(1-H206)</f>
        <v>53384.058</v>
      </c>
      <c r="K206" s="16" t="n">
        <f aca="false">J206*INDEX(Customers!$G$2:$G$41,MATCH(C206,Customers!$A$2:$A$41,0))</f>
        <v>1067.68116</v>
      </c>
      <c r="L206" s="16" t="n">
        <f aca="false">F206*INDEX(Customers!$H$2:$H$41,MATCH(C206,Customers!$A$2:$A$41,0))</f>
        <v>2366</v>
      </c>
      <c r="M206" s="16" t="n">
        <f aca="false">J206*INDEX(Customers!$I$2:$I$41,MATCH(C206,Customers!$A$2:$A$41,0))/365*Assumptions!$B$6</f>
        <v>702.036927123288</v>
      </c>
      <c r="N206" s="16" t="n">
        <f aca="false">J206-K206-L206-M206</f>
        <v>49248.3399128767</v>
      </c>
      <c r="O206" s="16" t="n">
        <f aca="false">F206*IF(A206="2025",INDEX(Products!$D$2:$D$13,MATCH(D206,Products!$A$2:$A$13,0)),INDEX(Products!$F$2:$F$13,MATCH(D206,Products!$A$2:$A$13,0)))</f>
        <v>38121.33</v>
      </c>
      <c r="P206" s="16" t="n">
        <f aca="false">N206-O206</f>
        <v>11127.0099128767</v>
      </c>
    </row>
    <row r="207" customFormat="false" ht="15" hidden="false" customHeight="false" outlineLevel="0" collapsed="false">
      <c r="A207" s="2" t="s">
        <v>119</v>
      </c>
      <c r="B207" s="2" t="n">
        <v>2</v>
      </c>
      <c r="C207" s="2" t="s">
        <v>65</v>
      </c>
      <c r="D207" s="2" t="s">
        <v>34</v>
      </c>
      <c r="E207" s="2" t="str">
        <f aca="false">INDEX(Products!$B$2:$B$13,MATCH(D207,Products!$A$2:$A$13,0))</f>
        <v>FCC</v>
      </c>
      <c r="F207" s="15" t="n">
        <v>14.9</v>
      </c>
      <c r="G207" s="16" t="n">
        <f aca="false">IF(A207="2025",INDEX(Products!$C$2:$C$13,MATCH(D207,Products!$A$2:$A$13,0)),INDEX(Products!$E$2:$E$13,MATCH(D207,Products!$A$2:$A$13,0)))</f>
        <v>3433.5</v>
      </c>
      <c r="H207" s="13" t="n">
        <f aca="false">IF(A207="2025",INDEX(Customers!$D$2:$D$41,MATCH(C207,Customers!$A$2:$A$41,0)),INDEX(Customers!$F$2:$F$41,MATCH(C207,Customers!$A$2:$A$41,0)))</f>
        <v>0.08</v>
      </c>
      <c r="I207" s="16" t="n">
        <f aca="false">F207*G207</f>
        <v>51159.15</v>
      </c>
      <c r="J207" s="16" t="n">
        <f aca="false">I207*(1-H207)</f>
        <v>47066.418</v>
      </c>
      <c r="K207" s="16" t="n">
        <f aca="false">J207*INDEX(Customers!$G$2:$G$41,MATCH(C207,Customers!$A$2:$A$41,0))</f>
        <v>941.32836</v>
      </c>
      <c r="L207" s="16" t="n">
        <f aca="false">F207*INDEX(Customers!$H$2:$H$41,MATCH(C207,Customers!$A$2:$A$41,0))</f>
        <v>2086</v>
      </c>
      <c r="M207" s="16" t="n">
        <f aca="false">J207*INDEX(Customers!$I$2:$I$41,MATCH(C207,Customers!$A$2:$A$41,0))/365*Assumptions!$B$6</f>
        <v>618.955633972603</v>
      </c>
      <c r="N207" s="16" t="n">
        <f aca="false">J207-K207-L207-M207</f>
        <v>43420.1340060274</v>
      </c>
      <c r="O207" s="16" t="n">
        <f aca="false">F207*IF(A207="2025",INDEX(Products!$D$2:$D$13,MATCH(D207,Products!$A$2:$A$13,0)),INDEX(Products!$F$2:$F$13,MATCH(D207,Products!$A$2:$A$13,0)))</f>
        <v>33609.93</v>
      </c>
      <c r="P207" s="16" t="n">
        <f aca="false">N207-O207</f>
        <v>9810.20400602739</v>
      </c>
    </row>
    <row r="208" customFormat="false" ht="15" hidden="false" customHeight="false" outlineLevel="0" collapsed="false">
      <c r="A208" s="2" t="s">
        <v>119</v>
      </c>
      <c r="B208" s="2" t="n">
        <v>3</v>
      </c>
      <c r="C208" s="2" t="s">
        <v>65</v>
      </c>
      <c r="D208" s="2" t="s">
        <v>34</v>
      </c>
      <c r="E208" s="2" t="str">
        <f aca="false">INDEX(Products!$B$2:$B$13,MATCH(D208,Products!$A$2:$A$13,0))</f>
        <v>FCC</v>
      </c>
      <c r="F208" s="15" t="n">
        <v>16.6</v>
      </c>
      <c r="G208" s="16" t="n">
        <f aca="false">IF(A208="2025",INDEX(Products!$C$2:$C$13,MATCH(D208,Products!$A$2:$A$13,0)),INDEX(Products!$E$2:$E$13,MATCH(D208,Products!$A$2:$A$13,0)))</f>
        <v>3433.5</v>
      </c>
      <c r="H208" s="13" t="n">
        <f aca="false">IF(A208="2025",INDEX(Customers!$D$2:$D$41,MATCH(C208,Customers!$A$2:$A$41,0)),INDEX(Customers!$F$2:$F$41,MATCH(C208,Customers!$A$2:$A$41,0)))</f>
        <v>0.08</v>
      </c>
      <c r="I208" s="16" t="n">
        <f aca="false">F208*G208</f>
        <v>56996.1</v>
      </c>
      <c r="J208" s="16" t="n">
        <f aca="false">I208*(1-H208)</f>
        <v>52436.412</v>
      </c>
      <c r="K208" s="16" t="n">
        <f aca="false">J208*INDEX(Customers!$G$2:$G$41,MATCH(C208,Customers!$A$2:$A$41,0))</f>
        <v>1048.72824</v>
      </c>
      <c r="L208" s="16" t="n">
        <f aca="false">F208*INDEX(Customers!$H$2:$H$41,MATCH(C208,Customers!$A$2:$A$41,0))</f>
        <v>2324</v>
      </c>
      <c r="M208" s="16" t="n">
        <f aca="false">J208*INDEX(Customers!$I$2:$I$41,MATCH(C208,Customers!$A$2:$A$41,0))/365*Assumptions!$B$6</f>
        <v>689.574733150685</v>
      </c>
      <c r="N208" s="16" t="n">
        <f aca="false">J208-K208-L208-M208</f>
        <v>48374.1090268493</v>
      </c>
      <c r="O208" s="16" t="n">
        <f aca="false">F208*IF(A208="2025",INDEX(Products!$D$2:$D$13,MATCH(D208,Products!$A$2:$A$13,0)),INDEX(Products!$F$2:$F$13,MATCH(D208,Products!$A$2:$A$13,0)))</f>
        <v>37444.62</v>
      </c>
      <c r="P208" s="16" t="n">
        <f aca="false">N208-O208</f>
        <v>10929.4890268493</v>
      </c>
    </row>
    <row r="209" customFormat="false" ht="15" hidden="false" customHeight="false" outlineLevel="0" collapsed="false">
      <c r="A209" s="2" t="s">
        <v>119</v>
      </c>
      <c r="B209" s="2" t="n">
        <v>4</v>
      </c>
      <c r="C209" s="2" t="s">
        <v>65</v>
      </c>
      <c r="D209" s="2" t="s">
        <v>34</v>
      </c>
      <c r="E209" s="2" t="str">
        <f aca="false">INDEX(Products!$B$2:$B$13,MATCH(D209,Products!$A$2:$A$13,0))</f>
        <v>FCC</v>
      </c>
      <c r="F209" s="15" t="n">
        <v>12.2</v>
      </c>
      <c r="G209" s="16" t="n">
        <f aca="false">IF(A209="2025",INDEX(Products!$C$2:$C$13,MATCH(D209,Products!$A$2:$A$13,0)),INDEX(Products!$E$2:$E$13,MATCH(D209,Products!$A$2:$A$13,0)))</f>
        <v>3433.5</v>
      </c>
      <c r="H209" s="13" t="n">
        <f aca="false">IF(A209="2025",INDEX(Customers!$D$2:$D$41,MATCH(C209,Customers!$A$2:$A$41,0)),INDEX(Customers!$F$2:$F$41,MATCH(C209,Customers!$A$2:$A$41,0)))</f>
        <v>0.08</v>
      </c>
      <c r="I209" s="16" t="n">
        <f aca="false">F209*G209</f>
        <v>41888.7</v>
      </c>
      <c r="J209" s="16" t="n">
        <f aca="false">I209*(1-H209)</f>
        <v>38537.604</v>
      </c>
      <c r="K209" s="16" t="n">
        <f aca="false">J209*INDEX(Customers!$G$2:$G$41,MATCH(C209,Customers!$A$2:$A$41,0))</f>
        <v>770.75208</v>
      </c>
      <c r="L209" s="16" t="n">
        <f aca="false">F209*INDEX(Customers!$H$2:$H$41,MATCH(C209,Customers!$A$2:$A$41,0))</f>
        <v>1708</v>
      </c>
      <c r="M209" s="16" t="n">
        <f aca="false">J209*INDEX(Customers!$I$2:$I$41,MATCH(C209,Customers!$A$2:$A$41,0))/365*Assumptions!$B$6</f>
        <v>506.795888219178</v>
      </c>
      <c r="N209" s="16" t="n">
        <f aca="false">J209-K209-L209-M209</f>
        <v>35552.0560317808</v>
      </c>
      <c r="O209" s="16" t="n">
        <f aca="false">F209*IF(A209="2025",INDEX(Products!$D$2:$D$13,MATCH(D209,Products!$A$2:$A$13,0)),INDEX(Products!$F$2:$F$13,MATCH(D209,Products!$A$2:$A$13,0)))</f>
        <v>27519.54</v>
      </c>
      <c r="P209" s="16" t="n">
        <f aca="false">N209-O209</f>
        <v>8032.51603178082</v>
      </c>
    </row>
    <row r="210" customFormat="false" ht="15" hidden="false" customHeight="false" outlineLevel="0" collapsed="false">
      <c r="A210" s="2" t="s">
        <v>119</v>
      </c>
      <c r="B210" s="2" t="n">
        <v>5</v>
      </c>
      <c r="C210" s="2" t="s">
        <v>65</v>
      </c>
      <c r="D210" s="2" t="s">
        <v>34</v>
      </c>
      <c r="E210" s="2" t="str">
        <f aca="false">INDEX(Products!$B$2:$B$13,MATCH(D210,Products!$A$2:$A$13,0))</f>
        <v>FCC</v>
      </c>
      <c r="F210" s="15" t="n">
        <v>19.2</v>
      </c>
      <c r="G210" s="16" t="n">
        <f aca="false">IF(A210="2025",INDEX(Products!$C$2:$C$13,MATCH(D210,Products!$A$2:$A$13,0)),INDEX(Products!$E$2:$E$13,MATCH(D210,Products!$A$2:$A$13,0)))</f>
        <v>3433.5</v>
      </c>
      <c r="H210" s="13" t="n">
        <f aca="false">IF(A210="2025",INDEX(Customers!$D$2:$D$41,MATCH(C210,Customers!$A$2:$A$41,0)),INDEX(Customers!$F$2:$F$41,MATCH(C210,Customers!$A$2:$A$41,0)))</f>
        <v>0.08</v>
      </c>
      <c r="I210" s="16" t="n">
        <f aca="false">F210*G210</f>
        <v>65923.2</v>
      </c>
      <c r="J210" s="16" t="n">
        <f aca="false">I210*(1-H210)</f>
        <v>60649.344</v>
      </c>
      <c r="K210" s="16" t="n">
        <f aca="false">J210*INDEX(Customers!$G$2:$G$41,MATCH(C210,Customers!$A$2:$A$41,0))</f>
        <v>1212.98688</v>
      </c>
      <c r="L210" s="16" t="n">
        <f aca="false">F210*INDEX(Customers!$H$2:$H$41,MATCH(C210,Customers!$A$2:$A$41,0))</f>
        <v>2688</v>
      </c>
      <c r="M210" s="16" t="n">
        <f aca="false">J210*INDEX(Customers!$I$2:$I$41,MATCH(C210,Customers!$A$2:$A$41,0))/365*Assumptions!$B$6</f>
        <v>797.580414246575</v>
      </c>
      <c r="N210" s="16" t="n">
        <f aca="false">J210-K210-L210-M210</f>
        <v>55950.7767057534</v>
      </c>
      <c r="O210" s="16" t="n">
        <f aca="false">F210*IF(A210="2025",INDEX(Products!$D$2:$D$13,MATCH(D210,Products!$A$2:$A$13,0)),INDEX(Products!$F$2:$F$13,MATCH(D210,Products!$A$2:$A$13,0)))</f>
        <v>43309.44</v>
      </c>
      <c r="P210" s="16" t="n">
        <f aca="false">N210-O210</f>
        <v>12641.3367057534</v>
      </c>
    </row>
    <row r="211" customFormat="false" ht="15" hidden="false" customHeight="false" outlineLevel="0" collapsed="false">
      <c r="A211" s="2" t="s">
        <v>119</v>
      </c>
      <c r="B211" s="2" t="n">
        <v>6</v>
      </c>
      <c r="C211" s="2" t="s">
        <v>65</v>
      </c>
      <c r="D211" s="2" t="s">
        <v>34</v>
      </c>
      <c r="E211" s="2" t="str">
        <f aca="false">INDEX(Products!$B$2:$B$13,MATCH(D211,Products!$A$2:$A$13,0))</f>
        <v>FCC</v>
      </c>
      <c r="F211" s="15" t="n">
        <v>13.5</v>
      </c>
      <c r="G211" s="16" t="n">
        <f aca="false">IF(A211="2025",INDEX(Products!$C$2:$C$13,MATCH(D211,Products!$A$2:$A$13,0)),INDEX(Products!$E$2:$E$13,MATCH(D211,Products!$A$2:$A$13,0)))</f>
        <v>3433.5</v>
      </c>
      <c r="H211" s="13" t="n">
        <f aca="false">IF(A211="2025",INDEX(Customers!$D$2:$D$41,MATCH(C211,Customers!$A$2:$A$41,0)),INDEX(Customers!$F$2:$F$41,MATCH(C211,Customers!$A$2:$A$41,0)))</f>
        <v>0.08</v>
      </c>
      <c r="I211" s="16" t="n">
        <f aca="false">F211*G211</f>
        <v>46352.25</v>
      </c>
      <c r="J211" s="16" t="n">
        <f aca="false">I211*(1-H211)</f>
        <v>42644.07</v>
      </c>
      <c r="K211" s="16" t="n">
        <f aca="false">J211*INDEX(Customers!$G$2:$G$41,MATCH(C211,Customers!$A$2:$A$41,0))</f>
        <v>852.8814</v>
      </c>
      <c r="L211" s="16" t="n">
        <f aca="false">F211*INDEX(Customers!$H$2:$H$41,MATCH(C211,Customers!$A$2:$A$41,0))</f>
        <v>1890</v>
      </c>
      <c r="M211" s="16" t="n">
        <f aca="false">J211*INDEX(Customers!$I$2:$I$41,MATCH(C211,Customers!$A$2:$A$41,0))/365*Assumptions!$B$6</f>
        <v>560.798728767123</v>
      </c>
      <c r="N211" s="16" t="n">
        <f aca="false">J211-K211-L211-M211</f>
        <v>39340.3898712329</v>
      </c>
      <c r="O211" s="16" t="n">
        <f aca="false">F211*IF(A211="2025",INDEX(Products!$D$2:$D$13,MATCH(D211,Products!$A$2:$A$13,0)),INDEX(Products!$F$2:$F$13,MATCH(D211,Products!$A$2:$A$13,0)))</f>
        <v>30451.95</v>
      </c>
      <c r="P211" s="16" t="n">
        <f aca="false">N211-O211</f>
        <v>8888.43987123288</v>
      </c>
    </row>
    <row r="212" customFormat="false" ht="15" hidden="false" customHeight="false" outlineLevel="0" collapsed="false">
      <c r="A212" s="2" t="s">
        <v>119</v>
      </c>
      <c r="B212" s="2" t="n">
        <v>7</v>
      </c>
      <c r="C212" s="2" t="s">
        <v>65</v>
      </c>
      <c r="D212" s="2" t="s">
        <v>34</v>
      </c>
      <c r="E212" s="2" t="str">
        <f aca="false">INDEX(Products!$B$2:$B$13,MATCH(D212,Products!$A$2:$A$13,0))</f>
        <v>FCC</v>
      </c>
      <c r="F212" s="15" t="n">
        <v>14.6</v>
      </c>
      <c r="G212" s="16" t="n">
        <f aca="false">IF(A212="2025",INDEX(Products!$C$2:$C$13,MATCH(D212,Products!$A$2:$A$13,0)),INDEX(Products!$E$2:$E$13,MATCH(D212,Products!$A$2:$A$13,0)))</f>
        <v>3433.5</v>
      </c>
      <c r="H212" s="13" t="n">
        <f aca="false">IF(A212="2025",INDEX(Customers!$D$2:$D$41,MATCH(C212,Customers!$A$2:$A$41,0)),INDEX(Customers!$F$2:$F$41,MATCH(C212,Customers!$A$2:$A$41,0)))</f>
        <v>0.08</v>
      </c>
      <c r="I212" s="16" t="n">
        <f aca="false">F212*G212</f>
        <v>50129.1</v>
      </c>
      <c r="J212" s="16" t="n">
        <f aca="false">I212*(1-H212)</f>
        <v>46118.772</v>
      </c>
      <c r="K212" s="16" t="n">
        <f aca="false">J212*INDEX(Customers!$G$2:$G$41,MATCH(C212,Customers!$A$2:$A$41,0))</f>
        <v>922.37544</v>
      </c>
      <c r="L212" s="16" t="n">
        <f aca="false">F212*INDEX(Customers!$H$2:$H$41,MATCH(C212,Customers!$A$2:$A$41,0))</f>
        <v>2044</v>
      </c>
      <c r="M212" s="16" t="n">
        <f aca="false">J212*INDEX(Customers!$I$2:$I$41,MATCH(C212,Customers!$A$2:$A$41,0))/365*Assumptions!$B$6</f>
        <v>606.49344</v>
      </c>
      <c r="N212" s="16" t="n">
        <f aca="false">J212-K212-L212-M212</f>
        <v>42545.90312</v>
      </c>
      <c r="O212" s="16" t="n">
        <f aca="false">F212*IF(A212="2025",INDEX(Products!$D$2:$D$13,MATCH(D212,Products!$A$2:$A$13,0)),INDEX(Products!$F$2:$F$13,MATCH(D212,Products!$A$2:$A$13,0)))</f>
        <v>32933.22</v>
      </c>
      <c r="P212" s="16" t="n">
        <f aca="false">N212-O212</f>
        <v>9612.68311999999</v>
      </c>
    </row>
    <row r="213" customFormat="false" ht="15" hidden="false" customHeight="false" outlineLevel="0" collapsed="false">
      <c r="A213" s="2" t="s">
        <v>119</v>
      </c>
      <c r="B213" s="2" t="n">
        <v>8</v>
      </c>
      <c r="C213" s="2" t="s">
        <v>65</v>
      </c>
      <c r="D213" s="2" t="s">
        <v>34</v>
      </c>
      <c r="E213" s="2" t="str">
        <f aca="false">INDEX(Products!$B$2:$B$13,MATCH(D213,Products!$A$2:$A$13,0))</f>
        <v>FCC</v>
      </c>
      <c r="F213" s="15" t="n">
        <v>15.3</v>
      </c>
      <c r="G213" s="16" t="n">
        <f aca="false">IF(A213="2025",INDEX(Products!$C$2:$C$13,MATCH(D213,Products!$A$2:$A$13,0)),INDEX(Products!$E$2:$E$13,MATCH(D213,Products!$A$2:$A$13,0)))</f>
        <v>3433.5</v>
      </c>
      <c r="H213" s="13" t="n">
        <f aca="false">IF(A213="2025",INDEX(Customers!$D$2:$D$41,MATCH(C213,Customers!$A$2:$A$41,0)),INDEX(Customers!$F$2:$F$41,MATCH(C213,Customers!$A$2:$A$41,0)))</f>
        <v>0.08</v>
      </c>
      <c r="I213" s="16" t="n">
        <f aca="false">F213*G213</f>
        <v>52532.55</v>
      </c>
      <c r="J213" s="16" t="n">
        <f aca="false">I213*(1-H213)</f>
        <v>48329.946</v>
      </c>
      <c r="K213" s="16" t="n">
        <f aca="false">J213*INDEX(Customers!$G$2:$G$41,MATCH(C213,Customers!$A$2:$A$41,0))</f>
        <v>966.59892</v>
      </c>
      <c r="L213" s="16" t="n">
        <f aca="false">F213*INDEX(Customers!$H$2:$H$41,MATCH(C213,Customers!$A$2:$A$41,0))</f>
        <v>2142</v>
      </c>
      <c r="M213" s="16" t="n">
        <f aca="false">J213*INDEX(Customers!$I$2:$I$41,MATCH(C213,Customers!$A$2:$A$41,0))/365*Assumptions!$B$6</f>
        <v>635.57189260274</v>
      </c>
      <c r="N213" s="16" t="n">
        <f aca="false">J213-K213-L213-M213</f>
        <v>44585.7751873973</v>
      </c>
      <c r="O213" s="16" t="n">
        <f aca="false">F213*IF(A213="2025",INDEX(Products!$D$2:$D$13,MATCH(D213,Products!$A$2:$A$13,0)),INDEX(Products!$F$2:$F$13,MATCH(D213,Products!$A$2:$A$13,0)))</f>
        <v>34512.21</v>
      </c>
      <c r="P213" s="16" t="n">
        <f aca="false">N213-O213</f>
        <v>10073.5651873973</v>
      </c>
    </row>
    <row r="214" customFormat="false" ht="15" hidden="false" customHeight="false" outlineLevel="0" collapsed="false">
      <c r="A214" s="2" t="s">
        <v>119</v>
      </c>
      <c r="B214" s="2" t="n">
        <v>9</v>
      </c>
      <c r="C214" s="2" t="s">
        <v>65</v>
      </c>
      <c r="D214" s="2" t="s">
        <v>34</v>
      </c>
      <c r="E214" s="2" t="str">
        <f aca="false">INDEX(Products!$B$2:$B$13,MATCH(D214,Products!$A$2:$A$13,0))</f>
        <v>FCC</v>
      </c>
      <c r="F214" s="15" t="n">
        <v>16.6</v>
      </c>
      <c r="G214" s="16" t="n">
        <f aca="false">IF(A214="2025",INDEX(Products!$C$2:$C$13,MATCH(D214,Products!$A$2:$A$13,0)),INDEX(Products!$E$2:$E$13,MATCH(D214,Products!$A$2:$A$13,0)))</f>
        <v>3433.5</v>
      </c>
      <c r="H214" s="13" t="n">
        <f aca="false">IF(A214="2025",INDEX(Customers!$D$2:$D$41,MATCH(C214,Customers!$A$2:$A$41,0)),INDEX(Customers!$F$2:$F$41,MATCH(C214,Customers!$A$2:$A$41,0)))</f>
        <v>0.08</v>
      </c>
      <c r="I214" s="16" t="n">
        <f aca="false">F214*G214</f>
        <v>56996.1</v>
      </c>
      <c r="J214" s="16" t="n">
        <f aca="false">I214*(1-H214)</f>
        <v>52436.412</v>
      </c>
      <c r="K214" s="16" t="n">
        <f aca="false">J214*INDEX(Customers!$G$2:$G$41,MATCH(C214,Customers!$A$2:$A$41,0))</f>
        <v>1048.72824</v>
      </c>
      <c r="L214" s="16" t="n">
        <f aca="false">F214*INDEX(Customers!$H$2:$H$41,MATCH(C214,Customers!$A$2:$A$41,0))</f>
        <v>2324</v>
      </c>
      <c r="M214" s="16" t="n">
        <f aca="false">J214*INDEX(Customers!$I$2:$I$41,MATCH(C214,Customers!$A$2:$A$41,0))/365*Assumptions!$B$6</f>
        <v>689.574733150685</v>
      </c>
      <c r="N214" s="16" t="n">
        <f aca="false">J214-K214-L214-M214</f>
        <v>48374.1090268493</v>
      </c>
      <c r="O214" s="16" t="n">
        <f aca="false">F214*IF(A214="2025",INDEX(Products!$D$2:$D$13,MATCH(D214,Products!$A$2:$A$13,0)),INDEX(Products!$F$2:$F$13,MATCH(D214,Products!$A$2:$A$13,0)))</f>
        <v>37444.62</v>
      </c>
      <c r="P214" s="16" t="n">
        <f aca="false">N214-O214</f>
        <v>10929.4890268493</v>
      </c>
    </row>
    <row r="215" customFormat="false" ht="15" hidden="false" customHeight="false" outlineLevel="0" collapsed="false">
      <c r="A215" s="2" t="s">
        <v>119</v>
      </c>
      <c r="B215" s="2" t="n">
        <v>10</v>
      </c>
      <c r="C215" s="2" t="s">
        <v>65</v>
      </c>
      <c r="D215" s="2" t="s">
        <v>34</v>
      </c>
      <c r="E215" s="2" t="str">
        <f aca="false">INDEX(Products!$B$2:$B$13,MATCH(D215,Products!$A$2:$A$13,0))</f>
        <v>FCC</v>
      </c>
      <c r="F215" s="15" t="n">
        <v>20.3</v>
      </c>
      <c r="G215" s="16" t="n">
        <f aca="false">IF(A215="2025",INDEX(Products!$C$2:$C$13,MATCH(D215,Products!$A$2:$A$13,0)),INDEX(Products!$E$2:$E$13,MATCH(D215,Products!$A$2:$A$13,0)))</f>
        <v>3433.5</v>
      </c>
      <c r="H215" s="13" t="n">
        <f aca="false">IF(A215="2025",INDEX(Customers!$D$2:$D$41,MATCH(C215,Customers!$A$2:$A$41,0)),INDEX(Customers!$F$2:$F$41,MATCH(C215,Customers!$A$2:$A$41,0)))</f>
        <v>0.08</v>
      </c>
      <c r="I215" s="16" t="n">
        <f aca="false">F215*G215</f>
        <v>69700.05</v>
      </c>
      <c r="J215" s="16" t="n">
        <f aca="false">I215*(1-H215)</f>
        <v>64124.046</v>
      </c>
      <c r="K215" s="16" t="n">
        <f aca="false">J215*INDEX(Customers!$G$2:$G$41,MATCH(C215,Customers!$A$2:$A$41,0))</f>
        <v>1282.48092</v>
      </c>
      <c r="L215" s="16" t="n">
        <f aca="false">F215*INDEX(Customers!$H$2:$H$41,MATCH(C215,Customers!$A$2:$A$41,0))</f>
        <v>2842</v>
      </c>
      <c r="M215" s="16" t="n">
        <f aca="false">J215*INDEX(Customers!$I$2:$I$41,MATCH(C215,Customers!$A$2:$A$41,0))/365*Assumptions!$B$6</f>
        <v>843.275125479452</v>
      </c>
      <c r="N215" s="16" t="n">
        <f aca="false">J215-K215-L215-M215</f>
        <v>59156.2899545206</v>
      </c>
      <c r="O215" s="16" t="n">
        <f aca="false">F215*IF(A215="2025",INDEX(Products!$D$2:$D$13,MATCH(D215,Products!$A$2:$A$13,0)),INDEX(Products!$F$2:$F$13,MATCH(D215,Products!$A$2:$A$13,0)))</f>
        <v>45790.71</v>
      </c>
      <c r="P215" s="16" t="n">
        <f aca="false">N215-O215</f>
        <v>13365.5799545205</v>
      </c>
    </row>
    <row r="216" customFormat="false" ht="15" hidden="false" customHeight="false" outlineLevel="0" collapsed="false">
      <c r="A216" s="2" t="s">
        <v>119</v>
      </c>
      <c r="B216" s="2" t="n">
        <v>11</v>
      </c>
      <c r="C216" s="2" t="s">
        <v>65</v>
      </c>
      <c r="D216" s="2" t="s">
        <v>34</v>
      </c>
      <c r="E216" s="2" t="str">
        <f aca="false">INDEX(Products!$B$2:$B$13,MATCH(D216,Products!$A$2:$A$13,0))</f>
        <v>FCC</v>
      </c>
      <c r="F216" s="15" t="n">
        <v>13</v>
      </c>
      <c r="G216" s="16" t="n">
        <f aca="false">IF(A216="2025",INDEX(Products!$C$2:$C$13,MATCH(D216,Products!$A$2:$A$13,0)),INDEX(Products!$E$2:$E$13,MATCH(D216,Products!$A$2:$A$13,0)))</f>
        <v>3433.5</v>
      </c>
      <c r="H216" s="13" t="n">
        <f aca="false">IF(A216="2025",INDEX(Customers!$D$2:$D$41,MATCH(C216,Customers!$A$2:$A$41,0)),INDEX(Customers!$F$2:$F$41,MATCH(C216,Customers!$A$2:$A$41,0)))</f>
        <v>0.08</v>
      </c>
      <c r="I216" s="16" t="n">
        <f aca="false">F216*G216</f>
        <v>44635.5</v>
      </c>
      <c r="J216" s="16" t="n">
        <f aca="false">I216*(1-H216)</f>
        <v>41064.66</v>
      </c>
      <c r="K216" s="16" t="n">
        <f aca="false">J216*INDEX(Customers!$G$2:$G$41,MATCH(C216,Customers!$A$2:$A$41,0))</f>
        <v>821.2932</v>
      </c>
      <c r="L216" s="16" t="n">
        <f aca="false">F216*INDEX(Customers!$H$2:$H$41,MATCH(C216,Customers!$A$2:$A$41,0))</f>
        <v>1820</v>
      </c>
      <c r="M216" s="16" t="n">
        <f aca="false">J216*INDEX(Customers!$I$2:$I$41,MATCH(C216,Customers!$A$2:$A$41,0))/365*Assumptions!$B$6</f>
        <v>540.028405479452</v>
      </c>
      <c r="N216" s="16" t="n">
        <f aca="false">J216-K216-L216-M216</f>
        <v>37883.3383945206</v>
      </c>
      <c r="O216" s="16" t="n">
        <f aca="false">F216*IF(A216="2025",INDEX(Products!$D$2:$D$13,MATCH(D216,Products!$A$2:$A$13,0)),INDEX(Products!$F$2:$F$13,MATCH(D216,Products!$A$2:$A$13,0)))</f>
        <v>29324.1</v>
      </c>
      <c r="P216" s="16" t="n">
        <f aca="false">N216-O216</f>
        <v>8559.23839452055</v>
      </c>
    </row>
    <row r="217" customFormat="false" ht="15" hidden="false" customHeight="false" outlineLevel="0" collapsed="false">
      <c r="A217" s="2" t="s">
        <v>119</v>
      </c>
      <c r="B217" s="2" t="n">
        <v>12</v>
      </c>
      <c r="C217" s="2" t="s">
        <v>65</v>
      </c>
      <c r="D217" s="2" t="s">
        <v>34</v>
      </c>
      <c r="E217" s="2" t="str">
        <f aca="false">INDEX(Products!$B$2:$B$13,MATCH(D217,Products!$A$2:$A$13,0))</f>
        <v>FCC</v>
      </c>
      <c r="F217" s="15" t="n">
        <v>12.6</v>
      </c>
      <c r="G217" s="16" t="n">
        <f aca="false">IF(A217="2025",INDEX(Products!$C$2:$C$13,MATCH(D217,Products!$A$2:$A$13,0)),INDEX(Products!$E$2:$E$13,MATCH(D217,Products!$A$2:$A$13,0)))</f>
        <v>3433.5</v>
      </c>
      <c r="H217" s="13" t="n">
        <f aca="false">IF(A217="2025",INDEX(Customers!$D$2:$D$41,MATCH(C217,Customers!$A$2:$A$41,0)),INDEX(Customers!$F$2:$F$41,MATCH(C217,Customers!$A$2:$A$41,0)))</f>
        <v>0.08</v>
      </c>
      <c r="I217" s="16" t="n">
        <f aca="false">F217*G217</f>
        <v>43262.1</v>
      </c>
      <c r="J217" s="16" t="n">
        <f aca="false">I217*(1-H217)</f>
        <v>39801.132</v>
      </c>
      <c r="K217" s="16" t="n">
        <f aca="false">J217*INDEX(Customers!$G$2:$G$41,MATCH(C217,Customers!$A$2:$A$41,0))</f>
        <v>796.02264</v>
      </c>
      <c r="L217" s="16" t="n">
        <f aca="false">F217*INDEX(Customers!$H$2:$H$41,MATCH(C217,Customers!$A$2:$A$41,0))</f>
        <v>1764</v>
      </c>
      <c r="M217" s="16" t="n">
        <f aca="false">J217*INDEX(Customers!$I$2:$I$41,MATCH(C217,Customers!$A$2:$A$41,0))/365*Assumptions!$B$6</f>
        <v>523.412146849315</v>
      </c>
      <c r="N217" s="16" t="n">
        <f aca="false">J217-K217-L217-M217</f>
        <v>36717.6972131507</v>
      </c>
      <c r="O217" s="16" t="n">
        <f aca="false">F217*IF(A217="2025",INDEX(Products!$D$2:$D$13,MATCH(D217,Products!$A$2:$A$13,0)),INDEX(Products!$F$2:$F$13,MATCH(D217,Products!$A$2:$A$13,0)))</f>
        <v>28421.82</v>
      </c>
      <c r="P217" s="16" t="n">
        <f aca="false">N217-O217</f>
        <v>8295.87721315067</v>
      </c>
    </row>
    <row r="218" customFormat="false" ht="15" hidden="false" customHeight="false" outlineLevel="0" collapsed="false">
      <c r="A218" s="2" t="s">
        <v>118</v>
      </c>
      <c r="B218" s="2" t="n">
        <v>1</v>
      </c>
      <c r="C218" s="2" t="s">
        <v>67</v>
      </c>
      <c r="D218" s="2" t="s">
        <v>37</v>
      </c>
      <c r="E218" s="2" t="str">
        <f aca="false">INDEX(Products!$B$2:$B$13,MATCH(D218,Products!$A$2:$A$13,0))</f>
        <v>FCC</v>
      </c>
      <c r="F218" s="15" t="n">
        <v>29</v>
      </c>
      <c r="G218" s="16" t="n">
        <f aca="false">IF(A218="2025",INDEX(Products!$C$2:$C$13,MATCH(D218,Products!$A$2:$A$13,0)),INDEX(Products!$E$2:$E$13,MATCH(D218,Products!$A$2:$A$13,0)))</f>
        <v>3530</v>
      </c>
      <c r="H218" s="13" t="n">
        <f aca="false">IF(A218="2025",INDEX(Customers!$D$2:$D$41,MATCH(C218,Customers!$A$2:$A$41,0)),INDEX(Customers!$F$2:$F$41,MATCH(C218,Customers!$A$2:$A$41,0)))</f>
        <v>0.078</v>
      </c>
      <c r="I218" s="16" t="n">
        <f aca="false">F218*G218</f>
        <v>102370</v>
      </c>
      <c r="J218" s="16" t="n">
        <f aca="false">I218*(1-H218)</f>
        <v>94385.14</v>
      </c>
      <c r="K218" s="16" t="n">
        <f aca="false">J218*INDEX(Customers!$G$2:$G$41,MATCH(C218,Customers!$A$2:$A$41,0))</f>
        <v>1887.7028</v>
      </c>
      <c r="L218" s="16" t="n">
        <f aca="false">F218*INDEX(Customers!$H$2:$H$41,MATCH(C218,Customers!$A$2:$A$41,0))</f>
        <v>8120</v>
      </c>
      <c r="M218" s="16" t="n">
        <f aca="false">J218*INDEX(Customers!$I$2:$I$41,MATCH(C218,Customers!$A$2:$A$41,0))/365*Assumptions!$B$6</f>
        <v>1241.22923835616</v>
      </c>
      <c r="N218" s="16" t="n">
        <f aca="false">J218-K218-L218-M218</f>
        <v>83136.2079616438</v>
      </c>
      <c r="O218" s="16" t="n">
        <f aca="false">F218*IF(A218="2025",INDEX(Products!$D$2:$D$13,MATCH(D218,Products!$A$2:$A$13,0)),INDEX(Products!$F$2:$F$13,MATCH(D218,Products!$A$2:$A$13,0)))</f>
        <v>69890</v>
      </c>
      <c r="P218" s="16" t="n">
        <f aca="false">N218-O218</f>
        <v>13246.2079616438</v>
      </c>
    </row>
    <row r="219" customFormat="false" ht="15" hidden="false" customHeight="false" outlineLevel="0" collapsed="false">
      <c r="A219" s="2" t="s">
        <v>118</v>
      </c>
      <c r="B219" s="2" t="n">
        <v>2</v>
      </c>
      <c r="C219" s="2" t="s">
        <v>67</v>
      </c>
      <c r="D219" s="2" t="s">
        <v>37</v>
      </c>
      <c r="E219" s="2" t="str">
        <f aca="false">INDEX(Products!$B$2:$B$13,MATCH(D219,Products!$A$2:$A$13,0))</f>
        <v>FCC</v>
      </c>
      <c r="F219" s="15" t="n">
        <v>39.1</v>
      </c>
      <c r="G219" s="16" t="n">
        <f aca="false">IF(A219="2025",INDEX(Products!$C$2:$C$13,MATCH(D219,Products!$A$2:$A$13,0)),INDEX(Products!$E$2:$E$13,MATCH(D219,Products!$A$2:$A$13,0)))</f>
        <v>3530</v>
      </c>
      <c r="H219" s="13" t="n">
        <f aca="false">IF(A219="2025",INDEX(Customers!$D$2:$D$41,MATCH(C219,Customers!$A$2:$A$41,0)),INDEX(Customers!$F$2:$F$41,MATCH(C219,Customers!$A$2:$A$41,0)))</f>
        <v>0.078</v>
      </c>
      <c r="I219" s="16" t="n">
        <f aca="false">F219*G219</f>
        <v>138023</v>
      </c>
      <c r="J219" s="16" t="n">
        <f aca="false">I219*(1-H219)</f>
        <v>127257.206</v>
      </c>
      <c r="K219" s="16" t="n">
        <f aca="false">J219*INDEX(Customers!$G$2:$G$41,MATCH(C219,Customers!$A$2:$A$41,0))</f>
        <v>2545.14412</v>
      </c>
      <c r="L219" s="16" t="n">
        <f aca="false">F219*INDEX(Customers!$H$2:$H$41,MATCH(C219,Customers!$A$2:$A$41,0))</f>
        <v>10948</v>
      </c>
      <c r="M219" s="16" t="n">
        <f aca="false">J219*INDEX(Customers!$I$2:$I$41,MATCH(C219,Customers!$A$2:$A$41,0))/365*Assumptions!$B$6</f>
        <v>1673.51942136986</v>
      </c>
      <c r="N219" s="16" t="n">
        <f aca="false">J219-K219-L219-M219</f>
        <v>112090.54245863</v>
      </c>
      <c r="O219" s="16" t="n">
        <f aca="false">F219*IF(A219="2025",INDEX(Products!$D$2:$D$13,MATCH(D219,Products!$A$2:$A$13,0)),INDEX(Products!$F$2:$F$13,MATCH(D219,Products!$A$2:$A$13,0)))</f>
        <v>94231</v>
      </c>
      <c r="P219" s="16" t="n">
        <f aca="false">N219-O219</f>
        <v>17859.5424586302</v>
      </c>
    </row>
    <row r="220" customFormat="false" ht="15" hidden="false" customHeight="false" outlineLevel="0" collapsed="false">
      <c r="A220" s="2" t="s">
        <v>118</v>
      </c>
      <c r="B220" s="2" t="n">
        <v>3</v>
      </c>
      <c r="C220" s="2" t="s">
        <v>67</v>
      </c>
      <c r="D220" s="2" t="s">
        <v>37</v>
      </c>
      <c r="E220" s="2" t="str">
        <f aca="false">INDEX(Products!$B$2:$B$13,MATCH(D220,Products!$A$2:$A$13,0))</f>
        <v>FCC</v>
      </c>
      <c r="F220" s="15" t="n">
        <v>23.1</v>
      </c>
      <c r="G220" s="16" t="n">
        <f aca="false">IF(A220="2025",INDEX(Products!$C$2:$C$13,MATCH(D220,Products!$A$2:$A$13,0)),INDEX(Products!$E$2:$E$13,MATCH(D220,Products!$A$2:$A$13,0)))</f>
        <v>3530</v>
      </c>
      <c r="H220" s="13" t="n">
        <f aca="false">IF(A220="2025",INDEX(Customers!$D$2:$D$41,MATCH(C220,Customers!$A$2:$A$41,0)),INDEX(Customers!$F$2:$F$41,MATCH(C220,Customers!$A$2:$A$41,0)))</f>
        <v>0.078</v>
      </c>
      <c r="I220" s="16" t="n">
        <f aca="false">F220*G220</f>
        <v>81543</v>
      </c>
      <c r="J220" s="16" t="n">
        <f aca="false">I220*(1-H220)</f>
        <v>75182.646</v>
      </c>
      <c r="K220" s="16" t="n">
        <f aca="false">J220*INDEX(Customers!$G$2:$G$41,MATCH(C220,Customers!$A$2:$A$41,0))</f>
        <v>1503.65292</v>
      </c>
      <c r="L220" s="16" t="n">
        <f aca="false">F220*INDEX(Customers!$H$2:$H$41,MATCH(C220,Customers!$A$2:$A$41,0))</f>
        <v>6468</v>
      </c>
      <c r="M220" s="16" t="n">
        <f aca="false">J220*INDEX(Customers!$I$2:$I$41,MATCH(C220,Customers!$A$2:$A$41,0))/365*Assumptions!$B$6</f>
        <v>988.703289863014</v>
      </c>
      <c r="N220" s="16" t="n">
        <f aca="false">J220-K220-L220-M220</f>
        <v>66222.289790137</v>
      </c>
      <c r="O220" s="16" t="n">
        <f aca="false">F220*IF(A220="2025",INDEX(Products!$D$2:$D$13,MATCH(D220,Products!$A$2:$A$13,0)),INDEX(Products!$F$2:$F$13,MATCH(D220,Products!$A$2:$A$13,0)))</f>
        <v>55671</v>
      </c>
      <c r="P220" s="16" t="n">
        <f aca="false">N220-O220</f>
        <v>10551.289790137</v>
      </c>
    </row>
    <row r="221" customFormat="false" ht="15" hidden="false" customHeight="false" outlineLevel="0" collapsed="false">
      <c r="A221" s="2" t="s">
        <v>118</v>
      </c>
      <c r="B221" s="2" t="n">
        <v>4</v>
      </c>
      <c r="C221" s="2" t="s">
        <v>67</v>
      </c>
      <c r="D221" s="2" t="s">
        <v>37</v>
      </c>
      <c r="E221" s="2" t="str">
        <f aca="false">INDEX(Products!$B$2:$B$13,MATCH(D221,Products!$A$2:$A$13,0))</f>
        <v>FCC</v>
      </c>
      <c r="F221" s="15" t="n">
        <v>31.7</v>
      </c>
      <c r="G221" s="16" t="n">
        <f aca="false">IF(A221="2025",INDEX(Products!$C$2:$C$13,MATCH(D221,Products!$A$2:$A$13,0)),INDEX(Products!$E$2:$E$13,MATCH(D221,Products!$A$2:$A$13,0)))</f>
        <v>3530</v>
      </c>
      <c r="H221" s="13" t="n">
        <f aca="false">IF(A221="2025",INDEX(Customers!$D$2:$D$41,MATCH(C221,Customers!$A$2:$A$41,0)),INDEX(Customers!$F$2:$F$41,MATCH(C221,Customers!$A$2:$A$41,0)))</f>
        <v>0.078</v>
      </c>
      <c r="I221" s="16" t="n">
        <f aca="false">F221*G221</f>
        <v>111901</v>
      </c>
      <c r="J221" s="16" t="n">
        <f aca="false">I221*(1-H221)</f>
        <v>103172.722</v>
      </c>
      <c r="K221" s="16" t="n">
        <f aca="false">J221*INDEX(Customers!$G$2:$G$41,MATCH(C221,Customers!$A$2:$A$41,0))</f>
        <v>2063.45444</v>
      </c>
      <c r="L221" s="16" t="n">
        <f aca="false">F221*INDEX(Customers!$H$2:$H$41,MATCH(C221,Customers!$A$2:$A$41,0))</f>
        <v>8876</v>
      </c>
      <c r="M221" s="16" t="n">
        <f aca="false">J221*INDEX(Customers!$I$2:$I$41,MATCH(C221,Customers!$A$2:$A$41,0))/365*Assumptions!$B$6</f>
        <v>1356.79196054795</v>
      </c>
      <c r="N221" s="16" t="n">
        <f aca="false">J221-K221-L221-M221</f>
        <v>90876.4755994521</v>
      </c>
      <c r="O221" s="16" t="n">
        <f aca="false">F221*IF(A221="2025",INDEX(Products!$D$2:$D$13,MATCH(D221,Products!$A$2:$A$13,0)),INDEX(Products!$F$2:$F$13,MATCH(D221,Products!$A$2:$A$13,0)))</f>
        <v>76397</v>
      </c>
      <c r="P221" s="16" t="n">
        <f aca="false">N221-O221</f>
        <v>14479.4755994521</v>
      </c>
    </row>
    <row r="222" customFormat="false" ht="15" hidden="false" customHeight="false" outlineLevel="0" collapsed="false">
      <c r="A222" s="2" t="s">
        <v>118</v>
      </c>
      <c r="B222" s="2" t="n">
        <v>5</v>
      </c>
      <c r="C222" s="2" t="s">
        <v>67</v>
      </c>
      <c r="D222" s="2" t="s">
        <v>37</v>
      </c>
      <c r="E222" s="2" t="str">
        <f aca="false">INDEX(Products!$B$2:$B$13,MATCH(D222,Products!$A$2:$A$13,0))</f>
        <v>FCC</v>
      </c>
      <c r="F222" s="15" t="n">
        <v>36</v>
      </c>
      <c r="G222" s="16" t="n">
        <f aca="false">IF(A222="2025",INDEX(Products!$C$2:$C$13,MATCH(D222,Products!$A$2:$A$13,0)),INDEX(Products!$E$2:$E$13,MATCH(D222,Products!$A$2:$A$13,0)))</f>
        <v>3530</v>
      </c>
      <c r="H222" s="13" t="n">
        <f aca="false">IF(A222="2025",INDEX(Customers!$D$2:$D$41,MATCH(C222,Customers!$A$2:$A$41,0)),INDEX(Customers!$F$2:$F$41,MATCH(C222,Customers!$A$2:$A$41,0)))</f>
        <v>0.078</v>
      </c>
      <c r="I222" s="16" t="n">
        <f aca="false">F222*G222</f>
        <v>127080</v>
      </c>
      <c r="J222" s="16" t="n">
        <f aca="false">I222*(1-H222)</f>
        <v>117167.76</v>
      </c>
      <c r="K222" s="16" t="n">
        <f aca="false">J222*INDEX(Customers!$G$2:$G$41,MATCH(C222,Customers!$A$2:$A$41,0))</f>
        <v>2343.3552</v>
      </c>
      <c r="L222" s="16" t="n">
        <f aca="false">F222*INDEX(Customers!$H$2:$H$41,MATCH(C222,Customers!$A$2:$A$41,0))</f>
        <v>10080</v>
      </c>
      <c r="M222" s="16" t="n">
        <f aca="false">J222*INDEX(Customers!$I$2:$I$41,MATCH(C222,Customers!$A$2:$A$41,0))/365*Assumptions!$B$6</f>
        <v>1540.83629589041</v>
      </c>
      <c r="N222" s="16" t="n">
        <f aca="false">J222-K222-L222-M222</f>
        <v>103203.56850411</v>
      </c>
      <c r="O222" s="16" t="n">
        <f aca="false">F222*IF(A222="2025",INDEX(Products!$D$2:$D$13,MATCH(D222,Products!$A$2:$A$13,0)),INDEX(Products!$F$2:$F$13,MATCH(D222,Products!$A$2:$A$13,0)))</f>
        <v>86760</v>
      </c>
      <c r="P222" s="16" t="n">
        <f aca="false">N222-O222</f>
        <v>16443.5685041096</v>
      </c>
    </row>
    <row r="223" customFormat="false" ht="15" hidden="false" customHeight="false" outlineLevel="0" collapsed="false">
      <c r="A223" s="2" t="s">
        <v>118</v>
      </c>
      <c r="B223" s="2" t="n">
        <v>6</v>
      </c>
      <c r="C223" s="2" t="s">
        <v>67</v>
      </c>
      <c r="D223" s="2" t="s">
        <v>37</v>
      </c>
      <c r="E223" s="2" t="str">
        <f aca="false">INDEX(Products!$B$2:$B$13,MATCH(D223,Products!$A$2:$A$13,0))</f>
        <v>FCC</v>
      </c>
      <c r="F223" s="15" t="n">
        <v>31.3</v>
      </c>
      <c r="G223" s="16" t="n">
        <f aca="false">IF(A223="2025",INDEX(Products!$C$2:$C$13,MATCH(D223,Products!$A$2:$A$13,0)),INDEX(Products!$E$2:$E$13,MATCH(D223,Products!$A$2:$A$13,0)))</f>
        <v>3530</v>
      </c>
      <c r="H223" s="13" t="n">
        <f aca="false">IF(A223="2025",INDEX(Customers!$D$2:$D$41,MATCH(C223,Customers!$A$2:$A$41,0)),INDEX(Customers!$F$2:$F$41,MATCH(C223,Customers!$A$2:$A$41,0)))</f>
        <v>0.078</v>
      </c>
      <c r="I223" s="16" t="n">
        <f aca="false">F223*G223</f>
        <v>110489</v>
      </c>
      <c r="J223" s="16" t="n">
        <f aca="false">I223*(1-H223)</f>
        <v>101870.858</v>
      </c>
      <c r="K223" s="16" t="n">
        <f aca="false">J223*INDEX(Customers!$G$2:$G$41,MATCH(C223,Customers!$A$2:$A$41,0))</f>
        <v>2037.41716</v>
      </c>
      <c r="L223" s="16" t="n">
        <f aca="false">F223*INDEX(Customers!$H$2:$H$41,MATCH(C223,Customers!$A$2:$A$41,0))</f>
        <v>8764</v>
      </c>
      <c r="M223" s="16" t="n">
        <f aca="false">J223*INDEX(Customers!$I$2:$I$41,MATCH(C223,Customers!$A$2:$A$41,0))/365*Assumptions!$B$6</f>
        <v>1339.67155726027</v>
      </c>
      <c r="N223" s="16" t="n">
        <f aca="false">J223-K223-L223-M223</f>
        <v>89729.7692827397</v>
      </c>
      <c r="O223" s="16" t="n">
        <f aca="false">F223*IF(A223="2025",INDEX(Products!$D$2:$D$13,MATCH(D223,Products!$A$2:$A$13,0)),INDEX(Products!$F$2:$F$13,MATCH(D223,Products!$A$2:$A$13,0)))</f>
        <v>75433</v>
      </c>
      <c r="P223" s="16" t="n">
        <f aca="false">N223-O223</f>
        <v>14296.7692827397</v>
      </c>
    </row>
    <row r="224" customFormat="false" ht="15" hidden="false" customHeight="false" outlineLevel="0" collapsed="false">
      <c r="A224" s="2" t="s">
        <v>118</v>
      </c>
      <c r="B224" s="2" t="n">
        <v>7</v>
      </c>
      <c r="C224" s="2" t="s">
        <v>67</v>
      </c>
      <c r="D224" s="2" t="s">
        <v>37</v>
      </c>
      <c r="E224" s="2" t="str">
        <f aca="false">INDEX(Products!$B$2:$B$13,MATCH(D224,Products!$A$2:$A$13,0))</f>
        <v>FCC</v>
      </c>
      <c r="F224" s="15" t="n">
        <v>29.4</v>
      </c>
      <c r="G224" s="16" t="n">
        <f aca="false">IF(A224="2025",INDEX(Products!$C$2:$C$13,MATCH(D224,Products!$A$2:$A$13,0)),INDEX(Products!$E$2:$E$13,MATCH(D224,Products!$A$2:$A$13,0)))</f>
        <v>3530</v>
      </c>
      <c r="H224" s="13" t="n">
        <f aca="false">IF(A224="2025",INDEX(Customers!$D$2:$D$41,MATCH(C224,Customers!$A$2:$A$41,0)),INDEX(Customers!$F$2:$F$41,MATCH(C224,Customers!$A$2:$A$41,0)))</f>
        <v>0.078</v>
      </c>
      <c r="I224" s="16" t="n">
        <f aca="false">F224*G224</f>
        <v>103782</v>
      </c>
      <c r="J224" s="16" t="n">
        <f aca="false">I224*(1-H224)</f>
        <v>95687.004</v>
      </c>
      <c r="K224" s="16" t="n">
        <f aca="false">J224*INDEX(Customers!$G$2:$G$41,MATCH(C224,Customers!$A$2:$A$41,0))</f>
        <v>1913.74008</v>
      </c>
      <c r="L224" s="16" t="n">
        <f aca="false">F224*INDEX(Customers!$H$2:$H$41,MATCH(C224,Customers!$A$2:$A$41,0))</f>
        <v>8232</v>
      </c>
      <c r="M224" s="16" t="n">
        <f aca="false">J224*INDEX(Customers!$I$2:$I$41,MATCH(C224,Customers!$A$2:$A$41,0))/365*Assumptions!$B$6</f>
        <v>1258.34964164384</v>
      </c>
      <c r="N224" s="16" t="n">
        <f aca="false">J224-K224-L224-M224</f>
        <v>84282.9142783562</v>
      </c>
      <c r="O224" s="16" t="n">
        <f aca="false">F224*IF(A224="2025",INDEX(Products!$D$2:$D$13,MATCH(D224,Products!$A$2:$A$13,0)),INDEX(Products!$F$2:$F$13,MATCH(D224,Products!$A$2:$A$13,0)))</f>
        <v>70854</v>
      </c>
      <c r="P224" s="16" t="n">
        <f aca="false">N224-O224</f>
        <v>13428.9142783562</v>
      </c>
    </row>
    <row r="225" customFormat="false" ht="15" hidden="false" customHeight="false" outlineLevel="0" collapsed="false">
      <c r="A225" s="2" t="s">
        <v>118</v>
      </c>
      <c r="B225" s="2" t="n">
        <v>8</v>
      </c>
      <c r="C225" s="2" t="s">
        <v>67</v>
      </c>
      <c r="D225" s="2" t="s">
        <v>37</v>
      </c>
      <c r="E225" s="2" t="str">
        <f aca="false">INDEX(Products!$B$2:$B$13,MATCH(D225,Products!$A$2:$A$13,0))</f>
        <v>FCC</v>
      </c>
      <c r="F225" s="15" t="n">
        <v>37</v>
      </c>
      <c r="G225" s="16" t="n">
        <f aca="false">IF(A225="2025",INDEX(Products!$C$2:$C$13,MATCH(D225,Products!$A$2:$A$13,0)),INDEX(Products!$E$2:$E$13,MATCH(D225,Products!$A$2:$A$13,0)))</f>
        <v>3530</v>
      </c>
      <c r="H225" s="13" t="n">
        <f aca="false">IF(A225="2025",INDEX(Customers!$D$2:$D$41,MATCH(C225,Customers!$A$2:$A$41,0)),INDEX(Customers!$F$2:$F$41,MATCH(C225,Customers!$A$2:$A$41,0)))</f>
        <v>0.078</v>
      </c>
      <c r="I225" s="16" t="n">
        <f aca="false">F225*G225</f>
        <v>130610</v>
      </c>
      <c r="J225" s="16" t="n">
        <f aca="false">I225*(1-H225)</f>
        <v>120422.42</v>
      </c>
      <c r="K225" s="16" t="n">
        <f aca="false">J225*INDEX(Customers!$G$2:$G$41,MATCH(C225,Customers!$A$2:$A$41,0))</f>
        <v>2408.4484</v>
      </c>
      <c r="L225" s="16" t="n">
        <f aca="false">F225*INDEX(Customers!$H$2:$H$41,MATCH(C225,Customers!$A$2:$A$41,0))</f>
        <v>10360</v>
      </c>
      <c r="M225" s="16" t="n">
        <f aca="false">J225*INDEX(Customers!$I$2:$I$41,MATCH(C225,Customers!$A$2:$A$41,0))/365*Assumptions!$B$6</f>
        <v>1583.63730410959</v>
      </c>
      <c r="N225" s="16" t="n">
        <f aca="false">J225-K225-L225-M225</f>
        <v>106070.33429589</v>
      </c>
      <c r="O225" s="16" t="n">
        <f aca="false">F225*IF(A225="2025",INDEX(Products!$D$2:$D$13,MATCH(D225,Products!$A$2:$A$13,0)),INDEX(Products!$F$2:$F$13,MATCH(D225,Products!$A$2:$A$13,0)))</f>
        <v>89170</v>
      </c>
      <c r="P225" s="16" t="n">
        <f aca="false">N225-O225</f>
        <v>16900.3342958904</v>
      </c>
    </row>
    <row r="226" customFormat="false" ht="15" hidden="false" customHeight="false" outlineLevel="0" collapsed="false">
      <c r="A226" s="2" t="s">
        <v>118</v>
      </c>
      <c r="B226" s="2" t="n">
        <v>9</v>
      </c>
      <c r="C226" s="2" t="s">
        <v>67</v>
      </c>
      <c r="D226" s="2" t="s">
        <v>37</v>
      </c>
      <c r="E226" s="2" t="str">
        <f aca="false">INDEX(Products!$B$2:$B$13,MATCH(D226,Products!$A$2:$A$13,0))</f>
        <v>FCC</v>
      </c>
      <c r="F226" s="15" t="n">
        <v>31.3</v>
      </c>
      <c r="G226" s="16" t="n">
        <f aca="false">IF(A226="2025",INDEX(Products!$C$2:$C$13,MATCH(D226,Products!$A$2:$A$13,0)),INDEX(Products!$E$2:$E$13,MATCH(D226,Products!$A$2:$A$13,0)))</f>
        <v>3530</v>
      </c>
      <c r="H226" s="13" t="n">
        <f aca="false">IF(A226="2025",INDEX(Customers!$D$2:$D$41,MATCH(C226,Customers!$A$2:$A$41,0)),INDEX(Customers!$F$2:$F$41,MATCH(C226,Customers!$A$2:$A$41,0)))</f>
        <v>0.078</v>
      </c>
      <c r="I226" s="16" t="n">
        <f aca="false">F226*G226</f>
        <v>110489</v>
      </c>
      <c r="J226" s="16" t="n">
        <f aca="false">I226*(1-H226)</f>
        <v>101870.858</v>
      </c>
      <c r="K226" s="16" t="n">
        <f aca="false">J226*INDEX(Customers!$G$2:$G$41,MATCH(C226,Customers!$A$2:$A$41,0))</f>
        <v>2037.41716</v>
      </c>
      <c r="L226" s="16" t="n">
        <f aca="false">F226*INDEX(Customers!$H$2:$H$41,MATCH(C226,Customers!$A$2:$A$41,0))</f>
        <v>8764</v>
      </c>
      <c r="M226" s="16" t="n">
        <f aca="false">J226*INDEX(Customers!$I$2:$I$41,MATCH(C226,Customers!$A$2:$A$41,0))/365*Assumptions!$B$6</f>
        <v>1339.67155726027</v>
      </c>
      <c r="N226" s="16" t="n">
        <f aca="false">J226-K226-L226-M226</f>
        <v>89729.7692827397</v>
      </c>
      <c r="O226" s="16" t="n">
        <f aca="false">F226*IF(A226="2025",INDEX(Products!$D$2:$D$13,MATCH(D226,Products!$A$2:$A$13,0)),INDEX(Products!$F$2:$F$13,MATCH(D226,Products!$A$2:$A$13,0)))</f>
        <v>75433</v>
      </c>
      <c r="P226" s="16" t="n">
        <f aca="false">N226-O226</f>
        <v>14296.7692827397</v>
      </c>
    </row>
    <row r="227" customFormat="false" ht="15" hidden="false" customHeight="false" outlineLevel="0" collapsed="false">
      <c r="A227" s="2" t="s">
        <v>118</v>
      </c>
      <c r="B227" s="2" t="n">
        <v>10</v>
      </c>
      <c r="C227" s="2" t="s">
        <v>67</v>
      </c>
      <c r="D227" s="2" t="s">
        <v>37</v>
      </c>
      <c r="E227" s="2" t="str">
        <f aca="false">INDEX(Products!$B$2:$B$13,MATCH(D227,Products!$A$2:$A$13,0))</f>
        <v>FCC</v>
      </c>
      <c r="F227" s="15" t="n">
        <v>38.8</v>
      </c>
      <c r="G227" s="16" t="n">
        <f aca="false">IF(A227="2025",INDEX(Products!$C$2:$C$13,MATCH(D227,Products!$A$2:$A$13,0)),INDEX(Products!$E$2:$E$13,MATCH(D227,Products!$A$2:$A$13,0)))</f>
        <v>3530</v>
      </c>
      <c r="H227" s="13" t="n">
        <f aca="false">IF(A227="2025",INDEX(Customers!$D$2:$D$41,MATCH(C227,Customers!$A$2:$A$41,0)),INDEX(Customers!$F$2:$F$41,MATCH(C227,Customers!$A$2:$A$41,0)))</f>
        <v>0.078</v>
      </c>
      <c r="I227" s="16" t="n">
        <f aca="false">F227*G227</f>
        <v>136964</v>
      </c>
      <c r="J227" s="16" t="n">
        <f aca="false">I227*(1-H227)</f>
        <v>126280.808</v>
      </c>
      <c r="K227" s="16" t="n">
        <f aca="false">J227*INDEX(Customers!$G$2:$G$41,MATCH(C227,Customers!$A$2:$A$41,0))</f>
        <v>2525.61616</v>
      </c>
      <c r="L227" s="16" t="n">
        <f aca="false">F227*INDEX(Customers!$H$2:$H$41,MATCH(C227,Customers!$A$2:$A$41,0))</f>
        <v>10864</v>
      </c>
      <c r="M227" s="16" t="n">
        <f aca="false">J227*INDEX(Customers!$I$2:$I$41,MATCH(C227,Customers!$A$2:$A$41,0))/365*Assumptions!$B$6</f>
        <v>1660.67911890411</v>
      </c>
      <c r="N227" s="16" t="n">
        <f aca="false">J227-K227-L227-M227</f>
        <v>111230.512721096</v>
      </c>
      <c r="O227" s="16" t="n">
        <f aca="false">F227*IF(A227="2025",INDEX(Products!$D$2:$D$13,MATCH(D227,Products!$A$2:$A$13,0)),INDEX(Products!$F$2:$F$13,MATCH(D227,Products!$A$2:$A$13,0)))</f>
        <v>93508</v>
      </c>
      <c r="P227" s="16" t="n">
        <f aca="false">N227-O227</f>
        <v>17722.5127210959</v>
      </c>
    </row>
    <row r="228" customFormat="false" ht="15" hidden="false" customHeight="false" outlineLevel="0" collapsed="false">
      <c r="A228" s="2" t="s">
        <v>118</v>
      </c>
      <c r="B228" s="2" t="n">
        <v>11</v>
      </c>
      <c r="C228" s="2" t="s">
        <v>67</v>
      </c>
      <c r="D228" s="2" t="s">
        <v>37</v>
      </c>
      <c r="E228" s="2" t="str">
        <f aca="false">INDEX(Products!$B$2:$B$13,MATCH(D228,Products!$A$2:$A$13,0))</f>
        <v>FCC</v>
      </c>
      <c r="F228" s="15" t="n">
        <v>26.3</v>
      </c>
      <c r="G228" s="16" t="n">
        <f aca="false">IF(A228="2025",INDEX(Products!$C$2:$C$13,MATCH(D228,Products!$A$2:$A$13,0)),INDEX(Products!$E$2:$E$13,MATCH(D228,Products!$A$2:$A$13,0)))</f>
        <v>3530</v>
      </c>
      <c r="H228" s="13" t="n">
        <f aca="false">IF(A228="2025",INDEX(Customers!$D$2:$D$41,MATCH(C228,Customers!$A$2:$A$41,0)),INDEX(Customers!$F$2:$F$41,MATCH(C228,Customers!$A$2:$A$41,0)))</f>
        <v>0.078</v>
      </c>
      <c r="I228" s="16" t="n">
        <f aca="false">F228*G228</f>
        <v>92839</v>
      </c>
      <c r="J228" s="16" t="n">
        <f aca="false">I228*(1-H228)</f>
        <v>85597.558</v>
      </c>
      <c r="K228" s="16" t="n">
        <f aca="false">J228*INDEX(Customers!$G$2:$G$41,MATCH(C228,Customers!$A$2:$A$41,0))</f>
        <v>1711.95116</v>
      </c>
      <c r="L228" s="16" t="n">
        <f aca="false">F228*INDEX(Customers!$H$2:$H$41,MATCH(C228,Customers!$A$2:$A$41,0))</f>
        <v>7364</v>
      </c>
      <c r="M228" s="16" t="n">
        <f aca="false">J228*INDEX(Customers!$I$2:$I$41,MATCH(C228,Customers!$A$2:$A$41,0))/365*Assumptions!$B$6</f>
        <v>1125.66651616438</v>
      </c>
      <c r="N228" s="16" t="n">
        <f aca="false">J228-K228-L228-M228</f>
        <v>75395.9403238356</v>
      </c>
      <c r="O228" s="16" t="n">
        <f aca="false">F228*IF(A228="2025",INDEX(Products!$D$2:$D$13,MATCH(D228,Products!$A$2:$A$13,0)),INDEX(Products!$F$2:$F$13,MATCH(D228,Products!$A$2:$A$13,0)))</f>
        <v>63383</v>
      </c>
      <c r="P228" s="16" t="n">
        <f aca="false">N228-O228</f>
        <v>12012.9403238356</v>
      </c>
    </row>
    <row r="229" customFormat="false" ht="15" hidden="false" customHeight="false" outlineLevel="0" collapsed="false">
      <c r="A229" s="2" t="s">
        <v>118</v>
      </c>
      <c r="B229" s="2" t="n">
        <v>12</v>
      </c>
      <c r="C229" s="2" t="s">
        <v>67</v>
      </c>
      <c r="D229" s="2" t="s">
        <v>37</v>
      </c>
      <c r="E229" s="2" t="str">
        <f aca="false">INDEX(Products!$B$2:$B$13,MATCH(D229,Products!$A$2:$A$13,0))</f>
        <v>FCC</v>
      </c>
      <c r="F229" s="15" t="n">
        <v>33</v>
      </c>
      <c r="G229" s="16" t="n">
        <f aca="false">IF(A229="2025",INDEX(Products!$C$2:$C$13,MATCH(D229,Products!$A$2:$A$13,0)),INDEX(Products!$E$2:$E$13,MATCH(D229,Products!$A$2:$A$13,0)))</f>
        <v>3530</v>
      </c>
      <c r="H229" s="13" t="n">
        <f aca="false">IF(A229="2025",INDEX(Customers!$D$2:$D$41,MATCH(C229,Customers!$A$2:$A$41,0)),INDEX(Customers!$F$2:$F$41,MATCH(C229,Customers!$A$2:$A$41,0)))</f>
        <v>0.078</v>
      </c>
      <c r="I229" s="16" t="n">
        <f aca="false">F229*G229</f>
        <v>116490</v>
      </c>
      <c r="J229" s="16" t="n">
        <f aca="false">I229*(1-H229)</f>
        <v>107403.78</v>
      </c>
      <c r="K229" s="16" t="n">
        <f aca="false">J229*INDEX(Customers!$G$2:$G$41,MATCH(C229,Customers!$A$2:$A$41,0))</f>
        <v>2148.0756</v>
      </c>
      <c r="L229" s="16" t="n">
        <f aca="false">F229*INDEX(Customers!$H$2:$H$41,MATCH(C229,Customers!$A$2:$A$41,0))</f>
        <v>9240</v>
      </c>
      <c r="M229" s="16" t="n">
        <f aca="false">J229*INDEX(Customers!$I$2:$I$41,MATCH(C229,Customers!$A$2:$A$41,0))/365*Assumptions!$B$6</f>
        <v>1412.43327123288</v>
      </c>
      <c r="N229" s="16" t="n">
        <f aca="false">J229-K229-L229-M229</f>
        <v>94603.2711287671</v>
      </c>
      <c r="O229" s="16" t="n">
        <f aca="false">F229*IF(A229="2025",INDEX(Products!$D$2:$D$13,MATCH(D229,Products!$A$2:$A$13,0)),INDEX(Products!$F$2:$F$13,MATCH(D229,Products!$A$2:$A$13,0)))</f>
        <v>79530</v>
      </c>
      <c r="P229" s="16" t="n">
        <f aca="false">N229-O229</f>
        <v>15073.2711287671</v>
      </c>
    </row>
    <row r="230" customFormat="false" ht="15" hidden="false" customHeight="false" outlineLevel="0" collapsed="false">
      <c r="A230" s="2" t="s">
        <v>119</v>
      </c>
      <c r="B230" s="2" t="n">
        <v>1</v>
      </c>
      <c r="C230" s="2" t="s">
        <v>67</v>
      </c>
      <c r="D230" s="2" t="s">
        <v>37</v>
      </c>
      <c r="E230" s="2" t="str">
        <f aca="false">INDEX(Products!$B$2:$B$13,MATCH(D230,Products!$A$2:$A$13,0))</f>
        <v>FCC</v>
      </c>
      <c r="F230" s="15" t="n">
        <v>33.8</v>
      </c>
      <c r="G230" s="16" t="n">
        <f aca="false">IF(A230="2025",INDEX(Products!$C$2:$C$13,MATCH(D230,Products!$A$2:$A$13,0)),INDEX(Products!$E$2:$E$13,MATCH(D230,Products!$A$2:$A$13,0)))</f>
        <v>3706.5</v>
      </c>
      <c r="H230" s="13" t="n">
        <f aca="false">IF(A230="2025",INDEX(Customers!$D$2:$D$41,MATCH(C230,Customers!$A$2:$A$41,0)),INDEX(Customers!$F$2:$F$41,MATCH(C230,Customers!$A$2:$A$41,0)))</f>
        <v>0.078</v>
      </c>
      <c r="I230" s="16" t="n">
        <f aca="false">F230*G230</f>
        <v>125279.7</v>
      </c>
      <c r="J230" s="16" t="n">
        <f aca="false">I230*(1-H230)</f>
        <v>115507.8834</v>
      </c>
      <c r="K230" s="16" t="n">
        <f aca="false">J230*INDEX(Customers!$G$2:$G$41,MATCH(C230,Customers!$A$2:$A$41,0))</f>
        <v>2310.157668</v>
      </c>
      <c r="L230" s="16" t="n">
        <f aca="false">F230*INDEX(Customers!$H$2:$H$41,MATCH(C230,Customers!$A$2:$A$41,0))</f>
        <v>9464</v>
      </c>
      <c r="M230" s="16" t="n">
        <f aca="false">J230*INDEX(Customers!$I$2:$I$41,MATCH(C230,Customers!$A$2:$A$41,0))/365*Assumptions!$B$6</f>
        <v>1519.00778169863</v>
      </c>
      <c r="N230" s="16" t="n">
        <f aca="false">J230-K230-L230-M230</f>
        <v>102214.717950301</v>
      </c>
      <c r="O230" s="16" t="n">
        <f aca="false">F230*IF(A230="2025",INDEX(Products!$D$2:$D$13,MATCH(D230,Products!$A$2:$A$13,0)),INDEX(Products!$F$2:$F$13,MATCH(D230,Products!$A$2:$A$13,0)))</f>
        <v>83901.74</v>
      </c>
      <c r="P230" s="16" t="n">
        <f aca="false">N230-O230</f>
        <v>18312.9779503014</v>
      </c>
    </row>
    <row r="231" customFormat="false" ht="15" hidden="false" customHeight="false" outlineLevel="0" collapsed="false">
      <c r="A231" s="2" t="s">
        <v>119</v>
      </c>
      <c r="B231" s="2" t="n">
        <v>2</v>
      </c>
      <c r="C231" s="2" t="s">
        <v>67</v>
      </c>
      <c r="D231" s="2" t="s">
        <v>37</v>
      </c>
      <c r="E231" s="2" t="str">
        <f aca="false">INDEX(Products!$B$2:$B$13,MATCH(D231,Products!$A$2:$A$13,0))</f>
        <v>FCC</v>
      </c>
      <c r="F231" s="15" t="n">
        <v>38.9</v>
      </c>
      <c r="G231" s="16" t="n">
        <f aca="false">IF(A231="2025",INDEX(Products!$C$2:$C$13,MATCH(D231,Products!$A$2:$A$13,0)),INDEX(Products!$E$2:$E$13,MATCH(D231,Products!$A$2:$A$13,0)))</f>
        <v>3706.5</v>
      </c>
      <c r="H231" s="13" t="n">
        <f aca="false">IF(A231="2025",INDEX(Customers!$D$2:$D$41,MATCH(C231,Customers!$A$2:$A$41,0)),INDEX(Customers!$F$2:$F$41,MATCH(C231,Customers!$A$2:$A$41,0)))</f>
        <v>0.078</v>
      </c>
      <c r="I231" s="16" t="n">
        <f aca="false">F231*G231</f>
        <v>144182.85</v>
      </c>
      <c r="J231" s="16" t="n">
        <f aca="false">I231*(1-H231)</f>
        <v>132936.5877</v>
      </c>
      <c r="K231" s="16" t="n">
        <f aca="false">J231*INDEX(Customers!$G$2:$G$41,MATCH(C231,Customers!$A$2:$A$41,0))</f>
        <v>2658.731754</v>
      </c>
      <c r="L231" s="16" t="n">
        <f aca="false">F231*INDEX(Customers!$H$2:$H$41,MATCH(C231,Customers!$A$2:$A$41,0))</f>
        <v>10892</v>
      </c>
      <c r="M231" s="16" t="n">
        <f aca="false">J231*INDEX(Customers!$I$2:$I$41,MATCH(C231,Customers!$A$2:$A$41,0))/365*Assumptions!$B$6</f>
        <v>1748.20718071233</v>
      </c>
      <c r="N231" s="16" t="n">
        <f aca="false">J231-K231-L231-M231</f>
        <v>117637.648765288</v>
      </c>
      <c r="O231" s="16" t="n">
        <f aca="false">F231*IF(A231="2025",INDEX(Products!$D$2:$D$13,MATCH(D231,Products!$A$2:$A$13,0)),INDEX(Products!$F$2:$F$13,MATCH(D231,Products!$A$2:$A$13,0)))</f>
        <v>96561.47</v>
      </c>
      <c r="P231" s="16" t="n">
        <f aca="false">N231-O231</f>
        <v>21076.1787652877</v>
      </c>
    </row>
    <row r="232" customFormat="false" ht="15" hidden="false" customHeight="false" outlineLevel="0" collapsed="false">
      <c r="A232" s="2" t="s">
        <v>119</v>
      </c>
      <c r="B232" s="2" t="n">
        <v>3</v>
      </c>
      <c r="C232" s="2" t="s">
        <v>67</v>
      </c>
      <c r="D232" s="2" t="s">
        <v>37</v>
      </c>
      <c r="E232" s="2" t="str">
        <f aca="false">INDEX(Products!$B$2:$B$13,MATCH(D232,Products!$A$2:$A$13,0))</f>
        <v>FCC</v>
      </c>
      <c r="F232" s="15" t="n">
        <v>23.6</v>
      </c>
      <c r="G232" s="16" t="n">
        <f aca="false">IF(A232="2025",INDEX(Products!$C$2:$C$13,MATCH(D232,Products!$A$2:$A$13,0)),INDEX(Products!$E$2:$E$13,MATCH(D232,Products!$A$2:$A$13,0)))</f>
        <v>3706.5</v>
      </c>
      <c r="H232" s="13" t="n">
        <f aca="false">IF(A232="2025",INDEX(Customers!$D$2:$D$41,MATCH(C232,Customers!$A$2:$A$41,0)),INDEX(Customers!$F$2:$F$41,MATCH(C232,Customers!$A$2:$A$41,0)))</f>
        <v>0.078</v>
      </c>
      <c r="I232" s="16" t="n">
        <f aca="false">F232*G232</f>
        <v>87473.4</v>
      </c>
      <c r="J232" s="16" t="n">
        <f aca="false">I232*(1-H232)</f>
        <v>80650.4748</v>
      </c>
      <c r="K232" s="16" t="n">
        <f aca="false">J232*INDEX(Customers!$G$2:$G$41,MATCH(C232,Customers!$A$2:$A$41,0))</f>
        <v>1613.009496</v>
      </c>
      <c r="L232" s="16" t="n">
        <f aca="false">F232*INDEX(Customers!$H$2:$H$41,MATCH(C232,Customers!$A$2:$A$41,0))</f>
        <v>6608</v>
      </c>
      <c r="M232" s="16" t="n">
        <f aca="false">J232*INDEX(Customers!$I$2:$I$41,MATCH(C232,Customers!$A$2:$A$41,0))/365*Assumptions!$B$6</f>
        <v>1060.60898367123</v>
      </c>
      <c r="N232" s="16" t="n">
        <f aca="false">J232-K232-L232-M232</f>
        <v>71368.8563203288</v>
      </c>
      <c r="O232" s="16" t="n">
        <f aca="false">F232*IF(A232="2025",INDEX(Products!$D$2:$D$13,MATCH(D232,Products!$A$2:$A$13,0)),INDEX(Products!$F$2:$F$13,MATCH(D232,Products!$A$2:$A$13,0)))</f>
        <v>58582.28</v>
      </c>
      <c r="P232" s="16" t="n">
        <f aca="false">N232-O232</f>
        <v>12786.5763203288</v>
      </c>
    </row>
    <row r="233" customFormat="false" ht="15" hidden="false" customHeight="false" outlineLevel="0" collapsed="false">
      <c r="A233" s="2" t="s">
        <v>119</v>
      </c>
      <c r="B233" s="2" t="n">
        <v>4</v>
      </c>
      <c r="C233" s="2" t="s">
        <v>67</v>
      </c>
      <c r="D233" s="2" t="s">
        <v>37</v>
      </c>
      <c r="E233" s="2" t="str">
        <f aca="false">INDEX(Products!$B$2:$B$13,MATCH(D233,Products!$A$2:$A$13,0))</f>
        <v>FCC</v>
      </c>
      <c r="F233" s="15" t="n">
        <v>37</v>
      </c>
      <c r="G233" s="16" t="n">
        <f aca="false">IF(A233="2025",INDEX(Products!$C$2:$C$13,MATCH(D233,Products!$A$2:$A$13,0)),INDEX(Products!$E$2:$E$13,MATCH(D233,Products!$A$2:$A$13,0)))</f>
        <v>3706.5</v>
      </c>
      <c r="H233" s="13" t="n">
        <f aca="false">IF(A233="2025",INDEX(Customers!$D$2:$D$41,MATCH(C233,Customers!$A$2:$A$41,0)),INDEX(Customers!$F$2:$F$41,MATCH(C233,Customers!$A$2:$A$41,0)))</f>
        <v>0.078</v>
      </c>
      <c r="I233" s="16" t="n">
        <f aca="false">F233*G233</f>
        <v>137140.5</v>
      </c>
      <c r="J233" s="16" t="n">
        <f aca="false">I233*(1-H233)</f>
        <v>126443.541</v>
      </c>
      <c r="K233" s="16" t="n">
        <f aca="false">J233*INDEX(Customers!$G$2:$G$41,MATCH(C233,Customers!$A$2:$A$41,0))</f>
        <v>2528.87082</v>
      </c>
      <c r="L233" s="16" t="n">
        <f aca="false">F233*INDEX(Customers!$H$2:$H$41,MATCH(C233,Customers!$A$2:$A$41,0))</f>
        <v>10360</v>
      </c>
      <c r="M233" s="16" t="n">
        <f aca="false">J233*INDEX(Customers!$I$2:$I$41,MATCH(C233,Customers!$A$2:$A$41,0))/365*Assumptions!$B$6</f>
        <v>1662.81916931507</v>
      </c>
      <c r="N233" s="16" t="n">
        <f aca="false">J233-K233-L233-M233</f>
        <v>111891.851010685</v>
      </c>
      <c r="O233" s="16" t="n">
        <f aca="false">F233*IF(A233="2025",INDEX(Products!$D$2:$D$13,MATCH(D233,Products!$A$2:$A$13,0)),INDEX(Products!$F$2:$F$13,MATCH(D233,Products!$A$2:$A$13,0)))</f>
        <v>91845.1</v>
      </c>
      <c r="P233" s="16" t="n">
        <f aca="false">N233-O233</f>
        <v>20046.7510106849</v>
      </c>
    </row>
    <row r="234" customFormat="false" ht="15" hidden="false" customHeight="false" outlineLevel="0" collapsed="false">
      <c r="A234" s="2" t="s">
        <v>119</v>
      </c>
      <c r="B234" s="2" t="n">
        <v>5</v>
      </c>
      <c r="C234" s="2" t="s">
        <v>67</v>
      </c>
      <c r="D234" s="2" t="s">
        <v>37</v>
      </c>
      <c r="E234" s="2" t="str">
        <f aca="false">INDEX(Products!$B$2:$B$13,MATCH(D234,Products!$A$2:$A$13,0))</f>
        <v>FCC</v>
      </c>
      <c r="F234" s="15" t="n">
        <v>34.7</v>
      </c>
      <c r="G234" s="16" t="n">
        <f aca="false">IF(A234="2025",INDEX(Products!$C$2:$C$13,MATCH(D234,Products!$A$2:$A$13,0)),INDEX(Products!$E$2:$E$13,MATCH(D234,Products!$A$2:$A$13,0)))</f>
        <v>3706.5</v>
      </c>
      <c r="H234" s="13" t="n">
        <f aca="false">IF(A234="2025",INDEX(Customers!$D$2:$D$41,MATCH(C234,Customers!$A$2:$A$41,0)),INDEX(Customers!$F$2:$F$41,MATCH(C234,Customers!$A$2:$A$41,0)))</f>
        <v>0.078</v>
      </c>
      <c r="I234" s="16" t="n">
        <f aca="false">F234*G234</f>
        <v>128615.55</v>
      </c>
      <c r="J234" s="16" t="n">
        <f aca="false">I234*(1-H234)</f>
        <v>118583.5371</v>
      </c>
      <c r="K234" s="16" t="n">
        <f aca="false">J234*INDEX(Customers!$G$2:$G$41,MATCH(C234,Customers!$A$2:$A$41,0))</f>
        <v>2371.670742</v>
      </c>
      <c r="L234" s="16" t="n">
        <f aca="false">F234*INDEX(Customers!$H$2:$H$41,MATCH(C234,Customers!$A$2:$A$41,0))</f>
        <v>9716</v>
      </c>
      <c r="M234" s="16" t="n">
        <f aca="false">J234*INDEX(Customers!$I$2:$I$41,MATCH(C234,Customers!$A$2:$A$41,0))/365*Assumptions!$B$6</f>
        <v>1559.45473446575</v>
      </c>
      <c r="N234" s="16" t="n">
        <f aca="false">J234-K234-L234-M234</f>
        <v>104936.411623534</v>
      </c>
      <c r="O234" s="16" t="n">
        <f aca="false">F234*IF(A234="2025",INDEX(Products!$D$2:$D$13,MATCH(D234,Products!$A$2:$A$13,0)),INDEX(Products!$F$2:$F$13,MATCH(D234,Products!$A$2:$A$13,0)))</f>
        <v>86135.81</v>
      </c>
      <c r="P234" s="16" t="n">
        <f aca="false">N234-O234</f>
        <v>18800.6016235343</v>
      </c>
    </row>
    <row r="235" customFormat="false" ht="15" hidden="false" customHeight="false" outlineLevel="0" collapsed="false">
      <c r="A235" s="2" t="s">
        <v>119</v>
      </c>
      <c r="B235" s="2" t="n">
        <v>6</v>
      </c>
      <c r="C235" s="2" t="s">
        <v>67</v>
      </c>
      <c r="D235" s="2" t="s">
        <v>37</v>
      </c>
      <c r="E235" s="2" t="str">
        <f aca="false">INDEX(Products!$B$2:$B$13,MATCH(D235,Products!$A$2:$A$13,0))</f>
        <v>FCC</v>
      </c>
      <c r="F235" s="15" t="n">
        <v>38</v>
      </c>
      <c r="G235" s="16" t="n">
        <f aca="false">IF(A235="2025",INDEX(Products!$C$2:$C$13,MATCH(D235,Products!$A$2:$A$13,0)),INDEX(Products!$E$2:$E$13,MATCH(D235,Products!$A$2:$A$13,0)))</f>
        <v>3706.5</v>
      </c>
      <c r="H235" s="13" t="n">
        <f aca="false">IF(A235="2025",INDEX(Customers!$D$2:$D$41,MATCH(C235,Customers!$A$2:$A$41,0)),INDEX(Customers!$F$2:$F$41,MATCH(C235,Customers!$A$2:$A$41,0)))</f>
        <v>0.078</v>
      </c>
      <c r="I235" s="16" t="n">
        <f aca="false">F235*G235</f>
        <v>140847</v>
      </c>
      <c r="J235" s="16" t="n">
        <f aca="false">I235*(1-H235)</f>
        <v>129860.934</v>
      </c>
      <c r="K235" s="16" t="n">
        <f aca="false">J235*INDEX(Customers!$G$2:$G$41,MATCH(C235,Customers!$A$2:$A$41,0))</f>
        <v>2597.21868</v>
      </c>
      <c r="L235" s="16" t="n">
        <f aca="false">F235*INDEX(Customers!$H$2:$H$41,MATCH(C235,Customers!$A$2:$A$41,0))</f>
        <v>10640</v>
      </c>
      <c r="M235" s="16" t="n">
        <f aca="false">J235*INDEX(Customers!$I$2:$I$41,MATCH(C235,Customers!$A$2:$A$41,0))/365*Assumptions!$B$6</f>
        <v>1707.76022794521</v>
      </c>
      <c r="N235" s="16" t="n">
        <f aca="false">J235-K235-L235-M235</f>
        <v>114915.955092055</v>
      </c>
      <c r="O235" s="16" t="n">
        <f aca="false">F235*IF(A235="2025",INDEX(Products!$D$2:$D$13,MATCH(D235,Products!$A$2:$A$13,0)),INDEX(Products!$F$2:$F$13,MATCH(D235,Products!$A$2:$A$13,0)))</f>
        <v>94327.4</v>
      </c>
      <c r="P235" s="16" t="n">
        <f aca="false">N235-O235</f>
        <v>20588.5550920548</v>
      </c>
    </row>
    <row r="236" customFormat="false" ht="15" hidden="false" customHeight="false" outlineLevel="0" collapsed="false">
      <c r="A236" s="2" t="s">
        <v>119</v>
      </c>
      <c r="B236" s="2" t="n">
        <v>7</v>
      </c>
      <c r="C236" s="2" t="s">
        <v>67</v>
      </c>
      <c r="D236" s="2" t="s">
        <v>37</v>
      </c>
      <c r="E236" s="2" t="str">
        <f aca="false">INDEX(Products!$B$2:$B$13,MATCH(D236,Products!$A$2:$A$13,0))</f>
        <v>FCC</v>
      </c>
      <c r="F236" s="15" t="n">
        <v>33.3</v>
      </c>
      <c r="G236" s="16" t="n">
        <f aca="false">IF(A236="2025",INDEX(Products!$C$2:$C$13,MATCH(D236,Products!$A$2:$A$13,0)),INDEX(Products!$E$2:$E$13,MATCH(D236,Products!$A$2:$A$13,0)))</f>
        <v>3706.5</v>
      </c>
      <c r="H236" s="13" t="n">
        <f aca="false">IF(A236="2025",INDEX(Customers!$D$2:$D$41,MATCH(C236,Customers!$A$2:$A$41,0)),INDEX(Customers!$F$2:$F$41,MATCH(C236,Customers!$A$2:$A$41,0)))</f>
        <v>0.078</v>
      </c>
      <c r="I236" s="16" t="n">
        <f aca="false">F236*G236</f>
        <v>123426.45</v>
      </c>
      <c r="J236" s="16" t="n">
        <f aca="false">I236*(1-H236)</f>
        <v>113799.1869</v>
      </c>
      <c r="K236" s="16" t="n">
        <f aca="false">J236*INDEX(Customers!$G$2:$G$41,MATCH(C236,Customers!$A$2:$A$41,0))</f>
        <v>2275.983738</v>
      </c>
      <c r="L236" s="16" t="n">
        <f aca="false">F236*INDEX(Customers!$H$2:$H$41,MATCH(C236,Customers!$A$2:$A$41,0))</f>
        <v>9324</v>
      </c>
      <c r="M236" s="16" t="n">
        <f aca="false">J236*INDEX(Customers!$I$2:$I$41,MATCH(C236,Customers!$A$2:$A$41,0))/365*Assumptions!$B$6</f>
        <v>1496.53725238356</v>
      </c>
      <c r="N236" s="16" t="n">
        <f aca="false">J236-K236-L236-M236</f>
        <v>100702.665909616</v>
      </c>
      <c r="O236" s="16" t="n">
        <f aca="false">F236*IF(A236="2025",INDEX(Products!$D$2:$D$13,MATCH(D236,Products!$A$2:$A$13,0)),INDEX(Products!$F$2:$F$13,MATCH(D236,Products!$A$2:$A$13,0)))</f>
        <v>82660.59</v>
      </c>
      <c r="P236" s="16" t="n">
        <f aca="false">N236-O236</f>
        <v>18042.0759096164</v>
      </c>
    </row>
    <row r="237" customFormat="false" ht="15" hidden="false" customHeight="false" outlineLevel="0" collapsed="false">
      <c r="A237" s="2" t="s">
        <v>119</v>
      </c>
      <c r="B237" s="2" t="n">
        <v>8</v>
      </c>
      <c r="C237" s="2" t="s">
        <v>67</v>
      </c>
      <c r="D237" s="2" t="s">
        <v>37</v>
      </c>
      <c r="E237" s="2" t="str">
        <f aca="false">INDEX(Products!$B$2:$B$13,MATCH(D237,Products!$A$2:$A$13,0))</f>
        <v>FCC</v>
      </c>
      <c r="F237" s="15" t="n">
        <v>30.4</v>
      </c>
      <c r="G237" s="16" t="n">
        <f aca="false">IF(A237="2025",INDEX(Products!$C$2:$C$13,MATCH(D237,Products!$A$2:$A$13,0)),INDEX(Products!$E$2:$E$13,MATCH(D237,Products!$A$2:$A$13,0)))</f>
        <v>3706.5</v>
      </c>
      <c r="H237" s="13" t="n">
        <f aca="false">IF(A237="2025",INDEX(Customers!$D$2:$D$41,MATCH(C237,Customers!$A$2:$A$41,0)),INDEX(Customers!$F$2:$F$41,MATCH(C237,Customers!$A$2:$A$41,0)))</f>
        <v>0.078</v>
      </c>
      <c r="I237" s="16" t="n">
        <f aca="false">F237*G237</f>
        <v>112677.6</v>
      </c>
      <c r="J237" s="16" t="n">
        <f aca="false">I237*(1-H237)</f>
        <v>103888.7472</v>
      </c>
      <c r="K237" s="16" t="n">
        <f aca="false">J237*INDEX(Customers!$G$2:$G$41,MATCH(C237,Customers!$A$2:$A$41,0))</f>
        <v>2077.774944</v>
      </c>
      <c r="L237" s="16" t="n">
        <f aca="false">F237*INDEX(Customers!$H$2:$H$41,MATCH(C237,Customers!$A$2:$A$41,0))</f>
        <v>8512</v>
      </c>
      <c r="M237" s="16" t="n">
        <f aca="false">J237*INDEX(Customers!$I$2:$I$41,MATCH(C237,Customers!$A$2:$A$41,0))/365*Assumptions!$B$6</f>
        <v>1366.20818235616</v>
      </c>
      <c r="N237" s="16" t="n">
        <f aca="false">J237-K237-L237-M237</f>
        <v>91932.7640736438</v>
      </c>
      <c r="O237" s="16" t="n">
        <f aca="false">F237*IF(A237="2025",INDEX(Products!$D$2:$D$13,MATCH(D237,Products!$A$2:$A$13,0)),INDEX(Products!$F$2:$F$13,MATCH(D237,Products!$A$2:$A$13,0)))</f>
        <v>75461.92</v>
      </c>
      <c r="P237" s="16" t="n">
        <f aca="false">N237-O237</f>
        <v>16470.8440736438</v>
      </c>
    </row>
    <row r="238" customFormat="false" ht="15" hidden="false" customHeight="false" outlineLevel="0" collapsed="false">
      <c r="A238" s="2" t="s">
        <v>119</v>
      </c>
      <c r="B238" s="2" t="n">
        <v>9</v>
      </c>
      <c r="C238" s="2" t="s">
        <v>67</v>
      </c>
      <c r="D238" s="2" t="s">
        <v>37</v>
      </c>
      <c r="E238" s="2" t="str">
        <f aca="false">INDEX(Products!$B$2:$B$13,MATCH(D238,Products!$A$2:$A$13,0))</f>
        <v>FCC</v>
      </c>
      <c r="F238" s="15" t="n">
        <v>36.8</v>
      </c>
      <c r="G238" s="16" t="n">
        <f aca="false">IF(A238="2025",INDEX(Products!$C$2:$C$13,MATCH(D238,Products!$A$2:$A$13,0)),INDEX(Products!$E$2:$E$13,MATCH(D238,Products!$A$2:$A$13,0)))</f>
        <v>3706.5</v>
      </c>
      <c r="H238" s="13" t="n">
        <f aca="false">IF(A238="2025",INDEX(Customers!$D$2:$D$41,MATCH(C238,Customers!$A$2:$A$41,0)),INDEX(Customers!$F$2:$F$41,MATCH(C238,Customers!$A$2:$A$41,0)))</f>
        <v>0.078</v>
      </c>
      <c r="I238" s="16" t="n">
        <f aca="false">F238*G238</f>
        <v>136399.2</v>
      </c>
      <c r="J238" s="16" t="n">
        <f aca="false">I238*(1-H238)</f>
        <v>125760.0624</v>
      </c>
      <c r="K238" s="16" t="n">
        <f aca="false">J238*INDEX(Customers!$G$2:$G$41,MATCH(C238,Customers!$A$2:$A$41,0))</f>
        <v>2515.201248</v>
      </c>
      <c r="L238" s="16" t="n">
        <f aca="false">F238*INDEX(Customers!$H$2:$H$41,MATCH(C238,Customers!$A$2:$A$41,0))</f>
        <v>10304</v>
      </c>
      <c r="M238" s="16" t="n">
        <f aca="false">J238*INDEX(Customers!$I$2:$I$41,MATCH(C238,Customers!$A$2:$A$41,0))/365*Assumptions!$B$6</f>
        <v>1653.83095758904</v>
      </c>
      <c r="N238" s="16" t="n">
        <f aca="false">J238-K238-L238-M238</f>
        <v>111287.030194411</v>
      </c>
      <c r="O238" s="16" t="n">
        <f aca="false">F238*IF(A238="2025",INDEX(Products!$D$2:$D$13,MATCH(D238,Products!$A$2:$A$13,0)),INDEX(Products!$F$2:$F$13,MATCH(D238,Products!$A$2:$A$13,0)))</f>
        <v>91348.64</v>
      </c>
      <c r="P238" s="16" t="n">
        <f aca="false">N238-O238</f>
        <v>19938.390194411</v>
      </c>
    </row>
    <row r="239" customFormat="false" ht="15" hidden="false" customHeight="false" outlineLevel="0" collapsed="false">
      <c r="A239" s="2" t="s">
        <v>119</v>
      </c>
      <c r="B239" s="2" t="n">
        <v>10</v>
      </c>
      <c r="C239" s="2" t="s">
        <v>67</v>
      </c>
      <c r="D239" s="2" t="s">
        <v>37</v>
      </c>
      <c r="E239" s="2" t="str">
        <f aca="false">INDEX(Products!$B$2:$B$13,MATCH(D239,Products!$A$2:$A$13,0))</f>
        <v>FCC</v>
      </c>
      <c r="F239" s="15" t="n">
        <v>27.2</v>
      </c>
      <c r="G239" s="16" t="n">
        <f aca="false">IF(A239="2025",INDEX(Products!$C$2:$C$13,MATCH(D239,Products!$A$2:$A$13,0)),INDEX(Products!$E$2:$E$13,MATCH(D239,Products!$A$2:$A$13,0)))</f>
        <v>3706.5</v>
      </c>
      <c r="H239" s="13" t="n">
        <f aca="false">IF(A239="2025",INDEX(Customers!$D$2:$D$41,MATCH(C239,Customers!$A$2:$A$41,0)),INDEX(Customers!$F$2:$F$41,MATCH(C239,Customers!$A$2:$A$41,0)))</f>
        <v>0.078</v>
      </c>
      <c r="I239" s="16" t="n">
        <f aca="false">F239*G239</f>
        <v>100816.8</v>
      </c>
      <c r="J239" s="16" t="n">
        <f aca="false">I239*(1-H239)</f>
        <v>92953.0896</v>
      </c>
      <c r="K239" s="16" t="n">
        <f aca="false">J239*INDEX(Customers!$G$2:$G$41,MATCH(C239,Customers!$A$2:$A$41,0))</f>
        <v>1859.061792</v>
      </c>
      <c r="L239" s="16" t="n">
        <f aca="false">F239*INDEX(Customers!$H$2:$H$41,MATCH(C239,Customers!$A$2:$A$41,0))</f>
        <v>7616</v>
      </c>
      <c r="M239" s="16" t="n">
        <f aca="false">J239*INDEX(Customers!$I$2:$I$41,MATCH(C239,Customers!$A$2:$A$41,0))/365*Assumptions!$B$6</f>
        <v>1222.39679473973</v>
      </c>
      <c r="N239" s="16" t="n">
        <f aca="false">J239-K239-L239-M239</f>
        <v>82255.6310132603</v>
      </c>
      <c r="O239" s="16" t="n">
        <f aca="false">F239*IF(A239="2025",INDEX(Products!$D$2:$D$13,MATCH(D239,Products!$A$2:$A$13,0)),INDEX(Products!$F$2:$F$13,MATCH(D239,Products!$A$2:$A$13,0)))</f>
        <v>67518.56</v>
      </c>
      <c r="P239" s="16" t="n">
        <f aca="false">N239-O239</f>
        <v>14737.0710132603</v>
      </c>
    </row>
    <row r="240" customFormat="false" ht="15" hidden="false" customHeight="false" outlineLevel="0" collapsed="false">
      <c r="A240" s="2" t="s">
        <v>119</v>
      </c>
      <c r="B240" s="2" t="n">
        <v>11</v>
      </c>
      <c r="C240" s="2" t="s">
        <v>67</v>
      </c>
      <c r="D240" s="2" t="s">
        <v>37</v>
      </c>
      <c r="E240" s="2" t="str">
        <f aca="false">INDEX(Products!$B$2:$B$13,MATCH(D240,Products!$A$2:$A$13,0))</f>
        <v>FCC</v>
      </c>
      <c r="F240" s="15" t="n">
        <v>22.9</v>
      </c>
      <c r="G240" s="16" t="n">
        <f aca="false">IF(A240="2025",INDEX(Products!$C$2:$C$13,MATCH(D240,Products!$A$2:$A$13,0)),INDEX(Products!$E$2:$E$13,MATCH(D240,Products!$A$2:$A$13,0)))</f>
        <v>3706.5</v>
      </c>
      <c r="H240" s="13" t="n">
        <f aca="false">IF(A240="2025",INDEX(Customers!$D$2:$D$41,MATCH(C240,Customers!$A$2:$A$41,0)),INDEX(Customers!$F$2:$F$41,MATCH(C240,Customers!$A$2:$A$41,0)))</f>
        <v>0.078</v>
      </c>
      <c r="I240" s="16" t="n">
        <f aca="false">F240*G240</f>
        <v>84878.85</v>
      </c>
      <c r="J240" s="16" t="n">
        <f aca="false">I240*(1-H240)</f>
        <v>78258.2997</v>
      </c>
      <c r="K240" s="16" t="n">
        <f aca="false">J240*INDEX(Customers!$G$2:$G$41,MATCH(C240,Customers!$A$2:$A$41,0))</f>
        <v>1565.165994</v>
      </c>
      <c r="L240" s="16" t="n">
        <f aca="false">F240*INDEX(Customers!$H$2:$H$41,MATCH(C240,Customers!$A$2:$A$41,0))</f>
        <v>6412</v>
      </c>
      <c r="M240" s="16" t="n">
        <f aca="false">J240*INDEX(Customers!$I$2:$I$41,MATCH(C240,Customers!$A$2:$A$41,0))/365*Assumptions!$B$6</f>
        <v>1029.15024263014</v>
      </c>
      <c r="N240" s="16" t="n">
        <f aca="false">J240-K240-L240-M240</f>
        <v>69251.9834633699</v>
      </c>
      <c r="O240" s="16" t="n">
        <f aca="false">F240*IF(A240="2025",INDEX(Products!$D$2:$D$13,MATCH(D240,Products!$A$2:$A$13,0)),INDEX(Products!$F$2:$F$13,MATCH(D240,Products!$A$2:$A$13,0)))</f>
        <v>56844.67</v>
      </c>
      <c r="P240" s="16" t="n">
        <f aca="false">N240-O240</f>
        <v>12407.3134633699</v>
      </c>
    </row>
    <row r="241" customFormat="false" ht="15" hidden="false" customHeight="false" outlineLevel="0" collapsed="false">
      <c r="A241" s="2" t="s">
        <v>119</v>
      </c>
      <c r="B241" s="2" t="n">
        <v>12</v>
      </c>
      <c r="C241" s="2" t="s">
        <v>67</v>
      </c>
      <c r="D241" s="2" t="s">
        <v>37</v>
      </c>
      <c r="E241" s="2" t="str">
        <f aca="false">INDEX(Products!$B$2:$B$13,MATCH(D241,Products!$A$2:$A$13,0))</f>
        <v>FCC</v>
      </c>
      <c r="F241" s="15" t="n">
        <v>35.9</v>
      </c>
      <c r="G241" s="16" t="n">
        <f aca="false">IF(A241="2025",INDEX(Products!$C$2:$C$13,MATCH(D241,Products!$A$2:$A$13,0)),INDEX(Products!$E$2:$E$13,MATCH(D241,Products!$A$2:$A$13,0)))</f>
        <v>3706.5</v>
      </c>
      <c r="H241" s="13" t="n">
        <f aca="false">IF(A241="2025",INDEX(Customers!$D$2:$D$41,MATCH(C241,Customers!$A$2:$A$41,0)),INDEX(Customers!$F$2:$F$41,MATCH(C241,Customers!$A$2:$A$41,0)))</f>
        <v>0.078</v>
      </c>
      <c r="I241" s="16" t="n">
        <f aca="false">F241*G241</f>
        <v>133063.35</v>
      </c>
      <c r="J241" s="16" t="n">
        <f aca="false">I241*(1-H241)</f>
        <v>122684.4087</v>
      </c>
      <c r="K241" s="16" t="n">
        <f aca="false">J241*INDEX(Customers!$G$2:$G$41,MATCH(C241,Customers!$A$2:$A$41,0))</f>
        <v>2453.688174</v>
      </c>
      <c r="L241" s="16" t="n">
        <f aca="false">F241*INDEX(Customers!$H$2:$H$41,MATCH(C241,Customers!$A$2:$A$41,0))</f>
        <v>10052</v>
      </c>
      <c r="M241" s="16" t="n">
        <f aca="false">J241*INDEX(Customers!$I$2:$I$41,MATCH(C241,Customers!$A$2:$A$41,0))/365*Assumptions!$B$6</f>
        <v>1613.38400482192</v>
      </c>
      <c r="N241" s="16" t="n">
        <f aca="false">J241-K241-L241-M241</f>
        <v>108565.336521178</v>
      </c>
      <c r="O241" s="16" t="n">
        <f aca="false">F241*IF(A241="2025",INDEX(Products!$D$2:$D$13,MATCH(D241,Products!$A$2:$A$13,0)),INDEX(Products!$F$2:$F$13,MATCH(D241,Products!$A$2:$A$13,0)))</f>
        <v>89114.57</v>
      </c>
      <c r="P241" s="16" t="n">
        <f aca="false">N241-O241</f>
        <v>19450.7665211781</v>
      </c>
    </row>
    <row r="242" customFormat="false" ht="15" hidden="false" customHeight="false" outlineLevel="0" collapsed="false">
      <c r="A242" s="2" t="s">
        <v>118</v>
      </c>
      <c r="B242" s="2" t="n">
        <v>1</v>
      </c>
      <c r="C242" s="2" t="s">
        <v>67</v>
      </c>
      <c r="D242" s="2" t="s">
        <v>36</v>
      </c>
      <c r="E242" s="2" t="str">
        <f aca="false">INDEX(Products!$B$2:$B$13,MATCH(D242,Products!$A$2:$A$13,0))</f>
        <v>FCC</v>
      </c>
      <c r="F242" s="15" t="n">
        <v>36</v>
      </c>
      <c r="G242" s="16" t="n">
        <f aca="false">IF(A242="2025",INDEX(Products!$C$2:$C$13,MATCH(D242,Products!$A$2:$A$13,0)),INDEX(Products!$E$2:$E$13,MATCH(D242,Products!$A$2:$A$13,0)))</f>
        <v>3700</v>
      </c>
      <c r="H242" s="13" t="n">
        <f aca="false">IF(A242="2025",INDEX(Customers!$D$2:$D$41,MATCH(C242,Customers!$A$2:$A$41,0)),INDEX(Customers!$F$2:$F$41,MATCH(C242,Customers!$A$2:$A$41,0)))</f>
        <v>0.078</v>
      </c>
      <c r="I242" s="16" t="n">
        <f aca="false">F242*G242</f>
        <v>133200</v>
      </c>
      <c r="J242" s="16" t="n">
        <f aca="false">I242*(1-H242)</f>
        <v>122810.4</v>
      </c>
      <c r="K242" s="16" t="n">
        <f aca="false">J242*INDEX(Customers!$G$2:$G$41,MATCH(C242,Customers!$A$2:$A$41,0))</f>
        <v>2456.208</v>
      </c>
      <c r="L242" s="16" t="n">
        <f aca="false">F242*INDEX(Customers!$H$2:$H$41,MATCH(C242,Customers!$A$2:$A$41,0))</f>
        <v>10080</v>
      </c>
      <c r="M242" s="16" t="n">
        <f aca="false">J242*INDEX(Customers!$I$2:$I$41,MATCH(C242,Customers!$A$2:$A$41,0))/365*Assumptions!$B$6</f>
        <v>1615.04087671233</v>
      </c>
      <c r="N242" s="16" t="n">
        <f aca="false">J242-K242-L242-M242</f>
        <v>108659.151123288</v>
      </c>
      <c r="O242" s="16" t="n">
        <f aca="false">F242*IF(A242="2025",INDEX(Products!$D$2:$D$13,MATCH(D242,Products!$A$2:$A$13,0)),INDEX(Products!$F$2:$F$13,MATCH(D242,Products!$A$2:$A$13,0)))</f>
        <v>86400</v>
      </c>
      <c r="P242" s="16" t="n">
        <f aca="false">N242-O242</f>
        <v>22259.1511232877</v>
      </c>
    </row>
    <row r="243" customFormat="false" ht="15" hidden="false" customHeight="false" outlineLevel="0" collapsed="false">
      <c r="A243" s="2" t="s">
        <v>118</v>
      </c>
      <c r="B243" s="2" t="n">
        <v>2</v>
      </c>
      <c r="C243" s="2" t="s">
        <v>67</v>
      </c>
      <c r="D243" s="2" t="s">
        <v>36</v>
      </c>
      <c r="E243" s="2" t="str">
        <f aca="false">INDEX(Products!$B$2:$B$13,MATCH(D243,Products!$A$2:$A$13,0))</f>
        <v>FCC</v>
      </c>
      <c r="F243" s="15" t="n">
        <v>36.3</v>
      </c>
      <c r="G243" s="16" t="n">
        <f aca="false">IF(A243="2025",INDEX(Products!$C$2:$C$13,MATCH(D243,Products!$A$2:$A$13,0)),INDEX(Products!$E$2:$E$13,MATCH(D243,Products!$A$2:$A$13,0)))</f>
        <v>3700</v>
      </c>
      <c r="H243" s="13" t="n">
        <f aca="false">IF(A243="2025",INDEX(Customers!$D$2:$D$41,MATCH(C243,Customers!$A$2:$A$41,0)),INDEX(Customers!$F$2:$F$41,MATCH(C243,Customers!$A$2:$A$41,0)))</f>
        <v>0.078</v>
      </c>
      <c r="I243" s="16" t="n">
        <f aca="false">F243*G243</f>
        <v>134310</v>
      </c>
      <c r="J243" s="16" t="n">
        <f aca="false">I243*(1-H243)</f>
        <v>123833.82</v>
      </c>
      <c r="K243" s="16" t="n">
        <f aca="false">J243*INDEX(Customers!$G$2:$G$41,MATCH(C243,Customers!$A$2:$A$41,0))</f>
        <v>2476.6764</v>
      </c>
      <c r="L243" s="16" t="n">
        <f aca="false">F243*INDEX(Customers!$H$2:$H$41,MATCH(C243,Customers!$A$2:$A$41,0))</f>
        <v>10164</v>
      </c>
      <c r="M243" s="16" t="n">
        <f aca="false">J243*INDEX(Customers!$I$2:$I$41,MATCH(C243,Customers!$A$2:$A$41,0))/365*Assumptions!$B$6</f>
        <v>1628.49955068493</v>
      </c>
      <c r="N243" s="16" t="n">
        <f aca="false">J243-K243-L243-M243</f>
        <v>109564.644049315</v>
      </c>
      <c r="O243" s="16" t="n">
        <f aca="false">F243*IF(A243="2025",INDEX(Products!$D$2:$D$13,MATCH(D243,Products!$A$2:$A$13,0)),INDEX(Products!$F$2:$F$13,MATCH(D243,Products!$A$2:$A$13,0)))</f>
        <v>87120</v>
      </c>
      <c r="P243" s="16" t="n">
        <f aca="false">N243-O243</f>
        <v>22444.6440493151</v>
      </c>
    </row>
    <row r="244" customFormat="false" ht="15" hidden="false" customHeight="false" outlineLevel="0" collapsed="false">
      <c r="A244" s="2" t="s">
        <v>118</v>
      </c>
      <c r="B244" s="2" t="n">
        <v>3</v>
      </c>
      <c r="C244" s="2" t="s">
        <v>67</v>
      </c>
      <c r="D244" s="2" t="s">
        <v>36</v>
      </c>
      <c r="E244" s="2" t="str">
        <f aca="false">INDEX(Products!$B$2:$B$13,MATCH(D244,Products!$A$2:$A$13,0))</f>
        <v>FCC</v>
      </c>
      <c r="F244" s="15" t="n">
        <v>29.3</v>
      </c>
      <c r="G244" s="16" t="n">
        <f aca="false">IF(A244="2025",INDEX(Products!$C$2:$C$13,MATCH(D244,Products!$A$2:$A$13,0)),INDEX(Products!$E$2:$E$13,MATCH(D244,Products!$A$2:$A$13,0)))</f>
        <v>3700</v>
      </c>
      <c r="H244" s="13" t="n">
        <f aca="false">IF(A244="2025",INDEX(Customers!$D$2:$D$41,MATCH(C244,Customers!$A$2:$A$41,0)),INDEX(Customers!$F$2:$F$41,MATCH(C244,Customers!$A$2:$A$41,0)))</f>
        <v>0.078</v>
      </c>
      <c r="I244" s="16" t="n">
        <f aca="false">F244*G244</f>
        <v>108410</v>
      </c>
      <c r="J244" s="16" t="n">
        <f aca="false">I244*(1-H244)</f>
        <v>99954.02</v>
      </c>
      <c r="K244" s="16" t="n">
        <f aca="false">J244*INDEX(Customers!$G$2:$G$41,MATCH(C244,Customers!$A$2:$A$41,0))</f>
        <v>1999.0804</v>
      </c>
      <c r="L244" s="16" t="n">
        <f aca="false">F244*INDEX(Customers!$H$2:$H$41,MATCH(C244,Customers!$A$2:$A$41,0))</f>
        <v>8204</v>
      </c>
      <c r="M244" s="16" t="n">
        <f aca="false">J244*INDEX(Customers!$I$2:$I$41,MATCH(C244,Customers!$A$2:$A$41,0))/365*Assumptions!$B$6</f>
        <v>1314.46382465753</v>
      </c>
      <c r="N244" s="16" t="n">
        <f aca="false">J244-K244-L244-M244</f>
        <v>88436.4757753425</v>
      </c>
      <c r="O244" s="16" t="n">
        <f aca="false">F244*IF(A244="2025",INDEX(Products!$D$2:$D$13,MATCH(D244,Products!$A$2:$A$13,0)),INDEX(Products!$F$2:$F$13,MATCH(D244,Products!$A$2:$A$13,0)))</f>
        <v>70320</v>
      </c>
      <c r="P244" s="16" t="n">
        <f aca="false">N244-O244</f>
        <v>18116.4757753425</v>
      </c>
    </row>
    <row r="245" customFormat="false" ht="15" hidden="false" customHeight="false" outlineLevel="0" collapsed="false">
      <c r="A245" s="2" t="s">
        <v>118</v>
      </c>
      <c r="B245" s="2" t="n">
        <v>4</v>
      </c>
      <c r="C245" s="2" t="s">
        <v>67</v>
      </c>
      <c r="D245" s="2" t="s">
        <v>36</v>
      </c>
      <c r="E245" s="2" t="str">
        <f aca="false">INDEX(Products!$B$2:$B$13,MATCH(D245,Products!$A$2:$A$13,0))</f>
        <v>FCC</v>
      </c>
      <c r="F245" s="15" t="n">
        <v>34.5</v>
      </c>
      <c r="G245" s="16" t="n">
        <f aca="false">IF(A245="2025",INDEX(Products!$C$2:$C$13,MATCH(D245,Products!$A$2:$A$13,0)),INDEX(Products!$E$2:$E$13,MATCH(D245,Products!$A$2:$A$13,0)))</f>
        <v>3700</v>
      </c>
      <c r="H245" s="13" t="n">
        <f aca="false">IF(A245="2025",INDEX(Customers!$D$2:$D$41,MATCH(C245,Customers!$A$2:$A$41,0)),INDEX(Customers!$F$2:$F$41,MATCH(C245,Customers!$A$2:$A$41,0)))</f>
        <v>0.078</v>
      </c>
      <c r="I245" s="16" t="n">
        <f aca="false">F245*G245</f>
        <v>127650</v>
      </c>
      <c r="J245" s="16" t="n">
        <f aca="false">I245*(1-H245)</f>
        <v>117693.3</v>
      </c>
      <c r="K245" s="16" t="n">
        <f aca="false">J245*INDEX(Customers!$G$2:$G$41,MATCH(C245,Customers!$A$2:$A$41,0))</f>
        <v>2353.866</v>
      </c>
      <c r="L245" s="16" t="n">
        <f aca="false">F245*INDEX(Customers!$H$2:$H$41,MATCH(C245,Customers!$A$2:$A$41,0))</f>
        <v>9660</v>
      </c>
      <c r="M245" s="16" t="n">
        <f aca="false">J245*INDEX(Customers!$I$2:$I$41,MATCH(C245,Customers!$A$2:$A$41,0))/365*Assumptions!$B$6</f>
        <v>1547.74750684932</v>
      </c>
      <c r="N245" s="16" t="n">
        <f aca="false">J245-K245-L245-M245</f>
        <v>104131.686493151</v>
      </c>
      <c r="O245" s="16" t="n">
        <f aca="false">F245*IF(A245="2025",INDEX(Products!$D$2:$D$13,MATCH(D245,Products!$A$2:$A$13,0)),INDEX(Products!$F$2:$F$13,MATCH(D245,Products!$A$2:$A$13,0)))</f>
        <v>82800</v>
      </c>
      <c r="P245" s="16" t="n">
        <f aca="false">N245-O245</f>
        <v>21331.6864931507</v>
      </c>
    </row>
    <row r="246" customFormat="false" ht="15" hidden="false" customHeight="false" outlineLevel="0" collapsed="false">
      <c r="A246" s="2" t="s">
        <v>118</v>
      </c>
      <c r="B246" s="2" t="n">
        <v>5</v>
      </c>
      <c r="C246" s="2" t="s">
        <v>67</v>
      </c>
      <c r="D246" s="2" t="s">
        <v>36</v>
      </c>
      <c r="E246" s="2" t="str">
        <f aca="false">INDEX(Products!$B$2:$B$13,MATCH(D246,Products!$A$2:$A$13,0))</f>
        <v>FCC</v>
      </c>
      <c r="F246" s="15" t="n">
        <v>34.2</v>
      </c>
      <c r="G246" s="16" t="n">
        <f aca="false">IF(A246="2025",INDEX(Products!$C$2:$C$13,MATCH(D246,Products!$A$2:$A$13,0)),INDEX(Products!$E$2:$E$13,MATCH(D246,Products!$A$2:$A$13,0)))</f>
        <v>3700</v>
      </c>
      <c r="H246" s="13" t="n">
        <f aca="false">IF(A246="2025",INDEX(Customers!$D$2:$D$41,MATCH(C246,Customers!$A$2:$A$41,0)),INDEX(Customers!$F$2:$F$41,MATCH(C246,Customers!$A$2:$A$41,0)))</f>
        <v>0.078</v>
      </c>
      <c r="I246" s="16" t="n">
        <f aca="false">F246*G246</f>
        <v>126540</v>
      </c>
      <c r="J246" s="16" t="n">
        <f aca="false">I246*(1-H246)</f>
        <v>116669.88</v>
      </c>
      <c r="K246" s="16" t="n">
        <f aca="false">J246*INDEX(Customers!$G$2:$G$41,MATCH(C246,Customers!$A$2:$A$41,0))</f>
        <v>2333.3976</v>
      </c>
      <c r="L246" s="16" t="n">
        <f aca="false">F246*INDEX(Customers!$H$2:$H$41,MATCH(C246,Customers!$A$2:$A$41,0))</f>
        <v>9576</v>
      </c>
      <c r="M246" s="16" t="n">
        <f aca="false">J246*INDEX(Customers!$I$2:$I$41,MATCH(C246,Customers!$A$2:$A$41,0))/365*Assumptions!$B$6</f>
        <v>1534.28883287671</v>
      </c>
      <c r="N246" s="16" t="n">
        <f aca="false">J246-K246-L246-M246</f>
        <v>103226.193567123</v>
      </c>
      <c r="O246" s="16" t="n">
        <f aca="false">F246*IF(A246="2025",INDEX(Products!$D$2:$D$13,MATCH(D246,Products!$A$2:$A$13,0)),INDEX(Products!$F$2:$F$13,MATCH(D246,Products!$A$2:$A$13,0)))</f>
        <v>82080</v>
      </c>
      <c r="P246" s="16" t="n">
        <f aca="false">N246-O246</f>
        <v>21146.1935671233</v>
      </c>
    </row>
    <row r="247" customFormat="false" ht="15" hidden="false" customHeight="false" outlineLevel="0" collapsed="false">
      <c r="A247" s="2" t="s">
        <v>118</v>
      </c>
      <c r="B247" s="2" t="n">
        <v>6</v>
      </c>
      <c r="C247" s="2" t="s">
        <v>67</v>
      </c>
      <c r="D247" s="2" t="s">
        <v>36</v>
      </c>
      <c r="E247" s="2" t="str">
        <f aca="false">INDEX(Products!$B$2:$B$13,MATCH(D247,Products!$A$2:$A$13,0))</f>
        <v>FCC</v>
      </c>
      <c r="F247" s="15" t="n">
        <v>26.4</v>
      </c>
      <c r="G247" s="16" t="n">
        <f aca="false">IF(A247="2025",INDEX(Products!$C$2:$C$13,MATCH(D247,Products!$A$2:$A$13,0)),INDEX(Products!$E$2:$E$13,MATCH(D247,Products!$A$2:$A$13,0)))</f>
        <v>3700</v>
      </c>
      <c r="H247" s="13" t="n">
        <f aca="false">IF(A247="2025",INDEX(Customers!$D$2:$D$41,MATCH(C247,Customers!$A$2:$A$41,0)),INDEX(Customers!$F$2:$F$41,MATCH(C247,Customers!$A$2:$A$41,0)))</f>
        <v>0.078</v>
      </c>
      <c r="I247" s="16" t="n">
        <f aca="false">F247*G247</f>
        <v>97680</v>
      </c>
      <c r="J247" s="16" t="n">
        <f aca="false">I247*(1-H247)</f>
        <v>90060.96</v>
      </c>
      <c r="K247" s="16" t="n">
        <f aca="false">J247*INDEX(Customers!$G$2:$G$41,MATCH(C247,Customers!$A$2:$A$41,0))</f>
        <v>1801.2192</v>
      </c>
      <c r="L247" s="16" t="n">
        <f aca="false">F247*INDEX(Customers!$H$2:$H$41,MATCH(C247,Customers!$A$2:$A$41,0))</f>
        <v>7392</v>
      </c>
      <c r="M247" s="16" t="n">
        <f aca="false">J247*INDEX(Customers!$I$2:$I$41,MATCH(C247,Customers!$A$2:$A$41,0))/365*Assumptions!$B$6</f>
        <v>1184.36330958904</v>
      </c>
      <c r="N247" s="16" t="n">
        <f aca="false">J247-K247-L247-M247</f>
        <v>79683.377490411</v>
      </c>
      <c r="O247" s="16" t="n">
        <f aca="false">F247*IF(A247="2025",INDEX(Products!$D$2:$D$13,MATCH(D247,Products!$A$2:$A$13,0)),INDEX(Products!$F$2:$F$13,MATCH(D247,Products!$A$2:$A$13,0)))</f>
        <v>63360</v>
      </c>
      <c r="P247" s="16" t="n">
        <f aca="false">N247-O247</f>
        <v>16323.377490411</v>
      </c>
    </row>
    <row r="248" customFormat="false" ht="15" hidden="false" customHeight="false" outlineLevel="0" collapsed="false">
      <c r="A248" s="2" t="s">
        <v>118</v>
      </c>
      <c r="B248" s="2" t="n">
        <v>7</v>
      </c>
      <c r="C248" s="2" t="s">
        <v>67</v>
      </c>
      <c r="D248" s="2" t="s">
        <v>36</v>
      </c>
      <c r="E248" s="2" t="str">
        <f aca="false">INDEX(Products!$B$2:$B$13,MATCH(D248,Products!$A$2:$A$13,0))</f>
        <v>FCC</v>
      </c>
      <c r="F248" s="15" t="n">
        <v>35.1</v>
      </c>
      <c r="G248" s="16" t="n">
        <f aca="false">IF(A248="2025",INDEX(Products!$C$2:$C$13,MATCH(D248,Products!$A$2:$A$13,0)),INDEX(Products!$E$2:$E$13,MATCH(D248,Products!$A$2:$A$13,0)))</f>
        <v>3700</v>
      </c>
      <c r="H248" s="13" t="n">
        <f aca="false">IF(A248="2025",INDEX(Customers!$D$2:$D$41,MATCH(C248,Customers!$A$2:$A$41,0)),INDEX(Customers!$F$2:$F$41,MATCH(C248,Customers!$A$2:$A$41,0)))</f>
        <v>0.078</v>
      </c>
      <c r="I248" s="16" t="n">
        <f aca="false">F248*G248</f>
        <v>129870</v>
      </c>
      <c r="J248" s="16" t="n">
        <f aca="false">I248*(1-H248)</f>
        <v>119740.14</v>
      </c>
      <c r="K248" s="16" t="n">
        <f aca="false">J248*INDEX(Customers!$G$2:$G$41,MATCH(C248,Customers!$A$2:$A$41,0))</f>
        <v>2394.8028</v>
      </c>
      <c r="L248" s="16" t="n">
        <f aca="false">F248*INDEX(Customers!$H$2:$H$41,MATCH(C248,Customers!$A$2:$A$41,0))</f>
        <v>9828</v>
      </c>
      <c r="M248" s="16" t="n">
        <f aca="false">J248*INDEX(Customers!$I$2:$I$41,MATCH(C248,Customers!$A$2:$A$41,0))/365*Assumptions!$B$6</f>
        <v>1574.66485479452</v>
      </c>
      <c r="N248" s="16" t="n">
        <f aca="false">J248-K248-L248-M248</f>
        <v>105942.672345205</v>
      </c>
      <c r="O248" s="16" t="n">
        <f aca="false">F248*IF(A248="2025",INDEX(Products!$D$2:$D$13,MATCH(D248,Products!$A$2:$A$13,0)),INDEX(Products!$F$2:$F$13,MATCH(D248,Products!$A$2:$A$13,0)))</f>
        <v>84240</v>
      </c>
      <c r="P248" s="16" t="n">
        <f aca="false">N248-O248</f>
        <v>21702.6723452055</v>
      </c>
    </row>
    <row r="249" customFormat="false" ht="15" hidden="false" customHeight="false" outlineLevel="0" collapsed="false">
      <c r="A249" s="2" t="s">
        <v>118</v>
      </c>
      <c r="B249" s="2" t="n">
        <v>8</v>
      </c>
      <c r="C249" s="2" t="s">
        <v>67</v>
      </c>
      <c r="D249" s="2" t="s">
        <v>36</v>
      </c>
      <c r="E249" s="2" t="str">
        <f aca="false">INDEX(Products!$B$2:$B$13,MATCH(D249,Products!$A$2:$A$13,0))</f>
        <v>FCC</v>
      </c>
      <c r="F249" s="15" t="n">
        <v>38.7</v>
      </c>
      <c r="G249" s="16" t="n">
        <f aca="false">IF(A249="2025",INDEX(Products!$C$2:$C$13,MATCH(D249,Products!$A$2:$A$13,0)),INDEX(Products!$E$2:$E$13,MATCH(D249,Products!$A$2:$A$13,0)))</f>
        <v>3700</v>
      </c>
      <c r="H249" s="13" t="n">
        <f aca="false">IF(A249="2025",INDEX(Customers!$D$2:$D$41,MATCH(C249,Customers!$A$2:$A$41,0)),INDEX(Customers!$F$2:$F$41,MATCH(C249,Customers!$A$2:$A$41,0)))</f>
        <v>0.078</v>
      </c>
      <c r="I249" s="16" t="n">
        <f aca="false">F249*G249</f>
        <v>143190</v>
      </c>
      <c r="J249" s="16" t="n">
        <f aca="false">I249*(1-H249)</f>
        <v>132021.18</v>
      </c>
      <c r="K249" s="16" t="n">
        <f aca="false">J249*INDEX(Customers!$G$2:$G$41,MATCH(C249,Customers!$A$2:$A$41,0))</f>
        <v>2640.4236</v>
      </c>
      <c r="L249" s="16" t="n">
        <f aca="false">F249*INDEX(Customers!$H$2:$H$41,MATCH(C249,Customers!$A$2:$A$41,0))</f>
        <v>10836</v>
      </c>
      <c r="M249" s="16" t="n">
        <f aca="false">J249*INDEX(Customers!$I$2:$I$41,MATCH(C249,Customers!$A$2:$A$41,0))/365*Assumptions!$B$6</f>
        <v>1736.16894246575</v>
      </c>
      <c r="N249" s="16" t="n">
        <f aca="false">J249-K249-L249-M249</f>
        <v>116808.587457534</v>
      </c>
      <c r="O249" s="16" t="n">
        <f aca="false">F249*IF(A249="2025",INDEX(Products!$D$2:$D$13,MATCH(D249,Products!$A$2:$A$13,0)),INDEX(Products!$F$2:$F$13,MATCH(D249,Products!$A$2:$A$13,0)))</f>
        <v>92880</v>
      </c>
      <c r="P249" s="16" t="n">
        <f aca="false">N249-O249</f>
        <v>23928.5874575342</v>
      </c>
    </row>
    <row r="250" customFormat="false" ht="15" hidden="false" customHeight="false" outlineLevel="0" collapsed="false">
      <c r="A250" s="2" t="s">
        <v>118</v>
      </c>
      <c r="B250" s="2" t="n">
        <v>9</v>
      </c>
      <c r="C250" s="2" t="s">
        <v>67</v>
      </c>
      <c r="D250" s="2" t="s">
        <v>36</v>
      </c>
      <c r="E250" s="2" t="str">
        <f aca="false">INDEX(Products!$B$2:$B$13,MATCH(D250,Products!$A$2:$A$13,0))</f>
        <v>FCC</v>
      </c>
      <c r="F250" s="15" t="n">
        <v>27.6</v>
      </c>
      <c r="G250" s="16" t="n">
        <f aca="false">IF(A250="2025",INDEX(Products!$C$2:$C$13,MATCH(D250,Products!$A$2:$A$13,0)),INDEX(Products!$E$2:$E$13,MATCH(D250,Products!$A$2:$A$13,0)))</f>
        <v>3700</v>
      </c>
      <c r="H250" s="13" t="n">
        <f aca="false">IF(A250="2025",INDEX(Customers!$D$2:$D$41,MATCH(C250,Customers!$A$2:$A$41,0)),INDEX(Customers!$F$2:$F$41,MATCH(C250,Customers!$A$2:$A$41,0)))</f>
        <v>0.078</v>
      </c>
      <c r="I250" s="16" t="n">
        <f aca="false">F250*G250</f>
        <v>102120</v>
      </c>
      <c r="J250" s="16" t="n">
        <f aca="false">I250*(1-H250)</f>
        <v>94154.64</v>
      </c>
      <c r="K250" s="16" t="n">
        <f aca="false">J250*INDEX(Customers!$G$2:$G$41,MATCH(C250,Customers!$A$2:$A$41,0))</f>
        <v>1883.0928</v>
      </c>
      <c r="L250" s="16" t="n">
        <f aca="false">F250*INDEX(Customers!$H$2:$H$41,MATCH(C250,Customers!$A$2:$A$41,0))</f>
        <v>7728</v>
      </c>
      <c r="M250" s="16" t="n">
        <f aca="false">J250*INDEX(Customers!$I$2:$I$41,MATCH(C250,Customers!$A$2:$A$41,0))/365*Assumptions!$B$6</f>
        <v>1238.19800547945</v>
      </c>
      <c r="N250" s="16" t="n">
        <f aca="false">J250-K250-L250-M250</f>
        <v>83305.3491945206</v>
      </c>
      <c r="O250" s="16" t="n">
        <f aca="false">F250*IF(A250="2025",INDEX(Products!$D$2:$D$13,MATCH(D250,Products!$A$2:$A$13,0)),INDEX(Products!$F$2:$F$13,MATCH(D250,Products!$A$2:$A$13,0)))</f>
        <v>66240</v>
      </c>
      <c r="P250" s="16" t="n">
        <f aca="false">N250-O250</f>
        <v>17065.3491945205</v>
      </c>
    </row>
    <row r="251" customFormat="false" ht="15" hidden="false" customHeight="false" outlineLevel="0" collapsed="false">
      <c r="A251" s="2" t="s">
        <v>118</v>
      </c>
      <c r="B251" s="2" t="n">
        <v>10</v>
      </c>
      <c r="C251" s="2" t="s">
        <v>67</v>
      </c>
      <c r="D251" s="2" t="s">
        <v>36</v>
      </c>
      <c r="E251" s="2" t="str">
        <f aca="false">INDEX(Products!$B$2:$B$13,MATCH(D251,Products!$A$2:$A$13,0))</f>
        <v>FCC</v>
      </c>
      <c r="F251" s="15" t="n">
        <v>26.2</v>
      </c>
      <c r="G251" s="16" t="n">
        <f aca="false">IF(A251="2025",INDEX(Products!$C$2:$C$13,MATCH(D251,Products!$A$2:$A$13,0)),INDEX(Products!$E$2:$E$13,MATCH(D251,Products!$A$2:$A$13,0)))</f>
        <v>3700</v>
      </c>
      <c r="H251" s="13" t="n">
        <f aca="false">IF(A251="2025",INDEX(Customers!$D$2:$D$41,MATCH(C251,Customers!$A$2:$A$41,0)),INDEX(Customers!$F$2:$F$41,MATCH(C251,Customers!$A$2:$A$41,0)))</f>
        <v>0.078</v>
      </c>
      <c r="I251" s="16" t="n">
        <f aca="false">F251*G251</f>
        <v>96940</v>
      </c>
      <c r="J251" s="16" t="n">
        <f aca="false">I251*(1-H251)</f>
        <v>89378.68</v>
      </c>
      <c r="K251" s="16" t="n">
        <f aca="false">J251*INDEX(Customers!$G$2:$G$41,MATCH(C251,Customers!$A$2:$A$41,0))</f>
        <v>1787.5736</v>
      </c>
      <c r="L251" s="16" t="n">
        <f aca="false">F251*INDEX(Customers!$H$2:$H$41,MATCH(C251,Customers!$A$2:$A$41,0))</f>
        <v>7336</v>
      </c>
      <c r="M251" s="16" t="n">
        <f aca="false">J251*INDEX(Customers!$I$2:$I$41,MATCH(C251,Customers!$A$2:$A$41,0))/365*Assumptions!$B$6</f>
        <v>1175.39086027397</v>
      </c>
      <c r="N251" s="16" t="n">
        <f aca="false">J251-K251-L251-M251</f>
        <v>79079.715539726</v>
      </c>
      <c r="O251" s="16" t="n">
        <f aca="false">F251*IF(A251="2025",INDEX(Products!$D$2:$D$13,MATCH(D251,Products!$A$2:$A$13,0)),INDEX(Products!$F$2:$F$13,MATCH(D251,Products!$A$2:$A$13,0)))</f>
        <v>62880</v>
      </c>
      <c r="P251" s="16" t="n">
        <f aca="false">N251-O251</f>
        <v>16199.715539726</v>
      </c>
    </row>
    <row r="252" customFormat="false" ht="15" hidden="false" customHeight="false" outlineLevel="0" collapsed="false">
      <c r="A252" s="2" t="s">
        <v>118</v>
      </c>
      <c r="B252" s="2" t="n">
        <v>11</v>
      </c>
      <c r="C252" s="2" t="s">
        <v>67</v>
      </c>
      <c r="D252" s="2" t="s">
        <v>36</v>
      </c>
      <c r="E252" s="2" t="str">
        <f aca="false">INDEX(Products!$B$2:$B$13,MATCH(D252,Products!$A$2:$A$13,0))</f>
        <v>FCC</v>
      </c>
      <c r="F252" s="15" t="n">
        <v>31.8</v>
      </c>
      <c r="G252" s="16" t="n">
        <f aca="false">IF(A252="2025",INDEX(Products!$C$2:$C$13,MATCH(D252,Products!$A$2:$A$13,0)),INDEX(Products!$E$2:$E$13,MATCH(D252,Products!$A$2:$A$13,0)))</f>
        <v>3700</v>
      </c>
      <c r="H252" s="13" t="n">
        <f aca="false">IF(A252="2025",INDEX(Customers!$D$2:$D$41,MATCH(C252,Customers!$A$2:$A$41,0)),INDEX(Customers!$F$2:$F$41,MATCH(C252,Customers!$A$2:$A$41,0)))</f>
        <v>0.078</v>
      </c>
      <c r="I252" s="16" t="n">
        <f aca="false">F252*G252</f>
        <v>117660</v>
      </c>
      <c r="J252" s="16" t="n">
        <f aca="false">I252*(1-H252)</f>
        <v>108482.52</v>
      </c>
      <c r="K252" s="16" t="n">
        <f aca="false">J252*INDEX(Customers!$G$2:$G$41,MATCH(C252,Customers!$A$2:$A$41,0))</f>
        <v>2169.6504</v>
      </c>
      <c r="L252" s="16" t="n">
        <f aca="false">F252*INDEX(Customers!$H$2:$H$41,MATCH(C252,Customers!$A$2:$A$41,0))</f>
        <v>8904</v>
      </c>
      <c r="M252" s="16" t="n">
        <f aca="false">J252*INDEX(Customers!$I$2:$I$41,MATCH(C252,Customers!$A$2:$A$41,0))/365*Assumptions!$B$6</f>
        <v>1426.61944109589</v>
      </c>
      <c r="N252" s="16" t="n">
        <f aca="false">J252-K252-L252-M252</f>
        <v>95982.2501589041</v>
      </c>
      <c r="O252" s="16" t="n">
        <f aca="false">F252*IF(A252="2025",INDEX(Products!$D$2:$D$13,MATCH(D252,Products!$A$2:$A$13,0)),INDEX(Products!$F$2:$F$13,MATCH(D252,Products!$A$2:$A$13,0)))</f>
        <v>76320</v>
      </c>
      <c r="P252" s="16" t="n">
        <f aca="false">N252-O252</f>
        <v>19662.2501589041</v>
      </c>
    </row>
    <row r="253" customFormat="false" ht="15" hidden="false" customHeight="false" outlineLevel="0" collapsed="false">
      <c r="A253" s="2" t="s">
        <v>118</v>
      </c>
      <c r="B253" s="2" t="n">
        <v>12</v>
      </c>
      <c r="C253" s="2" t="s">
        <v>67</v>
      </c>
      <c r="D253" s="2" t="s">
        <v>36</v>
      </c>
      <c r="E253" s="2" t="str">
        <f aca="false">INDEX(Products!$B$2:$B$13,MATCH(D253,Products!$A$2:$A$13,0))</f>
        <v>FCC</v>
      </c>
      <c r="F253" s="15" t="n">
        <v>37.2</v>
      </c>
      <c r="G253" s="16" t="n">
        <f aca="false">IF(A253="2025",INDEX(Products!$C$2:$C$13,MATCH(D253,Products!$A$2:$A$13,0)),INDEX(Products!$E$2:$E$13,MATCH(D253,Products!$A$2:$A$13,0)))</f>
        <v>3700</v>
      </c>
      <c r="H253" s="13" t="n">
        <f aca="false">IF(A253="2025",INDEX(Customers!$D$2:$D$41,MATCH(C253,Customers!$A$2:$A$41,0)),INDEX(Customers!$F$2:$F$41,MATCH(C253,Customers!$A$2:$A$41,0)))</f>
        <v>0.078</v>
      </c>
      <c r="I253" s="16" t="n">
        <f aca="false">F253*G253</f>
        <v>137640</v>
      </c>
      <c r="J253" s="16" t="n">
        <f aca="false">I253*(1-H253)</f>
        <v>126904.08</v>
      </c>
      <c r="K253" s="16" t="n">
        <f aca="false">J253*INDEX(Customers!$G$2:$G$41,MATCH(C253,Customers!$A$2:$A$41,0))</f>
        <v>2538.0816</v>
      </c>
      <c r="L253" s="16" t="n">
        <f aca="false">F253*INDEX(Customers!$H$2:$H$41,MATCH(C253,Customers!$A$2:$A$41,0))</f>
        <v>10416</v>
      </c>
      <c r="M253" s="16" t="n">
        <f aca="false">J253*INDEX(Customers!$I$2:$I$41,MATCH(C253,Customers!$A$2:$A$41,0))/365*Assumptions!$B$6</f>
        <v>1668.87557260274</v>
      </c>
      <c r="N253" s="16" t="n">
        <f aca="false">J253-K253-L253-M253</f>
        <v>112281.122827397</v>
      </c>
      <c r="O253" s="16" t="n">
        <f aca="false">F253*IF(A253="2025",INDEX(Products!$D$2:$D$13,MATCH(D253,Products!$A$2:$A$13,0)),INDEX(Products!$F$2:$F$13,MATCH(D253,Products!$A$2:$A$13,0)))</f>
        <v>89280</v>
      </c>
      <c r="P253" s="16" t="n">
        <f aca="false">N253-O253</f>
        <v>23001.1228273973</v>
      </c>
    </row>
    <row r="254" customFormat="false" ht="15" hidden="false" customHeight="false" outlineLevel="0" collapsed="false">
      <c r="A254" s="2" t="s">
        <v>119</v>
      </c>
      <c r="B254" s="2" t="n">
        <v>1</v>
      </c>
      <c r="C254" s="2" t="s">
        <v>67</v>
      </c>
      <c r="D254" s="2" t="s">
        <v>36</v>
      </c>
      <c r="E254" s="2" t="str">
        <f aca="false">INDEX(Products!$B$2:$B$13,MATCH(D254,Products!$A$2:$A$13,0))</f>
        <v>FCC</v>
      </c>
      <c r="F254" s="15" t="n">
        <v>32.4</v>
      </c>
      <c r="G254" s="16" t="n">
        <f aca="false">IF(A254="2025",INDEX(Products!$C$2:$C$13,MATCH(D254,Products!$A$2:$A$13,0)),INDEX(Products!$E$2:$E$13,MATCH(D254,Products!$A$2:$A$13,0)))</f>
        <v>3885</v>
      </c>
      <c r="H254" s="13" t="n">
        <f aca="false">IF(A254="2025",INDEX(Customers!$D$2:$D$41,MATCH(C254,Customers!$A$2:$A$41,0)),INDEX(Customers!$F$2:$F$41,MATCH(C254,Customers!$A$2:$A$41,0)))</f>
        <v>0.078</v>
      </c>
      <c r="I254" s="16" t="n">
        <f aca="false">F254*G254</f>
        <v>125874</v>
      </c>
      <c r="J254" s="16" t="n">
        <f aca="false">I254*(1-H254)</f>
        <v>116055.828</v>
      </c>
      <c r="K254" s="16" t="n">
        <f aca="false">J254*INDEX(Customers!$G$2:$G$41,MATCH(C254,Customers!$A$2:$A$41,0))</f>
        <v>2321.11656</v>
      </c>
      <c r="L254" s="16" t="n">
        <f aca="false">F254*INDEX(Customers!$H$2:$H$41,MATCH(C254,Customers!$A$2:$A$41,0))</f>
        <v>9072</v>
      </c>
      <c r="M254" s="16" t="n">
        <f aca="false">J254*INDEX(Customers!$I$2:$I$41,MATCH(C254,Customers!$A$2:$A$41,0))/365*Assumptions!$B$6</f>
        <v>1526.21362849315</v>
      </c>
      <c r="N254" s="16" t="n">
        <f aca="false">J254-K254-L254-M254</f>
        <v>103136.497811507</v>
      </c>
      <c r="O254" s="16" t="n">
        <f aca="false">F254*IF(A254="2025",INDEX(Products!$D$2:$D$13,MATCH(D254,Products!$A$2:$A$13,0)),INDEX(Products!$F$2:$F$13,MATCH(D254,Products!$A$2:$A$13,0)))</f>
        <v>80092.8</v>
      </c>
      <c r="P254" s="16" t="n">
        <f aca="false">N254-O254</f>
        <v>23043.6978115069</v>
      </c>
    </row>
    <row r="255" customFormat="false" ht="15" hidden="false" customHeight="false" outlineLevel="0" collapsed="false">
      <c r="A255" s="2" t="s">
        <v>119</v>
      </c>
      <c r="B255" s="2" t="n">
        <v>2</v>
      </c>
      <c r="C255" s="2" t="s">
        <v>67</v>
      </c>
      <c r="D255" s="2" t="s">
        <v>36</v>
      </c>
      <c r="E255" s="2" t="str">
        <f aca="false">INDEX(Products!$B$2:$B$13,MATCH(D255,Products!$A$2:$A$13,0))</f>
        <v>FCC</v>
      </c>
      <c r="F255" s="15" t="n">
        <v>38.9</v>
      </c>
      <c r="G255" s="16" t="n">
        <f aca="false">IF(A255="2025",INDEX(Products!$C$2:$C$13,MATCH(D255,Products!$A$2:$A$13,0)),INDEX(Products!$E$2:$E$13,MATCH(D255,Products!$A$2:$A$13,0)))</f>
        <v>3885</v>
      </c>
      <c r="H255" s="13" t="n">
        <f aca="false">IF(A255="2025",INDEX(Customers!$D$2:$D$41,MATCH(C255,Customers!$A$2:$A$41,0)),INDEX(Customers!$F$2:$F$41,MATCH(C255,Customers!$A$2:$A$41,0)))</f>
        <v>0.078</v>
      </c>
      <c r="I255" s="16" t="n">
        <f aca="false">F255*G255</f>
        <v>151126.5</v>
      </c>
      <c r="J255" s="16" t="n">
        <f aca="false">I255*(1-H255)</f>
        <v>139338.633</v>
      </c>
      <c r="K255" s="16" t="n">
        <f aca="false">J255*INDEX(Customers!$G$2:$G$41,MATCH(C255,Customers!$A$2:$A$41,0))</f>
        <v>2786.77266</v>
      </c>
      <c r="L255" s="16" t="n">
        <f aca="false">F255*INDEX(Customers!$H$2:$H$41,MATCH(C255,Customers!$A$2:$A$41,0))</f>
        <v>10892</v>
      </c>
      <c r="M255" s="16" t="n">
        <f aca="false">J255*INDEX(Customers!$I$2:$I$41,MATCH(C255,Customers!$A$2:$A$41,0))/365*Assumptions!$B$6</f>
        <v>1832.39846136986</v>
      </c>
      <c r="N255" s="16" t="n">
        <f aca="false">J255-K255-L255-M255</f>
        <v>123827.46187863</v>
      </c>
      <c r="O255" s="16" t="n">
        <f aca="false">F255*IF(A255="2025",INDEX(Products!$D$2:$D$13,MATCH(D255,Products!$A$2:$A$13,0)),INDEX(Products!$F$2:$F$13,MATCH(D255,Products!$A$2:$A$13,0)))</f>
        <v>96160.8</v>
      </c>
      <c r="P255" s="16" t="n">
        <f aca="false">N255-O255</f>
        <v>27666.6618786302</v>
      </c>
    </row>
    <row r="256" customFormat="false" ht="15" hidden="false" customHeight="false" outlineLevel="0" collapsed="false">
      <c r="A256" s="2" t="s">
        <v>119</v>
      </c>
      <c r="B256" s="2" t="n">
        <v>3</v>
      </c>
      <c r="C256" s="2" t="s">
        <v>67</v>
      </c>
      <c r="D256" s="2" t="s">
        <v>36</v>
      </c>
      <c r="E256" s="2" t="str">
        <f aca="false">INDEX(Products!$B$2:$B$13,MATCH(D256,Products!$A$2:$A$13,0))</f>
        <v>FCC</v>
      </c>
      <c r="F256" s="15" t="n">
        <v>38.1</v>
      </c>
      <c r="G256" s="16" t="n">
        <f aca="false">IF(A256="2025",INDEX(Products!$C$2:$C$13,MATCH(D256,Products!$A$2:$A$13,0)),INDEX(Products!$E$2:$E$13,MATCH(D256,Products!$A$2:$A$13,0)))</f>
        <v>3885</v>
      </c>
      <c r="H256" s="13" t="n">
        <f aca="false">IF(A256="2025",INDEX(Customers!$D$2:$D$41,MATCH(C256,Customers!$A$2:$A$41,0)),INDEX(Customers!$F$2:$F$41,MATCH(C256,Customers!$A$2:$A$41,0)))</f>
        <v>0.078</v>
      </c>
      <c r="I256" s="16" t="n">
        <f aca="false">F256*G256</f>
        <v>148018.5</v>
      </c>
      <c r="J256" s="16" t="n">
        <f aca="false">I256*(1-H256)</f>
        <v>136473.057</v>
      </c>
      <c r="K256" s="16" t="n">
        <f aca="false">J256*INDEX(Customers!$G$2:$G$41,MATCH(C256,Customers!$A$2:$A$41,0))</f>
        <v>2729.46114</v>
      </c>
      <c r="L256" s="16" t="n">
        <f aca="false">F256*INDEX(Customers!$H$2:$H$41,MATCH(C256,Customers!$A$2:$A$41,0))</f>
        <v>10668</v>
      </c>
      <c r="M256" s="16" t="n">
        <f aca="false">J256*INDEX(Customers!$I$2:$I$41,MATCH(C256,Customers!$A$2:$A$41,0))/365*Assumptions!$B$6</f>
        <v>1794.71417424658</v>
      </c>
      <c r="N256" s="16" t="n">
        <f aca="false">J256-K256-L256-M256</f>
        <v>121280.881685753</v>
      </c>
      <c r="O256" s="16" t="n">
        <f aca="false">F256*IF(A256="2025",INDEX(Products!$D$2:$D$13,MATCH(D256,Products!$A$2:$A$13,0)),INDEX(Products!$F$2:$F$13,MATCH(D256,Products!$A$2:$A$13,0)))</f>
        <v>94183.2</v>
      </c>
      <c r="P256" s="16" t="n">
        <f aca="false">N256-O256</f>
        <v>27097.6816857534</v>
      </c>
    </row>
    <row r="257" customFormat="false" ht="15" hidden="false" customHeight="false" outlineLevel="0" collapsed="false">
      <c r="A257" s="2" t="s">
        <v>119</v>
      </c>
      <c r="B257" s="2" t="n">
        <v>4</v>
      </c>
      <c r="C257" s="2" t="s">
        <v>67</v>
      </c>
      <c r="D257" s="2" t="s">
        <v>36</v>
      </c>
      <c r="E257" s="2" t="str">
        <f aca="false">INDEX(Products!$B$2:$B$13,MATCH(D257,Products!$A$2:$A$13,0))</f>
        <v>FCC</v>
      </c>
      <c r="F257" s="15" t="n">
        <v>34.2</v>
      </c>
      <c r="G257" s="16" t="n">
        <f aca="false">IF(A257="2025",INDEX(Products!$C$2:$C$13,MATCH(D257,Products!$A$2:$A$13,0)),INDEX(Products!$E$2:$E$13,MATCH(D257,Products!$A$2:$A$13,0)))</f>
        <v>3885</v>
      </c>
      <c r="H257" s="13" t="n">
        <f aca="false">IF(A257="2025",INDEX(Customers!$D$2:$D$41,MATCH(C257,Customers!$A$2:$A$41,0)),INDEX(Customers!$F$2:$F$41,MATCH(C257,Customers!$A$2:$A$41,0)))</f>
        <v>0.078</v>
      </c>
      <c r="I257" s="16" t="n">
        <f aca="false">F257*G257</f>
        <v>132867</v>
      </c>
      <c r="J257" s="16" t="n">
        <f aca="false">I257*(1-H257)</f>
        <v>122503.374</v>
      </c>
      <c r="K257" s="16" t="n">
        <f aca="false">J257*INDEX(Customers!$G$2:$G$41,MATCH(C257,Customers!$A$2:$A$41,0))</f>
        <v>2450.06748</v>
      </c>
      <c r="L257" s="16" t="n">
        <f aca="false">F257*INDEX(Customers!$H$2:$H$41,MATCH(C257,Customers!$A$2:$A$41,0))</f>
        <v>9576</v>
      </c>
      <c r="M257" s="16" t="n">
        <f aca="false">J257*INDEX(Customers!$I$2:$I$41,MATCH(C257,Customers!$A$2:$A$41,0))/365*Assumptions!$B$6</f>
        <v>1611.00327452055</v>
      </c>
      <c r="N257" s="16" t="n">
        <f aca="false">J257-K257-L257-M257</f>
        <v>108866.303245479</v>
      </c>
      <c r="O257" s="16" t="n">
        <f aca="false">F257*IF(A257="2025",INDEX(Products!$D$2:$D$13,MATCH(D257,Products!$A$2:$A$13,0)),INDEX(Products!$F$2:$F$13,MATCH(D257,Products!$A$2:$A$13,0)))</f>
        <v>84542.4</v>
      </c>
      <c r="P257" s="16" t="n">
        <f aca="false">N257-O257</f>
        <v>24323.9032454795</v>
      </c>
    </row>
    <row r="258" customFormat="false" ht="15" hidden="false" customHeight="false" outlineLevel="0" collapsed="false">
      <c r="A258" s="2" t="s">
        <v>119</v>
      </c>
      <c r="B258" s="2" t="n">
        <v>5</v>
      </c>
      <c r="C258" s="2" t="s">
        <v>67</v>
      </c>
      <c r="D258" s="2" t="s">
        <v>36</v>
      </c>
      <c r="E258" s="2" t="str">
        <f aca="false">INDEX(Products!$B$2:$B$13,MATCH(D258,Products!$A$2:$A$13,0))</f>
        <v>FCC</v>
      </c>
      <c r="F258" s="15" t="n">
        <v>34.1</v>
      </c>
      <c r="G258" s="16" t="n">
        <f aca="false">IF(A258="2025",INDEX(Products!$C$2:$C$13,MATCH(D258,Products!$A$2:$A$13,0)),INDEX(Products!$E$2:$E$13,MATCH(D258,Products!$A$2:$A$13,0)))</f>
        <v>3885</v>
      </c>
      <c r="H258" s="13" t="n">
        <f aca="false">IF(A258="2025",INDEX(Customers!$D$2:$D$41,MATCH(C258,Customers!$A$2:$A$41,0)),INDEX(Customers!$F$2:$F$41,MATCH(C258,Customers!$A$2:$A$41,0)))</f>
        <v>0.078</v>
      </c>
      <c r="I258" s="16" t="n">
        <f aca="false">F258*G258</f>
        <v>132478.5</v>
      </c>
      <c r="J258" s="16" t="n">
        <f aca="false">I258*(1-H258)</f>
        <v>122145.177</v>
      </c>
      <c r="K258" s="16" t="n">
        <f aca="false">J258*INDEX(Customers!$G$2:$G$41,MATCH(C258,Customers!$A$2:$A$41,0))</f>
        <v>2442.90354</v>
      </c>
      <c r="L258" s="16" t="n">
        <f aca="false">F258*INDEX(Customers!$H$2:$H$41,MATCH(C258,Customers!$A$2:$A$41,0))</f>
        <v>9548</v>
      </c>
      <c r="M258" s="16" t="n">
        <f aca="false">J258*INDEX(Customers!$I$2:$I$41,MATCH(C258,Customers!$A$2:$A$41,0))/365*Assumptions!$B$6</f>
        <v>1606.29273863014</v>
      </c>
      <c r="N258" s="16" t="n">
        <f aca="false">J258-K258-L258-M258</f>
        <v>108547.98072137</v>
      </c>
      <c r="O258" s="16" t="n">
        <f aca="false">F258*IF(A258="2025",INDEX(Products!$D$2:$D$13,MATCH(D258,Products!$A$2:$A$13,0)),INDEX(Products!$F$2:$F$13,MATCH(D258,Products!$A$2:$A$13,0)))</f>
        <v>84295.2</v>
      </c>
      <c r="P258" s="16" t="n">
        <f aca="false">N258-O258</f>
        <v>24252.7807213699</v>
      </c>
    </row>
    <row r="259" customFormat="false" ht="15" hidden="false" customHeight="false" outlineLevel="0" collapsed="false">
      <c r="A259" s="2" t="s">
        <v>119</v>
      </c>
      <c r="B259" s="2" t="n">
        <v>6</v>
      </c>
      <c r="C259" s="2" t="s">
        <v>67</v>
      </c>
      <c r="D259" s="2" t="s">
        <v>36</v>
      </c>
      <c r="E259" s="2" t="str">
        <f aca="false">INDEX(Products!$B$2:$B$13,MATCH(D259,Products!$A$2:$A$13,0))</f>
        <v>FCC</v>
      </c>
      <c r="F259" s="15" t="n">
        <v>24.5</v>
      </c>
      <c r="G259" s="16" t="n">
        <f aca="false">IF(A259="2025",INDEX(Products!$C$2:$C$13,MATCH(D259,Products!$A$2:$A$13,0)),INDEX(Products!$E$2:$E$13,MATCH(D259,Products!$A$2:$A$13,0)))</f>
        <v>3885</v>
      </c>
      <c r="H259" s="13" t="n">
        <f aca="false">IF(A259="2025",INDEX(Customers!$D$2:$D$41,MATCH(C259,Customers!$A$2:$A$41,0)),INDEX(Customers!$F$2:$F$41,MATCH(C259,Customers!$A$2:$A$41,0)))</f>
        <v>0.078</v>
      </c>
      <c r="I259" s="16" t="n">
        <f aca="false">F259*G259</f>
        <v>95182.5</v>
      </c>
      <c r="J259" s="16" t="n">
        <f aca="false">I259*(1-H259)</f>
        <v>87758.265</v>
      </c>
      <c r="K259" s="16" t="n">
        <f aca="false">J259*INDEX(Customers!$G$2:$G$41,MATCH(C259,Customers!$A$2:$A$41,0))</f>
        <v>1755.1653</v>
      </c>
      <c r="L259" s="16" t="n">
        <f aca="false">F259*INDEX(Customers!$H$2:$H$41,MATCH(C259,Customers!$A$2:$A$41,0))</f>
        <v>6860</v>
      </c>
      <c r="M259" s="16" t="n">
        <f aca="false">J259*INDEX(Customers!$I$2:$I$41,MATCH(C259,Customers!$A$2:$A$41,0))/365*Assumptions!$B$6</f>
        <v>1154.08129315069</v>
      </c>
      <c r="N259" s="16" t="n">
        <f aca="false">J259-K259-L259-M259</f>
        <v>77989.0184068493</v>
      </c>
      <c r="O259" s="16" t="n">
        <f aca="false">F259*IF(A259="2025",INDEX(Products!$D$2:$D$13,MATCH(D259,Products!$A$2:$A$13,0)),INDEX(Products!$F$2:$F$13,MATCH(D259,Products!$A$2:$A$13,0)))</f>
        <v>60564</v>
      </c>
      <c r="P259" s="16" t="n">
        <f aca="false">N259-O259</f>
        <v>17425.0184068493</v>
      </c>
    </row>
    <row r="260" customFormat="false" ht="15" hidden="false" customHeight="false" outlineLevel="0" collapsed="false">
      <c r="A260" s="2" t="s">
        <v>119</v>
      </c>
      <c r="B260" s="2" t="n">
        <v>7</v>
      </c>
      <c r="C260" s="2" t="s">
        <v>67</v>
      </c>
      <c r="D260" s="2" t="s">
        <v>36</v>
      </c>
      <c r="E260" s="2" t="str">
        <f aca="false">INDEX(Products!$B$2:$B$13,MATCH(D260,Products!$A$2:$A$13,0))</f>
        <v>FCC</v>
      </c>
      <c r="F260" s="15" t="n">
        <v>27.5</v>
      </c>
      <c r="G260" s="16" t="n">
        <f aca="false">IF(A260="2025",INDEX(Products!$C$2:$C$13,MATCH(D260,Products!$A$2:$A$13,0)),INDEX(Products!$E$2:$E$13,MATCH(D260,Products!$A$2:$A$13,0)))</f>
        <v>3885</v>
      </c>
      <c r="H260" s="13" t="n">
        <f aca="false">IF(A260="2025",INDEX(Customers!$D$2:$D$41,MATCH(C260,Customers!$A$2:$A$41,0)),INDEX(Customers!$F$2:$F$41,MATCH(C260,Customers!$A$2:$A$41,0)))</f>
        <v>0.078</v>
      </c>
      <c r="I260" s="16" t="n">
        <f aca="false">F260*G260</f>
        <v>106837.5</v>
      </c>
      <c r="J260" s="16" t="n">
        <f aca="false">I260*(1-H260)</f>
        <v>98504.175</v>
      </c>
      <c r="K260" s="16" t="n">
        <f aca="false">J260*INDEX(Customers!$G$2:$G$41,MATCH(C260,Customers!$A$2:$A$41,0))</f>
        <v>1970.0835</v>
      </c>
      <c r="L260" s="16" t="n">
        <f aca="false">F260*INDEX(Customers!$H$2:$H$41,MATCH(C260,Customers!$A$2:$A$41,0))</f>
        <v>7700</v>
      </c>
      <c r="M260" s="16" t="n">
        <f aca="false">J260*INDEX(Customers!$I$2:$I$41,MATCH(C260,Customers!$A$2:$A$41,0))/365*Assumptions!$B$6</f>
        <v>1295.39736986301</v>
      </c>
      <c r="N260" s="16" t="n">
        <f aca="false">J260-K260-L260-M260</f>
        <v>87538.694130137</v>
      </c>
      <c r="O260" s="16" t="n">
        <f aca="false">F260*IF(A260="2025",INDEX(Products!$D$2:$D$13,MATCH(D260,Products!$A$2:$A$13,0)),INDEX(Products!$F$2:$F$13,MATCH(D260,Products!$A$2:$A$13,0)))</f>
        <v>67980</v>
      </c>
      <c r="P260" s="16" t="n">
        <f aca="false">N260-O260</f>
        <v>19558.694130137</v>
      </c>
    </row>
    <row r="261" customFormat="false" ht="15" hidden="false" customHeight="false" outlineLevel="0" collapsed="false">
      <c r="A261" s="2" t="s">
        <v>119</v>
      </c>
      <c r="B261" s="2" t="n">
        <v>8</v>
      </c>
      <c r="C261" s="2" t="s">
        <v>67</v>
      </c>
      <c r="D261" s="2" t="s">
        <v>36</v>
      </c>
      <c r="E261" s="2" t="str">
        <f aca="false">INDEX(Products!$B$2:$B$13,MATCH(D261,Products!$A$2:$A$13,0))</f>
        <v>FCC</v>
      </c>
      <c r="F261" s="15" t="n">
        <v>36</v>
      </c>
      <c r="G261" s="16" t="n">
        <f aca="false">IF(A261="2025",INDEX(Products!$C$2:$C$13,MATCH(D261,Products!$A$2:$A$13,0)),INDEX(Products!$E$2:$E$13,MATCH(D261,Products!$A$2:$A$13,0)))</f>
        <v>3885</v>
      </c>
      <c r="H261" s="13" t="n">
        <f aca="false">IF(A261="2025",INDEX(Customers!$D$2:$D$41,MATCH(C261,Customers!$A$2:$A$41,0)),INDEX(Customers!$F$2:$F$41,MATCH(C261,Customers!$A$2:$A$41,0)))</f>
        <v>0.078</v>
      </c>
      <c r="I261" s="16" t="n">
        <f aca="false">F261*G261</f>
        <v>139860</v>
      </c>
      <c r="J261" s="16" t="n">
        <f aca="false">I261*(1-H261)</f>
        <v>128950.92</v>
      </c>
      <c r="K261" s="16" t="n">
        <f aca="false">J261*INDEX(Customers!$G$2:$G$41,MATCH(C261,Customers!$A$2:$A$41,0))</f>
        <v>2579.0184</v>
      </c>
      <c r="L261" s="16" t="n">
        <f aca="false">F261*INDEX(Customers!$H$2:$H$41,MATCH(C261,Customers!$A$2:$A$41,0))</f>
        <v>10080</v>
      </c>
      <c r="M261" s="16" t="n">
        <f aca="false">J261*INDEX(Customers!$I$2:$I$41,MATCH(C261,Customers!$A$2:$A$41,0))/365*Assumptions!$B$6</f>
        <v>1695.79292054795</v>
      </c>
      <c r="N261" s="16" t="n">
        <f aca="false">J261-K261-L261-M261</f>
        <v>114596.108679452</v>
      </c>
      <c r="O261" s="16" t="n">
        <f aca="false">F261*IF(A261="2025",INDEX(Products!$D$2:$D$13,MATCH(D261,Products!$A$2:$A$13,0)),INDEX(Products!$F$2:$F$13,MATCH(D261,Products!$A$2:$A$13,0)))</f>
        <v>88992</v>
      </c>
      <c r="P261" s="16" t="n">
        <f aca="false">N261-O261</f>
        <v>25604.1086794521</v>
      </c>
    </row>
    <row r="262" customFormat="false" ht="15" hidden="false" customHeight="false" outlineLevel="0" collapsed="false">
      <c r="A262" s="2" t="s">
        <v>119</v>
      </c>
      <c r="B262" s="2" t="n">
        <v>9</v>
      </c>
      <c r="C262" s="2" t="s">
        <v>67</v>
      </c>
      <c r="D262" s="2" t="s">
        <v>36</v>
      </c>
      <c r="E262" s="2" t="str">
        <f aca="false">INDEX(Products!$B$2:$B$13,MATCH(D262,Products!$A$2:$A$13,0))</f>
        <v>FCC</v>
      </c>
      <c r="F262" s="15" t="n">
        <v>28.6</v>
      </c>
      <c r="G262" s="16" t="n">
        <f aca="false">IF(A262="2025",INDEX(Products!$C$2:$C$13,MATCH(D262,Products!$A$2:$A$13,0)),INDEX(Products!$E$2:$E$13,MATCH(D262,Products!$A$2:$A$13,0)))</f>
        <v>3885</v>
      </c>
      <c r="H262" s="13" t="n">
        <f aca="false">IF(A262="2025",INDEX(Customers!$D$2:$D$41,MATCH(C262,Customers!$A$2:$A$41,0)),INDEX(Customers!$F$2:$F$41,MATCH(C262,Customers!$A$2:$A$41,0)))</f>
        <v>0.078</v>
      </c>
      <c r="I262" s="16" t="n">
        <f aca="false">F262*G262</f>
        <v>111111</v>
      </c>
      <c r="J262" s="16" t="n">
        <f aca="false">I262*(1-H262)</f>
        <v>102444.342</v>
      </c>
      <c r="K262" s="16" t="n">
        <f aca="false">J262*INDEX(Customers!$G$2:$G$41,MATCH(C262,Customers!$A$2:$A$41,0))</f>
        <v>2048.88684</v>
      </c>
      <c r="L262" s="16" t="n">
        <f aca="false">F262*INDEX(Customers!$H$2:$H$41,MATCH(C262,Customers!$A$2:$A$41,0))</f>
        <v>8008</v>
      </c>
      <c r="M262" s="16" t="n">
        <f aca="false">J262*INDEX(Customers!$I$2:$I$41,MATCH(C262,Customers!$A$2:$A$41,0))/365*Assumptions!$B$6</f>
        <v>1347.21326465753</v>
      </c>
      <c r="N262" s="16" t="n">
        <f aca="false">J262-K262-L262-M262</f>
        <v>91040.2418953425</v>
      </c>
      <c r="O262" s="16" t="n">
        <f aca="false">F262*IF(A262="2025",INDEX(Products!$D$2:$D$13,MATCH(D262,Products!$A$2:$A$13,0)),INDEX(Products!$F$2:$F$13,MATCH(D262,Products!$A$2:$A$13,0)))</f>
        <v>70699.2</v>
      </c>
      <c r="P262" s="16" t="n">
        <f aca="false">N262-O262</f>
        <v>20341.0418953425</v>
      </c>
    </row>
    <row r="263" customFormat="false" ht="15" hidden="false" customHeight="false" outlineLevel="0" collapsed="false">
      <c r="A263" s="2" t="s">
        <v>119</v>
      </c>
      <c r="B263" s="2" t="n">
        <v>10</v>
      </c>
      <c r="C263" s="2" t="s">
        <v>67</v>
      </c>
      <c r="D263" s="2" t="s">
        <v>36</v>
      </c>
      <c r="E263" s="2" t="str">
        <f aca="false">INDEX(Products!$B$2:$B$13,MATCH(D263,Products!$A$2:$A$13,0))</f>
        <v>FCC</v>
      </c>
      <c r="F263" s="15" t="n">
        <v>25.4</v>
      </c>
      <c r="G263" s="16" t="n">
        <f aca="false">IF(A263="2025",INDEX(Products!$C$2:$C$13,MATCH(D263,Products!$A$2:$A$13,0)),INDEX(Products!$E$2:$E$13,MATCH(D263,Products!$A$2:$A$13,0)))</f>
        <v>3885</v>
      </c>
      <c r="H263" s="13" t="n">
        <f aca="false">IF(A263="2025",INDEX(Customers!$D$2:$D$41,MATCH(C263,Customers!$A$2:$A$41,0)),INDEX(Customers!$F$2:$F$41,MATCH(C263,Customers!$A$2:$A$41,0)))</f>
        <v>0.078</v>
      </c>
      <c r="I263" s="16" t="n">
        <f aca="false">F263*G263</f>
        <v>98679</v>
      </c>
      <c r="J263" s="16" t="n">
        <f aca="false">I263*(1-H263)</f>
        <v>90982.038</v>
      </c>
      <c r="K263" s="16" t="n">
        <f aca="false">J263*INDEX(Customers!$G$2:$G$41,MATCH(C263,Customers!$A$2:$A$41,0))</f>
        <v>1819.64076</v>
      </c>
      <c r="L263" s="16" t="n">
        <f aca="false">F263*INDEX(Customers!$H$2:$H$41,MATCH(C263,Customers!$A$2:$A$41,0))</f>
        <v>7112</v>
      </c>
      <c r="M263" s="16" t="n">
        <f aca="false">J263*INDEX(Customers!$I$2:$I$41,MATCH(C263,Customers!$A$2:$A$41,0))/365*Assumptions!$B$6</f>
        <v>1196.47611616438</v>
      </c>
      <c r="N263" s="16" t="n">
        <f aca="false">J263-K263-L263-M263</f>
        <v>80853.9211238356</v>
      </c>
      <c r="O263" s="16" t="n">
        <f aca="false">F263*IF(A263="2025",INDEX(Products!$D$2:$D$13,MATCH(D263,Products!$A$2:$A$13,0)),INDEX(Products!$F$2:$F$13,MATCH(D263,Products!$A$2:$A$13,0)))</f>
        <v>62788.8</v>
      </c>
      <c r="P263" s="16" t="n">
        <f aca="false">N263-O263</f>
        <v>18065.1211238356</v>
      </c>
    </row>
    <row r="264" customFormat="false" ht="15" hidden="false" customHeight="false" outlineLevel="0" collapsed="false">
      <c r="A264" s="2" t="s">
        <v>119</v>
      </c>
      <c r="B264" s="2" t="n">
        <v>11</v>
      </c>
      <c r="C264" s="2" t="s">
        <v>67</v>
      </c>
      <c r="D264" s="2" t="s">
        <v>36</v>
      </c>
      <c r="E264" s="2" t="str">
        <f aca="false">INDEX(Products!$B$2:$B$13,MATCH(D264,Products!$A$2:$A$13,0))</f>
        <v>FCC</v>
      </c>
      <c r="F264" s="15" t="n">
        <v>22.4</v>
      </c>
      <c r="G264" s="16" t="n">
        <f aca="false">IF(A264="2025",INDEX(Products!$C$2:$C$13,MATCH(D264,Products!$A$2:$A$13,0)),INDEX(Products!$E$2:$E$13,MATCH(D264,Products!$A$2:$A$13,0)))</f>
        <v>3885</v>
      </c>
      <c r="H264" s="13" t="n">
        <f aca="false">IF(A264="2025",INDEX(Customers!$D$2:$D$41,MATCH(C264,Customers!$A$2:$A$41,0)),INDEX(Customers!$F$2:$F$41,MATCH(C264,Customers!$A$2:$A$41,0)))</f>
        <v>0.078</v>
      </c>
      <c r="I264" s="16" t="n">
        <f aca="false">F264*G264</f>
        <v>87024</v>
      </c>
      <c r="J264" s="16" t="n">
        <f aca="false">I264*(1-H264)</f>
        <v>80236.128</v>
      </c>
      <c r="K264" s="16" t="n">
        <f aca="false">J264*INDEX(Customers!$G$2:$G$41,MATCH(C264,Customers!$A$2:$A$41,0))</f>
        <v>1604.72256</v>
      </c>
      <c r="L264" s="16" t="n">
        <f aca="false">F264*INDEX(Customers!$H$2:$H$41,MATCH(C264,Customers!$A$2:$A$41,0))</f>
        <v>6272</v>
      </c>
      <c r="M264" s="16" t="n">
        <f aca="false">J264*INDEX(Customers!$I$2:$I$41,MATCH(C264,Customers!$A$2:$A$41,0))/365*Assumptions!$B$6</f>
        <v>1055.16003945206</v>
      </c>
      <c r="N264" s="16" t="n">
        <f aca="false">J264-K264-L264-M264</f>
        <v>71304.245400548</v>
      </c>
      <c r="O264" s="16" t="n">
        <f aca="false">F264*IF(A264="2025",INDEX(Products!$D$2:$D$13,MATCH(D264,Products!$A$2:$A$13,0)),INDEX(Products!$F$2:$F$13,MATCH(D264,Products!$A$2:$A$13,0)))</f>
        <v>55372.8</v>
      </c>
      <c r="P264" s="16" t="n">
        <f aca="false">N264-O264</f>
        <v>15931.445400548</v>
      </c>
    </row>
    <row r="265" customFormat="false" ht="15" hidden="false" customHeight="false" outlineLevel="0" collapsed="false">
      <c r="A265" s="2" t="s">
        <v>119</v>
      </c>
      <c r="B265" s="2" t="n">
        <v>12</v>
      </c>
      <c r="C265" s="2" t="s">
        <v>67</v>
      </c>
      <c r="D265" s="2" t="s">
        <v>36</v>
      </c>
      <c r="E265" s="2" t="str">
        <f aca="false">INDEX(Products!$B$2:$B$13,MATCH(D265,Products!$A$2:$A$13,0))</f>
        <v>FCC</v>
      </c>
      <c r="F265" s="15" t="n">
        <v>25.3</v>
      </c>
      <c r="G265" s="16" t="n">
        <f aca="false">IF(A265="2025",INDEX(Products!$C$2:$C$13,MATCH(D265,Products!$A$2:$A$13,0)),INDEX(Products!$E$2:$E$13,MATCH(D265,Products!$A$2:$A$13,0)))</f>
        <v>3885</v>
      </c>
      <c r="H265" s="13" t="n">
        <f aca="false">IF(A265="2025",INDEX(Customers!$D$2:$D$41,MATCH(C265,Customers!$A$2:$A$41,0)),INDEX(Customers!$F$2:$F$41,MATCH(C265,Customers!$A$2:$A$41,0)))</f>
        <v>0.078</v>
      </c>
      <c r="I265" s="16" t="n">
        <f aca="false">F265*G265</f>
        <v>98290.5</v>
      </c>
      <c r="J265" s="16" t="n">
        <f aca="false">I265*(1-H265)</f>
        <v>90623.841</v>
      </c>
      <c r="K265" s="16" t="n">
        <f aca="false">J265*INDEX(Customers!$G$2:$G$41,MATCH(C265,Customers!$A$2:$A$41,0))</f>
        <v>1812.47682</v>
      </c>
      <c r="L265" s="16" t="n">
        <f aca="false">F265*INDEX(Customers!$H$2:$H$41,MATCH(C265,Customers!$A$2:$A$41,0))</f>
        <v>7084</v>
      </c>
      <c r="M265" s="16" t="n">
        <f aca="false">J265*INDEX(Customers!$I$2:$I$41,MATCH(C265,Customers!$A$2:$A$41,0))/365*Assumptions!$B$6</f>
        <v>1191.76558027397</v>
      </c>
      <c r="N265" s="16" t="n">
        <f aca="false">J265-K265-L265-M265</f>
        <v>80535.598599726</v>
      </c>
      <c r="O265" s="16" t="n">
        <f aca="false">F265*IF(A265="2025",INDEX(Products!$D$2:$D$13,MATCH(D265,Products!$A$2:$A$13,0)),INDEX(Products!$F$2:$F$13,MATCH(D265,Products!$A$2:$A$13,0)))</f>
        <v>62541.6</v>
      </c>
      <c r="P265" s="16" t="n">
        <f aca="false">N265-O265</f>
        <v>17993.998599726</v>
      </c>
    </row>
    <row r="266" customFormat="false" ht="15" hidden="false" customHeight="false" outlineLevel="0" collapsed="false">
      <c r="A266" s="2" t="s">
        <v>118</v>
      </c>
      <c r="B266" s="2" t="n">
        <v>1</v>
      </c>
      <c r="C266" s="2" t="s">
        <v>67</v>
      </c>
      <c r="D266" s="2" t="s">
        <v>38</v>
      </c>
      <c r="E266" s="2" t="str">
        <f aca="false">INDEX(Products!$B$2:$B$13,MATCH(D266,Products!$A$2:$A$13,0))</f>
        <v>FCC</v>
      </c>
      <c r="F266" s="15" t="n">
        <v>28.7</v>
      </c>
      <c r="G266" s="16" t="n">
        <f aca="false">IF(A266="2025",INDEX(Products!$C$2:$C$13,MATCH(D266,Products!$A$2:$A$13,0)),INDEX(Products!$E$2:$E$13,MATCH(D266,Products!$A$2:$A$13,0)))</f>
        <v>4360</v>
      </c>
      <c r="H266" s="13" t="n">
        <f aca="false">IF(A266="2025",INDEX(Customers!$D$2:$D$41,MATCH(C266,Customers!$A$2:$A$41,0)),INDEX(Customers!$F$2:$F$41,MATCH(C266,Customers!$A$2:$A$41,0)))</f>
        <v>0.078</v>
      </c>
      <c r="I266" s="16" t="n">
        <f aca="false">F266*G266</f>
        <v>125132</v>
      </c>
      <c r="J266" s="16" t="n">
        <f aca="false">I266*(1-H266)</f>
        <v>115371.704</v>
      </c>
      <c r="K266" s="16" t="n">
        <f aca="false">J266*INDEX(Customers!$G$2:$G$41,MATCH(C266,Customers!$A$2:$A$41,0))</f>
        <v>2307.43408</v>
      </c>
      <c r="L266" s="16" t="n">
        <f aca="false">F266*INDEX(Customers!$H$2:$H$41,MATCH(C266,Customers!$A$2:$A$41,0))</f>
        <v>8036</v>
      </c>
      <c r="M266" s="16" t="n">
        <f aca="false">J266*INDEX(Customers!$I$2:$I$41,MATCH(C266,Customers!$A$2:$A$41,0))/365*Assumptions!$B$6</f>
        <v>1517.21692931507</v>
      </c>
      <c r="N266" s="16" t="n">
        <f aca="false">J266-K266-L266-M266</f>
        <v>103511.052990685</v>
      </c>
      <c r="O266" s="16" t="n">
        <f aca="false">F266*IF(A266="2025",INDEX(Products!$D$2:$D$13,MATCH(D266,Products!$A$2:$A$13,0)),INDEX(Products!$F$2:$F$13,MATCH(D266,Products!$A$2:$A$13,0)))</f>
        <v>79499</v>
      </c>
      <c r="P266" s="16" t="n">
        <f aca="false">N266-O266</f>
        <v>24012.0529906849</v>
      </c>
    </row>
    <row r="267" customFormat="false" ht="15" hidden="false" customHeight="false" outlineLevel="0" collapsed="false">
      <c r="A267" s="2" t="s">
        <v>118</v>
      </c>
      <c r="B267" s="2" t="n">
        <v>2</v>
      </c>
      <c r="C267" s="2" t="s">
        <v>67</v>
      </c>
      <c r="D267" s="2" t="s">
        <v>38</v>
      </c>
      <c r="E267" s="2" t="str">
        <f aca="false">INDEX(Products!$B$2:$B$13,MATCH(D267,Products!$A$2:$A$13,0))</f>
        <v>FCC</v>
      </c>
      <c r="F267" s="15" t="n">
        <v>34.4</v>
      </c>
      <c r="G267" s="16" t="n">
        <f aca="false">IF(A267="2025",INDEX(Products!$C$2:$C$13,MATCH(D267,Products!$A$2:$A$13,0)),INDEX(Products!$E$2:$E$13,MATCH(D267,Products!$A$2:$A$13,0)))</f>
        <v>4360</v>
      </c>
      <c r="H267" s="13" t="n">
        <f aca="false">IF(A267="2025",INDEX(Customers!$D$2:$D$41,MATCH(C267,Customers!$A$2:$A$41,0)),INDEX(Customers!$F$2:$F$41,MATCH(C267,Customers!$A$2:$A$41,0)))</f>
        <v>0.078</v>
      </c>
      <c r="I267" s="16" t="n">
        <f aca="false">F267*G267</f>
        <v>149984</v>
      </c>
      <c r="J267" s="16" t="n">
        <f aca="false">I267*(1-H267)</f>
        <v>138285.248</v>
      </c>
      <c r="K267" s="16" t="n">
        <f aca="false">J267*INDEX(Customers!$G$2:$G$41,MATCH(C267,Customers!$A$2:$A$41,0))</f>
        <v>2765.70496</v>
      </c>
      <c r="L267" s="16" t="n">
        <f aca="false">F267*INDEX(Customers!$H$2:$H$41,MATCH(C267,Customers!$A$2:$A$41,0))</f>
        <v>9632</v>
      </c>
      <c r="M267" s="16" t="n">
        <f aca="false">J267*INDEX(Customers!$I$2:$I$41,MATCH(C267,Customers!$A$2:$A$41,0))/365*Assumptions!$B$6</f>
        <v>1818.54572712329</v>
      </c>
      <c r="N267" s="16" t="n">
        <f aca="false">J267-K267-L267-M267</f>
        <v>124068.997312877</v>
      </c>
      <c r="O267" s="16" t="n">
        <f aca="false">F267*IF(A267="2025",INDEX(Products!$D$2:$D$13,MATCH(D267,Products!$A$2:$A$13,0)),INDEX(Products!$F$2:$F$13,MATCH(D267,Products!$A$2:$A$13,0)))</f>
        <v>95288</v>
      </c>
      <c r="P267" s="16" t="n">
        <f aca="false">N267-O267</f>
        <v>28780.9973128767</v>
      </c>
    </row>
    <row r="268" customFormat="false" ht="15" hidden="false" customHeight="false" outlineLevel="0" collapsed="false">
      <c r="A268" s="2" t="s">
        <v>118</v>
      </c>
      <c r="B268" s="2" t="n">
        <v>3</v>
      </c>
      <c r="C268" s="2" t="s">
        <v>67</v>
      </c>
      <c r="D268" s="2" t="s">
        <v>38</v>
      </c>
      <c r="E268" s="2" t="str">
        <f aca="false">INDEX(Products!$B$2:$B$13,MATCH(D268,Products!$A$2:$A$13,0))</f>
        <v>FCC</v>
      </c>
      <c r="F268" s="15" t="n">
        <v>25.7</v>
      </c>
      <c r="G268" s="16" t="n">
        <f aca="false">IF(A268="2025",INDEX(Products!$C$2:$C$13,MATCH(D268,Products!$A$2:$A$13,0)),INDEX(Products!$E$2:$E$13,MATCH(D268,Products!$A$2:$A$13,0)))</f>
        <v>4360</v>
      </c>
      <c r="H268" s="13" t="n">
        <f aca="false">IF(A268="2025",INDEX(Customers!$D$2:$D$41,MATCH(C268,Customers!$A$2:$A$41,0)),INDEX(Customers!$F$2:$F$41,MATCH(C268,Customers!$A$2:$A$41,0)))</f>
        <v>0.078</v>
      </c>
      <c r="I268" s="16" t="n">
        <f aca="false">F268*G268</f>
        <v>112052</v>
      </c>
      <c r="J268" s="16" t="n">
        <f aca="false">I268*(1-H268)</f>
        <v>103311.944</v>
      </c>
      <c r="K268" s="16" t="n">
        <f aca="false">J268*INDEX(Customers!$G$2:$G$41,MATCH(C268,Customers!$A$2:$A$41,0))</f>
        <v>2066.23888</v>
      </c>
      <c r="L268" s="16" t="n">
        <f aca="false">F268*INDEX(Customers!$H$2:$H$41,MATCH(C268,Customers!$A$2:$A$41,0))</f>
        <v>7196</v>
      </c>
      <c r="M268" s="16" t="n">
        <f aca="false">J268*INDEX(Customers!$I$2:$I$41,MATCH(C268,Customers!$A$2:$A$41,0))/365*Assumptions!$B$6</f>
        <v>1358.62282520548</v>
      </c>
      <c r="N268" s="16" t="n">
        <f aca="false">J268-K268-L268-M268</f>
        <v>92691.0822947945</v>
      </c>
      <c r="O268" s="16" t="n">
        <f aca="false">F268*IF(A268="2025",INDEX(Products!$D$2:$D$13,MATCH(D268,Products!$A$2:$A$13,0)),INDEX(Products!$F$2:$F$13,MATCH(D268,Products!$A$2:$A$13,0)))</f>
        <v>71189</v>
      </c>
      <c r="P268" s="16" t="n">
        <f aca="false">N268-O268</f>
        <v>21502.0822947945</v>
      </c>
    </row>
    <row r="269" customFormat="false" ht="15" hidden="false" customHeight="false" outlineLevel="0" collapsed="false">
      <c r="A269" s="2" t="s">
        <v>118</v>
      </c>
      <c r="B269" s="2" t="n">
        <v>4</v>
      </c>
      <c r="C269" s="2" t="s">
        <v>67</v>
      </c>
      <c r="D269" s="2" t="s">
        <v>38</v>
      </c>
      <c r="E269" s="2" t="str">
        <f aca="false">INDEX(Products!$B$2:$B$13,MATCH(D269,Products!$A$2:$A$13,0))</f>
        <v>FCC</v>
      </c>
      <c r="F269" s="15" t="n">
        <v>32.2</v>
      </c>
      <c r="G269" s="16" t="n">
        <f aca="false">IF(A269="2025",INDEX(Products!$C$2:$C$13,MATCH(D269,Products!$A$2:$A$13,0)),INDEX(Products!$E$2:$E$13,MATCH(D269,Products!$A$2:$A$13,0)))</f>
        <v>4360</v>
      </c>
      <c r="H269" s="13" t="n">
        <f aca="false">IF(A269="2025",INDEX(Customers!$D$2:$D$41,MATCH(C269,Customers!$A$2:$A$41,0)),INDEX(Customers!$F$2:$F$41,MATCH(C269,Customers!$A$2:$A$41,0)))</f>
        <v>0.078</v>
      </c>
      <c r="I269" s="16" t="n">
        <f aca="false">F269*G269</f>
        <v>140392</v>
      </c>
      <c r="J269" s="16" t="n">
        <f aca="false">I269*(1-H269)</f>
        <v>129441.424</v>
      </c>
      <c r="K269" s="16" t="n">
        <f aca="false">J269*INDEX(Customers!$G$2:$G$41,MATCH(C269,Customers!$A$2:$A$41,0))</f>
        <v>2588.82848</v>
      </c>
      <c r="L269" s="16" t="n">
        <f aca="false">F269*INDEX(Customers!$H$2:$H$41,MATCH(C269,Customers!$A$2:$A$41,0))</f>
        <v>9016</v>
      </c>
      <c r="M269" s="16" t="n">
        <f aca="false">J269*INDEX(Customers!$I$2:$I$41,MATCH(C269,Customers!$A$2:$A$41,0))/365*Assumptions!$B$6</f>
        <v>1702.24338410959</v>
      </c>
      <c r="N269" s="16" t="n">
        <f aca="false">J269-K269-L269-M269</f>
        <v>116134.35213589</v>
      </c>
      <c r="O269" s="16" t="n">
        <f aca="false">F269*IF(A269="2025",INDEX(Products!$D$2:$D$13,MATCH(D269,Products!$A$2:$A$13,0)),INDEX(Products!$F$2:$F$13,MATCH(D269,Products!$A$2:$A$13,0)))</f>
        <v>89194</v>
      </c>
      <c r="P269" s="16" t="n">
        <f aca="false">N269-O269</f>
        <v>26940.3521358904</v>
      </c>
    </row>
    <row r="270" customFormat="false" ht="15" hidden="false" customHeight="false" outlineLevel="0" collapsed="false">
      <c r="A270" s="2" t="s">
        <v>118</v>
      </c>
      <c r="B270" s="2" t="n">
        <v>5</v>
      </c>
      <c r="C270" s="2" t="s">
        <v>67</v>
      </c>
      <c r="D270" s="2" t="s">
        <v>38</v>
      </c>
      <c r="E270" s="2" t="str">
        <f aca="false">INDEX(Products!$B$2:$B$13,MATCH(D270,Products!$A$2:$A$13,0))</f>
        <v>FCC</v>
      </c>
      <c r="F270" s="15" t="n">
        <v>21.3</v>
      </c>
      <c r="G270" s="16" t="n">
        <f aca="false">IF(A270="2025",INDEX(Products!$C$2:$C$13,MATCH(D270,Products!$A$2:$A$13,0)),INDEX(Products!$E$2:$E$13,MATCH(D270,Products!$A$2:$A$13,0)))</f>
        <v>4360</v>
      </c>
      <c r="H270" s="13" t="n">
        <f aca="false">IF(A270="2025",INDEX(Customers!$D$2:$D$41,MATCH(C270,Customers!$A$2:$A$41,0)),INDEX(Customers!$F$2:$F$41,MATCH(C270,Customers!$A$2:$A$41,0)))</f>
        <v>0.078</v>
      </c>
      <c r="I270" s="16" t="n">
        <f aca="false">F270*G270</f>
        <v>92868</v>
      </c>
      <c r="J270" s="16" t="n">
        <f aca="false">I270*(1-H270)</f>
        <v>85624.296</v>
      </c>
      <c r="K270" s="16" t="n">
        <f aca="false">J270*INDEX(Customers!$G$2:$G$41,MATCH(C270,Customers!$A$2:$A$41,0))</f>
        <v>1712.48592</v>
      </c>
      <c r="L270" s="16" t="n">
        <f aca="false">F270*INDEX(Customers!$H$2:$H$41,MATCH(C270,Customers!$A$2:$A$41,0))</f>
        <v>5964</v>
      </c>
      <c r="M270" s="16" t="n">
        <f aca="false">J270*INDEX(Customers!$I$2:$I$41,MATCH(C270,Customers!$A$2:$A$41,0))/365*Assumptions!$B$6</f>
        <v>1126.01813917808</v>
      </c>
      <c r="N270" s="16" t="n">
        <f aca="false">J270-K270-L270-M270</f>
        <v>76821.7919408219</v>
      </c>
      <c r="O270" s="16" t="n">
        <f aca="false">F270*IF(A270="2025",INDEX(Products!$D$2:$D$13,MATCH(D270,Products!$A$2:$A$13,0)),INDEX(Products!$F$2:$F$13,MATCH(D270,Products!$A$2:$A$13,0)))</f>
        <v>59001</v>
      </c>
      <c r="P270" s="16" t="n">
        <f aca="false">N270-O270</f>
        <v>17820.7919408219</v>
      </c>
    </row>
    <row r="271" customFormat="false" ht="15" hidden="false" customHeight="false" outlineLevel="0" collapsed="false">
      <c r="A271" s="2" t="s">
        <v>118</v>
      </c>
      <c r="B271" s="2" t="n">
        <v>6</v>
      </c>
      <c r="C271" s="2" t="s">
        <v>67</v>
      </c>
      <c r="D271" s="2" t="s">
        <v>38</v>
      </c>
      <c r="E271" s="2" t="str">
        <f aca="false">INDEX(Products!$B$2:$B$13,MATCH(D271,Products!$A$2:$A$13,0))</f>
        <v>FCC</v>
      </c>
      <c r="F271" s="15" t="n">
        <v>32.8</v>
      </c>
      <c r="G271" s="16" t="n">
        <f aca="false">IF(A271="2025",INDEX(Products!$C$2:$C$13,MATCH(D271,Products!$A$2:$A$13,0)),INDEX(Products!$E$2:$E$13,MATCH(D271,Products!$A$2:$A$13,0)))</f>
        <v>4360</v>
      </c>
      <c r="H271" s="13" t="n">
        <f aca="false">IF(A271="2025",INDEX(Customers!$D$2:$D$41,MATCH(C271,Customers!$A$2:$A$41,0)),INDEX(Customers!$F$2:$F$41,MATCH(C271,Customers!$A$2:$A$41,0)))</f>
        <v>0.078</v>
      </c>
      <c r="I271" s="16" t="n">
        <f aca="false">F271*G271</f>
        <v>143008</v>
      </c>
      <c r="J271" s="16" t="n">
        <f aca="false">I271*(1-H271)</f>
        <v>131853.376</v>
      </c>
      <c r="K271" s="16" t="n">
        <f aca="false">J271*INDEX(Customers!$G$2:$G$41,MATCH(C271,Customers!$A$2:$A$41,0))</f>
        <v>2637.06752</v>
      </c>
      <c r="L271" s="16" t="n">
        <f aca="false">F271*INDEX(Customers!$H$2:$H$41,MATCH(C271,Customers!$A$2:$A$41,0))</f>
        <v>9184</v>
      </c>
      <c r="M271" s="16" t="n">
        <f aca="false">J271*INDEX(Customers!$I$2:$I$41,MATCH(C271,Customers!$A$2:$A$41,0))/365*Assumptions!$B$6</f>
        <v>1733.96220493151</v>
      </c>
      <c r="N271" s="16" t="n">
        <f aca="false">J271-K271-L271-M271</f>
        <v>118298.346275069</v>
      </c>
      <c r="O271" s="16" t="n">
        <f aca="false">F271*IF(A271="2025",INDEX(Products!$D$2:$D$13,MATCH(D271,Products!$A$2:$A$13,0)),INDEX(Products!$F$2:$F$13,MATCH(D271,Products!$A$2:$A$13,0)))</f>
        <v>90856</v>
      </c>
      <c r="P271" s="16" t="n">
        <f aca="false">N271-O271</f>
        <v>27442.3462750685</v>
      </c>
    </row>
    <row r="272" customFormat="false" ht="15" hidden="false" customHeight="false" outlineLevel="0" collapsed="false">
      <c r="A272" s="2" t="s">
        <v>118</v>
      </c>
      <c r="B272" s="2" t="n">
        <v>7</v>
      </c>
      <c r="C272" s="2" t="s">
        <v>67</v>
      </c>
      <c r="D272" s="2" t="s">
        <v>38</v>
      </c>
      <c r="E272" s="2" t="str">
        <f aca="false">INDEX(Products!$B$2:$B$13,MATCH(D272,Products!$A$2:$A$13,0))</f>
        <v>FCC</v>
      </c>
      <c r="F272" s="15" t="n">
        <v>34.5</v>
      </c>
      <c r="G272" s="16" t="n">
        <f aca="false">IF(A272="2025",INDEX(Products!$C$2:$C$13,MATCH(D272,Products!$A$2:$A$13,0)),INDEX(Products!$E$2:$E$13,MATCH(D272,Products!$A$2:$A$13,0)))</f>
        <v>4360</v>
      </c>
      <c r="H272" s="13" t="n">
        <f aca="false">IF(A272="2025",INDEX(Customers!$D$2:$D$41,MATCH(C272,Customers!$A$2:$A$41,0)),INDEX(Customers!$F$2:$F$41,MATCH(C272,Customers!$A$2:$A$41,0)))</f>
        <v>0.078</v>
      </c>
      <c r="I272" s="16" t="n">
        <f aca="false">F272*G272</f>
        <v>150420</v>
      </c>
      <c r="J272" s="16" t="n">
        <f aca="false">I272*(1-H272)</f>
        <v>138687.24</v>
      </c>
      <c r="K272" s="16" t="n">
        <f aca="false">J272*INDEX(Customers!$G$2:$G$41,MATCH(C272,Customers!$A$2:$A$41,0))</f>
        <v>2773.7448</v>
      </c>
      <c r="L272" s="16" t="n">
        <f aca="false">F272*INDEX(Customers!$H$2:$H$41,MATCH(C272,Customers!$A$2:$A$41,0))</f>
        <v>9660</v>
      </c>
      <c r="M272" s="16" t="n">
        <f aca="false">J272*INDEX(Customers!$I$2:$I$41,MATCH(C272,Customers!$A$2:$A$41,0))/365*Assumptions!$B$6</f>
        <v>1823.83219726027</v>
      </c>
      <c r="N272" s="16" t="n">
        <f aca="false">J272-K272-L272-M272</f>
        <v>124429.66300274</v>
      </c>
      <c r="O272" s="16" t="n">
        <f aca="false">F272*IF(A272="2025",INDEX(Products!$D$2:$D$13,MATCH(D272,Products!$A$2:$A$13,0)),INDEX(Products!$F$2:$F$13,MATCH(D272,Products!$A$2:$A$13,0)))</f>
        <v>95565</v>
      </c>
      <c r="P272" s="16" t="n">
        <f aca="false">N272-O272</f>
        <v>28864.6630027397</v>
      </c>
    </row>
    <row r="273" customFormat="false" ht="15" hidden="false" customHeight="false" outlineLevel="0" collapsed="false">
      <c r="A273" s="2" t="s">
        <v>118</v>
      </c>
      <c r="B273" s="2" t="n">
        <v>8</v>
      </c>
      <c r="C273" s="2" t="s">
        <v>67</v>
      </c>
      <c r="D273" s="2" t="s">
        <v>38</v>
      </c>
      <c r="E273" s="2" t="str">
        <f aca="false">INDEX(Products!$B$2:$B$13,MATCH(D273,Products!$A$2:$A$13,0))</f>
        <v>FCC</v>
      </c>
      <c r="F273" s="15" t="n">
        <v>27.5</v>
      </c>
      <c r="G273" s="16" t="n">
        <f aca="false">IF(A273="2025",INDEX(Products!$C$2:$C$13,MATCH(D273,Products!$A$2:$A$13,0)),INDEX(Products!$E$2:$E$13,MATCH(D273,Products!$A$2:$A$13,0)))</f>
        <v>4360</v>
      </c>
      <c r="H273" s="13" t="n">
        <f aca="false">IF(A273="2025",INDEX(Customers!$D$2:$D$41,MATCH(C273,Customers!$A$2:$A$41,0)),INDEX(Customers!$F$2:$F$41,MATCH(C273,Customers!$A$2:$A$41,0)))</f>
        <v>0.078</v>
      </c>
      <c r="I273" s="16" t="n">
        <f aca="false">F273*G273</f>
        <v>119900</v>
      </c>
      <c r="J273" s="16" t="n">
        <f aca="false">I273*(1-H273)</f>
        <v>110547.8</v>
      </c>
      <c r="K273" s="16" t="n">
        <f aca="false">J273*INDEX(Customers!$G$2:$G$41,MATCH(C273,Customers!$A$2:$A$41,0))</f>
        <v>2210.956</v>
      </c>
      <c r="L273" s="16" t="n">
        <f aca="false">F273*INDEX(Customers!$H$2:$H$41,MATCH(C273,Customers!$A$2:$A$41,0))</f>
        <v>7700</v>
      </c>
      <c r="M273" s="16" t="n">
        <f aca="false">J273*INDEX(Customers!$I$2:$I$41,MATCH(C273,Customers!$A$2:$A$41,0))/365*Assumptions!$B$6</f>
        <v>1453.77928767123</v>
      </c>
      <c r="N273" s="16" t="n">
        <f aca="false">J273-K273-L273-M273</f>
        <v>99183.0647123288</v>
      </c>
      <c r="O273" s="16" t="n">
        <f aca="false">F273*IF(A273="2025",INDEX(Products!$D$2:$D$13,MATCH(D273,Products!$A$2:$A$13,0)),INDEX(Products!$F$2:$F$13,MATCH(D273,Products!$A$2:$A$13,0)))</f>
        <v>76175</v>
      </c>
      <c r="P273" s="16" t="n">
        <f aca="false">N273-O273</f>
        <v>23008.0647123288</v>
      </c>
    </row>
    <row r="274" customFormat="false" ht="15" hidden="false" customHeight="false" outlineLevel="0" collapsed="false">
      <c r="A274" s="2" t="s">
        <v>118</v>
      </c>
      <c r="B274" s="2" t="n">
        <v>9</v>
      </c>
      <c r="C274" s="2" t="s">
        <v>67</v>
      </c>
      <c r="D274" s="2" t="s">
        <v>38</v>
      </c>
      <c r="E274" s="2" t="str">
        <f aca="false">INDEX(Products!$B$2:$B$13,MATCH(D274,Products!$A$2:$A$13,0))</f>
        <v>FCC</v>
      </c>
      <c r="F274" s="15" t="n">
        <v>26.7</v>
      </c>
      <c r="G274" s="16" t="n">
        <f aca="false">IF(A274="2025",INDEX(Products!$C$2:$C$13,MATCH(D274,Products!$A$2:$A$13,0)),INDEX(Products!$E$2:$E$13,MATCH(D274,Products!$A$2:$A$13,0)))</f>
        <v>4360</v>
      </c>
      <c r="H274" s="13" t="n">
        <f aca="false">IF(A274="2025",INDEX(Customers!$D$2:$D$41,MATCH(C274,Customers!$A$2:$A$41,0)),INDEX(Customers!$F$2:$F$41,MATCH(C274,Customers!$A$2:$A$41,0)))</f>
        <v>0.078</v>
      </c>
      <c r="I274" s="16" t="n">
        <f aca="false">F274*G274</f>
        <v>116412</v>
      </c>
      <c r="J274" s="16" t="n">
        <f aca="false">I274*(1-H274)</f>
        <v>107331.864</v>
      </c>
      <c r="K274" s="16" t="n">
        <f aca="false">J274*INDEX(Customers!$G$2:$G$41,MATCH(C274,Customers!$A$2:$A$41,0))</f>
        <v>2146.63728</v>
      </c>
      <c r="L274" s="16" t="n">
        <f aca="false">F274*INDEX(Customers!$H$2:$H$41,MATCH(C274,Customers!$A$2:$A$41,0))</f>
        <v>7476</v>
      </c>
      <c r="M274" s="16" t="n">
        <f aca="false">J274*INDEX(Customers!$I$2:$I$41,MATCH(C274,Customers!$A$2:$A$41,0))/365*Assumptions!$B$6</f>
        <v>1411.48752657534</v>
      </c>
      <c r="N274" s="16" t="n">
        <f aca="false">J274-K274-L274-M274</f>
        <v>96297.7391934247</v>
      </c>
      <c r="O274" s="16" t="n">
        <f aca="false">F274*IF(A274="2025",INDEX(Products!$D$2:$D$13,MATCH(D274,Products!$A$2:$A$13,0)),INDEX(Products!$F$2:$F$13,MATCH(D274,Products!$A$2:$A$13,0)))</f>
        <v>73959</v>
      </c>
      <c r="P274" s="16" t="n">
        <f aca="false">N274-O274</f>
        <v>22338.7391934247</v>
      </c>
    </row>
    <row r="275" customFormat="false" ht="15" hidden="false" customHeight="false" outlineLevel="0" collapsed="false">
      <c r="A275" s="2" t="s">
        <v>118</v>
      </c>
      <c r="B275" s="2" t="n">
        <v>10</v>
      </c>
      <c r="C275" s="2" t="s">
        <v>67</v>
      </c>
      <c r="D275" s="2" t="s">
        <v>38</v>
      </c>
      <c r="E275" s="2" t="str">
        <f aca="false">INDEX(Products!$B$2:$B$13,MATCH(D275,Products!$A$2:$A$13,0))</f>
        <v>FCC</v>
      </c>
      <c r="F275" s="15" t="n">
        <v>34.2</v>
      </c>
      <c r="G275" s="16" t="n">
        <f aca="false">IF(A275="2025",INDEX(Products!$C$2:$C$13,MATCH(D275,Products!$A$2:$A$13,0)),INDEX(Products!$E$2:$E$13,MATCH(D275,Products!$A$2:$A$13,0)))</f>
        <v>4360</v>
      </c>
      <c r="H275" s="13" t="n">
        <f aca="false">IF(A275="2025",INDEX(Customers!$D$2:$D$41,MATCH(C275,Customers!$A$2:$A$41,0)),INDEX(Customers!$F$2:$F$41,MATCH(C275,Customers!$A$2:$A$41,0)))</f>
        <v>0.078</v>
      </c>
      <c r="I275" s="16" t="n">
        <f aca="false">F275*G275</f>
        <v>149112</v>
      </c>
      <c r="J275" s="16" t="n">
        <f aca="false">I275*(1-H275)</f>
        <v>137481.264</v>
      </c>
      <c r="K275" s="16" t="n">
        <f aca="false">J275*INDEX(Customers!$G$2:$G$41,MATCH(C275,Customers!$A$2:$A$41,0))</f>
        <v>2749.62528</v>
      </c>
      <c r="L275" s="16" t="n">
        <f aca="false">F275*INDEX(Customers!$H$2:$H$41,MATCH(C275,Customers!$A$2:$A$41,0))</f>
        <v>9576</v>
      </c>
      <c r="M275" s="16" t="n">
        <f aca="false">J275*INDEX(Customers!$I$2:$I$41,MATCH(C275,Customers!$A$2:$A$41,0))/365*Assumptions!$B$6</f>
        <v>1807.97278684932</v>
      </c>
      <c r="N275" s="16" t="n">
        <f aca="false">J275-K275-L275-M275</f>
        <v>123347.665933151</v>
      </c>
      <c r="O275" s="16" t="n">
        <f aca="false">F275*IF(A275="2025",INDEX(Products!$D$2:$D$13,MATCH(D275,Products!$A$2:$A$13,0)),INDEX(Products!$F$2:$F$13,MATCH(D275,Products!$A$2:$A$13,0)))</f>
        <v>94734</v>
      </c>
      <c r="P275" s="16" t="n">
        <f aca="false">N275-O275</f>
        <v>28613.6659331507</v>
      </c>
    </row>
    <row r="276" customFormat="false" ht="15" hidden="false" customHeight="false" outlineLevel="0" collapsed="false">
      <c r="A276" s="2" t="s">
        <v>118</v>
      </c>
      <c r="B276" s="2" t="n">
        <v>11</v>
      </c>
      <c r="C276" s="2" t="s">
        <v>67</v>
      </c>
      <c r="D276" s="2" t="s">
        <v>38</v>
      </c>
      <c r="E276" s="2" t="str">
        <f aca="false">INDEX(Products!$B$2:$B$13,MATCH(D276,Products!$A$2:$A$13,0))</f>
        <v>FCC</v>
      </c>
      <c r="F276" s="15" t="n">
        <v>23</v>
      </c>
      <c r="G276" s="16" t="n">
        <f aca="false">IF(A276="2025",INDEX(Products!$C$2:$C$13,MATCH(D276,Products!$A$2:$A$13,0)),INDEX(Products!$E$2:$E$13,MATCH(D276,Products!$A$2:$A$13,0)))</f>
        <v>4360</v>
      </c>
      <c r="H276" s="13" t="n">
        <f aca="false">IF(A276="2025",INDEX(Customers!$D$2:$D$41,MATCH(C276,Customers!$A$2:$A$41,0)),INDEX(Customers!$F$2:$F$41,MATCH(C276,Customers!$A$2:$A$41,0)))</f>
        <v>0.078</v>
      </c>
      <c r="I276" s="16" t="n">
        <f aca="false">F276*G276</f>
        <v>100280</v>
      </c>
      <c r="J276" s="16" t="n">
        <f aca="false">I276*(1-H276)</f>
        <v>92458.16</v>
      </c>
      <c r="K276" s="16" t="n">
        <f aca="false">J276*INDEX(Customers!$G$2:$G$41,MATCH(C276,Customers!$A$2:$A$41,0))</f>
        <v>1849.1632</v>
      </c>
      <c r="L276" s="16" t="n">
        <f aca="false">F276*INDEX(Customers!$H$2:$H$41,MATCH(C276,Customers!$A$2:$A$41,0))</f>
        <v>6440</v>
      </c>
      <c r="M276" s="16" t="n">
        <f aca="false">J276*INDEX(Customers!$I$2:$I$41,MATCH(C276,Customers!$A$2:$A$41,0))/365*Assumptions!$B$6</f>
        <v>1215.88813150685</v>
      </c>
      <c r="N276" s="16" t="n">
        <f aca="false">J276-K276-L276-M276</f>
        <v>82953.1086684932</v>
      </c>
      <c r="O276" s="16" t="n">
        <f aca="false">F276*IF(A276="2025",INDEX(Products!$D$2:$D$13,MATCH(D276,Products!$A$2:$A$13,0)),INDEX(Products!$F$2:$F$13,MATCH(D276,Products!$A$2:$A$13,0)))</f>
        <v>63710</v>
      </c>
      <c r="P276" s="16" t="n">
        <f aca="false">N276-O276</f>
        <v>19243.1086684932</v>
      </c>
    </row>
    <row r="277" customFormat="false" ht="15" hidden="false" customHeight="false" outlineLevel="0" collapsed="false">
      <c r="A277" s="2" t="s">
        <v>118</v>
      </c>
      <c r="B277" s="2" t="n">
        <v>12</v>
      </c>
      <c r="C277" s="2" t="s">
        <v>67</v>
      </c>
      <c r="D277" s="2" t="s">
        <v>38</v>
      </c>
      <c r="E277" s="2" t="str">
        <f aca="false">INDEX(Products!$B$2:$B$13,MATCH(D277,Products!$A$2:$A$13,0))</f>
        <v>FCC</v>
      </c>
      <c r="F277" s="15" t="n">
        <v>34.4</v>
      </c>
      <c r="G277" s="16" t="n">
        <f aca="false">IF(A277="2025",INDEX(Products!$C$2:$C$13,MATCH(D277,Products!$A$2:$A$13,0)),INDEX(Products!$E$2:$E$13,MATCH(D277,Products!$A$2:$A$13,0)))</f>
        <v>4360</v>
      </c>
      <c r="H277" s="13" t="n">
        <f aca="false">IF(A277="2025",INDEX(Customers!$D$2:$D$41,MATCH(C277,Customers!$A$2:$A$41,0)),INDEX(Customers!$F$2:$F$41,MATCH(C277,Customers!$A$2:$A$41,0)))</f>
        <v>0.078</v>
      </c>
      <c r="I277" s="16" t="n">
        <f aca="false">F277*G277</f>
        <v>149984</v>
      </c>
      <c r="J277" s="16" t="n">
        <f aca="false">I277*(1-H277)</f>
        <v>138285.248</v>
      </c>
      <c r="K277" s="16" t="n">
        <f aca="false">J277*INDEX(Customers!$G$2:$G$41,MATCH(C277,Customers!$A$2:$A$41,0))</f>
        <v>2765.70496</v>
      </c>
      <c r="L277" s="16" t="n">
        <f aca="false">F277*INDEX(Customers!$H$2:$H$41,MATCH(C277,Customers!$A$2:$A$41,0))</f>
        <v>9632</v>
      </c>
      <c r="M277" s="16" t="n">
        <f aca="false">J277*INDEX(Customers!$I$2:$I$41,MATCH(C277,Customers!$A$2:$A$41,0))/365*Assumptions!$B$6</f>
        <v>1818.54572712329</v>
      </c>
      <c r="N277" s="16" t="n">
        <f aca="false">J277-K277-L277-M277</f>
        <v>124068.997312877</v>
      </c>
      <c r="O277" s="16" t="n">
        <f aca="false">F277*IF(A277="2025",INDEX(Products!$D$2:$D$13,MATCH(D277,Products!$A$2:$A$13,0)),INDEX(Products!$F$2:$F$13,MATCH(D277,Products!$A$2:$A$13,0)))</f>
        <v>95288</v>
      </c>
      <c r="P277" s="16" t="n">
        <f aca="false">N277-O277</f>
        <v>28780.9973128767</v>
      </c>
    </row>
    <row r="278" customFormat="false" ht="15" hidden="false" customHeight="false" outlineLevel="0" collapsed="false">
      <c r="A278" s="2" t="s">
        <v>119</v>
      </c>
      <c r="B278" s="2" t="n">
        <v>1</v>
      </c>
      <c r="C278" s="2" t="s">
        <v>67</v>
      </c>
      <c r="D278" s="2" t="s">
        <v>38</v>
      </c>
      <c r="E278" s="2" t="str">
        <f aca="false">INDEX(Products!$B$2:$B$13,MATCH(D278,Products!$A$2:$A$13,0))</f>
        <v>FCC</v>
      </c>
      <c r="F278" s="15" t="n">
        <v>34.4</v>
      </c>
      <c r="G278" s="16" t="n">
        <f aca="false">IF(A278="2025",INDEX(Products!$C$2:$C$13,MATCH(D278,Products!$A$2:$A$13,0)),INDEX(Products!$E$2:$E$13,MATCH(D278,Products!$A$2:$A$13,0)))</f>
        <v>4578</v>
      </c>
      <c r="H278" s="13" t="n">
        <f aca="false">IF(A278="2025",INDEX(Customers!$D$2:$D$41,MATCH(C278,Customers!$A$2:$A$41,0)),INDEX(Customers!$F$2:$F$41,MATCH(C278,Customers!$A$2:$A$41,0)))</f>
        <v>0.078</v>
      </c>
      <c r="I278" s="16" t="n">
        <f aca="false">F278*G278</f>
        <v>157483.2</v>
      </c>
      <c r="J278" s="16" t="n">
        <f aca="false">I278*(1-H278)</f>
        <v>145199.5104</v>
      </c>
      <c r="K278" s="16" t="n">
        <f aca="false">J278*INDEX(Customers!$G$2:$G$41,MATCH(C278,Customers!$A$2:$A$41,0))</f>
        <v>2903.990208</v>
      </c>
      <c r="L278" s="16" t="n">
        <f aca="false">F278*INDEX(Customers!$H$2:$H$41,MATCH(C278,Customers!$A$2:$A$41,0))</f>
        <v>9632</v>
      </c>
      <c r="M278" s="16" t="n">
        <f aca="false">J278*INDEX(Customers!$I$2:$I$41,MATCH(C278,Customers!$A$2:$A$41,0))/365*Assumptions!$B$6</f>
        <v>1909.47301347945</v>
      </c>
      <c r="N278" s="16" t="n">
        <f aca="false">J278-K278-L278-M278</f>
        <v>130754.047178521</v>
      </c>
      <c r="O278" s="16" t="n">
        <f aca="false">F278*IF(A278="2025",INDEX(Products!$D$2:$D$13,MATCH(D278,Products!$A$2:$A$13,0)),INDEX(Products!$F$2:$F$13,MATCH(D278,Products!$A$2:$A$13,0)))</f>
        <v>98146.64</v>
      </c>
      <c r="P278" s="16" t="n">
        <f aca="false">N278-O278</f>
        <v>32607.4071785205</v>
      </c>
    </row>
    <row r="279" customFormat="false" ht="15" hidden="false" customHeight="false" outlineLevel="0" collapsed="false">
      <c r="A279" s="2" t="s">
        <v>119</v>
      </c>
      <c r="B279" s="2" t="n">
        <v>2</v>
      </c>
      <c r="C279" s="2" t="s">
        <v>67</v>
      </c>
      <c r="D279" s="2" t="s">
        <v>38</v>
      </c>
      <c r="E279" s="2" t="str">
        <f aca="false">INDEX(Products!$B$2:$B$13,MATCH(D279,Products!$A$2:$A$13,0))</f>
        <v>FCC</v>
      </c>
      <c r="F279" s="15" t="n">
        <v>35.1</v>
      </c>
      <c r="G279" s="16" t="n">
        <f aca="false">IF(A279="2025",INDEX(Products!$C$2:$C$13,MATCH(D279,Products!$A$2:$A$13,0)),INDEX(Products!$E$2:$E$13,MATCH(D279,Products!$A$2:$A$13,0)))</f>
        <v>4578</v>
      </c>
      <c r="H279" s="13" t="n">
        <f aca="false">IF(A279="2025",INDEX(Customers!$D$2:$D$41,MATCH(C279,Customers!$A$2:$A$41,0)),INDEX(Customers!$F$2:$F$41,MATCH(C279,Customers!$A$2:$A$41,0)))</f>
        <v>0.078</v>
      </c>
      <c r="I279" s="16" t="n">
        <f aca="false">F279*G279</f>
        <v>160687.8</v>
      </c>
      <c r="J279" s="16" t="n">
        <f aca="false">I279*(1-H279)</f>
        <v>148154.1516</v>
      </c>
      <c r="K279" s="16" t="n">
        <f aca="false">J279*INDEX(Customers!$G$2:$G$41,MATCH(C279,Customers!$A$2:$A$41,0))</f>
        <v>2963.083032</v>
      </c>
      <c r="L279" s="16" t="n">
        <f aca="false">F279*INDEX(Customers!$H$2:$H$41,MATCH(C279,Customers!$A$2:$A$41,0))</f>
        <v>9828</v>
      </c>
      <c r="M279" s="16" t="n">
        <f aca="false">J279*INDEX(Customers!$I$2:$I$41,MATCH(C279,Customers!$A$2:$A$41,0))/365*Assumptions!$B$6</f>
        <v>1948.3285689863</v>
      </c>
      <c r="N279" s="16" t="n">
        <f aca="false">J279-K279-L279-M279</f>
        <v>133414.739999014</v>
      </c>
      <c r="O279" s="16" t="n">
        <f aca="false">F279*IF(A279="2025",INDEX(Products!$D$2:$D$13,MATCH(D279,Products!$A$2:$A$13,0)),INDEX(Products!$F$2:$F$13,MATCH(D279,Products!$A$2:$A$13,0)))</f>
        <v>100143.81</v>
      </c>
      <c r="P279" s="16" t="n">
        <f aca="false">N279-O279</f>
        <v>33270.9299990137</v>
      </c>
    </row>
    <row r="280" customFormat="false" ht="15" hidden="false" customHeight="false" outlineLevel="0" collapsed="false">
      <c r="A280" s="2" t="s">
        <v>119</v>
      </c>
      <c r="B280" s="2" t="n">
        <v>3</v>
      </c>
      <c r="C280" s="2" t="s">
        <v>67</v>
      </c>
      <c r="D280" s="2" t="s">
        <v>38</v>
      </c>
      <c r="E280" s="2" t="str">
        <f aca="false">INDEX(Products!$B$2:$B$13,MATCH(D280,Products!$A$2:$A$13,0))</f>
        <v>FCC</v>
      </c>
      <c r="F280" s="15" t="n">
        <v>34</v>
      </c>
      <c r="G280" s="16" t="n">
        <f aca="false">IF(A280="2025",INDEX(Products!$C$2:$C$13,MATCH(D280,Products!$A$2:$A$13,0)),INDEX(Products!$E$2:$E$13,MATCH(D280,Products!$A$2:$A$13,0)))</f>
        <v>4578</v>
      </c>
      <c r="H280" s="13" t="n">
        <f aca="false">IF(A280="2025",INDEX(Customers!$D$2:$D$41,MATCH(C280,Customers!$A$2:$A$41,0)),INDEX(Customers!$F$2:$F$41,MATCH(C280,Customers!$A$2:$A$41,0)))</f>
        <v>0.078</v>
      </c>
      <c r="I280" s="16" t="n">
        <f aca="false">F280*G280</f>
        <v>155652</v>
      </c>
      <c r="J280" s="16" t="n">
        <f aca="false">I280*(1-H280)</f>
        <v>143511.144</v>
      </c>
      <c r="K280" s="16" t="n">
        <f aca="false">J280*INDEX(Customers!$G$2:$G$41,MATCH(C280,Customers!$A$2:$A$41,0))</f>
        <v>2870.22288</v>
      </c>
      <c r="L280" s="16" t="n">
        <f aca="false">F280*INDEX(Customers!$H$2:$H$41,MATCH(C280,Customers!$A$2:$A$41,0))</f>
        <v>9520</v>
      </c>
      <c r="M280" s="16" t="n">
        <f aca="false">J280*INDEX(Customers!$I$2:$I$41,MATCH(C280,Customers!$A$2:$A$41,0))/365*Assumptions!$B$6</f>
        <v>1887.26983890411</v>
      </c>
      <c r="N280" s="16" t="n">
        <f aca="false">J280-K280-L280-M280</f>
        <v>129233.651281096</v>
      </c>
      <c r="O280" s="16" t="n">
        <f aca="false">F280*IF(A280="2025",INDEX(Products!$D$2:$D$13,MATCH(D280,Products!$A$2:$A$13,0)),INDEX(Products!$F$2:$F$13,MATCH(D280,Products!$A$2:$A$13,0)))</f>
        <v>97005.4</v>
      </c>
      <c r="P280" s="16" t="n">
        <f aca="false">N280-O280</f>
        <v>32228.2512810959</v>
      </c>
    </row>
    <row r="281" customFormat="false" ht="15" hidden="false" customHeight="false" outlineLevel="0" collapsed="false">
      <c r="A281" s="2" t="s">
        <v>119</v>
      </c>
      <c r="B281" s="2" t="n">
        <v>4</v>
      </c>
      <c r="C281" s="2" t="s">
        <v>67</v>
      </c>
      <c r="D281" s="2" t="s">
        <v>38</v>
      </c>
      <c r="E281" s="2" t="str">
        <f aca="false">INDEX(Products!$B$2:$B$13,MATCH(D281,Products!$A$2:$A$13,0))</f>
        <v>FCC</v>
      </c>
      <c r="F281" s="15" t="n">
        <v>28</v>
      </c>
      <c r="G281" s="16" t="n">
        <f aca="false">IF(A281="2025",INDEX(Products!$C$2:$C$13,MATCH(D281,Products!$A$2:$A$13,0)),INDEX(Products!$E$2:$E$13,MATCH(D281,Products!$A$2:$A$13,0)))</f>
        <v>4578</v>
      </c>
      <c r="H281" s="13" t="n">
        <f aca="false">IF(A281="2025",INDEX(Customers!$D$2:$D$41,MATCH(C281,Customers!$A$2:$A$41,0)),INDEX(Customers!$F$2:$F$41,MATCH(C281,Customers!$A$2:$A$41,0)))</f>
        <v>0.078</v>
      </c>
      <c r="I281" s="16" t="n">
        <f aca="false">F281*G281</f>
        <v>128184</v>
      </c>
      <c r="J281" s="16" t="n">
        <f aca="false">I281*(1-H281)</f>
        <v>118185.648</v>
      </c>
      <c r="K281" s="16" t="n">
        <f aca="false">J281*INDEX(Customers!$G$2:$G$41,MATCH(C281,Customers!$A$2:$A$41,0))</f>
        <v>2363.71296</v>
      </c>
      <c r="L281" s="16" t="n">
        <f aca="false">F281*INDEX(Customers!$H$2:$H$41,MATCH(C281,Customers!$A$2:$A$41,0))</f>
        <v>7840</v>
      </c>
      <c r="M281" s="16" t="n">
        <f aca="false">J281*INDEX(Customers!$I$2:$I$41,MATCH(C281,Customers!$A$2:$A$41,0))/365*Assumptions!$B$6</f>
        <v>1554.22222027397</v>
      </c>
      <c r="N281" s="16" t="n">
        <f aca="false">J281-K281-L281-M281</f>
        <v>106427.712819726</v>
      </c>
      <c r="O281" s="16" t="n">
        <f aca="false">F281*IF(A281="2025",INDEX(Products!$D$2:$D$13,MATCH(D281,Products!$A$2:$A$13,0)),INDEX(Products!$F$2:$F$13,MATCH(D281,Products!$A$2:$A$13,0)))</f>
        <v>79886.8</v>
      </c>
      <c r="P281" s="16" t="n">
        <f aca="false">N281-O281</f>
        <v>26540.912819726</v>
      </c>
    </row>
    <row r="282" customFormat="false" ht="15" hidden="false" customHeight="false" outlineLevel="0" collapsed="false">
      <c r="A282" s="2" t="s">
        <v>119</v>
      </c>
      <c r="B282" s="2" t="n">
        <v>5</v>
      </c>
      <c r="C282" s="2" t="s">
        <v>67</v>
      </c>
      <c r="D282" s="2" t="s">
        <v>38</v>
      </c>
      <c r="E282" s="2" t="str">
        <f aca="false">INDEX(Products!$B$2:$B$13,MATCH(D282,Products!$A$2:$A$13,0))</f>
        <v>FCC</v>
      </c>
      <c r="F282" s="15" t="n">
        <v>30.5</v>
      </c>
      <c r="G282" s="16" t="n">
        <f aca="false">IF(A282="2025",INDEX(Products!$C$2:$C$13,MATCH(D282,Products!$A$2:$A$13,0)),INDEX(Products!$E$2:$E$13,MATCH(D282,Products!$A$2:$A$13,0)))</f>
        <v>4578</v>
      </c>
      <c r="H282" s="13" t="n">
        <f aca="false">IF(A282="2025",INDEX(Customers!$D$2:$D$41,MATCH(C282,Customers!$A$2:$A$41,0)),INDEX(Customers!$F$2:$F$41,MATCH(C282,Customers!$A$2:$A$41,0)))</f>
        <v>0.078</v>
      </c>
      <c r="I282" s="16" t="n">
        <f aca="false">F282*G282</f>
        <v>139629</v>
      </c>
      <c r="J282" s="16" t="n">
        <f aca="false">I282*(1-H282)</f>
        <v>128737.938</v>
      </c>
      <c r="K282" s="16" t="n">
        <f aca="false">J282*INDEX(Customers!$G$2:$G$41,MATCH(C282,Customers!$A$2:$A$41,0))</f>
        <v>2574.75876</v>
      </c>
      <c r="L282" s="16" t="n">
        <f aca="false">F282*INDEX(Customers!$H$2:$H$41,MATCH(C282,Customers!$A$2:$A$41,0))</f>
        <v>8540</v>
      </c>
      <c r="M282" s="16" t="n">
        <f aca="false">J282*INDEX(Customers!$I$2:$I$41,MATCH(C282,Customers!$A$2:$A$41,0))/365*Assumptions!$B$6</f>
        <v>1692.99206136986</v>
      </c>
      <c r="N282" s="16" t="n">
        <f aca="false">J282-K282-L282-M282</f>
        <v>115930.18717863</v>
      </c>
      <c r="O282" s="16" t="n">
        <f aca="false">F282*IF(A282="2025",INDEX(Products!$D$2:$D$13,MATCH(D282,Products!$A$2:$A$13,0)),INDEX(Products!$F$2:$F$13,MATCH(D282,Products!$A$2:$A$13,0)))</f>
        <v>87019.55</v>
      </c>
      <c r="P282" s="16" t="n">
        <f aca="false">N282-O282</f>
        <v>28910.6371786301</v>
      </c>
    </row>
    <row r="283" customFormat="false" ht="15" hidden="false" customHeight="false" outlineLevel="0" collapsed="false">
      <c r="A283" s="2" t="s">
        <v>119</v>
      </c>
      <c r="B283" s="2" t="n">
        <v>6</v>
      </c>
      <c r="C283" s="2" t="s">
        <v>67</v>
      </c>
      <c r="D283" s="2" t="s">
        <v>38</v>
      </c>
      <c r="E283" s="2" t="str">
        <f aca="false">INDEX(Products!$B$2:$B$13,MATCH(D283,Products!$A$2:$A$13,0))</f>
        <v>FCC</v>
      </c>
      <c r="F283" s="15" t="n">
        <v>28.1</v>
      </c>
      <c r="G283" s="16" t="n">
        <f aca="false">IF(A283="2025",INDEX(Products!$C$2:$C$13,MATCH(D283,Products!$A$2:$A$13,0)),INDEX(Products!$E$2:$E$13,MATCH(D283,Products!$A$2:$A$13,0)))</f>
        <v>4578</v>
      </c>
      <c r="H283" s="13" t="n">
        <f aca="false">IF(A283="2025",INDEX(Customers!$D$2:$D$41,MATCH(C283,Customers!$A$2:$A$41,0)),INDEX(Customers!$F$2:$F$41,MATCH(C283,Customers!$A$2:$A$41,0)))</f>
        <v>0.078</v>
      </c>
      <c r="I283" s="16" t="n">
        <f aca="false">F283*G283</f>
        <v>128641.8</v>
      </c>
      <c r="J283" s="16" t="n">
        <f aca="false">I283*(1-H283)</f>
        <v>118607.7396</v>
      </c>
      <c r="K283" s="16" t="n">
        <f aca="false">J283*INDEX(Customers!$G$2:$G$41,MATCH(C283,Customers!$A$2:$A$41,0))</f>
        <v>2372.154792</v>
      </c>
      <c r="L283" s="16" t="n">
        <f aca="false">F283*INDEX(Customers!$H$2:$H$41,MATCH(C283,Customers!$A$2:$A$41,0))</f>
        <v>7868</v>
      </c>
      <c r="M283" s="16" t="n">
        <f aca="false">J283*INDEX(Customers!$I$2:$I$41,MATCH(C283,Customers!$A$2:$A$41,0))/365*Assumptions!$B$6</f>
        <v>1559.77301391781</v>
      </c>
      <c r="N283" s="16" t="n">
        <f aca="false">J283-K283-L283-M283</f>
        <v>106807.811794082</v>
      </c>
      <c r="O283" s="16" t="n">
        <f aca="false">F283*IF(A283="2025",INDEX(Products!$D$2:$D$13,MATCH(D283,Products!$A$2:$A$13,0)),INDEX(Products!$F$2:$F$13,MATCH(D283,Products!$A$2:$A$13,0)))</f>
        <v>80172.11</v>
      </c>
      <c r="P283" s="16" t="n">
        <f aca="false">N283-O283</f>
        <v>26635.7017940822</v>
      </c>
    </row>
    <row r="284" customFormat="false" ht="15" hidden="false" customHeight="false" outlineLevel="0" collapsed="false">
      <c r="A284" s="2" t="s">
        <v>119</v>
      </c>
      <c r="B284" s="2" t="n">
        <v>7</v>
      </c>
      <c r="C284" s="2" t="s">
        <v>67</v>
      </c>
      <c r="D284" s="2" t="s">
        <v>38</v>
      </c>
      <c r="E284" s="2" t="str">
        <f aca="false">INDEX(Products!$B$2:$B$13,MATCH(D284,Products!$A$2:$A$13,0))</f>
        <v>FCC</v>
      </c>
      <c r="F284" s="15" t="n">
        <v>24.3</v>
      </c>
      <c r="G284" s="16" t="n">
        <f aca="false">IF(A284="2025",INDEX(Products!$C$2:$C$13,MATCH(D284,Products!$A$2:$A$13,0)),INDEX(Products!$E$2:$E$13,MATCH(D284,Products!$A$2:$A$13,0)))</f>
        <v>4578</v>
      </c>
      <c r="H284" s="13" t="n">
        <f aca="false">IF(A284="2025",INDEX(Customers!$D$2:$D$41,MATCH(C284,Customers!$A$2:$A$41,0)),INDEX(Customers!$F$2:$F$41,MATCH(C284,Customers!$A$2:$A$41,0)))</f>
        <v>0.078</v>
      </c>
      <c r="I284" s="16" t="n">
        <f aca="false">F284*G284</f>
        <v>111245.4</v>
      </c>
      <c r="J284" s="16" t="n">
        <f aca="false">I284*(1-H284)</f>
        <v>102568.2588</v>
      </c>
      <c r="K284" s="16" t="n">
        <f aca="false">J284*INDEX(Customers!$G$2:$G$41,MATCH(C284,Customers!$A$2:$A$41,0))</f>
        <v>2051.365176</v>
      </c>
      <c r="L284" s="16" t="n">
        <f aca="false">F284*INDEX(Customers!$H$2:$H$41,MATCH(C284,Customers!$A$2:$A$41,0))</f>
        <v>6804</v>
      </c>
      <c r="M284" s="16" t="n">
        <f aca="false">J284*INDEX(Customers!$I$2:$I$41,MATCH(C284,Customers!$A$2:$A$41,0))/365*Assumptions!$B$6</f>
        <v>1348.84285545206</v>
      </c>
      <c r="N284" s="16" t="n">
        <f aca="false">J284-K284-L284-M284</f>
        <v>92364.050768548</v>
      </c>
      <c r="O284" s="16" t="n">
        <f aca="false">F284*IF(A284="2025",INDEX(Products!$D$2:$D$13,MATCH(D284,Products!$A$2:$A$13,0)),INDEX(Products!$F$2:$F$13,MATCH(D284,Products!$A$2:$A$13,0)))</f>
        <v>69330.33</v>
      </c>
      <c r="P284" s="16" t="n">
        <f aca="false">N284-O284</f>
        <v>23033.720768548</v>
      </c>
    </row>
    <row r="285" customFormat="false" ht="15" hidden="false" customHeight="false" outlineLevel="0" collapsed="false">
      <c r="A285" s="2" t="s">
        <v>119</v>
      </c>
      <c r="B285" s="2" t="n">
        <v>8</v>
      </c>
      <c r="C285" s="2" t="s">
        <v>67</v>
      </c>
      <c r="D285" s="2" t="s">
        <v>38</v>
      </c>
      <c r="E285" s="2" t="str">
        <f aca="false">INDEX(Products!$B$2:$B$13,MATCH(D285,Products!$A$2:$A$13,0))</f>
        <v>FCC</v>
      </c>
      <c r="F285" s="15" t="n">
        <v>35.6</v>
      </c>
      <c r="G285" s="16" t="n">
        <f aca="false">IF(A285="2025",INDEX(Products!$C$2:$C$13,MATCH(D285,Products!$A$2:$A$13,0)),INDEX(Products!$E$2:$E$13,MATCH(D285,Products!$A$2:$A$13,0)))</f>
        <v>4578</v>
      </c>
      <c r="H285" s="13" t="n">
        <f aca="false">IF(A285="2025",INDEX(Customers!$D$2:$D$41,MATCH(C285,Customers!$A$2:$A$41,0)),INDEX(Customers!$F$2:$F$41,MATCH(C285,Customers!$A$2:$A$41,0)))</f>
        <v>0.078</v>
      </c>
      <c r="I285" s="16" t="n">
        <f aca="false">F285*G285</f>
        <v>162976.8</v>
      </c>
      <c r="J285" s="16" t="n">
        <f aca="false">I285*(1-H285)</f>
        <v>150264.6096</v>
      </c>
      <c r="K285" s="16" t="n">
        <f aca="false">J285*INDEX(Customers!$G$2:$G$41,MATCH(C285,Customers!$A$2:$A$41,0))</f>
        <v>3005.292192</v>
      </c>
      <c r="L285" s="16" t="n">
        <f aca="false">F285*INDEX(Customers!$H$2:$H$41,MATCH(C285,Customers!$A$2:$A$41,0))</f>
        <v>9968</v>
      </c>
      <c r="M285" s="16" t="n">
        <f aca="false">J285*INDEX(Customers!$I$2:$I$41,MATCH(C285,Customers!$A$2:$A$41,0))/365*Assumptions!$B$6</f>
        <v>1976.08253720548</v>
      </c>
      <c r="N285" s="16" t="n">
        <f aca="false">J285-K285-L285-M285</f>
        <v>135315.234870795</v>
      </c>
      <c r="O285" s="16" t="n">
        <f aca="false">F285*IF(A285="2025",INDEX(Products!$D$2:$D$13,MATCH(D285,Products!$A$2:$A$13,0)),INDEX(Products!$F$2:$F$13,MATCH(D285,Products!$A$2:$A$13,0)))</f>
        <v>101570.36</v>
      </c>
      <c r="P285" s="16" t="n">
        <f aca="false">N285-O285</f>
        <v>33744.8748707946</v>
      </c>
    </row>
    <row r="286" customFormat="false" ht="15" hidden="false" customHeight="false" outlineLevel="0" collapsed="false">
      <c r="A286" s="2" t="s">
        <v>119</v>
      </c>
      <c r="B286" s="2" t="n">
        <v>9</v>
      </c>
      <c r="C286" s="2" t="s">
        <v>67</v>
      </c>
      <c r="D286" s="2" t="s">
        <v>38</v>
      </c>
      <c r="E286" s="2" t="str">
        <f aca="false">INDEX(Products!$B$2:$B$13,MATCH(D286,Products!$A$2:$A$13,0))</f>
        <v>FCC</v>
      </c>
      <c r="F286" s="15" t="n">
        <v>19.7</v>
      </c>
      <c r="G286" s="16" t="n">
        <f aca="false">IF(A286="2025",INDEX(Products!$C$2:$C$13,MATCH(D286,Products!$A$2:$A$13,0)),INDEX(Products!$E$2:$E$13,MATCH(D286,Products!$A$2:$A$13,0)))</f>
        <v>4578</v>
      </c>
      <c r="H286" s="13" t="n">
        <f aca="false">IF(A286="2025",INDEX(Customers!$D$2:$D$41,MATCH(C286,Customers!$A$2:$A$41,0)),INDEX(Customers!$F$2:$F$41,MATCH(C286,Customers!$A$2:$A$41,0)))</f>
        <v>0.078</v>
      </c>
      <c r="I286" s="16" t="n">
        <f aca="false">F286*G286</f>
        <v>90186.6</v>
      </c>
      <c r="J286" s="16" t="n">
        <f aca="false">I286*(1-H286)</f>
        <v>83152.0452</v>
      </c>
      <c r="K286" s="16" t="n">
        <f aca="false">J286*INDEX(Customers!$G$2:$G$41,MATCH(C286,Customers!$A$2:$A$41,0))</f>
        <v>1663.040904</v>
      </c>
      <c r="L286" s="16" t="n">
        <f aca="false">F286*INDEX(Customers!$H$2:$H$41,MATCH(C286,Customers!$A$2:$A$41,0))</f>
        <v>5516</v>
      </c>
      <c r="M286" s="16" t="n">
        <f aca="false">J286*INDEX(Customers!$I$2:$I$41,MATCH(C286,Customers!$A$2:$A$41,0))/365*Assumptions!$B$6</f>
        <v>1093.50634783562</v>
      </c>
      <c r="N286" s="16" t="n">
        <f aca="false">J286-K286-L286-M286</f>
        <v>74879.4979481644</v>
      </c>
      <c r="O286" s="16" t="n">
        <f aca="false">F286*IF(A286="2025",INDEX(Products!$D$2:$D$13,MATCH(D286,Products!$A$2:$A$13,0)),INDEX(Products!$F$2:$F$13,MATCH(D286,Products!$A$2:$A$13,0)))</f>
        <v>56206.07</v>
      </c>
      <c r="P286" s="16" t="n">
        <f aca="false">N286-O286</f>
        <v>18673.4279481644</v>
      </c>
    </row>
    <row r="287" customFormat="false" ht="15" hidden="false" customHeight="false" outlineLevel="0" collapsed="false">
      <c r="A287" s="2" t="s">
        <v>119</v>
      </c>
      <c r="B287" s="2" t="n">
        <v>10</v>
      </c>
      <c r="C287" s="2" t="s">
        <v>67</v>
      </c>
      <c r="D287" s="2" t="s">
        <v>38</v>
      </c>
      <c r="E287" s="2" t="str">
        <f aca="false">INDEX(Products!$B$2:$B$13,MATCH(D287,Products!$A$2:$A$13,0))</f>
        <v>FCC</v>
      </c>
      <c r="F287" s="15" t="n">
        <v>23.4</v>
      </c>
      <c r="G287" s="16" t="n">
        <f aca="false">IF(A287="2025",INDEX(Products!$C$2:$C$13,MATCH(D287,Products!$A$2:$A$13,0)),INDEX(Products!$E$2:$E$13,MATCH(D287,Products!$A$2:$A$13,0)))</f>
        <v>4578</v>
      </c>
      <c r="H287" s="13" t="n">
        <f aca="false">IF(A287="2025",INDEX(Customers!$D$2:$D$41,MATCH(C287,Customers!$A$2:$A$41,0)),INDEX(Customers!$F$2:$F$41,MATCH(C287,Customers!$A$2:$A$41,0)))</f>
        <v>0.078</v>
      </c>
      <c r="I287" s="16" t="n">
        <f aca="false">F287*G287</f>
        <v>107125.2</v>
      </c>
      <c r="J287" s="16" t="n">
        <f aca="false">I287*(1-H287)</f>
        <v>98769.4344</v>
      </c>
      <c r="K287" s="16" t="n">
        <f aca="false">J287*INDEX(Customers!$G$2:$G$41,MATCH(C287,Customers!$A$2:$A$41,0))</f>
        <v>1975.388688</v>
      </c>
      <c r="L287" s="16" t="n">
        <f aca="false">F287*INDEX(Customers!$H$2:$H$41,MATCH(C287,Customers!$A$2:$A$41,0))</f>
        <v>6552</v>
      </c>
      <c r="M287" s="16" t="n">
        <f aca="false">J287*INDEX(Customers!$I$2:$I$41,MATCH(C287,Customers!$A$2:$A$41,0))/365*Assumptions!$B$6</f>
        <v>1298.88571265753</v>
      </c>
      <c r="N287" s="16" t="n">
        <f aca="false">J287-K287-L287-M287</f>
        <v>88943.1599993425</v>
      </c>
      <c r="O287" s="16" t="n">
        <f aca="false">F287*IF(A287="2025",INDEX(Products!$D$2:$D$13,MATCH(D287,Products!$A$2:$A$13,0)),INDEX(Products!$F$2:$F$13,MATCH(D287,Products!$A$2:$A$13,0)))</f>
        <v>66762.54</v>
      </c>
      <c r="P287" s="16" t="n">
        <f aca="false">N287-O287</f>
        <v>22180.6199993425</v>
      </c>
    </row>
    <row r="288" customFormat="false" ht="15" hidden="false" customHeight="false" outlineLevel="0" collapsed="false">
      <c r="A288" s="2" t="s">
        <v>119</v>
      </c>
      <c r="B288" s="2" t="n">
        <v>11</v>
      </c>
      <c r="C288" s="2" t="s">
        <v>67</v>
      </c>
      <c r="D288" s="2" t="s">
        <v>38</v>
      </c>
      <c r="E288" s="2" t="str">
        <f aca="false">INDEX(Products!$B$2:$B$13,MATCH(D288,Products!$A$2:$A$13,0))</f>
        <v>FCC</v>
      </c>
      <c r="F288" s="15" t="n">
        <v>34.6</v>
      </c>
      <c r="G288" s="16" t="n">
        <f aca="false">IF(A288="2025",INDEX(Products!$C$2:$C$13,MATCH(D288,Products!$A$2:$A$13,0)),INDEX(Products!$E$2:$E$13,MATCH(D288,Products!$A$2:$A$13,0)))</f>
        <v>4578</v>
      </c>
      <c r="H288" s="13" t="n">
        <f aca="false">IF(A288="2025",INDEX(Customers!$D$2:$D$41,MATCH(C288,Customers!$A$2:$A$41,0)),INDEX(Customers!$F$2:$F$41,MATCH(C288,Customers!$A$2:$A$41,0)))</f>
        <v>0.078</v>
      </c>
      <c r="I288" s="16" t="n">
        <f aca="false">F288*G288</f>
        <v>158398.8</v>
      </c>
      <c r="J288" s="16" t="n">
        <f aca="false">I288*(1-H288)</f>
        <v>146043.6936</v>
      </c>
      <c r="K288" s="16" t="n">
        <f aca="false">J288*INDEX(Customers!$G$2:$G$41,MATCH(C288,Customers!$A$2:$A$41,0))</f>
        <v>2920.873872</v>
      </c>
      <c r="L288" s="16" t="n">
        <f aca="false">F288*INDEX(Customers!$H$2:$H$41,MATCH(C288,Customers!$A$2:$A$41,0))</f>
        <v>9688</v>
      </c>
      <c r="M288" s="16" t="n">
        <f aca="false">J288*INDEX(Customers!$I$2:$I$41,MATCH(C288,Customers!$A$2:$A$41,0))/365*Assumptions!$B$6</f>
        <v>1920.57460076712</v>
      </c>
      <c r="N288" s="16" t="n">
        <f aca="false">J288-K288-L288-M288</f>
        <v>131514.245127233</v>
      </c>
      <c r="O288" s="16" t="n">
        <f aca="false">F288*IF(A288="2025",INDEX(Products!$D$2:$D$13,MATCH(D288,Products!$A$2:$A$13,0)),INDEX(Products!$F$2:$F$13,MATCH(D288,Products!$A$2:$A$13,0)))</f>
        <v>98717.26</v>
      </c>
      <c r="P288" s="16" t="n">
        <f aca="false">N288-O288</f>
        <v>32796.9851272329</v>
      </c>
    </row>
    <row r="289" customFormat="false" ht="15" hidden="false" customHeight="false" outlineLevel="0" collapsed="false">
      <c r="A289" s="2" t="s">
        <v>119</v>
      </c>
      <c r="B289" s="2" t="n">
        <v>12</v>
      </c>
      <c r="C289" s="2" t="s">
        <v>67</v>
      </c>
      <c r="D289" s="2" t="s">
        <v>38</v>
      </c>
      <c r="E289" s="2" t="str">
        <f aca="false">INDEX(Products!$B$2:$B$13,MATCH(D289,Products!$A$2:$A$13,0))</f>
        <v>FCC</v>
      </c>
      <c r="F289" s="15" t="n">
        <v>35</v>
      </c>
      <c r="G289" s="16" t="n">
        <f aca="false">IF(A289="2025",INDEX(Products!$C$2:$C$13,MATCH(D289,Products!$A$2:$A$13,0)),INDEX(Products!$E$2:$E$13,MATCH(D289,Products!$A$2:$A$13,0)))</f>
        <v>4578</v>
      </c>
      <c r="H289" s="13" t="n">
        <f aca="false">IF(A289="2025",INDEX(Customers!$D$2:$D$41,MATCH(C289,Customers!$A$2:$A$41,0)),INDEX(Customers!$F$2:$F$41,MATCH(C289,Customers!$A$2:$A$41,0)))</f>
        <v>0.078</v>
      </c>
      <c r="I289" s="16" t="n">
        <f aca="false">F289*G289</f>
        <v>160230</v>
      </c>
      <c r="J289" s="16" t="n">
        <f aca="false">I289*(1-H289)</f>
        <v>147732.06</v>
      </c>
      <c r="K289" s="16" t="n">
        <f aca="false">J289*INDEX(Customers!$G$2:$G$41,MATCH(C289,Customers!$A$2:$A$41,0))</f>
        <v>2954.6412</v>
      </c>
      <c r="L289" s="16" t="n">
        <f aca="false">F289*INDEX(Customers!$H$2:$H$41,MATCH(C289,Customers!$A$2:$A$41,0))</f>
        <v>9800</v>
      </c>
      <c r="M289" s="16" t="n">
        <f aca="false">J289*INDEX(Customers!$I$2:$I$41,MATCH(C289,Customers!$A$2:$A$41,0))/365*Assumptions!$B$6</f>
        <v>1942.77777534247</v>
      </c>
      <c r="N289" s="16" t="n">
        <f aca="false">J289-K289-L289-M289</f>
        <v>133034.641024658</v>
      </c>
      <c r="O289" s="16" t="n">
        <f aca="false">F289*IF(A289="2025",INDEX(Products!$D$2:$D$13,MATCH(D289,Products!$A$2:$A$13,0)),INDEX(Products!$F$2:$F$13,MATCH(D289,Products!$A$2:$A$13,0)))</f>
        <v>99858.5</v>
      </c>
      <c r="P289" s="16" t="n">
        <f aca="false">N289-O289</f>
        <v>33176.1410246575</v>
      </c>
    </row>
    <row r="290" customFormat="false" ht="15" hidden="false" customHeight="false" outlineLevel="0" collapsed="false">
      <c r="A290" s="2" t="s">
        <v>118</v>
      </c>
      <c r="B290" s="2" t="n">
        <v>1</v>
      </c>
      <c r="C290" s="2" t="s">
        <v>67</v>
      </c>
      <c r="D290" s="2" t="s">
        <v>48</v>
      </c>
      <c r="E290" s="2" t="str">
        <f aca="false">INDEX(Products!$B$2:$B$13,MATCH(D290,Products!$A$2:$A$13,0))</f>
        <v>Specialty</v>
      </c>
      <c r="F290" s="15" t="n">
        <v>7</v>
      </c>
      <c r="G290" s="16" t="n">
        <f aca="false">IF(A290="2025",INDEX(Products!$C$2:$C$13,MATCH(D290,Products!$A$2:$A$13,0)),INDEX(Products!$E$2:$E$13,MATCH(D290,Products!$A$2:$A$13,0)))</f>
        <v>33260</v>
      </c>
      <c r="H290" s="13" t="n">
        <f aca="false">IF(A290="2025",INDEX(Customers!$D$2:$D$41,MATCH(C290,Customers!$A$2:$A$41,0)),INDEX(Customers!$F$2:$F$41,MATCH(C290,Customers!$A$2:$A$41,0)))</f>
        <v>0.078</v>
      </c>
      <c r="I290" s="16" t="n">
        <f aca="false">F290*G290</f>
        <v>232820</v>
      </c>
      <c r="J290" s="16" t="n">
        <f aca="false">I290*(1-H290)</f>
        <v>214660.04</v>
      </c>
      <c r="K290" s="16" t="n">
        <f aca="false">J290*INDEX(Customers!$G$2:$G$41,MATCH(C290,Customers!$A$2:$A$41,0))</f>
        <v>4293.2008</v>
      </c>
      <c r="L290" s="16" t="n">
        <f aca="false">F290*INDEX(Customers!$H$2:$H$41,MATCH(C290,Customers!$A$2:$A$41,0))</f>
        <v>1960</v>
      </c>
      <c r="M290" s="16" t="n">
        <f aca="false">J290*INDEX(Customers!$I$2:$I$41,MATCH(C290,Customers!$A$2:$A$41,0))/365*Assumptions!$B$6</f>
        <v>2822.92655342466</v>
      </c>
      <c r="N290" s="16" t="n">
        <f aca="false">J290-K290-L290-M290</f>
        <v>205583.912646575</v>
      </c>
      <c r="O290" s="16" t="n">
        <f aca="false">F290*IF(A290="2025",INDEX(Products!$D$2:$D$13,MATCH(D290,Products!$A$2:$A$13,0)),INDEX(Products!$F$2:$F$13,MATCH(D290,Products!$A$2:$A$13,0)))</f>
        <v>105140</v>
      </c>
      <c r="P290" s="16" t="n">
        <f aca="false">N290-O290</f>
        <v>100443.912646575</v>
      </c>
    </row>
    <row r="291" customFormat="false" ht="15" hidden="false" customHeight="false" outlineLevel="0" collapsed="false">
      <c r="A291" s="2" t="s">
        <v>118</v>
      </c>
      <c r="B291" s="2" t="n">
        <v>2</v>
      </c>
      <c r="C291" s="2" t="s">
        <v>67</v>
      </c>
      <c r="D291" s="2" t="s">
        <v>48</v>
      </c>
      <c r="E291" s="2" t="str">
        <f aca="false">INDEX(Products!$B$2:$B$13,MATCH(D291,Products!$A$2:$A$13,0))</f>
        <v>Specialty</v>
      </c>
      <c r="F291" s="15" t="n">
        <v>10.5</v>
      </c>
      <c r="G291" s="16" t="n">
        <f aca="false">IF(A291="2025",INDEX(Products!$C$2:$C$13,MATCH(D291,Products!$A$2:$A$13,0)),INDEX(Products!$E$2:$E$13,MATCH(D291,Products!$A$2:$A$13,0)))</f>
        <v>33260</v>
      </c>
      <c r="H291" s="13" t="n">
        <f aca="false">IF(A291="2025",INDEX(Customers!$D$2:$D$41,MATCH(C291,Customers!$A$2:$A$41,0)),INDEX(Customers!$F$2:$F$41,MATCH(C291,Customers!$A$2:$A$41,0)))</f>
        <v>0.078</v>
      </c>
      <c r="I291" s="16" t="n">
        <f aca="false">F291*G291</f>
        <v>349230</v>
      </c>
      <c r="J291" s="16" t="n">
        <f aca="false">I291*(1-H291)</f>
        <v>321990.06</v>
      </c>
      <c r="K291" s="16" t="n">
        <f aca="false">J291*INDEX(Customers!$G$2:$G$41,MATCH(C291,Customers!$A$2:$A$41,0))</f>
        <v>6439.8012</v>
      </c>
      <c r="L291" s="16" t="n">
        <f aca="false">F291*INDEX(Customers!$H$2:$H$41,MATCH(C291,Customers!$A$2:$A$41,0))</f>
        <v>2940</v>
      </c>
      <c r="M291" s="16" t="n">
        <f aca="false">J291*INDEX(Customers!$I$2:$I$41,MATCH(C291,Customers!$A$2:$A$41,0))/365*Assumptions!$B$6</f>
        <v>4234.38983013699</v>
      </c>
      <c r="N291" s="16" t="n">
        <f aca="false">J291-K291-L291-M291</f>
        <v>308375.868969863</v>
      </c>
      <c r="O291" s="16" t="n">
        <f aca="false">F291*IF(A291="2025",INDEX(Products!$D$2:$D$13,MATCH(D291,Products!$A$2:$A$13,0)),INDEX(Products!$F$2:$F$13,MATCH(D291,Products!$A$2:$A$13,0)))</f>
        <v>157710</v>
      </c>
      <c r="P291" s="16" t="n">
        <f aca="false">N291-O291</f>
        <v>150665.868969863</v>
      </c>
    </row>
    <row r="292" customFormat="false" ht="15" hidden="false" customHeight="false" outlineLevel="0" collapsed="false">
      <c r="A292" s="2" t="s">
        <v>118</v>
      </c>
      <c r="B292" s="2" t="n">
        <v>3</v>
      </c>
      <c r="C292" s="2" t="s">
        <v>67</v>
      </c>
      <c r="D292" s="2" t="s">
        <v>48</v>
      </c>
      <c r="E292" s="2" t="str">
        <f aca="false">INDEX(Products!$B$2:$B$13,MATCH(D292,Products!$A$2:$A$13,0))</f>
        <v>Specialty</v>
      </c>
      <c r="F292" s="15" t="n">
        <v>9.6</v>
      </c>
      <c r="G292" s="16" t="n">
        <f aca="false">IF(A292="2025",INDEX(Products!$C$2:$C$13,MATCH(D292,Products!$A$2:$A$13,0)),INDEX(Products!$E$2:$E$13,MATCH(D292,Products!$A$2:$A$13,0)))</f>
        <v>33260</v>
      </c>
      <c r="H292" s="13" t="n">
        <f aca="false">IF(A292="2025",INDEX(Customers!$D$2:$D$41,MATCH(C292,Customers!$A$2:$A$41,0)),INDEX(Customers!$F$2:$F$41,MATCH(C292,Customers!$A$2:$A$41,0)))</f>
        <v>0.078</v>
      </c>
      <c r="I292" s="16" t="n">
        <f aca="false">F292*G292</f>
        <v>319296</v>
      </c>
      <c r="J292" s="16" t="n">
        <f aca="false">I292*(1-H292)</f>
        <v>294390.912</v>
      </c>
      <c r="K292" s="16" t="n">
        <f aca="false">J292*INDEX(Customers!$G$2:$G$41,MATCH(C292,Customers!$A$2:$A$41,0))</f>
        <v>5887.81824</v>
      </c>
      <c r="L292" s="16" t="n">
        <f aca="false">F292*INDEX(Customers!$H$2:$H$41,MATCH(C292,Customers!$A$2:$A$41,0))</f>
        <v>2688</v>
      </c>
      <c r="M292" s="16" t="n">
        <f aca="false">J292*INDEX(Customers!$I$2:$I$41,MATCH(C292,Customers!$A$2:$A$41,0))/365*Assumptions!$B$6</f>
        <v>3871.44213041096</v>
      </c>
      <c r="N292" s="16" t="n">
        <f aca="false">J292-K292-L292-M292</f>
        <v>281943.651629589</v>
      </c>
      <c r="O292" s="16" t="n">
        <f aca="false">F292*IF(A292="2025",INDEX(Products!$D$2:$D$13,MATCH(D292,Products!$A$2:$A$13,0)),INDEX(Products!$F$2:$F$13,MATCH(D292,Products!$A$2:$A$13,0)))</f>
        <v>144192</v>
      </c>
      <c r="P292" s="16" t="n">
        <f aca="false">N292-O292</f>
        <v>137751.651629589</v>
      </c>
    </row>
    <row r="293" customFormat="false" ht="15" hidden="false" customHeight="false" outlineLevel="0" collapsed="false">
      <c r="A293" s="2" t="s">
        <v>118</v>
      </c>
      <c r="B293" s="2" t="n">
        <v>4</v>
      </c>
      <c r="C293" s="2" t="s">
        <v>67</v>
      </c>
      <c r="D293" s="2" t="s">
        <v>48</v>
      </c>
      <c r="E293" s="2" t="str">
        <f aca="false">INDEX(Products!$B$2:$B$13,MATCH(D293,Products!$A$2:$A$13,0))</f>
        <v>Specialty</v>
      </c>
      <c r="F293" s="15" t="n">
        <v>9.5</v>
      </c>
      <c r="G293" s="16" t="n">
        <f aca="false">IF(A293="2025",INDEX(Products!$C$2:$C$13,MATCH(D293,Products!$A$2:$A$13,0)),INDEX(Products!$E$2:$E$13,MATCH(D293,Products!$A$2:$A$13,0)))</f>
        <v>33260</v>
      </c>
      <c r="H293" s="13" t="n">
        <f aca="false">IF(A293="2025",INDEX(Customers!$D$2:$D$41,MATCH(C293,Customers!$A$2:$A$41,0)),INDEX(Customers!$F$2:$F$41,MATCH(C293,Customers!$A$2:$A$41,0)))</f>
        <v>0.078</v>
      </c>
      <c r="I293" s="16" t="n">
        <f aca="false">F293*G293</f>
        <v>315970</v>
      </c>
      <c r="J293" s="16" t="n">
        <f aca="false">I293*(1-H293)</f>
        <v>291324.34</v>
      </c>
      <c r="K293" s="16" t="n">
        <f aca="false">J293*INDEX(Customers!$G$2:$G$41,MATCH(C293,Customers!$A$2:$A$41,0))</f>
        <v>5826.4868</v>
      </c>
      <c r="L293" s="16" t="n">
        <f aca="false">F293*INDEX(Customers!$H$2:$H$41,MATCH(C293,Customers!$A$2:$A$41,0))</f>
        <v>2660</v>
      </c>
      <c r="M293" s="16" t="n">
        <f aca="false">J293*INDEX(Customers!$I$2:$I$41,MATCH(C293,Customers!$A$2:$A$41,0))/365*Assumptions!$B$6</f>
        <v>3831.11460821918</v>
      </c>
      <c r="N293" s="16" t="n">
        <f aca="false">J293-K293-L293-M293</f>
        <v>279006.738591781</v>
      </c>
      <c r="O293" s="16" t="n">
        <f aca="false">F293*IF(A293="2025",INDEX(Products!$D$2:$D$13,MATCH(D293,Products!$A$2:$A$13,0)),INDEX(Products!$F$2:$F$13,MATCH(D293,Products!$A$2:$A$13,0)))</f>
        <v>142690</v>
      </c>
      <c r="P293" s="16" t="n">
        <f aca="false">N293-O293</f>
        <v>136316.738591781</v>
      </c>
    </row>
    <row r="294" customFormat="false" ht="15" hidden="false" customHeight="false" outlineLevel="0" collapsed="false">
      <c r="A294" s="2" t="s">
        <v>118</v>
      </c>
      <c r="B294" s="2" t="n">
        <v>5</v>
      </c>
      <c r="C294" s="2" t="s">
        <v>67</v>
      </c>
      <c r="D294" s="2" t="s">
        <v>48</v>
      </c>
      <c r="E294" s="2" t="str">
        <f aca="false">INDEX(Products!$B$2:$B$13,MATCH(D294,Products!$A$2:$A$13,0))</f>
        <v>Specialty</v>
      </c>
      <c r="F294" s="15" t="n">
        <v>8.5</v>
      </c>
      <c r="G294" s="16" t="n">
        <f aca="false">IF(A294="2025",INDEX(Products!$C$2:$C$13,MATCH(D294,Products!$A$2:$A$13,0)),INDEX(Products!$E$2:$E$13,MATCH(D294,Products!$A$2:$A$13,0)))</f>
        <v>33260</v>
      </c>
      <c r="H294" s="13" t="n">
        <f aca="false">IF(A294="2025",INDEX(Customers!$D$2:$D$41,MATCH(C294,Customers!$A$2:$A$41,0)),INDEX(Customers!$F$2:$F$41,MATCH(C294,Customers!$A$2:$A$41,0)))</f>
        <v>0.078</v>
      </c>
      <c r="I294" s="16" t="n">
        <f aca="false">F294*G294</f>
        <v>282710</v>
      </c>
      <c r="J294" s="16" t="n">
        <f aca="false">I294*(1-H294)</f>
        <v>260658.62</v>
      </c>
      <c r="K294" s="16" t="n">
        <f aca="false">J294*INDEX(Customers!$G$2:$G$41,MATCH(C294,Customers!$A$2:$A$41,0))</f>
        <v>5213.1724</v>
      </c>
      <c r="L294" s="16" t="n">
        <f aca="false">F294*INDEX(Customers!$H$2:$H$41,MATCH(C294,Customers!$A$2:$A$41,0))</f>
        <v>2380</v>
      </c>
      <c r="M294" s="16" t="n">
        <f aca="false">J294*INDEX(Customers!$I$2:$I$41,MATCH(C294,Customers!$A$2:$A$41,0))/365*Assumptions!$B$6</f>
        <v>3427.83938630137</v>
      </c>
      <c r="N294" s="16" t="n">
        <f aca="false">J294-K294-L294-M294</f>
        <v>249637.608213699</v>
      </c>
      <c r="O294" s="16" t="n">
        <f aca="false">F294*IF(A294="2025",INDEX(Products!$D$2:$D$13,MATCH(D294,Products!$A$2:$A$13,0)),INDEX(Products!$F$2:$F$13,MATCH(D294,Products!$A$2:$A$13,0)))</f>
        <v>127670</v>
      </c>
      <c r="P294" s="16" t="n">
        <f aca="false">N294-O294</f>
        <v>121967.608213699</v>
      </c>
    </row>
    <row r="295" customFormat="false" ht="15" hidden="false" customHeight="false" outlineLevel="0" collapsed="false">
      <c r="A295" s="2" t="s">
        <v>118</v>
      </c>
      <c r="B295" s="2" t="n">
        <v>6</v>
      </c>
      <c r="C295" s="2" t="s">
        <v>67</v>
      </c>
      <c r="D295" s="2" t="s">
        <v>48</v>
      </c>
      <c r="E295" s="2" t="str">
        <f aca="false">INDEX(Products!$B$2:$B$13,MATCH(D295,Products!$A$2:$A$13,0))</f>
        <v>Specialty</v>
      </c>
      <c r="F295" s="15" t="n">
        <v>7.6</v>
      </c>
      <c r="G295" s="16" t="n">
        <f aca="false">IF(A295="2025",INDEX(Products!$C$2:$C$13,MATCH(D295,Products!$A$2:$A$13,0)),INDEX(Products!$E$2:$E$13,MATCH(D295,Products!$A$2:$A$13,0)))</f>
        <v>33260</v>
      </c>
      <c r="H295" s="13" t="n">
        <f aca="false">IF(A295="2025",INDEX(Customers!$D$2:$D$41,MATCH(C295,Customers!$A$2:$A$41,0)),INDEX(Customers!$F$2:$F$41,MATCH(C295,Customers!$A$2:$A$41,0)))</f>
        <v>0.078</v>
      </c>
      <c r="I295" s="16" t="n">
        <f aca="false">F295*G295</f>
        <v>252776</v>
      </c>
      <c r="J295" s="16" t="n">
        <f aca="false">I295*(1-H295)</f>
        <v>233059.472</v>
      </c>
      <c r="K295" s="16" t="n">
        <f aca="false">J295*INDEX(Customers!$G$2:$G$41,MATCH(C295,Customers!$A$2:$A$41,0))</f>
        <v>4661.18944</v>
      </c>
      <c r="L295" s="16" t="n">
        <f aca="false">F295*INDEX(Customers!$H$2:$H$41,MATCH(C295,Customers!$A$2:$A$41,0))</f>
        <v>2128</v>
      </c>
      <c r="M295" s="16" t="n">
        <f aca="false">J295*INDEX(Customers!$I$2:$I$41,MATCH(C295,Customers!$A$2:$A$41,0))/365*Assumptions!$B$6</f>
        <v>3064.89168657534</v>
      </c>
      <c r="N295" s="16" t="n">
        <f aca="false">J295-K295-L295-M295</f>
        <v>223205.390873425</v>
      </c>
      <c r="O295" s="16" t="n">
        <f aca="false">F295*IF(A295="2025",INDEX(Products!$D$2:$D$13,MATCH(D295,Products!$A$2:$A$13,0)),INDEX(Products!$F$2:$F$13,MATCH(D295,Products!$A$2:$A$13,0)))</f>
        <v>114152</v>
      </c>
      <c r="P295" s="16" t="n">
        <f aca="false">N295-O295</f>
        <v>109053.390873425</v>
      </c>
    </row>
    <row r="296" customFormat="false" ht="15" hidden="false" customHeight="false" outlineLevel="0" collapsed="false">
      <c r="A296" s="2" t="s">
        <v>118</v>
      </c>
      <c r="B296" s="2" t="n">
        <v>7</v>
      </c>
      <c r="C296" s="2" t="s">
        <v>67</v>
      </c>
      <c r="D296" s="2" t="s">
        <v>48</v>
      </c>
      <c r="E296" s="2" t="str">
        <f aca="false">INDEX(Products!$B$2:$B$13,MATCH(D296,Products!$A$2:$A$13,0))</f>
        <v>Specialty</v>
      </c>
      <c r="F296" s="15" t="n">
        <v>5.7</v>
      </c>
      <c r="G296" s="16" t="n">
        <f aca="false">IF(A296="2025",INDEX(Products!$C$2:$C$13,MATCH(D296,Products!$A$2:$A$13,0)),INDEX(Products!$E$2:$E$13,MATCH(D296,Products!$A$2:$A$13,0)))</f>
        <v>33260</v>
      </c>
      <c r="H296" s="13" t="n">
        <f aca="false">IF(A296="2025",INDEX(Customers!$D$2:$D$41,MATCH(C296,Customers!$A$2:$A$41,0)),INDEX(Customers!$F$2:$F$41,MATCH(C296,Customers!$A$2:$A$41,0)))</f>
        <v>0.078</v>
      </c>
      <c r="I296" s="16" t="n">
        <f aca="false">F296*G296</f>
        <v>189582</v>
      </c>
      <c r="J296" s="16" t="n">
        <f aca="false">I296*(1-H296)</f>
        <v>174794.604</v>
      </c>
      <c r="K296" s="16" t="n">
        <f aca="false">J296*INDEX(Customers!$G$2:$G$41,MATCH(C296,Customers!$A$2:$A$41,0))</f>
        <v>3495.89208</v>
      </c>
      <c r="L296" s="16" t="n">
        <f aca="false">F296*INDEX(Customers!$H$2:$H$41,MATCH(C296,Customers!$A$2:$A$41,0))</f>
        <v>1596</v>
      </c>
      <c r="M296" s="16" t="n">
        <f aca="false">J296*INDEX(Customers!$I$2:$I$41,MATCH(C296,Customers!$A$2:$A$41,0))/365*Assumptions!$B$6</f>
        <v>2298.66876493151</v>
      </c>
      <c r="N296" s="16" t="n">
        <f aca="false">J296-K296-L296-M296</f>
        <v>167404.043155069</v>
      </c>
      <c r="O296" s="16" t="n">
        <f aca="false">F296*IF(A296="2025",INDEX(Products!$D$2:$D$13,MATCH(D296,Products!$A$2:$A$13,0)),INDEX(Products!$F$2:$F$13,MATCH(D296,Products!$A$2:$A$13,0)))</f>
        <v>85614</v>
      </c>
      <c r="P296" s="16" t="n">
        <f aca="false">N296-O296</f>
        <v>81790.0431550685</v>
      </c>
    </row>
    <row r="297" customFormat="false" ht="15" hidden="false" customHeight="false" outlineLevel="0" collapsed="false">
      <c r="A297" s="2" t="s">
        <v>118</v>
      </c>
      <c r="B297" s="2" t="n">
        <v>8</v>
      </c>
      <c r="C297" s="2" t="s">
        <v>67</v>
      </c>
      <c r="D297" s="2" t="s">
        <v>48</v>
      </c>
      <c r="E297" s="2" t="str">
        <f aca="false">INDEX(Products!$B$2:$B$13,MATCH(D297,Products!$A$2:$A$13,0))</f>
        <v>Specialty</v>
      </c>
      <c r="F297" s="15" t="n">
        <v>7.5</v>
      </c>
      <c r="G297" s="16" t="n">
        <f aca="false">IF(A297="2025",INDEX(Products!$C$2:$C$13,MATCH(D297,Products!$A$2:$A$13,0)),INDEX(Products!$E$2:$E$13,MATCH(D297,Products!$A$2:$A$13,0)))</f>
        <v>33260</v>
      </c>
      <c r="H297" s="13" t="n">
        <f aca="false">IF(A297="2025",INDEX(Customers!$D$2:$D$41,MATCH(C297,Customers!$A$2:$A$41,0)),INDEX(Customers!$F$2:$F$41,MATCH(C297,Customers!$A$2:$A$41,0)))</f>
        <v>0.078</v>
      </c>
      <c r="I297" s="16" t="n">
        <f aca="false">F297*G297</f>
        <v>249450</v>
      </c>
      <c r="J297" s="16" t="n">
        <f aca="false">I297*(1-H297)</f>
        <v>229992.9</v>
      </c>
      <c r="K297" s="16" t="n">
        <f aca="false">J297*INDEX(Customers!$G$2:$G$41,MATCH(C297,Customers!$A$2:$A$41,0))</f>
        <v>4599.858</v>
      </c>
      <c r="L297" s="16" t="n">
        <f aca="false">F297*INDEX(Customers!$H$2:$H$41,MATCH(C297,Customers!$A$2:$A$41,0))</f>
        <v>2100</v>
      </c>
      <c r="M297" s="16" t="n">
        <f aca="false">J297*INDEX(Customers!$I$2:$I$41,MATCH(C297,Customers!$A$2:$A$41,0))/365*Assumptions!$B$6</f>
        <v>3024.56416438356</v>
      </c>
      <c r="N297" s="16" t="n">
        <f aca="false">J297-K297-L297-M297</f>
        <v>220268.477835616</v>
      </c>
      <c r="O297" s="16" t="n">
        <f aca="false">F297*IF(A297="2025",INDEX(Products!$D$2:$D$13,MATCH(D297,Products!$A$2:$A$13,0)),INDEX(Products!$F$2:$F$13,MATCH(D297,Products!$A$2:$A$13,0)))</f>
        <v>112650</v>
      </c>
      <c r="P297" s="16" t="n">
        <f aca="false">N297-O297</f>
        <v>107618.477835616</v>
      </c>
    </row>
    <row r="298" customFormat="false" ht="15" hidden="false" customHeight="false" outlineLevel="0" collapsed="false">
      <c r="A298" s="2" t="s">
        <v>118</v>
      </c>
      <c r="B298" s="2" t="n">
        <v>9</v>
      </c>
      <c r="C298" s="2" t="s">
        <v>67</v>
      </c>
      <c r="D298" s="2" t="s">
        <v>48</v>
      </c>
      <c r="E298" s="2" t="str">
        <f aca="false">INDEX(Products!$B$2:$B$13,MATCH(D298,Products!$A$2:$A$13,0))</f>
        <v>Specialty</v>
      </c>
      <c r="F298" s="15" t="n">
        <v>7.5</v>
      </c>
      <c r="G298" s="16" t="n">
        <f aca="false">IF(A298="2025",INDEX(Products!$C$2:$C$13,MATCH(D298,Products!$A$2:$A$13,0)),INDEX(Products!$E$2:$E$13,MATCH(D298,Products!$A$2:$A$13,0)))</f>
        <v>33260</v>
      </c>
      <c r="H298" s="13" t="n">
        <f aca="false">IF(A298="2025",INDEX(Customers!$D$2:$D$41,MATCH(C298,Customers!$A$2:$A$41,0)),INDEX(Customers!$F$2:$F$41,MATCH(C298,Customers!$A$2:$A$41,0)))</f>
        <v>0.078</v>
      </c>
      <c r="I298" s="16" t="n">
        <f aca="false">F298*G298</f>
        <v>249450</v>
      </c>
      <c r="J298" s="16" t="n">
        <f aca="false">I298*(1-H298)</f>
        <v>229992.9</v>
      </c>
      <c r="K298" s="16" t="n">
        <f aca="false">J298*INDEX(Customers!$G$2:$G$41,MATCH(C298,Customers!$A$2:$A$41,0))</f>
        <v>4599.858</v>
      </c>
      <c r="L298" s="16" t="n">
        <f aca="false">F298*INDEX(Customers!$H$2:$H$41,MATCH(C298,Customers!$A$2:$A$41,0))</f>
        <v>2100</v>
      </c>
      <c r="M298" s="16" t="n">
        <f aca="false">J298*INDEX(Customers!$I$2:$I$41,MATCH(C298,Customers!$A$2:$A$41,0))/365*Assumptions!$B$6</f>
        <v>3024.56416438356</v>
      </c>
      <c r="N298" s="16" t="n">
        <f aca="false">J298-K298-L298-M298</f>
        <v>220268.477835616</v>
      </c>
      <c r="O298" s="16" t="n">
        <f aca="false">F298*IF(A298="2025",INDEX(Products!$D$2:$D$13,MATCH(D298,Products!$A$2:$A$13,0)),INDEX(Products!$F$2:$F$13,MATCH(D298,Products!$A$2:$A$13,0)))</f>
        <v>112650</v>
      </c>
      <c r="P298" s="16" t="n">
        <f aca="false">N298-O298</f>
        <v>107618.477835616</v>
      </c>
    </row>
    <row r="299" customFormat="false" ht="15" hidden="false" customHeight="false" outlineLevel="0" collapsed="false">
      <c r="A299" s="2" t="s">
        <v>118</v>
      </c>
      <c r="B299" s="2" t="n">
        <v>10</v>
      </c>
      <c r="C299" s="2" t="s">
        <v>67</v>
      </c>
      <c r="D299" s="2" t="s">
        <v>48</v>
      </c>
      <c r="E299" s="2" t="str">
        <f aca="false">INDEX(Products!$B$2:$B$13,MATCH(D299,Products!$A$2:$A$13,0))</f>
        <v>Specialty</v>
      </c>
      <c r="F299" s="15" t="n">
        <v>6.1</v>
      </c>
      <c r="G299" s="16" t="n">
        <f aca="false">IF(A299="2025",INDEX(Products!$C$2:$C$13,MATCH(D299,Products!$A$2:$A$13,0)),INDEX(Products!$E$2:$E$13,MATCH(D299,Products!$A$2:$A$13,0)))</f>
        <v>33260</v>
      </c>
      <c r="H299" s="13" t="n">
        <f aca="false">IF(A299="2025",INDEX(Customers!$D$2:$D$41,MATCH(C299,Customers!$A$2:$A$41,0)),INDEX(Customers!$F$2:$F$41,MATCH(C299,Customers!$A$2:$A$41,0)))</f>
        <v>0.078</v>
      </c>
      <c r="I299" s="16" t="n">
        <f aca="false">F299*G299</f>
        <v>202886</v>
      </c>
      <c r="J299" s="16" t="n">
        <f aca="false">I299*(1-H299)</f>
        <v>187060.892</v>
      </c>
      <c r="K299" s="16" t="n">
        <f aca="false">J299*INDEX(Customers!$G$2:$G$41,MATCH(C299,Customers!$A$2:$A$41,0))</f>
        <v>3741.21784</v>
      </c>
      <c r="L299" s="16" t="n">
        <f aca="false">F299*INDEX(Customers!$H$2:$H$41,MATCH(C299,Customers!$A$2:$A$41,0))</f>
        <v>1708</v>
      </c>
      <c r="M299" s="16" t="n">
        <f aca="false">J299*INDEX(Customers!$I$2:$I$41,MATCH(C299,Customers!$A$2:$A$41,0))/365*Assumptions!$B$6</f>
        <v>2459.97885369863</v>
      </c>
      <c r="N299" s="16" t="n">
        <f aca="false">J299-K299-L299-M299</f>
        <v>179151.695306301</v>
      </c>
      <c r="O299" s="16" t="n">
        <f aca="false">F299*IF(A299="2025",INDEX(Products!$D$2:$D$13,MATCH(D299,Products!$A$2:$A$13,0)),INDEX(Products!$F$2:$F$13,MATCH(D299,Products!$A$2:$A$13,0)))</f>
        <v>91622</v>
      </c>
      <c r="P299" s="16" t="n">
        <f aca="false">N299-O299</f>
        <v>87529.6953063014</v>
      </c>
    </row>
    <row r="300" customFormat="false" ht="15" hidden="false" customHeight="false" outlineLevel="0" collapsed="false">
      <c r="A300" s="2" t="s">
        <v>118</v>
      </c>
      <c r="B300" s="2" t="n">
        <v>11</v>
      </c>
      <c r="C300" s="2" t="s">
        <v>67</v>
      </c>
      <c r="D300" s="2" t="s">
        <v>48</v>
      </c>
      <c r="E300" s="2" t="str">
        <f aca="false">INDEX(Products!$B$2:$B$13,MATCH(D300,Products!$A$2:$A$13,0))</f>
        <v>Specialty</v>
      </c>
      <c r="F300" s="15" t="n">
        <v>6.1</v>
      </c>
      <c r="G300" s="16" t="n">
        <f aca="false">IF(A300="2025",INDEX(Products!$C$2:$C$13,MATCH(D300,Products!$A$2:$A$13,0)),INDEX(Products!$E$2:$E$13,MATCH(D300,Products!$A$2:$A$13,0)))</f>
        <v>33260</v>
      </c>
      <c r="H300" s="13" t="n">
        <f aca="false">IF(A300="2025",INDEX(Customers!$D$2:$D$41,MATCH(C300,Customers!$A$2:$A$41,0)),INDEX(Customers!$F$2:$F$41,MATCH(C300,Customers!$A$2:$A$41,0)))</f>
        <v>0.078</v>
      </c>
      <c r="I300" s="16" t="n">
        <f aca="false">F300*G300</f>
        <v>202886</v>
      </c>
      <c r="J300" s="16" t="n">
        <f aca="false">I300*(1-H300)</f>
        <v>187060.892</v>
      </c>
      <c r="K300" s="16" t="n">
        <f aca="false">J300*INDEX(Customers!$G$2:$G$41,MATCH(C300,Customers!$A$2:$A$41,0))</f>
        <v>3741.21784</v>
      </c>
      <c r="L300" s="16" t="n">
        <f aca="false">F300*INDEX(Customers!$H$2:$H$41,MATCH(C300,Customers!$A$2:$A$41,0))</f>
        <v>1708</v>
      </c>
      <c r="M300" s="16" t="n">
        <f aca="false">J300*INDEX(Customers!$I$2:$I$41,MATCH(C300,Customers!$A$2:$A$41,0))/365*Assumptions!$B$6</f>
        <v>2459.97885369863</v>
      </c>
      <c r="N300" s="16" t="n">
        <f aca="false">J300-K300-L300-M300</f>
        <v>179151.695306301</v>
      </c>
      <c r="O300" s="16" t="n">
        <f aca="false">F300*IF(A300="2025",INDEX(Products!$D$2:$D$13,MATCH(D300,Products!$A$2:$A$13,0)),INDEX(Products!$F$2:$F$13,MATCH(D300,Products!$A$2:$A$13,0)))</f>
        <v>91622</v>
      </c>
      <c r="P300" s="16" t="n">
        <f aca="false">N300-O300</f>
        <v>87529.6953063014</v>
      </c>
    </row>
    <row r="301" customFormat="false" ht="15" hidden="false" customHeight="false" outlineLevel="0" collapsed="false">
      <c r="A301" s="2" t="s">
        <v>118</v>
      </c>
      <c r="B301" s="2" t="n">
        <v>12</v>
      </c>
      <c r="C301" s="2" t="s">
        <v>67</v>
      </c>
      <c r="D301" s="2" t="s">
        <v>48</v>
      </c>
      <c r="E301" s="2" t="str">
        <f aca="false">INDEX(Products!$B$2:$B$13,MATCH(D301,Products!$A$2:$A$13,0))</f>
        <v>Specialty</v>
      </c>
      <c r="F301" s="15" t="n">
        <v>7</v>
      </c>
      <c r="G301" s="16" t="n">
        <f aca="false">IF(A301="2025",INDEX(Products!$C$2:$C$13,MATCH(D301,Products!$A$2:$A$13,0)),INDEX(Products!$E$2:$E$13,MATCH(D301,Products!$A$2:$A$13,0)))</f>
        <v>33260</v>
      </c>
      <c r="H301" s="13" t="n">
        <f aca="false">IF(A301="2025",INDEX(Customers!$D$2:$D$41,MATCH(C301,Customers!$A$2:$A$41,0)),INDEX(Customers!$F$2:$F$41,MATCH(C301,Customers!$A$2:$A$41,0)))</f>
        <v>0.078</v>
      </c>
      <c r="I301" s="16" t="n">
        <f aca="false">F301*G301</f>
        <v>232820</v>
      </c>
      <c r="J301" s="16" t="n">
        <f aca="false">I301*(1-H301)</f>
        <v>214660.04</v>
      </c>
      <c r="K301" s="16" t="n">
        <f aca="false">J301*INDEX(Customers!$G$2:$G$41,MATCH(C301,Customers!$A$2:$A$41,0))</f>
        <v>4293.2008</v>
      </c>
      <c r="L301" s="16" t="n">
        <f aca="false">F301*INDEX(Customers!$H$2:$H$41,MATCH(C301,Customers!$A$2:$A$41,0))</f>
        <v>1960</v>
      </c>
      <c r="M301" s="16" t="n">
        <f aca="false">J301*INDEX(Customers!$I$2:$I$41,MATCH(C301,Customers!$A$2:$A$41,0))/365*Assumptions!$B$6</f>
        <v>2822.92655342466</v>
      </c>
      <c r="N301" s="16" t="n">
        <f aca="false">J301-K301-L301-M301</f>
        <v>205583.912646575</v>
      </c>
      <c r="O301" s="16" t="n">
        <f aca="false">F301*IF(A301="2025",INDEX(Products!$D$2:$D$13,MATCH(D301,Products!$A$2:$A$13,0)),INDEX(Products!$F$2:$F$13,MATCH(D301,Products!$A$2:$A$13,0)))</f>
        <v>105140</v>
      </c>
      <c r="P301" s="16" t="n">
        <f aca="false">N301-O301</f>
        <v>100443.912646575</v>
      </c>
    </row>
    <row r="302" customFormat="false" ht="15" hidden="false" customHeight="false" outlineLevel="0" collapsed="false">
      <c r="A302" s="2" t="s">
        <v>119</v>
      </c>
      <c r="B302" s="2" t="n">
        <v>1</v>
      </c>
      <c r="C302" s="2" t="s">
        <v>67</v>
      </c>
      <c r="D302" s="2" t="s">
        <v>48</v>
      </c>
      <c r="E302" s="2" t="str">
        <f aca="false">INDEX(Products!$B$2:$B$13,MATCH(D302,Products!$A$2:$A$13,0))</f>
        <v>Specialty</v>
      </c>
      <c r="F302" s="15" t="n">
        <v>9.4</v>
      </c>
      <c r="G302" s="16" t="n">
        <f aca="false">IF(A302="2025",INDEX(Products!$C$2:$C$13,MATCH(D302,Products!$A$2:$A$13,0)),INDEX(Products!$E$2:$E$13,MATCH(D302,Products!$A$2:$A$13,0)))</f>
        <v>34923</v>
      </c>
      <c r="H302" s="13" t="n">
        <f aca="false">IF(A302="2025",INDEX(Customers!$D$2:$D$41,MATCH(C302,Customers!$A$2:$A$41,0)),INDEX(Customers!$F$2:$F$41,MATCH(C302,Customers!$A$2:$A$41,0)))</f>
        <v>0.078</v>
      </c>
      <c r="I302" s="16" t="n">
        <f aca="false">F302*G302</f>
        <v>328276.2</v>
      </c>
      <c r="J302" s="16" t="n">
        <f aca="false">I302*(1-H302)</f>
        <v>302670.6564</v>
      </c>
      <c r="K302" s="16" t="n">
        <f aca="false">J302*INDEX(Customers!$G$2:$G$41,MATCH(C302,Customers!$A$2:$A$41,0))</f>
        <v>6053.413128</v>
      </c>
      <c r="L302" s="16" t="n">
        <f aca="false">F302*INDEX(Customers!$H$2:$H$41,MATCH(C302,Customers!$A$2:$A$41,0))</f>
        <v>2632</v>
      </c>
      <c r="M302" s="16" t="n">
        <f aca="false">J302*INDEX(Customers!$I$2:$I$41,MATCH(C302,Customers!$A$2:$A$41,0))/365*Assumptions!$B$6</f>
        <v>3980.32644032877</v>
      </c>
      <c r="N302" s="16" t="n">
        <f aca="false">J302-K302-L302-M302</f>
        <v>290004.916831671</v>
      </c>
      <c r="O302" s="16" t="n">
        <f aca="false">F302*IF(A302="2025",INDEX(Products!$D$2:$D$13,MATCH(D302,Products!$A$2:$A$13,0)),INDEX(Products!$F$2:$F$13,MATCH(D302,Products!$A$2:$A$13,0)))</f>
        <v>145423.64</v>
      </c>
      <c r="P302" s="16" t="n">
        <f aca="false">N302-O302</f>
        <v>144581.276831671</v>
      </c>
    </row>
    <row r="303" customFormat="false" ht="15" hidden="false" customHeight="false" outlineLevel="0" collapsed="false">
      <c r="A303" s="2" t="s">
        <v>119</v>
      </c>
      <c r="B303" s="2" t="n">
        <v>2</v>
      </c>
      <c r="C303" s="2" t="s">
        <v>67</v>
      </c>
      <c r="D303" s="2" t="s">
        <v>48</v>
      </c>
      <c r="E303" s="2" t="str">
        <f aca="false">INDEX(Products!$B$2:$B$13,MATCH(D303,Products!$A$2:$A$13,0))</f>
        <v>Specialty</v>
      </c>
      <c r="F303" s="15" t="n">
        <v>10.9</v>
      </c>
      <c r="G303" s="16" t="n">
        <f aca="false">IF(A303="2025",INDEX(Products!$C$2:$C$13,MATCH(D303,Products!$A$2:$A$13,0)),INDEX(Products!$E$2:$E$13,MATCH(D303,Products!$A$2:$A$13,0)))</f>
        <v>34923</v>
      </c>
      <c r="H303" s="13" t="n">
        <f aca="false">IF(A303="2025",INDEX(Customers!$D$2:$D$41,MATCH(C303,Customers!$A$2:$A$41,0)),INDEX(Customers!$F$2:$F$41,MATCH(C303,Customers!$A$2:$A$41,0)))</f>
        <v>0.078</v>
      </c>
      <c r="I303" s="16" t="n">
        <f aca="false">F303*G303</f>
        <v>380660.7</v>
      </c>
      <c r="J303" s="16" t="n">
        <f aca="false">I303*(1-H303)</f>
        <v>350969.1654</v>
      </c>
      <c r="K303" s="16" t="n">
        <f aca="false">J303*INDEX(Customers!$G$2:$G$41,MATCH(C303,Customers!$A$2:$A$41,0))</f>
        <v>7019.383308</v>
      </c>
      <c r="L303" s="16" t="n">
        <f aca="false">F303*INDEX(Customers!$H$2:$H$41,MATCH(C303,Customers!$A$2:$A$41,0))</f>
        <v>3052</v>
      </c>
      <c r="M303" s="16" t="n">
        <f aca="false">J303*INDEX(Customers!$I$2:$I$41,MATCH(C303,Customers!$A$2:$A$41,0))/365*Assumptions!$B$6</f>
        <v>4615.48491484932</v>
      </c>
      <c r="N303" s="16" t="n">
        <f aca="false">J303-K303-L303-M303</f>
        <v>336282.297177151</v>
      </c>
      <c r="O303" s="16" t="n">
        <f aca="false">F303*IF(A303="2025",INDEX(Products!$D$2:$D$13,MATCH(D303,Products!$A$2:$A$13,0)),INDEX(Products!$F$2:$F$13,MATCH(D303,Products!$A$2:$A$13,0)))</f>
        <v>168629.54</v>
      </c>
      <c r="P303" s="16" t="n">
        <f aca="false">N303-O303</f>
        <v>167652.757177151</v>
      </c>
    </row>
    <row r="304" customFormat="false" ht="15" hidden="false" customHeight="false" outlineLevel="0" collapsed="false">
      <c r="A304" s="2" t="s">
        <v>119</v>
      </c>
      <c r="B304" s="2" t="n">
        <v>3</v>
      </c>
      <c r="C304" s="2" t="s">
        <v>67</v>
      </c>
      <c r="D304" s="2" t="s">
        <v>48</v>
      </c>
      <c r="E304" s="2" t="str">
        <f aca="false">INDEX(Products!$B$2:$B$13,MATCH(D304,Products!$A$2:$A$13,0))</f>
        <v>Specialty</v>
      </c>
      <c r="F304" s="15" t="n">
        <v>9.9</v>
      </c>
      <c r="G304" s="16" t="n">
        <f aca="false">IF(A304="2025",INDEX(Products!$C$2:$C$13,MATCH(D304,Products!$A$2:$A$13,0)),INDEX(Products!$E$2:$E$13,MATCH(D304,Products!$A$2:$A$13,0)))</f>
        <v>34923</v>
      </c>
      <c r="H304" s="13" t="n">
        <f aca="false">IF(A304="2025",INDEX(Customers!$D$2:$D$41,MATCH(C304,Customers!$A$2:$A$41,0)),INDEX(Customers!$F$2:$F$41,MATCH(C304,Customers!$A$2:$A$41,0)))</f>
        <v>0.078</v>
      </c>
      <c r="I304" s="16" t="n">
        <f aca="false">F304*G304</f>
        <v>345737.7</v>
      </c>
      <c r="J304" s="16" t="n">
        <f aca="false">I304*(1-H304)</f>
        <v>318770.1594</v>
      </c>
      <c r="K304" s="16" t="n">
        <f aca="false">J304*INDEX(Customers!$G$2:$G$41,MATCH(C304,Customers!$A$2:$A$41,0))</f>
        <v>6375.403188</v>
      </c>
      <c r="L304" s="16" t="n">
        <f aca="false">F304*INDEX(Customers!$H$2:$H$41,MATCH(C304,Customers!$A$2:$A$41,0))</f>
        <v>2772</v>
      </c>
      <c r="M304" s="16" t="n">
        <f aca="false">J304*INDEX(Customers!$I$2:$I$41,MATCH(C304,Customers!$A$2:$A$41,0))/365*Assumptions!$B$6</f>
        <v>4192.04593183562</v>
      </c>
      <c r="N304" s="16" t="n">
        <f aca="false">J304-K304-L304-M304</f>
        <v>305430.710280164</v>
      </c>
      <c r="O304" s="16" t="n">
        <f aca="false">F304*IF(A304="2025",INDEX(Products!$D$2:$D$13,MATCH(D304,Products!$A$2:$A$13,0)),INDEX(Products!$F$2:$F$13,MATCH(D304,Products!$A$2:$A$13,0)))</f>
        <v>153158.94</v>
      </c>
      <c r="P304" s="16" t="n">
        <f aca="false">N304-O304</f>
        <v>152271.770280164</v>
      </c>
    </row>
    <row r="305" customFormat="false" ht="15" hidden="false" customHeight="false" outlineLevel="0" collapsed="false">
      <c r="A305" s="2" t="s">
        <v>119</v>
      </c>
      <c r="B305" s="2" t="n">
        <v>4</v>
      </c>
      <c r="C305" s="2" t="s">
        <v>67</v>
      </c>
      <c r="D305" s="2" t="s">
        <v>48</v>
      </c>
      <c r="E305" s="2" t="str">
        <f aca="false">INDEX(Products!$B$2:$B$13,MATCH(D305,Products!$A$2:$A$13,0))</f>
        <v>Specialty</v>
      </c>
      <c r="F305" s="15" t="n">
        <v>9.6</v>
      </c>
      <c r="G305" s="16" t="n">
        <f aca="false">IF(A305="2025",INDEX(Products!$C$2:$C$13,MATCH(D305,Products!$A$2:$A$13,0)),INDEX(Products!$E$2:$E$13,MATCH(D305,Products!$A$2:$A$13,0)))</f>
        <v>34923</v>
      </c>
      <c r="H305" s="13" t="n">
        <f aca="false">IF(A305="2025",INDEX(Customers!$D$2:$D$41,MATCH(C305,Customers!$A$2:$A$41,0)),INDEX(Customers!$F$2:$F$41,MATCH(C305,Customers!$A$2:$A$41,0)))</f>
        <v>0.078</v>
      </c>
      <c r="I305" s="16" t="n">
        <f aca="false">F305*G305</f>
        <v>335260.8</v>
      </c>
      <c r="J305" s="16" t="n">
        <f aca="false">I305*(1-H305)</f>
        <v>309110.4576</v>
      </c>
      <c r="K305" s="16" t="n">
        <f aca="false">J305*INDEX(Customers!$G$2:$G$41,MATCH(C305,Customers!$A$2:$A$41,0))</f>
        <v>6182.209152</v>
      </c>
      <c r="L305" s="16" t="n">
        <f aca="false">F305*INDEX(Customers!$H$2:$H$41,MATCH(C305,Customers!$A$2:$A$41,0))</f>
        <v>2688</v>
      </c>
      <c r="M305" s="16" t="n">
        <f aca="false">J305*INDEX(Customers!$I$2:$I$41,MATCH(C305,Customers!$A$2:$A$41,0))/365*Assumptions!$B$6</f>
        <v>4065.01423693151</v>
      </c>
      <c r="N305" s="16" t="n">
        <f aca="false">J305-K305-L305-M305</f>
        <v>296175.234211069</v>
      </c>
      <c r="O305" s="16" t="n">
        <f aca="false">F305*IF(A305="2025",INDEX(Products!$D$2:$D$13,MATCH(D305,Products!$A$2:$A$13,0)),INDEX(Products!$F$2:$F$13,MATCH(D305,Products!$A$2:$A$13,0)))</f>
        <v>148517.76</v>
      </c>
      <c r="P305" s="16" t="n">
        <f aca="false">N305-O305</f>
        <v>147657.474211068</v>
      </c>
    </row>
    <row r="306" customFormat="false" ht="15" hidden="false" customHeight="false" outlineLevel="0" collapsed="false">
      <c r="A306" s="2" t="s">
        <v>119</v>
      </c>
      <c r="B306" s="2" t="n">
        <v>5</v>
      </c>
      <c r="C306" s="2" t="s">
        <v>67</v>
      </c>
      <c r="D306" s="2" t="s">
        <v>48</v>
      </c>
      <c r="E306" s="2" t="str">
        <f aca="false">INDEX(Products!$B$2:$B$13,MATCH(D306,Products!$A$2:$A$13,0))</f>
        <v>Specialty</v>
      </c>
      <c r="F306" s="15" t="n">
        <v>11.1</v>
      </c>
      <c r="G306" s="16" t="n">
        <f aca="false">IF(A306="2025",INDEX(Products!$C$2:$C$13,MATCH(D306,Products!$A$2:$A$13,0)),INDEX(Products!$E$2:$E$13,MATCH(D306,Products!$A$2:$A$13,0)))</f>
        <v>34923</v>
      </c>
      <c r="H306" s="13" t="n">
        <f aca="false">IF(A306="2025",INDEX(Customers!$D$2:$D$41,MATCH(C306,Customers!$A$2:$A$41,0)),INDEX(Customers!$F$2:$F$41,MATCH(C306,Customers!$A$2:$A$41,0)))</f>
        <v>0.078</v>
      </c>
      <c r="I306" s="16" t="n">
        <f aca="false">F306*G306</f>
        <v>387645.3</v>
      </c>
      <c r="J306" s="16" t="n">
        <f aca="false">I306*(1-H306)</f>
        <v>357408.9666</v>
      </c>
      <c r="K306" s="16" t="n">
        <f aca="false">J306*INDEX(Customers!$G$2:$G$41,MATCH(C306,Customers!$A$2:$A$41,0))</f>
        <v>7148.179332</v>
      </c>
      <c r="L306" s="16" t="n">
        <f aca="false">F306*INDEX(Customers!$H$2:$H$41,MATCH(C306,Customers!$A$2:$A$41,0))</f>
        <v>3108</v>
      </c>
      <c r="M306" s="16" t="n">
        <f aca="false">J306*INDEX(Customers!$I$2:$I$41,MATCH(C306,Customers!$A$2:$A$41,0))/365*Assumptions!$B$6</f>
        <v>4700.17271145205</v>
      </c>
      <c r="N306" s="16" t="n">
        <f aca="false">J306-K306-L306-M306</f>
        <v>342452.614556548</v>
      </c>
      <c r="O306" s="16" t="n">
        <f aca="false">F306*IF(A306="2025",INDEX(Products!$D$2:$D$13,MATCH(D306,Products!$A$2:$A$13,0)),INDEX(Products!$F$2:$F$13,MATCH(D306,Products!$A$2:$A$13,0)))</f>
        <v>171723.66</v>
      </c>
      <c r="P306" s="16" t="n">
        <f aca="false">N306-O306</f>
        <v>170728.954556548</v>
      </c>
    </row>
    <row r="307" customFormat="false" ht="15" hidden="false" customHeight="false" outlineLevel="0" collapsed="false">
      <c r="A307" s="2" t="s">
        <v>119</v>
      </c>
      <c r="B307" s="2" t="n">
        <v>6</v>
      </c>
      <c r="C307" s="2" t="s">
        <v>67</v>
      </c>
      <c r="D307" s="2" t="s">
        <v>48</v>
      </c>
      <c r="E307" s="2" t="str">
        <f aca="false">INDEX(Products!$B$2:$B$13,MATCH(D307,Products!$A$2:$A$13,0))</f>
        <v>Specialty</v>
      </c>
      <c r="F307" s="15" t="n">
        <v>11.4</v>
      </c>
      <c r="G307" s="16" t="n">
        <f aca="false">IF(A307="2025",INDEX(Products!$C$2:$C$13,MATCH(D307,Products!$A$2:$A$13,0)),INDEX(Products!$E$2:$E$13,MATCH(D307,Products!$A$2:$A$13,0)))</f>
        <v>34923</v>
      </c>
      <c r="H307" s="13" t="n">
        <f aca="false">IF(A307="2025",INDEX(Customers!$D$2:$D$41,MATCH(C307,Customers!$A$2:$A$41,0)),INDEX(Customers!$F$2:$F$41,MATCH(C307,Customers!$A$2:$A$41,0)))</f>
        <v>0.078</v>
      </c>
      <c r="I307" s="16" t="n">
        <f aca="false">F307*G307</f>
        <v>398122.2</v>
      </c>
      <c r="J307" s="16" t="n">
        <f aca="false">I307*(1-H307)</f>
        <v>367068.6684</v>
      </c>
      <c r="K307" s="16" t="n">
        <f aca="false">J307*INDEX(Customers!$G$2:$G$41,MATCH(C307,Customers!$A$2:$A$41,0))</f>
        <v>7341.373368</v>
      </c>
      <c r="L307" s="16" t="n">
        <f aca="false">F307*INDEX(Customers!$H$2:$H$41,MATCH(C307,Customers!$A$2:$A$41,0))</f>
        <v>3192</v>
      </c>
      <c r="M307" s="16" t="n">
        <f aca="false">J307*INDEX(Customers!$I$2:$I$41,MATCH(C307,Customers!$A$2:$A$41,0))/365*Assumptions!$B$6</f>
        <v>4827.20440635617</v>
      </c>
      <c r="N307" s="16" t="n">
        <f aca="false">J307-K307-L307-M307</f>
        <v>351708.090625644</v>
      </c>
      <c r="O307" s="16" t="n">
        <f aca="false">F307*IF(A307="2025",INDEX(Products!$D$2:$D$13,MATCH(D307,Products!$A$2:$A$13,0)),INDEX(Products!$F$2:$F$13,MATCH(D307,Products!$A$2:$A$13,0)))</f>
        <v>176364.84</v>
      </c>
      <c r="P307" s="16" t="n">
        <f aca="false">N307-O307</f>
        <v>175343.250625644</v>
      </c>
    </row>
    <row r="308" customFormat="false" ht="15" hidden="false" customHeight="false" outlineLevel="0" collapsed="false">
      <c r="A308" s="2" t="s">
        <v>119</v>
      </c>
      <c r="B308" s="2" t="n">
        <v>7</v>
      </c>
      <c r="C308" s="2" t="s">
        <v>67</v>
      </c>
      <c r="D308" s="2" t="s">
        <v>48</v>
      </c>
      <c r="E308" s="2" t="str">
        <f aca="false">INDEX(Products!$B$2:$B$13,MATCH(D308,Products!$A$2:$A$13,0))</f>
        <v>Specialty</v>
      </c>
      <c r="F308" s="15" t="n">
        <v>9.1</v>
      </c>
      <c r="G308" s="16" t="n">
        <f aca="false">IF(A308="2025",INDEX(Products!$C$2:$C$13,MATCH(D308,Products!$A$2:$A$13,0)),INDEX(Products!$E$2:$E$13,MATCH(D308,Products!$A$2:$A$13,0)))</f>
        <v>34923</v>
      </c>
      <c r="H308" s="13" t="n">
        <f aca="false">IF(A308="2025",INDEX(Customers!$D$2:$D$41,MATCH(C308,Customers!$A$2:$A$41,0)),INDEX(Customers!$F$2:$F$41,MATCH(C308,Customers!$A$2:$A$41,0)))</f>
        <v>0.078</v>
      </c>
      <c r="I308" s="16" t="n">
        <f aca="false">F308*G308</f>
        <v>317799.3</v>
      </c>
      <c r="J308" s="16" t="n">
        <f aca="false">I308*(1-H308)</f>
        <v>293010.9546</v>
      </c>
      <c r="K308" s="16" t="n">
        <f aca="false">J308*INDEX(Customers!$G$2:$G$41,MATCH(C308,Customers!$A$2:$A$41,0))</f>
        <v>5860.219092</v>
      </c>
      <c r="L308" s="16" t="n">
        <f aca="false">F308*INDEX(Customers!$H$2:$H$41,MATCH(C308,Customers!$A$2:$A$41,0))</f>
        <v>2548</v>
      </c>
      <c r="M308" s="16" t="n">
        <f aca="false">J308*INDEX(Customers!$I$2:$I$41,MATCH(C308,Customers!$A$2:$A$41,0))/365*Assumptions!$B$6</f>
        <v>3853.29474542466</v>
      </c>
      <c r="N308" s="16" t="n">
        <f aca="false">J308-K308-L308-M308</f>
        <v>280749.440762575</v>
      </c>
      <c r="O308" s="16" t="n">
        <f aca="false">F308*IF(A308="2025",INDEX(Products!$D$2:$D$13,MATCH(D308,Products!$A$2:$A$13,0)),INDEX(Products!$F$2:$F$13,MATCH(D308,Products!$A$2:$A$13,0)))</f>
        <v>140782.46</v>
      </c>
      <c r="P308" s="16" t="n">
        <f aca="false">N308-O308</f>
        <v>139966.980762575</v>
      </c>
    </row>
    <row r="309" customFormat="false" ht="15" hidden="false" customHeight="false" outlineLevel="0" collapsed="false">
      <c r="A309" s="2" t="s">
        <v>119</v>
      </c>
      <c r="B309" s="2" t="n">
        <v>8</v>
      </c>
      <c r="C309" s="2" t="s">
        <v>67</v>
      </c>
      <c r="D309" s="2" t="s">
        <v>48</v>
      </c>
      <c r="E309" s="2" t="str">
        <f aca="false">INDEX(Products!$B$2:$B$13,MATCH(D309,Products!$A$2:$A$13,0))</f>
        <v>Specialty</v>
      </c>
      <c r="F309" s="15" t="n">
        <v>10</v>
      </c>
      <c r="G309" s="16" t="n">
        <f aca="false">IF(A309="2025",INDEX(Products!$C$2:$C$13,MATCH(D309,Products!$A$2:$A$13,0)),INDEX(Products!$E$2:$E$13,MATCH(D309,Products!$A$2:$A$13,0)))</f>
        <v>34923</v>
      </c>
      <c r="H309" s="13" t="n">
        <f aca="false">IF(A309="2025",INDEX(Customers!$D$2:$D$41,MATCH(C309,Customers!$A$2:$A$41,0)),INDEX(Customers!$F$2:$F$41,MATCH(C309,Customers!$A$2:$A$41,0)))</f>
        <v>0.078</v>
      </c>
      <c r="I309" s="16" t="n">
        <f aca="false">F309*G309</f>
        <v>349230</v>
      </c>
      <c r="J309" s="16" t="n">
        <f aca="false">I309*(1-H309)</f>
        <v>321990.06</v>
      </c>
      <c r="K309" s="16" t="n">
        <f aca="false">J309*INDEX(Customers!$G$2:$G$41,MATCH(C309,Customers!$A$2:$A$41,0))</f>
        <v>6439.8012</v>
      </c>
      <c r="L309" s="16" t="n">
        <f aca="false">F309*INDEX(Customers!$H$2:$H$41,MATCH(C309,Customers!$A$2:$A$41,0))</f>
        <v>2800</v>
      </c>
      <c r="M309" s="16" t="n">
        <f aca="false">J309*INDEX(Customers!$I$2:$I$41,MATCH(C309,Customers!$A$2:$A$41,0))/365*Assumptions!$B$6</f>
        <v>4234.38983013699</v>
      </c>
      <c r="N309" s="16" t="n">
        <f aca="false">J309-K309-L309-M309</f>
        <v>308515.868969863</v>
      </c>
      <c r="O309" s="16" t="n">
        <f aca="false">F309*IF(A309="2025",INDEX(Products!$D$2:$D$13,MATCH(D309,Products!$A$2:$A$13,0)),INDEX(Products!$F$2:$F$13,MATCH(D309,Products!$A$2:$A$13,0)))</f>
        <v>154706</v>
      </c>
      <c r="P309" s="16" t="n">
        <f aca="false">N309-O309</f>
        <v>153809.868969863</v>
      </c>
    </row>
    <row r="310" customFormat="false" ht="15" hidden="false" customHeight="false" outlineLevel="0" collapsed="false">
      <c r="A310" s="2" t="s">
        <v>119</v>
      </c>
      <c r="B310" s="2" t="n">
        <v>9</v>
      </c>
      <c r="C310" s="2" t="s">
        <v>67</v>
      </c>
      <c r="D310" s="2" t="s">
        <v>48</v>
      </c>
      <c r="E310" s="2" t="str">
        <f aca="false">INDEX(Products!$B$2:$B$13,MATCH(D310,Products!$A$2:$A$13,0))</f>
        <v>Specialty</v>
      </c>
      <c r="F310" s="15" t="n">
        <v>11.8</v>
      </c>
      <c r="G310" s="16" t="n">
        <f aca="false">IF(A310="2025",INDEX(Products!$C$2:$C$13,MATCH(D310,Products!$A$2:$A$13,0)),INDEX(Products!$E$2:$E$13,MATCH(D310,Products!$A$2:$A$13,0)))</f>
        <v>34923</v>
      </c>
      <c r="H310" s="13" t="n">
        <f aca="false">IF(A310="2025",INDEX(Customers!$D$2:$D$41,MATCH(C310,Customers!$A$2:$A$41,0)),INDEX(Customers!$F$2:$F$41,MATCH(C310,Customers!$A$2:$A$41,0)))</f>
        <v>0.078</v>
      </c>
      <c r="I310" s="16" t="n">
        <f aca="false">F310*G310</f>
        <v>412091.4</v>
      </c>
      <c r="J310" s="16" t="n">
        <f aca="false">I310*(1-H310)</f>
        <v>379948.2708</v>
      </c>
      <c r="K310" s="16" t="n">
        <f aca="false">J310*INDEX(Customers!$G$2:$G$41,MATCH(C310,Customers!$A$2:$A$41,0))</f>
        <v>7598.965416</v>
      </c>
      <c r="L310" s="16" t="n">
        <f aca="false">F310*INDEX(Customers!$H$2:$H$41,MATCH(C310,Customers!$A$2:$A$41,0))</f>
        <v>3304</v>
      </c>
      <c r="M310" s="16" t="n">
        <f aca="false">J310*INDEX(Customers!$I$2:$I$41,MATCH(C310,Customers!$A$2:$A$41,0))/365*Assumptions!$B$6</f>
        <v>4996.57999956164</v>
      </c>
      <c r="N310" s="16" t="n">
        <f aca="false">J310-K310-L310-M310</f>
        <v>364048.725384438</v>
      </c>
      <c r="O310" s="16" t="n">
        <f aca="false">F310*IF(A310="2025",INDEX(Products!$D$2:$D$13,MATCH(D310,Products!$A$2:$A$13,0)),INDEX(Products!$F$2:$F$13,MATCH(D310,Products!$A$2:$A$13,0)))</f>
        <v>182553.08</v>
      </c>
      <c r="P310" s="16" t="n">
        <f aca="false">N310-O310</f>
        <v>181495.645384438</v>
      </c>
    </row>
    <row r="311" customFormat="false" ht="15" hidden="false" customHeight="false" outlineLevel="0" collapsed="false">
      <c r="A311" s="2" t="s">
        <v>119</v>
      </c>
      <c r="B311" s="2" t="n">
        <v>10</v>
      </c>
      <c r="C311" s="2" t="s">
        <v>67</v>
      </c>
      <c r="D311" s="2" t="s">
        <v>48</v>
      </c>
      <c r="E311" s="2" t="str">
        <f aca="false">INDEX(Products!$B$2:$B$13,MATCH(D311,Products!$A$2:$A$13,0))</f>
        <v>Specialty</v>
      </c>
      <c r="F311" s="15" t="n">
        <v>7</v>
      </c>
      <c r="G311" s="16" t="n">
        <f aca="false">IF(A311="2025",INDEX(Products!$C$2:$C$13,MATCH(D311,Products!$A$2:$A$13,0)),INDEX(Products!$E$2:$E$13,MATCH(D311,Products!$A$2:$A$13,0)))</f>
        <v>34923</v>
      </c>
      <c r="H311" s="13" t="n">
        <f aca="false">IF(A311="2025",INDEX(Customers!$D$2:$D$41,MATCH(C311,Customers!$A$2:$A$41,0)),INDEX(Customers!$F$2:$F$41,MATCH(C311,Customers!$A$2:$A$41,0)))</f>
        <v>0.078</v>
      </c>
      <c r="I311" s="16" t="n">
        <f aca="false">F311*G311</f>
        <v>244461</v>
      </c>
      <c r="J311" s="16" t="n">
        <f aca="false">I311*(1-H311)</f>
        <v>225393.042</v>
      </c>
      <c r="K311" s="16" t="n">
        <f aca="false">J311*INDEX(Customers!$G$2:$G$41,MATCH(C311,Customers!$A$2:$A$41,0))</f>
        <v>4507.86084</v>
      </c>
      <c r="L311" s="16" t="n">
        <f aca="false">F311*INDEX(Customers!$H$2:$H$41,MATCH(C311,Customers!$A$2:$A$41,0))</f>
        <v>1960</v>
      </c>
      <c r="M311" s="16" t="n">
        <f aca="false">J311*INDEX(Customers!$I$2:$I$41,MATCH(C311,Customers!$A$2:$A$41,0))/365*Assumptions!$B$6</f>
        <v>2964.07288109589</v>
      </c>
      <c r="N311" s="16" t="n">
        <f aca="false">J311-K311-L311-M311</f>
        <v>215961.108278904</v>
      </c>
      <c r="O311" s="16" t="n">
        <f aca="false">F311*IF(A311="2025",INDEX(Products!$D$2:$D$13,MATCH(D311,Products!$A$2:$A$13,0)),INDEX(Products!$F$2:$F$13,MATCH(D311,Products!$A$2:$A$13,0)))</f>
        <v>108294.2</v>
      </c>
      <c r="P311" s="16" t="n">
        <f aca="false">N311-O311</f>
        <v>107666.908278904</v>
      </c>
    </row>
    <row r="312" customFormat="false" ht="15" hidden="false" customHeight="false" outlineLevel="0" collapsed="false">
      <c r="A312" s="2" t="s">
        <v>119</v>
      </c>
      <c r="B312" s="2" t="n">
        <v>11</v>
      </c>
      <c r="C312" s="2" t="s">
        <v>67</v>
      </c>
      <c r="D312" s="2" t="s">
        <v>48</v>
      </c>
      <c r="E312" s="2" t="str">
        <f aca="false">INDEX(Products!$B$2:$B$13,MATCH(D312,Products!$A$2:$A$13,0))</f>
        <v>Specialty</v>
      </c>
      <c r="F312" s="15" t="n">
        <v>10</v>
      </c>
      <c r="G312" s="16" t="n">
        <f aca="false">IF(A312="2025",INDEX(Products!$C$2:$C$13,MATCH(D312,Products!$A$2:$A$13,0)),INDEX(Products!$E$2:$E$13,MATCH(D312,Products!$A$2:$A$13,0)))</f>
        <v>34923</v>
      </c>
      <c r="H312" s="13" t="n">
        <f aca="false">IF(A312="2025",INDEX(Customers!$D$2:$D$41,MATCH(C312,Customers!$A$2:$A$41,0)),INDEX(Customers!$F$2:$F$41,MATCH(C312,Customers!$A$2:$A$41,0)))</f>
        <v>0.078</v>
      </c>
      <c r="I312" s="16" t="n">
        <f aca="false">F312*G312</f>
        <v>349230</v>
      </c>
      <c r="J312" s="16" t="n">
        <f aca="false">I312*(1-H312)</f>
        <v>321990.06</v>
      </c>
      <c r="K312" s="16" t="n">
        <f aca="false">J312*INDEX(Customers!$G$2:$G$41,MATCH(C312,Customers!$A$2:$A$41,0))</f>
        <v>6439.8012</v>
      </c>
      <c r="L312" s="16" t="n">
        <f aca="false">F312*INDEX(Customers!$H$2:$H$41,MATCH(C312,Customers!$A$2:$A$41,0))</f>
        <v>2800</v>
      </c>
      <c r="M312" s="16" t="n">
        <f aca="false">J312*INDEX(Customers!$I$2:$I$41,MATCH(C312,Customers!$A$2:$A$41,0))/365*Assumptions!$B$6</f>
        <v>4234.38983013699</v>
      </c>
      <c r="N312" s="16" t="n">
        <f aca="false">J312-K312-L312-M312</f>
        <v>308515.868969863</v>
      </c>
      <c r="O312" s="16" t="n">
        <f aca="false">F312*IF(A312="2025",INDEX(Products!$D$2:$D$13,MATCH(D312,Products!$A$2:$A$13,0)),INDEX(Products!$F$2:$F$13,MATCH(D312,Products!$A$2:$A$13,0)))</f>
        <v>154706</v>
      </c>
      <c r="P312" s="16" t="n">
        <f aca="false">N312-O312</f>
        <v>153809.868969863</v>
      </c>
    </row>
    <row r="313" customFormat="false" ht="15" hidden="false" customHeight="false" outlineLevel="0" collapsed="false">
      <c r="A313" s="2" t="s">
        <v>119</v>
      </c>
      <c r="B313" s="2" t="n">
        <v>12</v>
      </c>
      <c r="C313" s="2" t="s">
        <v>67</v>
      </c>
      <c r="D313" s="2" t="s">
        <v>48</v>
      </c>
      <c r="E313" s="2" t="str">
        <f aca="false">INDEX(Products!$B$2:$B$13,MATCH(D313,Products!$A$2:$A$13,0))</f>
        <v>Specialty</v>
      </c>
      <c r="F313" s="15" t="n">
        <v>11</v>
      </c>
      <c r="G313" s="16" t="n">
        <f aca="false">IF(A313="2025",INDEX(Products!$C$2:$C$13,MATCH(D313,Products!$A$2:$A$13,0)),INDEX(Products!$E$2:$E$13,MATCH(D313,Products!$A$2:$A$13,0)))</f>
        <v>34923</v>
      </c>
      <c r="H313" s="13" t="n">
        <f aca="false">IF(A313="2025",INDEX(Customers!$D$2:$D$41,MATCH(C313,Customers!$A$2:$A$41,0)),INDEX(Customers!$F$2:$F$41,MATCH(C313,Customers!$A$2:$A$41,0)))</f>
        <v>0.078</v>
      </c>
      <c r="I313" s="16" t="n">
        <f aca="false">F313*G313</f>
        <v>384153</v>
      </c>
      <c r="J313" s="16" t="n">
        <f aca="false">I313*(1-H313)</f>
        <v>354189.066</v>
      </c>
      <c r="K313" s="16" t="n">
        <f aca="false">J313*INDEX(Customers!$G$2:$G$41,MATCH(C313,Customers!$A$2:$A$41,0))</f>
        <v>7083.78132</v>
      </c>
      <c r="L313" s="16" t="n">
        <f aca="false">F313*INDEX(Customers!$H$2:$H$41,MATCH(C313,Customers!$A$2:$A$41,0))</f>
        <v>3080</v>
      </c>
      <c r="M313" s="16" t="n">
        <f aca="false">J313*INDEX(Customers!$I$2:$I$41,MATCH(C313,Customers!$A$2:$A$41,0))/365*Assumptions!$B$6</f>
        <v>4657.82881315069</v>
      </c>
      <c r="N313" s="16" t="n">
        <f aca="false">J313-K313-L313-M313</f>
        <v>339367.455866849</v>
      </c>
      <c r="O313" s="16" t="n">
        <f aca="false">F313*IF(A313="2025",INDEX(Products!$D$2:$D$13,MATCH(D313,Products!$A$2:$A$13,0)),INDEX(Products!$F$2:$F$13,MATCH(D313,Products!$A$2:$A$13,0)))</f>
        <v>170176.6</v>
      </c>
      <c r="P313" s="16" t="n">
        <f aca="false">N313-O313</f>
        <v>169190.855866849</v>
      </c>
    </row>
    <row r="314" customFormat="false" ht="15" hidden="false" customHeight="false" outlineLevel="0" collapsed="false">
      <c r="A314" s="2" t="s">
        <v>118</v>
      </c>
      <c r="B314" s="2" t="n">
        <v>1</v>
      </c>
      <c r="C314" s="2" t="s">
        <v>68</v>
      </c>
      <c r="D314" s="2" t="s">
        <v>34</v>
      </c>
      <c r="E314" s="2" t="str">
        <f aca="false">INDEX(Products!$B$2:$B$13,MATCH(D314,Products!$A$2:$A$13,0))</f>
        <v>FCC</v>
      </c>
      <c r="F314" s="15" t="n">
        <v>38.2</v>
      </c>
      <c r="G314" s="16" t="n">
        <f aca="false">IF(A314="2025",INDEX(Products!$C$2:$C$13,MATCH(D314,Products!$A$2:$A$13,0)),INDEX(Products!$E$2:$E$13,MATCH(D314,Products!$A$2:$A$13,0)))</f>
        <v>3270</v>
      </c>
      <c r="H314" s="13" t="n">
        <f aca="false">IF(A314="2025",INDEX(Customers!$D$2:$D$41,MATCH(C314,Customers!$A$2:$A$41,0)),INDEX(Customers!$F$2:$F$41,MATCH(C314,Customers!$A$2:$A$41,0)))</f>
        <v>0.08</v>
      </c>
      <c r="I314" s="16" t="n">
        <f aca="false">F314*G314</f>
        <v>124914</v>
      </c>
      <c r="J314" s="16" t="n">
        <f aca="false">I314*(1-H314)</f>
        <v>114920.88</v>
      </c>
      <c r="K314" s="16" t="n">
        <f aca="false">J314*INDEX(Customers!$G$2:$G$41,MATCH(C314,Customers!$A$2:$A$41,0))</f>
        <v>0</v>
      </c>
      <c r="L314" s="16" t="n">
        <f aca="false">F314*INDEX(Customers!$H$2:$H$41,MATCH(C314,Customers!$A$2:$A$41,0))</f>
        <v>14898</v>
      </c>
      <c r="M314" s="16" t="n">
        <f aca="false">J314*INDEX(Customers!$I$2:$I$41,MATCH(C314,Customers!$A$2:$A$41,0))/365*Assumptions!$B$6</f>
        <v>2266.93242739726</v>
      </c>
      <c r="N314" s="16" t="n">
        <f aca="false">J314-K314-L314-M314</f>
        <v>97755.9475726028</v>
      </c>
      <c r="O314" s="16" t="n">
        <f aca="false">F314*IF(A314="2025",INDEX(Products!$D$2:$D$13,MATCH(D314,Products!$A$2:$A$13,0)),INDEX(Products!$F$2:$F$13,MATCH(D314,Products!$A$2:$A$13,0)))</f>
        <v>83658</v>
      </c>
      <c r="P314" s="16" t="n">
        <f aca="false">N314-O314</f>
        <v>14097.9475726028</v>
      </c>
    </row>
    <row r="315" customFormat="false" ht="15" hidden="false" customHeight="false" outlineLevel="0" collapsed="false">
      <c r="A315" s="2" t="s">
        <v>118</v>
      </c>
      <c r="B315" s="2" t="n">
        <v>2</v>
      </c>
      <c r="C315" s="2" t="s">
        <v>68</v>
      </c>
      <c r="D315" s="2" t="s">
        <v>34</v>
      </c>
      <c r="E315" s="2" t="str">
        <f aca="false">INDEX(Products!$B$2:$B$13,MATCH(D315,Products!$A$2:$A$13,0))</f>
        <v>FCC</v>
      </c>
      <c r="F315" s="15" t="n">
        <v>36.8</v>
      </c>
      <c r="G315" s="16" t="n">
        <f aca="false">IF(A315="2025",INDEX(Products!$C$2:$C$13,MATCH(D315,Products!$A$2:$A$13,0)),INDEX(Products!$E$2:$E$13,MATCH(D315,Products!$A$2:$A$13,0)))</f>
        <v>3270</v>
      </c>
      <c r="H315" s="13" t="n">
        <f aca="false">IF(A315="2025",INDEX(Customers!$D$2:$D$41,MATCH(C315,Customers!$A$2:$A$41,0)),INDEX(Customers!$F$2:$F$41,MATCH(C315,Customers!$A$2:$A$41,0)))</f>
        <v>0.08</v>
      </c>
      <c r="I315" s="16" t="n">
        <f aca="false">F315*G315</f>
        <v>120336</v>
      </c>
      <c r="J315" s="16" t="n">
        <f aca="false">I315*(1-H315)</f>
        <v>110709.12</v>
      </c>
      <c r="K315" s="16" t="n">
        <f aca="false">J315*INDEX(Customers!$G$2:$G$41,MATCH(C315,Customers!$A$2:$A$41,0))</f>
        <v>0</v>
      </c>
      <c r="L315" s="16" t="n">
        <f aca="false">F315*INDEX(Customers!$H$2:$H$41,MATCH(C315,Customers!$A$2:$A$41,0))</f>
        <v>14352</v>
      </c>
      <c r="M315" s="16" t="n">
        <f aca="false">J315*INDEX(Customers!$I$2:$I$41,MATCH(C315,Customers!$A$2:$A$41,0))/365*Assumptions!$B$6</f>
        <v>2183.85113424658</v>
      </c>
      <c r="N315" s="16" t="n">
        <f aca="false">J315-K315-L315-M315</f>
        <v>94173.2688657534</v>
      </c>
      <c r="O315" s="16" t="n">
        <f aca="false">F315*IF(A315="2025",INDEX(Products!$D$2:$D$13,MATCH(D315,Products!$A$2:$A$13,0)),INDEX(Products!$F$2:$F$13,MATCH(D315,Products!$A$2:$A$13,0)))</f>
        <v>80592</v>
      </c>
      <c r="P315" s="16" t="n">
        <f aca="false">N315-O315</f>
        <v>13581.2688657534</v>
      </c>
    </row>
    <row r="316" customFormat="false" ht="15" hidden="false" customHeight="false" outlineLevel="0" collapsed="false">
      <c r="A316" s="2" t="s">
        <v>118</v>
      </c>
      <c r="B316" s="2" t="n">
        <v>3</v>
      </c>
      <c r="C316" s="2" t="s">
        <v>68</v>
      </c>
      <c r="D316" s="2" t="s">
        <v>34</v>
      </c>
      <c r="E316" s="2" t="str">
        <f aca="false">INDEX(Products!$B$2:$B$13,MATCH(D316,Products!$A$2:$A$13,0))</f>
        <v>FCC</v>
      </c>
      <c r="F316" s="15" t="n">
        <v>32.4</v>
      </c>
      <c r="G316" s="16" t="n">
        <f aca="false">IF(A316="2025",INDEX(Products!$C$2:$C$13,MATCH(D316,Products!$A$2:$A$13,0)),INDEX(Products!$E$2:$E$13,MATCH(D316,Products!$A$2:$A$13,0)))</f>
        <v>3270</v>
      </c>
      <c r="H316" s="13" t="n">
        <f aca="false">IF(A316="2025",INDEX(Customers!$D$2:$D$41,MATCH(C316,Customers!$A$2:$A$41,0)),INDEX(Customers!$F$2:$F$41,MATCH(C316,Customers!$A$2:$A$41,0)))</f>
        <v>0.08</v>
      </c>
      <c r="I316" s="16" t="n">
        <f aca="false">F316*G316</f>
        <v>105948</v>
      </c>
      <c r="J316" s="16" t="n">
        <f aca="false">I316*(1-H316)</f>
        <v>97472.16</v>
      </c>
      <c r="K316" s="16" t="n">
        <f aca="false">J316*INDEX(Customers!$G$2:$G$41,MATCH(C316,Customers!$A$2:$A$41,0))</f>
        <v>0</v>
      </c>
      <c r="L316" s="16" t="n">
        <f aca="false">F316*INDEX(Customers!$H$2:$H$41,MATCH(C316,Customers!$A$2:$A$41,0))</f>
        <v>12636</v>
      </c>
      <c r="M316" s="16" t="n">
        <f aca="false">J316*INDEX(Customers!$I$2:$I$41,MATCH(C316,Customers!$A$2:$A$41,0))/365*Assumptions!$B$6</f>
        <v>1922.73849863014</v>
      </c>
      <c r="N316" s="16" t="n">
        <f aca="false">J316-K316-L316-M316</f>
        <v>82913.4215013699</v>
      </c>
      <c r="O316" s="16" t="n">
        <f aca="false">F316*IF(A316="2025",INDEX(Products!$D$2:$D$13,MATCH(D316,Products!$A$2:$A$13,0)),INDEX(Products!$F$2:$F$13,MATCH(D316,Products!$A$2:$A$13,0)))</f>
        <v>70956</v>
      </c>
      <c r="P316" s="16" t="n">
        <f aca="false">N316-O316</f>
        <v>11957.4215013699</v>
      </c>
    </row>
    <row r="317" customFormat="false" ht="15" hidden="false" customHeight="false" outlineLevel="0" collapsed="false">
      <c r="A317" s="2" t="s">
        <v>118</v>
      </c>
      <c r="B317" s="2" t="n">
        <v>4</v>
      </c>
      <c r="C317" s="2" t="s">
        <v>68</v>
      </c>
      <c r="D317" s="2" t="s">
        <v>34</v>
      </c>
      <c r="E317" s="2" t="str">
        <f aca="false">INDEX(Products!$B$2:$B$13,MATCH(D317,Products!$A$2:$A$13,0))</f>
        <v>FCC</v>
      </c>
      <c r="F317" s="15" t="n">
        <v>36</v>
      </c>
      <c r="G317" s="16" t="n">
        <f aca="false">IF(A317="2025",INDEX(Products!$C$2:$C$13,MATCH(D317,Products!$A$2:$A$13,0)),INDEX(Products!$E$2:$E$13,MATCH(D317,Products!$A$2:$A$13,0)))</f>
        <v>3270</v>
      </c>
      <c r="H317" s="13" t="n">
        <f aca="false">IF(A317="2025",INDEX(Customers!$D$2:$D$41,MATCH(C317,Customers!$A$2:$A$41,0)),INDEX(Customers!$F$2:$F$41,MATCH(C317,Customers!$A$2:$A$41,0)))</f>
        <v>0.08</v>
      </c>
      <c r="I317" s="16" t="n">
        <f aca="false">F317*G317</f>
        <v>117720</v>
      </c>
      <c r="J317" s="16" t="n">
        <f aca="false">I317*(1-H317)</f>
        <v>108302.4</v>
      </c>
      <c r="K317" s="16" t="n">
        <f aca="false">J317*INDEX(Customers!$G$2:$G$41,MATCH(C317,Customers!$A$2:$A$41,0))</f>
        <v>0</v>
      </c>
      <c r="L317" s="16" t="n">
        <f aca="false">F317*INDEX(Customers!$H$2:$H$41,MATCH(C317,Customers!$A$2:$A$41,0))</f>
        <v>14040</v>
      </c>
      <c r="M317" s="16" t="n">
        <f aca="false">J317*INDEX(Customers!$I$2:$I$41,MATCH(C317,Customers!$A$2:$A$41,0))/365*Assumptions!$B$6</f>
        <v>2136.37610958904</v>
      </c>
      <c r="N317" s="16" t="n">
        <f aca="false">J317-K317-L317-M317</f>
        <v>92126.023890411</v>
      </c>
      <c r="O317" s="16" t="n">
        <f aca="false">F317*IF(A317="2025",INDEX(Products!$D$2:$D$13,MATCH(D317,Products!$A$2:$A$13,0)),INDEX(Products!$F$2:$F$13,MATCH(D317,Products!$A$2:$A$13,0)))</f>
        <v>78840</v>
      </c>
      <c r="P317" s="16" t="n">
        <f aca="false">N317-O317</f>
        <v>13286.023890411</v>
      </c>
    </row>
    <row r="318" customFormat="false" ht="15" hidden="false" customHeight="false" outlineLevel="0" collapsed="false">
      <c r="A318" s="2" t="s">
        <v>118</v>
      </c>
      <c r="B318" s="2" t="n">
        <v>5</v>
      </c>
      <c r="C318" s="2" t="s">
        <v>68</v>
      </c>
      <c r="D318" s="2" t="s">
        <v>34</v>
      </c>
      <c r="E318" s="2" t="str">
        <f aca="false">INDEX(Products!$B$2:$B$13,MATCH(D318,Products!$A$2:$A$13,0))</f>
        <v>FCC</v>
      </c>
      <c r="F318" s="15" t="n">
        <v>35.7</v>
      </c>
      <c r="G318" s="16" t="n">
        <f aca="false">IF(A318="2025",INDEX(Products!$C$2:$C$13,MATCH(D318,Products!$A$2:$A$13,0)),INDEX(Products!$E$2:$E$13,MATCH(D318,Products!$A$2:$A$13,0)))</f>
        <v>3270</v>
      </c>
      <c r="H318" s="13" t="n">
        <f aca="false">IF(A318="2025",INDEX(Customers!$D$2:$D$41,MATCH(C318,Customers!$A$2:$A$41,0)),INDEX(Customers!$F$2:$F$41,MATCH(C318,Customers!$A$2:$A$41,0)))</f>
        <v>0.08</v>
      </c>
      <c r="I318" s="16" t="n">
        <f aca="false">F318*G318</f>
        <v>116739</v>
      </c>
      <c r="J318" s="16" t="n">
        <f aca="false">I318*(1-H318)</f>
        <v>107399.88</v>
      </c>
      <c r="K318" s="16" t="n">
        <f aca="false">J318*INDEX(Customers!$G$2:$G$41,MATCH(C318,Customers!$A$2:$A$41,0))</f>
        <v>0</v>
      </c>
      <c r="L318" s="16" t="n">
        <f aca="false">F318*INDEX(Customers!$H$2:$H$41,MATCH(C318,Customers!$A$2:$A$41,0))</f>
        <v>13923</v>
      </c>
      <c r="M318" s="16" t="n">
        <f aca="false">J318*INDEX(Customers!$I$2:$I$41,MATCH(C318,Customers!$A$2:$A$41,0))/365*Assumptions!$B$6</f>
        <v>2118.57297534247</v>
      </c>
      <c r="N318" s="16" t="n">
        <f aca="false">J318-K318-L318-M318</f>
        <v>91358.3070246576</v>
      </c>
      <c r="O318" s="16" t="n">
        <f aca="false">F318*IF(A318="2025",INDEX(Products!$D$2:$D$13,MATCH(D318,Products!$A$2:$A$13,0)),INDEX(Products!$F$2:$F$13,MATCH(D318,Products!$A$2:$A$13,0)))</f>
        <v>78183</v>
      </c>
      <c r="P318" s="16" t="n">
        <f aca="false">N318-O318</f>
        <v>13175.3070246576</v>
      </c>
    </row>
    <row r="319" customFormat="false" ht="15" hidden="false" customHeight="false" outlineLevel="0" collapsed="false">
      <c r="A319" s="2" t="s">
        <v>118</v>
      </c>
      <c r="B319" s="2" t="n">
        <v>6</v>
      </c>
      <c r="C319" s="2" t="s">
        <v>68</v>
      </c>
      <c r="D319" s="2" t="s">
        <v>34</v>
      </c>
      <c r="E319" s="2" t="str">
        <f aca="false">INDEX(Products!$B$2:$B$13,MATCH(D319,Products!$A$2:$A$13,0))</f>
        <v>FCC</v>
      </c>
      <c r="F319" s="15" t="n">
        <v>29.5</v>
      </c>
      <c r="G319" s="16" t="n">
        <f aca="false">IF(A319="2025",INDEX(Products!$C$2:$C$13,MATCH(D319,Products!$A$2:$A$13,0)),INDEX(Products!$E$2:$E$13,MATCH(D319,Products!$A$2:$A$13,0)))</f>
        <v>3270</v>
      </c>
      <c r="H319" s="13" t="n">
        <f aca="false">IF(A319="2025",INDEX(Customers!$D$2:$D$41,MATCH(C319,Customers!$A$2:$A$41,0)),INDEX(Customers!$F$2:$F$41,MATCH(C319,Customers!$A$2:$A$41,0)))</f>
        <v>0.08</v>
      </c>
      <c r="I319" s="16" t="n">
        <f aca="false">F319*G319</f>
        <v>96465</v>
      </c>
      <c r="J319" s="16" t="n">
        <f aca="false">I319*(1-H319)</f>
        <v>88747.8</v>
      </c>
      <c r="K319" s="16" t="n">
        <f aca="false">J319*INDEX(Customers!$G$2:$G$41,MATCH(C319,Customers!$A$2:$A$41,0))</f>
        <v>0</v>
      </c>
      <c r="L319" s="16" t="n">
        <f aca="false">F319*INDEX(Customers!$H$2:$H$41,MATCH(C319,Customers!$A$2:$A$41,0))</f>
        <v>11505</v>
      </c>
      <c r="M319" s="16" t="n">
        <f aca="false">J319*INDEX(Customers!$I$2:$I$41,MATCH(C319,Customers!$A$2:$A$41,0))/365*Assumptions!$B$6</f>
        <v>1750.64153424658</v>
      </c>
      <c r="N319" s="16" t="n">
        <f aca="false">J319-K319-L319-M319</f>
        <v>75492.1584657534</v>
      </c>
      <c r="O319" s="16" t="n">
        <f aca="false">F319*IF(A319="2025",INDEX(Products!$D$2:$D$13,MATCH(D319,Products!$A$2:$A$13,0)),INDEX(Products!$F$2:$F$13,MATCH(D319,Products!$A$2:$A$13,0)))</f>
        <v>64605</v>
      </c>
      <c r="P319" s="16" t="n">
        <f aca="false">N319-O319</f>
        <v>10887.1584657534</v>
      </c>
    </row>
    <row r="320" customFormat="false" ht="15" hidden="false" customHeight="false" outlineLevel="0" collapsed="false">
      <c r="A320" s="2" t="s">
        <v>118</v>
      </c>
      <c r="B320" s="2" t="n">
        <v>7</v>
      </c>
      <c r="C320" s="2" t="s">
        <v>68</v>
      </c>
      <c r="D320" s="2" t="s">
        <v>34</v>
      </c>
      <c r="E320" s="2" t="str">
        <f aca="false">INDEX(Products!$B$2:$B$13,MATCH(D320,Products!$A$2:$A$13,0))</f>
        <v>FCC</v>
      </c>
      <c r="F320" s="15" t="n">
        <v>22.6</v>
      </c>
      <c r="G320" s="16" t="n">
        <f aca="false">IF(A320="2025",INDEX(Products!$C$2:$C$13,MATCH(D320,Products!$A$2:$A$13,0)),INDEX(Products!$E$2:$E$13,MATCH(D320,Products!$A$2:$A$13,0)))</f>
        <v>3270</v>
      </c>
      <c r="H320" s="13" t="n">
        <f aca="false">IF(A320="2025",INDEX(Customers!$D$2:$D$41,MATCH(C320,Customers!$A$2:$A$41,0)),INDEX(Customers!$F$2:$F$41,MATCH(C320,Customers!$A$2:$A$41,0)))</f>
        <v>0.08</v>
      </c>
      <c r="I320" s="16" t="n">
        <f aca="false">F320*G320</f>
        <v>73902</v>
      </c>
      <c r="J320" s="16" t="n">
        <f aca="false">I320*(1-H320)</f>
        <v>67989.84</v>
      </c>
      <c r="K320" s="16" t="n">
        <f aca="false">J320*INDEX(Customers!$G$2:$G$41,MATCH(C320,Customers!$A$2:$A$41,0))</f>
        <v>0</v>
      </c>
      <c r="L320" s="16" t="n">
        <f aca="false">F320*INDEX(Customers!$H$2:$H$41,MATCH(C320,Customers!$A$2:$A$41,0))</f>
        <v>8814</v>
      </c>
      <c r="M320" s="16" t="n">
        <f aca="false">J320*INDEX(Customers!$I$2:$I$41,MATCH(C320,Customers!$A$2:$A$41,0))/365*Assumptions!$B$6</f>
        <v>1341.16944657534</v>
      </c>
      <c r="N320" s="16" t="n">
        <f aca="false">J320-K320-L320-M320</f>
        <v>57834.6705534247</v>
      </c>
      <c r="O320" s="16" t="n">
        <f aca="false">F320*IF(A320="2025",INDEX(Products!$D$2:$D$13,MATCH(D320,Products!$A$2:$A$13,0)),INDEX(Products!$F$2:$F$13,MATCH(D320,Products!$A$2:$A$13,0)))</f>
        <v>49494</v>
      </c>
      <c r="P320" s="16" t="n">
        <f aca="false">N320-O320</f>
        <v>8340.67055342466</v>
      </c>
    </row>
    <row r="321" customFormat="false" ht="15" hidden="false" customHeight="false" outlineLevel="0" collapsed="false">
      <c r="A321" s="2" t="s">
        <v>118</v>
      </c>
      <c r="B321" s="2" t="n">
        <v>8</v>
      </c>
      <c r="C321" s="2" t="s">
        <v>68</v>
      </c>
      <c r="D321" s="2" t="s">
        <v>34</v>
      </c>
      <c r="E321" s="2" t="str">
        <f aca="false">INDEX(Products!$B$2:$B$13,MATCH(D321,Products!$A$2:$A$13,0))</f>
        <v>FCC</v>
      </c>
      <c r="F321" s="15" t="n">
        <v>40.3</v>
      </c>
      <c r="G321" s="16" t="n">
        <f aca="false">IF(A321="2025",INDEX(Products!$C$2:$C$13,MATCH(D321,Products!$A$2:$A$13,0)),INDEX(Products!$E$2:$E$13,MATCH(D321,Products!$A$2:$A$13,0)))</f>
        <v>3270</v>
      </c>
      <c r="H321" s="13" t="n">
        <f aca="false">IF(A321="2025",INDEX(Customers!$D$2:$D$41,MATCH(C321,Customers!$A$2:$A$41,0)),INDEX(Customers!$F$2:$F$41,MATCH(C321,Customers!$A$2:$A$41,0)))</f>
        <v>0.08</v>
      </c>
      <c r="I321" s="16" t="n">
        <f aca="false">F321*G321</f>
        <v>131781</v>
      </c>
      <c r="J321" s="16" t="n">
        <f aca="false">I321*(1-H321)</f>
        <v>121238.52</v>
      </c>
      <c r="K321" s="16" t="n">
        <f aca="false">J321*INDEX(Customers!$G$2:$G$41,MATCH(C321,Customers!$A$2:$A$41,0))</f>
        <v>0</v>
      </c>
      <c r="L321" s="16" t="n">
        <f aca="false">F321*INDEX(Customers!$H$2:$H$41,MATCH(C321,Customers!$A$2:$A$41,0))</f>
        <v>15717</v>
      </c>
      <c r="M321" s="16" t="n">
        <f aca="false">J321*INDEX(Customers!$I$2:$I$41,MATCH(C321,Customers!$A$2:$A$41,0))/365*Assumptions!$B$6</f>
        <v>2391.55436712329</v>
      </c>
      <c r="N321" s="16" t="n">
        <f aca="false">J321-K321-L321-M321</f>
        <v>103129.965632877</v>
      </c>
      <c r="O321" s="16" t="n">
        <f aca="false">F321*IF(A321="2025",INDEX(Products!$D$2:$D$13,MATCH(D321,Products!$A$2:$A$13,0)),INDEX(Products!$F$2:$F$13,MATCH(D321,Products!$A$2:$A$13,0)))</f>
        <v>88257</v>
      </c>
      <c r="P321" s="16" t="n">
        <f aca="false">N321-O321</f>
        <v>14872.9656328767</v>
      </c>
    </row>
    <row r="322" customFormat="false" ht="15" hidden="false" customHeight="false" outlineLevel="0" collapsed="false">
      <c r="A322" s="2" t="s">
        <v>118</v>
      </c>
      <c r="B322" s="2" t="n">
        <v>9</v>
      </c>
      <c r="C322" s="2" t="s">
        <v>68</v>
      </c>
      <c r="D322" s="2" t="s">
        <v>34</v>
      </c>
      <c r="E322" s="2" t="str">
        <f aca="false">INDEX(Products!$B$2:$B$13,MATCH(D322,Products!$A$2:$A$13,0))</f>
        <v>FCC</v>
      </c>
      <c r="F322" s="15" t="n">
        <v>31.1</v>
      </c>
      <c r="G322" s="16" t="n">
        <f aca="false">IF(A322="2025",INDEX(Products!$C$2:$C$13,MATCH(D322,Products!$A$2:$A$13,0)),INDEX(Products!$E$2:$E$13,MATCH(D322,Products!$A$2:$A$13,0)))</f>
        <v>3270</v>
      </c>
      <c r="H322" s="13" t="n">
        <f aca="false">IF(A322="2025",INDEX(Customers!$D$2:$D$41,MATCH(C322,Customers!$A$2:$A$41,0)),INDEX(Customers!$F$2:$F$41,MATCH(C322,Customers!$A$2:$A$41,0)))</f>
        <v>0.08</v>
      </c>
      <c r="I322" s="16" t="n">
        <f aca="false">F322*G322</f>
        <v>101697</v>
      </c>
      <c r="J322" s="16" t="n">
        <f aca="false">I322*(1-H322)</f>
        <v>93561.24</v>
      </c>
      <c r="K322" s="16" t="n">
        <f aca="false">J322*INDEX(Customers!$G$2:$G$41,MATCH(C322,Customers!$A$2:$A$41,0))</f>
        <v>0</v>
      </c>
      <c r="L322" s="16" t="n">
        <f aca="false">F322*INDEX(Customers!$H$2:$H$41,MATCH(C322,Customers!$A$2:$A$41,0))</f>
        <v>12129</v>
      </c>
      <c r="M322" s="16" t="n">
        <f aca="false">J322*INDEX(Customers!$I$2:$I$41,MATCH(C322,Customers!$A$2:$A$41,0))/365*Assumptions!$B$6</f>
        <v>1845.59158356164</v>
      </c>
      <c r="N322" s="16" t="n">
        <f aca="false">J322-K322-L322-M322</f>
        <v>79586.6484164384</v>
      </c>
      <c r="O322" s="16" t="n">
        <f aca="false">F322*IF(A322="2025",INDEX(Products!$D$2:$D$13,MATCH(D322,Products!$A$2:$A$13,0)),INDEX(Products!$F$2:$F$13,MATCH(D322,Products!$A$2:$A$13,0)))</f>
        <v>68109</v>
      </c>
      <c r="P322" s="16" t="n">
        <f aca="false">N322-O322</f>
        <v>11477.6484164384</v>
      </c>
    </row>
    <row r="323" customFormat="false" ht="15" hidden="false" customHeight="false" outlineLevel="0" collapsed="false">
      <c r="A323" s="2" t="s">
        <v>118</v>
      </c>
      <c r="B323" s="2" t="n">
        <v>10</v>
      </c>
      <c r="C323" s="2" t="s">
        <v>68</v>
      </c>
      <c r="D323" s="2" t="s">
        <v>34</v>
      </c>
      <c r="E323" s="2" t="str">
        <f aca="false">INDEX(Products!$B$2:$B$13,MATCH(D323,Products!$A$2:$A$13,0))</f>
        <v>FCC</v>
      </c>
      <c r="F323" s="15" t="n">
        <v>27.9</v>
      </c>
      <c r="G323" s="16" t="n">
        <f aca="false">IF(A323="2025",INDEX(Products!$C$2:$C$13,MATCH(D323,Products!$A$2:$A$13,0)),INDEX(Products!$E$2:$E$13,MATCH(D323,Products!$A$2:$A$13,0)))</f>
        <v>3270</v>
      </c>
      <c r="H323" s="13" t="n">
        <f aca="false">IF(A323="2025",INDEX(Customers!$D$2:$D$41,MATCH(C323,Customers!$A$2:$A$41,0)),INDEX(Customers!$F$2:$F$41,MATCH(C323,Customers!$A$2:$A$41,0)))</f>
        <v>0.08</v>
      </c>
      <c r="I323" s="16" t="n">
        <f aca="false">F323*G323</f>
        <v>91233</v>
      </c>
      <c r="J323" s="16" t="n">
        <f aca="false">I323*(1-H323)</f>
        <v>83934.36</v>
      </c>
      <c r="K323" s="16" t="n">
        <f aca="false">J323*INDEX(Customers!$G$2:$G$41,MATCH(C323,Customers!$A$2:$A$41,0))</f>
        <v>0</v>
      </c>
      <c r="L323" s="16" t="n">
        <f aca="false">F323*INDEX(Customers!$H$2:$H$41,MATCH(C323,Customers!$A$2:$A$41,0))</f>
        <v>10881</v>
      </c>
      <c r="M323" s="16" t="n">
        <f aca="false">J323*INDEX(Customers!$I$2:$I$41,MATCH(C323,Customers!$A$2:$A$41,0))/365*Assumptions!$B$6</f>
        <v>1655.69148493151</v>
      </c>
      <c r="N323" s="16" t="n">
        <f aca="false">J323-K323-L323-M323</f>
        <v>71397.6685150685</v>
      </c>
      <c r="O323" s="16" t="n">
        <f aca="false">F323*IF(A323="2025",INDEX(Products!$D$2:$D$13,MATCH(D323,Products!$A$2:$A$13,0)),INDEX(Products!$F$2:$F$13,MATCH(D323,Products!$A$2:$A$13,0)))</f>
        <v>61101</v>
      </c>
      <c r="P323" s="16" t="n">
        <f aca="false">N323-O323</f>
        <v>10296.6685150685</v>
      </c>
    </row>
    <row r="324" customFormat="false" ht="15" hidden="false" customHeight="false" outlineLevel="0" collapsed="false">
      <c r="A324" s="2" t="s">
        <v>118</v>
      </c>
      <c r="B324" s="2" t="n">
        <v>11</v>
      </c>
      <c r="C324" s="2" t="s">
        <v>68</v>
      </c>
      <c r="D324" s="2" t="s">
        <v>34</v>
      </c>
      <c r="E324" s="2" t="str">
        <f aca="false">INDEX(Products!$B$2:$B$13,MATCH(D324,Products!$A$2:$A$13,0))</f>
        <v>FCC</v>
      </c>
      <c r="F324" s="15" t="n">
        <v>27</v>
      </c>
      <c r="G324" s="16" t="n">
        <f aca="false">IF(A324="2025",INDEX(Products!$C$2:$C$13,MATCH(D324,Products!$A$2:$A$13,0)),INDEX(Products!$E$2:$E$13,MATCH(D324,Products!$A$2:$A$13,0)))</f>
        <v>3270</v>
      </c>
      <c r="H324" s="13" t="n">
        <f aca="false">IF(A324="2025",INDEX(Customers!$D$2:$D$41,MATCH(C324,Customers!$A$2:$A$41,0)),INDEX(Customers!$F$2:$F$41,MATCH(C324,Customers!$A$2:$A$41,0)))</f>
        <v>0.08</v>
      </c>
      <c r="I324" s="16" t="n">
        <f aca="false">F324*G324</f>
        <v>88290</v>
      </c>
      <c r="J324" s="16" t="n">
        <f aca="false">I324*(1-H324)</f>
        <v>81226.8</v>
      </c>
      <c r="K324" s="16" t="n">
        <f aca="false">J324*INDEX(Customers!$G$2:$G$41,MATCH(C324,Customers!$A$2:$A$41,0))</f>
        <v>0</v>
      </c>
      <c r="L324" s="16" t="n">
        <f aca="false">F324*INDEX(Customers!$H$2:$H$41,MATCH(C324,Customers!$A$2:$A$41,0))</f>
        <v>10530</v>
      </c>
      <c r="M324" s="16" t="n">
        <f aca="false">J324*INDEX(Customers!$I$2:$I$41,MATCH(C324,Customers!$A$2:$A$41,0))/365*Assumptions!$B$6</f>
        <v>1602.28208219178</v>
      </c>
      <c r="N324" s="16" t="n">
        <f aca="false">J324-K324-L324-M324</f>
        <v>69094.5179178082</v>
      </c>
      <c r="O324" s="16" t="n">
        <f aca="false">F324*IF(A324="2025",INDEX(Products!$D$2:$D$13,MATCH(D324,Products!$A$2:$A$13,0)),INDEX(Products!$F$2:$F$13,MATCH(D324,Products!$A$2:$A$13,0)))</f>
        <v>59130</v>
      </c>
      <c r="P324" s="16" t="n">
        <f aca="false">N324-O324</f>
        <v>9964.51791780822</v>
      </c>
    </row>
    <row r="325" customFormat="false" ht="15" hidden="false" customHeight="false" outlineLevel="0" collapsed="false">
      <c r="A325" s="2" t="s">
        <v>118</v>
      </c>
      <c r="B325" s="2" t="n">
        <v>12</v>
      </c>
      <c r="C325" s="2" t="s">
        <v>68</v>
      </c>
      <c r="D325" s="2" t="s">
        <v>34</v>
      </c>
      <c r="E325" s="2" t="str">
        <f aca="false">INDEX(Products!$B$2:$B$13,MATCH(D325,Products!$A$2:$A$13,0))</f>
        <v>FCC</v>
      </c>
      <c r="F325" s="15" t="n">
        <v>29.8</v>
      </c>
      <c r="G325" s="16" t="n">
        <f aca="false">IF(A325="2025",INDEX(Products!$C$2:$C$13,MATCH(D325,Products!$A$2:$A$13,0)),INDEX(Products!$E$2:$E$13,MATCH(D325,Products!$A$2:$A$13,0)))</f>
        <v>3270</v>
      </c>
      <c r="H325" s="13" t="n">
        <f aca="false">IF(A325="2025",INDEX(Customers!$D$2:$D$41,MATCH(C325,Customers!$A$2:$A$41,0)),INDEX(Customers!$F$2:$F$41,MATCH(C325,Customers!$A$2:$A$41,0)))</f>
        <v>0.08</v>
      </c>
      <c r="I325" s="16" t="n">
        <f aca="false">F325*G325</f>
        <v>97446</v>
      </c>
      <c r="J325" s="16" t="n">
        <f aca="false">I325*(1-H325)</f>
        <v>89650.32</v>
      </c>
      <c r="K325" s="16" t="n">
        <f aca="false">J325*INDEX(Customers!$G$2:$G$41,MATCH(C325,Customers!$A$2:$A$41,0))</f>
        <v>0</v>
      </c>
      <c r="L325" s="16" t="n">
        <f aca="false">F325*INDEX(Customers!$H$2:$H$41,MATCH(C325,Customers!$A$2:$A$41,0))</f>
        <v>11622</v>
      </c>
      <c r="M325" s="16" t="n">
        <f aca="false">J325*INDEX(Customers!$I$2:$I$41,MATCH(C325,Customers!$A$2:$A$41,0))/365*Assumptions!$B$6</f>
        <v>1768.44466849315</v>
      </c>
      <c r="N325" s="16" t="n">
        <f aca="false">J325-K325-L325-M325</f>
        <v>76259.8753315069</v>
      </c>
      <c r="O325" s="16" t="n">
        <f aca="false">F325*IF(A325="2025",INDEX(Products!$D$2:$D$13,MATCH(D325,Products!$A$2:$A$13,0)),INDEX(Products!$F$2:$F$13,MATCH(D325,Products!$A$2:$A$13,0)))</f>
        <v>65262</v>
      </c>
      <c r="P325" s="16" t="n">
        <f aca="false">N325-O325</f>
        <v>10997.8753315069</v>
      </c>
    </row>
    <row r="326" customFormat="false" ht="15" hidden="false" customHeight="false" outlineLevel="0" collapsed="false">
      <c r="A326" s="2" t="s">
        <v>119</v>
      </c>
      <c r="B326" s="2" t="n">
        <v>1</v>
      </c>
      <c r="C326" s="2" t="s">
        <v>68</v>
      </c>
      <c r="D326" s="2" t="s">
        <v>34</v>
      </c>
      <c r="E326" s="2" t="str">
        <f aca="false">INDEX(Products!$B$2:$B$13,MATCH(D326,Products!$A$2:$A$13,0))</f>
        <v>FCC</v>
      </c>
      <c r="F326" s="15" t="n">
        <v>28.7</v>
      </c>
      <c r="G326" s="16" t="n">
        <f aca="false">IF(A326="2025",INDEX(Products!$C$2:$C$13,MATCH(D326,Products!$A$2:$A$13,0)),INDEX(Products!$E$2:$E$13,MATCH(D326,Products!$A$2:$A$13,0)))</f>
        <v>3433.5</v>
      </c>
      <c r="H326" s="13" t="n">
        <f aca="false">IF(A326="2025",INDEX(Customers!$D$2:$D$41,MATCH(C326,Customers!$A$2:$A$41,0)),INDEX(Customers!$F$2:$F$41,MATCH(C326,Customers!$A$2:$A$41,0)))</f>
        <v>0.08</v>
      </c>
      <c r="I326" s="16" t="n">
        <f aca="false">F326*G326</f>
        <v>98541.45</v>
      </c>
      <c r="J326" s="16" t="n">
        <f aca="false">I326*(1-H326)</f>
        <v>90658.134</v>
      </c>
      <c r="K326" s="16" t="n">
        <f aca="false">J326*INDEX(Customers!$G$2:$G$41,MATCH(C326,Customers!$A$2:$A$41,0))</f>
        <v>0</v>
      </c>
      <c r="L326" s="16" t="n">
        <f aca="false">F326*INDEX(Customers!$H$2:$H$41,MATCH(C326,Customers!$A$2:$A$41,0))</f>
        <v>11193</v>
      </c>
      <c r="M326" s="16" t="n">
        <f aca="false">J326*INDEX(Customers!$I$2:$I$41,MATCH(C326,Customers!$A$2:$A$41,0))/365*Assumptions!$B$6</f>
        <v>1788.32483506849</v>
      </c>
      <c r="N326" s="16" t="n">
        <f aca="false">J326-K326-L326-M326</f>
        <v>77676.8091649315</v>
      </c>
      <c r="O326" s="16" t="n">
        <f aca="false">F326*IF(A326="2025",INDEX(Products!$D$2:$D$13,MATCH(D326,Products!$A$2:$A$13,0)),INDEX(Products!$F$2:$F$13,MATCH(D326,Products!$A$2:$A$13,0)))</f>
        <v>64738.59</v>
      </c>
      <c r="P326" s="16" t="n">
        <f aca="false">N326-O326</f>
        <v>12938.2191649315</v>
      </c>
    </row>
    <row r="327" customFormat="false" ht="15" hidden="false" customHeight="false" outlineLevel="0" collapsed="false">
      <c r="A327" s="2" t="s">
        <v>119</v>
      </c>
      <c r="B327" s="2" t="n">
        <v>2</v>
      </c>
      <c r="C327" s="2" t="s">
        <v>68</v>
      </c>
      <c r="D327" s="2" t="s">
        <v>34</v>
      </c>
      <c r="E327" s="2" t="str">
        <f aca="false">INDEX(Products!$B$2:$B$13,MATCH(D327,Products!$A$2:$A$13,0))</f>
        <v>FCC</v>
      </c>
      <c r="F327" s="15" t="n">
        <v>27.7</v>
      </c>
      <c r="G327" s="16" t="n">
        <f aca="false">IF(A327="2025",INDEX(Products!$C$2:$C$13,MATCH(D327,Products!$A$2:$A$13,0)),INDEX(Products!$E$2:$E$13,MATCH(D327,Products!$A$2:$A$13,0)))</f>
        <v>3433.5</v>
      </c>
      <c r="H327" s="13" t="n">
        <f aca="false">IF(A327="2025",INDEX(Customers!$D$2:$D$41,MATCH(C327,Customers!$A$2:$A$41,0)),INDEX(Customers!$F$2:$F$41,MATCH(C327,Customers!$A$2:$A$41,0)))</f>
        <v>0.08</v>
      </c>
      <c r="I327" s="16" t="n">
        <f aca="false">F327*G327</f>
        <v>95107.95</v>
      </c>
      <c r="J327" s="16" t="n">
        <f aca="false">I327*(1-H327)</f>
        <v>87499.314</v>
      </c>
      <c r="K327" s="16" t="n">
        <f aca="false">J327*INDEX(Customers!$G$2:$G$41,MATCH(C327,Customers!$A$2:$A$41,0))</f>
        <v>0</v>
      </c>
      <c r="L327" s="16" t="n">
        <f aca="false">F327*INDEX(Customers!$H$2:$H$41,MATCH(C327,Customers!$A$2:$A$41,0))</f>
        <v>10803</v>
      </c>
      <c r="M327" s="16" t="n">
        <f aca="false">J327*INDEX(Customers!$I$2:$I$41,MATCH(C327,Customers!$A$2:$A$41,0))/365*Assumptions!$B$6</f>
        <v>1726.01386520548</v>
      </c>
      <c r="N327" s="16" t="n">
        <f aca="false">J327-K327-L327-M327</f>
        <v>74970.3001347945</v>
      </c>
      <c r="O327" s="16" t="n">
        <f aca="false">F327*IF(A327="2025",INDEX(Products!$D$2:$D$13,MATCH(D327,Products!$A$2:$A$13,0)),INDEX(Products!$F$2:$F$13,MATCH(D327,Products!$A$2:$A$13,0)))</f>
        <v>62482.89</v>
      </c>
      <c r="P327" s="16" t="n">
        <f aca="false">N327-O327</f>
        <v>12487.4101347945</v>
      </c>
    </row>
    <row r="328" customFormat="false" ht="15" hidden="false" customHeight="false" outlineLevel="0" collapsed="false">
      <c r="A328" s="2" t="s">
        <v>119</v>
      </c>
      <c r="B328" s="2" t="n">
        <v>3</v>
      </c>
      <c r="C328" s="2" t="s">
        <v>68</v>
      </c>
      <c r="D328" s="2" t="s">
        <v>34</v>
      </c>
      <c r="E328" s="2" t="str">
        <f aca="false">INDEX(Products!$B$2:$B$13,MATCH(D328,Products!$A$2:$A$13,0))</f>
        <v>FCC</v>
      </c>
      <c r="F328" s="15" t="n">
        <v>25.5</v>
      </c>
      <c r="G328" s="16" t="n">
        <f aca="false">IF(A328="2025",INDEX(Products!$C$2:$C$13,MATCH(D328,Products!$A$2:$A$13,0)),INDEX(Products!$E$2:$E$13,MATCH(D328,Products!$A$2:$A$13,0)))</f>
        <v>3433.5</v>
      </c>
      <c r="H328" s="13" t="n">
        <f aca="false">IF(A328="2025",INDEX(Customers!$D$2:$D$41,MATCH(C328,Customers!$A$2:$A$41,0)),INDEX(Customers!$F$2:$F$41,MATCH(C328,Customers!$A$2:$A$41,0)))</f>
        <v>0.08</v>
      </c>
      <c r="I328" s="16" t="n">
        <f aca="false">F328*G328</f>
        <v>87554.25</v>
      </c>
      <c r="J328" s="16" t="n">
        <f aca="false">I328*(1-H328)</f>
        <v>80549.91</v>
      </c>
      <c r="K328" s="16" t="n">
        <f aca="false">J328*INDEX(Customers!$G$2:$G$41,MATCH(C328,Customers!$A$2:$A$41,0))</f>
        <v>0</v>
      </c>
      <c r="L328" s="16" t="n">
        <f aca="false">F328*INDEX(Customers!$H$2:$H$41,MATCH(C328,Customers!$A$2:$A$41,0))</f>
        <v>9945</v>
      </c>
      <c r="M328" s="16" t="n">
        <f aca="false">J328*INDEX(Customers!$I$2:$I$41,MATCH(C328,Customers!$A$2:$A$41,0))/365*Assumptions!$B$6</f>
        <v>1588.92973150685</v>
      </c>
      <c r="N328" s="16" t="n">
        <f aca="false">J328-K328-L328-M328</f>
        <v>69015.9802684932</v>
      </c>
      <c r="O328" s="16" t="n">
        <f aca="false">F328*IF(A328="2025",INDEX(Products!$D$2:$D$13,MATCH(D328,Products!$A$2:$A$13,0)),INDEX(Products!$F$2:$F$13,MATCH(D328,Products!$A$2:$A$13,0)))</f>
        <v>57520.35</v>
      </c>
      <c r="P328" s="16" t="n">
        <f aca="false">N328-O328</f>
        <v>11495.6302684931</v>
      </c>
    </row>
    <row r="329" customFormat="false" ht="15" hidden="false" customHeight="false" outlineLevel="0" collapsed="false">
      <c r="A329" s="2" t="s">
        <v>119</v>
      </c>
      <c r="B329" s="2" t="n">
        <v>4</v>
      </c>
      <c r="C329" s="2" t="s">
        <v>68</v>
      </c>
      <c r="D329" s="2" t="s">
        <v>34</v>
      </c>
      <c r="E329" s="2" t="str">
        <f aca="false">INDEX(Products!$B$2:$B$13,MATCH(D329,Products!$A$2:$A$13,0))</f>
        <v>FCC</v>
      </c>
      <c r="F329" s="15" t="n">
        <v>20.5</v>
      </c>
      <c r="G329" s="16" t="n">
        <f aca="false">IF(A329="2025",INDEX(Products!$C$2:$C$13,MATCH(D329,Products!$A$2:$A$13,0)),INDEX(Products!$E$2:$E$13,MATCH(D329,Products!$A$2:$A$13,0)))</f>
        <v>3433.5</v>
      </c>
      <c r="H329" s="13" t="n">
        <f aca="false">IF(A329="2025",INDEX(Customers!$D$2:$D$41,MATCH(C329,Customers!$A$2:$A$41,0)),INDEX(Customers!$F$2:$F$41,MATCH(C329,Customers!$A$2:$A$41,0)))</f>
        <v>0.08</v>
      </c>
      <c r="I329" s="16" t="n">
        <f aca="false">F329*G329</f>
        <v>70386.75</v>
      </c>
      <c r="J329" s="16" t="n">
        <f aca="false">I329*(1-H329)</f>
        <v>64755.81</v>
      </c>
      <c r="K329" s="16" t="n">
        <f aca="false">J329*INDEX(Customers!$G$2:$G$41,MATCH(C329,Customers!$A$2:$A$41,0))</f>
        <v>0</v>
      </c>
      <c r="L329" s="16" t="n">
        <f aca="false">F329*INDEX(Customers!$H$2:$H$41,MATCH(C329,Customers!$A$2:$A$41,0))</f>
        <v>7995</v>
      </c>
      <c r="M329" s="16" t="n">
        <f aca="false">J329*INDEX(Customers!$I$2:$I$41,MATCH(C329,Customers!$A$2:$A$41,0))/365*Assumptions!$B$6</f>
        <v>1277.37488219178</v>
      </c>
      <c r="N329" s="16" t="n">
        <f aca="false">J329-K329-L329-M329</f>
        <v>55483.4351178082</v>
      </c>
      <c r="O329" s="16" t="n">
        <f aca="false">F329*IF(A329="2025",INDEX(Products!$D$2:$D$13,MATCH(D329,Products!$A$2:$A$13,0)),INDEX(Products!$F$2:$F$13,MATCH(D329,Products!$A$2:$A$13,0)))</f>
        <v>46241.85</v>
      </c>
      <c r="P329" s="16" t="n">
        <f aca="false">N329-O329</f>
        <v>9241.58511780822</v>
      </c>
    </row>
    <row r="330" customFormat="false" ht="15" hidden="false" customHeight="false" outlineLevel="0" collapsed="false">
      <c r="A330" s="2" t="s">
        <v>119</v>
      </c>
      <c r="B330" s="2" t="n">
        <v>5</v>
      </c>
      <c r="C330" s="2" t="s">
        <v>68</v>
      </c>
      <c r="D330" s="2" t="s">
        <v>34</v>
      </c>
      <c r="E330" s="2" t="str">
        <f aca="false">INDEX(Products!$B$2:$B$13,MATCH(D330,Products!$A$2:$A$13,0))</f>
        <v>FCC</v>
      </c>
      <c r="F330" s="15" t="n">
        <v>35.3</v>
      </c>
      <c r="G330" s="16" t="n">
        <f aca="false">IF(A330="2025",INDEX(Products!$C$2:$C$13,MATCH(D330,Products!$A$2:$A$13,0)),INDEX(Products!$E$2:$E$13,MATCH(D330,Products!$A$2:$A$13,0)))</f>
        <v>3433.5</v>
      </c>
      <c r="H330" s="13" t="n">
        <f aca="false">IF(A330="2025",INDEX(Customers!$D$2:$D$41,MATCH(C330,Customers!$A$2:$A$41,0)),INDEX(Customers!$F$2:$F$41,MATCH(C330,Customers!$A$2:$A$41,0)))</f>
        <v>0.08</v>
      </c>
      <c r="I330" s="16" t="n">
        <f aca="false">F330*G330</f>
        <v>121202.55</v>
      </c>
      <c r="J330" s="16" t="n">
        <f aca="false">I330*(1-H330)</f>
        <v>111506.346</v>
      </c>
      <c r="K330" s="16" t="n">
        <f aca="false">J330*INDEX(Customers!$G$2:$G$41,MATCH(C330,Customers!$A$2:$A$41,0))</f>
        <v>0</v>
      </c>
      <c r="L330" s="16" t="n">
        <f aca="false">F330*INDEX(Customers!$H$2:$H$41,MATCH(C330,Customers!$A$2:$A$41,0))</f>
        <v>13767</v>
      </c>
      <c r="M330" s="16" t="n">
        <f aca="false">J330*INDEX(Customers!$I$2:$I$41,MATCH(C330,Customers!$A$2:$A$41,0))/365*Assumptions!$B$6</f>
        <v>2199.57723616438</v>
      </c>
      <c r="N330" s="16" t="n">
        <f aca="false">J330-K330-L330-M330</f>
        <v>95539.7687638356</v>
      </c>
      <c r="O330" s="16" t="n">
        <f aca="false">F330*IF(A330="2025",INDEX(Products!$D$2:$D$13,MATCH(D330,Products!$A$2:$A$13,0)),INDEX(Products!$F$2:$F$13,MATCH(D330,Products!$A$2:$A$13,0)))</f>
        <v>79626.21</v>
      </c>
      <c r="P330" s="16" t="n">
        <f aca="false">N330-O330</f>
        <v>15913.5587638356</v>
      </c>
    </row>
    <row r="331" customFormat="false" ht="15" hidden="false" customHeight="false" outlineLevel="0" collapsed="false">
      <c r="A331" s="2" t="s">
        <v>119</v>
      </c>
      <c r="B331" s="2" t="n">
        <v>6</v>
      </c>
      <c r="C331" s="2" t="s">
        <v>68</v>
      </c>
      <c r="D331" s="2" t="s">
        <v>34</v>
      </c>
      <c r="E331" s="2" t="str">
        <f aca="false">INDEX(Products!$B$2:$B$13,MATCH(D331,Products!$A$2:$A$13,0))</f>
        <v>FCC</v>
      </c>
      <c r="F331" s="15" t="n">
        <v>19.4</v>
      </c>
      <c r="G331" s="16" t="n">
        <f aca="false">IF(A331="2025",INDEX(Products!$C$2:$C$13,MATCH(D331,Products!$A$2:$A$13,0)),INDEX(Products!$E$2:$E$13,MATCH(D331,Products!$A$2:$A$13,0)))</f>
        <v>3433.5</v>
      </c>
      <c r="H331" s="13" t="n">
        <f aca="false">IF(A331="2025",INDEX(Customers!$D$2:$D$41,MATCH(C331,Customers!$A$2:$A$41,0)),INDEX(Customers!$F$2:$F$41,MATCH(C331,Customers!$A$2:$A$41,0)))</f>
        <v>0.08</v>
      </c>
      <c r="I331" s="16" t="n">
        <f aca="false">F331*G331</f>
        <v>66609.9</v>
      </c>
      <c r="J331" s="16" t="n">
        <f aca="false">I331*(1-H331)</f>
        <v>61281.108</v>
      </c>
      <c r="K331" s="16" t="n">
        <f aca="false">J331*INDEX(Customers!$G$2:$G$41,MATCH(C331,Customers!$A$2:$A$41,0))</f>
        <v>0</v>
      </c>
      <c r="L331" s="16" t="n">
        <f aca="false">F331*INDEX(Customers!$H$2:$H$41,MATCH(C331,Customers!$A$2:$A$41,0))</f>
        <v>7566</v>
      </c>
      <c r="M331" s="16" t="n">
        <f aca="false">J331*INDEX(Customers!$I$2:$I$41,MATCH(C331,Customers!$A$2:$A$41,0))/365*Assumptions!$B$6</f>
        <v>1208.83281534247</v>
      </c>
      <c r="N331" s="16" t="n">
        <f aca="false">J331-K331-L331-M331</f>
        <v>52506.2751846575</v>
      </c>
      <c r="O331" s="16" t="n">
        <f aca="false">F331*IF(A331="2025",INDEX(Products!$D$2:$D$13,MATCH(D331,Products!$A$2:$A$13,0)),INDEX(Products!$F$2:$F$13,MATCH(D331,Products!$A$2:$A$13,0)))</f>
        <v>43760.58</v>
      </c>
      <c r="P331" s="16" t="n">
        <f aca="false">N331-O331</f>
        <v>8745.69518465753</v>
      </c>
    </row>
    <row r="332" customFormat="false" ht="15" hidden="false" customHeight="false" outlineLevel="0" collapsed="false">
      <c r="A332" s="2" t="s">
        <v>119</v>
      </c>
      <c r="B332" s="2" t="n">
        <v>7</v>
      </c>
      <c r="C332" s="2" t="s">
        <v>68</v>
      </c>
      <c r="D332" s="2" t="s">
        <v>34</v>
      </c>
      <c r="E332" s="2" t="str">
        <f aca="false">INDEX(Products!$B$2:$B$13,MATCH(D332,Products!$A$2:$A$13,0))</f>
        <v>FCC</v>
      </c>
      <c r="F332" s="15" t="n">
        <v>34.3</v>
      </c>
      <c r="G332" s="16" t="n">
        <f aca="false">IF(A332="2025",INDEX(Products!$C$2:$C$13,MATCH(D332,Products!$A$2:$A$13,0)),INDEX(Products!$E$2:$E$13,MATCH(D332,Products!$A$2:$A$13,0)))</f>
        <v>3433.5</v>
      </c>
      <c r="H332" s="13" t="n">
        <f aca="false">IF(A332="2025",INDEX(Customers!$D$2:$D$41,MATCH(C332,Customers!$A$2:$A$41,0)),INDEX(Customers!$F$2:$F$41,MATCH(C332,Customers!$A$2:$A$41,0)))</f>
        <v>0.08</v>
      </c>
      <c r="I332" s="16" t="n">
        <f aca="false">F332*G332</f>
        <v>117769.05</v>
      </c>
      <c r="J332" s="16" t="n">
        <f aca="false">I332*(1-H332)</f>
        <v>108347.526</v>
      </c>
      <c r="K332" s="16" t="n">
        <f aca="false">J332*INDEX(Customers!$G$2:$G$41,MATCH(C332,Customers!$A$2:$A$41,0))</f>
        <v>0</v>
      </c>
      <c r="L332" s="16" t="n">
        <f aca="false">F332*INDEX(Customers!$H$2:$H$41,MATCH(C332,Customers!$A$2:$A$41,0))</f>
        <v>13377</v>
      </c>
      <c r="M332" s="16" t="n">
        <f aca="false">J332*INDEX(Customers!$I$2:$I$41,MATCH(C332,Customers!$A$2:$A$41,0))/365*Assumptions!$B$6</f>
        <v>2137.26626630137</v>
      </c>
      <c r="N332" s="16" t="n">
        <f aca="false">J332-K332-L332-M332</f>
        <v>92833.2597336986</v>
      </c>
      <c r="O332" s="16" t="n">
        <f aca="false">F332*IF(A332="2025",INDEX(Products!$D$2:$D$13,MATCH(D332,Products!$A$2:$A$13,0)),INDEX(Products!$F$2:$F$13,MATCH(D332,Products!$A$2:$A$13,0)))</f>
        <v>77370.51</v>
      </c>
      <c r="P332" s="16" t="n">
        <f aca="false">N332-O332</f>
        <v>15462.7497336986</v>
      </c>
    </row>
    <row r="333" customFormat="false" ht="15" hidden="false" customHeight="false" outlineLevel="0" collapsed="false">
      <c r="A333" s="2" t="s">
        <v>119</v>
      </c>
      <c r="B333" s="2" t="n">
        <v>8</v>
      </c>
      <c r="C333" s="2" t="s">
        <v>68</v>
      </c>
      <c r="D333" s="2" t="s">
        <v>34</v>
      </c>
      <c r="E333" s="2" t="str">
        <f aca="false">INDEX(Products!$B$2:$B$13,MATCH(D333,Products!$A$2:$A$13,0))</f>
        <v>FCC</v>
      </c>
      <c r="F333" s="15" t="n">
        <v>19.7</v>
      </c>
      <c r="G333" s="16" t="n">
        <f aca="false">IF(A333="2025",INDEX(Products!$C$2:$C$13,MATCH(D333,Products!$A$2:$A$13,0)),INDEX(Products!$E$2:$E$13,MATCH(D333,Products!$A$2:$A$13,0)))</f>
        <v>3433.5</v>
      </c>
      <c r="H333" s="13" t="n">
        <f aca="false">IF(A333="2025",INDEX(Customers!$D$2:$D$41,MATCH(C333,Customers!$A$2:$A$41,0)),INDEX(Customers!$F$2:$F$41,MATCH(C333,Customers!$A$2:$A$41,0)))</f>
        <v>0.08</v>
      </c>
      <c r="I333" s="16" t="n">
        <f aca="false">F333*G333</f>
        <v>67639.95</v>
      </c>
      <c r="J333" s="16" t="n">
        <f aca="false">I333*(1-H333)</f>
        <v>62228.754</v>
      </c>
      <c r="K333" s="16" t="n">
        <f aca="false">J333*INDEX(Customers!$G$2:$G$41,MATCH(C333,Customers!$A$2:$A$41,0))</f>
        <v>0</v>
      </c>
      <c r="L333" s="16" t="n">
        <f aca="false">F333*INDEX(Customers!$H$2:$H$41,MATCH(C333,Customers!$A$2:$A$41,0))</f>
        <v>7683</v>
      </c>
      <c r="M333" s="16" t="n">
        <f aca="false">J333*INDEX(Customers!$I$2:$I$41,MATCH(C333,Customers!$A$2:$A$41,0))/365*Assumptions!$B$6</f>
        <v>1227.52610630137</v>
      </c>
      <c r="N333" s="16" t="n">
        <f aca="false">J333-K333-L333-M333</f>
        <v>53318.2278936986</v>
      </c>
      <c r="O333" s="16" t="n">
        <f aca="false">F333*IF(A333="2025",INDEX(Products!$D$2:$D$13,MATCH(D333,Products!$A$2:$A$13,0)),INDEX(Products!$F$2:$F$13,MATCH(D333,Products!$A$2:$A$13,0)))</f>
        <v>44437.29</v>
      </c>
      <c r="P333" s="16" t="n">
        <f aca="false">N333-O333</f>
        <v>8880.93789369863</v>
      </c>
    </row>
    <row r="334" customFormat="false" ht="15" hidden="false" customHeight="false" outlineLevel="0" collapsed="false">
      <c r="A334" s="2" t="s">
        <v>119</v>
      </c>
      <c r="B334" s="2" t="n">
        <v>9</v>
      </c>
      <c r="C334" s="2" t="s">
        <v>68</v>
      </c>
      <c r="D334" s="2" t="s">
        <v>34</v>
      </c>
      <c r="E334" s="2" t="str">
        <f aca="false">INDEX(Products!$B$2:$B$13,MATCH(D334,Products!$A$2:$A$13,0))</f>
        <v>FCC</v>
      </c>
      <c r="F334" s="15" t="n">
        <v>27.5</v>
      </c>
      <c r="G334" s="16" t="n">
        <f aca="false">IF(A334="2025",INDEX(Products!$C$2:$C$13,MATCH(D334,Products!$A$2:$A$13,0)),INDEX(Products!$E$2:$E$13,MATCH(D334,Products!$A$2:$A$13,0)))</f>
        <v>3433.5</v>
      </c>
      <c r="H334" s="13" t="n">
        <f aca="false">IF(A334="2025",INDEX(Customers!$D$2:$D$41,MATCH(C334,Customers!$A$2:$A$41,0)),INDEX(Customers!$F$2:$F$41,MATCH(C334,Customers!$A$2:$A$41,0)))</f>
        <v>0.08</v>
      </c>
      <c r="I334" s="16" t="n">
        <f aca="false">F334*G334</f>
        <v>94421.25</v>
      </c>
      <c r="J334" s="16" t="n">
        <f aca="false">I334*(1-H334)</f>
        <v>86867.55</v>
      </c>
      <c r="K334" s="16" t="n">
        <f aca="false">J334*INDEX(Customers!$G$2:$G$41,MATCH(C334,Customers!$A$2:$A$41,0))</f>
        <v>0</v>
      </c>
      <c r="L334" s="16" t="n">
        <f aca="false">F334*INDEX(Customers!$H$2:$H$41,MATCH(C334,Customers!$A$2:$A$41,0))</f>
        <v>10725</v>
      </c>
      <c r="M334" s="16" t="n">
        <f aca="false">J334*INDEX(Customers!$I$2:$I$41,MATCH(C334,Customers!$A$2:$A$41,0))/365*Assumptions!$B$6</f>
        <v>1713.55167123288</v>
      </c>
      <c r="N334" s="16" t="n">
        <f aca="false">J334-K334-L334-M334</f>
        <v>74428.9983287671</v>
      </c>
      <c r="O334" s="16" t="n">
        <f aca="false">F334*IF(A334="2025",INDEX(Products!$D$2:$D$13,MATCH(D334,Products!$A$2:$A$13,0)),INDEX(Products!$F$2:$F$13,MATCH(D334,Products!$A$2:$A$13,0)))</f>
        <v>62031.75</v>
      </c>
      <c r="P334" s="16" t="n">
        <f aca="false">N334-O334</f>
        <v>12397.2483287671</v>
      </c>
    </row>
    <row r="335" customFormat="false" ht="15" hidden="false" customHeight="false" outlineLevel="0" collapsed="false">
      <c r="A335" s="2" t="s">
        <v>119</v>
      </c>
      <c r="B335" s="2" t="n">
        <v>10</v>
      </c>
      <c r="C335" s="2" t="s">
        <v>68</v>
      </c>
      <c r="D335" s="2" t="s">
        <v>34</v>
      </c>
      <c r="E335" s="2" t="str">
        <f aca="false">INDEX(Products!$B$2:$B$13,MATCH(D335,Products!$A$2:$A$13,0))</f>
        <v>FCC</v>
      </c>
      <c r="F335" s="15" t="n">
        <v>32.1</v>
      </c>
      <c r="G335" s="16" t="n">
        <f aca="false">IF(A335="2025",INDEX(Products!$C$2:$C$13,MATCH(D335,Products!$A$2:$A$13,0)),INDEX(Products!$E$2:$E$13,MATCH(D335,Products!$A$2:$A$13,0)))</f>
        <v>3433.5</v>
      </c>
      <c r="H335" s="13" t="n">
        <f aca="false">IF(A335="2025",INDEX(Customers!$D$2:$D$41,MATCH(C335,Customers!$A$2:$A$41,0)),INDEX(Customers!$F$2:$F$41,MATCH(C335,Customers!$A$2:$A$41,0)))</f>
        <v>0.08</v>
      </c>
      <c r="I335" s="16" t="n">
        <f aca="false">F335*G335</f>
        <v>110215.35</v>
      </c>
      <c r="J335" s="16" t="n">
        <f aca="false">I335*(1-H335)</f>
        <v>101398.122</v>
      </c>
      <c r="K335" s="16" t="n">
        <f aca="false">J335*INDEX(Customers!$G$2:$G$41,MATCH(C335,Customers!$A$2:$A$41,0))</f>
        <v>0</v>
      </c>
      <c r="L335" s="16" t="n">
        <f aca="false">F335*INDEX(Customers!$H$2:$H$41,MATCH(C335,Customers!$A$2:$A$41,0))</f>
        <v>12519</v>
      </c>
      <c r="M335" s="16" t="n">
        <f aca="false">J335*INDEX(Customers!$I$2:$I$41,MATCH(C335,Customers!$A$2:$A$41,0))/365*Assumptions!$B$6</f>
        <v>2000.18213260274</v>
      </c>
      <c r="N335" s="16" t="n">
        <f aca="false">J335-K335-L335-M335</f>
        <v>86878.9398673973</v>
      </c>
      <c r="O335" s="16" t="n">
        <f aca="false">F335*IF(A335="2025",INDEX(Products!$D$2:$D$13,MATCH(D335,Products!$A$2:$A$13,0)),INDEX(Products!$F$2:$F$13,MATCH(D335,Products!$A$2:$A$13,0)))</f>
        <v>72407.97</v>
      </c>
      <c r="P335" s="16" t="n">
        <f aca="false">N335-O335</f>
        <v>14470.9698673972</v>
      </c>
    </row>
    <row r="336" customFormat="false" ht="15" hidden="false" customHeight="false" outlineLevel="0" collapsed="false">
      <c r="A336" s="2" t="s">
        <v>119</v>
      </c>
      <c r="B336" s="2" t="n">
        <v>11</v>
      </c>
      <c r="C336" s="2" t="s">
        <v>68</v>
      </c>
      <c r="D336" s="2" t="s">
        <v>34</v>
      </c>
      <c r="E336" s="2" t="str">
        <f aca="false">INDEX(Products!$B$2:$B$13,MATCH(D336,Products!$A$2:$A$13,0))</f>
        <v>FCC</v>
      </c>
      <c r="F336" s="15" t="n">
        <v>30.1</v>
      </c>
      <c r="G336" s="16" t="n">
        <f aca="false">IF(A336="2025",INDEX(Products!$C$2:$C$13,MATCH(D336,Products!$A$2:$A$13,0)),INDEX(Products!$E$2:$E$13,MATCH(D336,Products!$A$2:$A$13,0)))</f>
        <v>3433.5</v>
      </c>
      <c r="H336" s="13" t="n">
        <f aca="false">IF(A336="2025",INDEX(Customers!$D$2:$D$41,MATCH(C336,Customers!$A$2:$A$41,0)),INDEX(Customers!$F$2:$F$41,MATCH(C336,Customers!$A$2:$A$41,0)))</f>
        <v>0.08</v>
      </c>
      <c r="I336" s="16" t="n">
        <f aca="false">F336*G336</f>
        <v>103348.35</v>
      </c>
      <c r="J336" s="16" t="n">
        <f aca="false">I336*(1-H336)</f>
        <v>95080.482</v>
      </c>
      <c r="K336" s="16" t="n">
        <f aca="false">J336*INDEX(Customers!$G$2:$G$41,MATCH(C336,Customers!$A$2:$A$41,0))</f>
        <v>0</v>
      </c>
      <c r="L336" s="16" t="n">
        <f aca="false">F336*INDEX(Customers!$H$2:$H$41,MATCH(C336,Customers!$A$2:$A$41,0))</f>
        <v>11739</v>
      </c>
      <c r="M336" s="16" t="n">
        <f aca="false">J336*INDEX(Customers!$I$2:$I$41,MATCH(C336,Customers!$A$2:$A$41,0))/365*Assumptions!$B$6</f>
        <v>1875.56019287671</v>
      </c>
      <c r="N336" s="16" t="n">
        <f aca="false">J336-K336-L336-M336</f>
        <v>81465.9218071233</v>
      </c>
      <c r="O336" s="16" t="n">
        <f aca="false">F336*IF(A336="2025",INDEX(Products!$D$2:$D$13,MATCH(D336,Products!$A$2:$A$13,0)),INDEX(Products!$F$2:$F$13,MATCH(D336,Products!$A$2:$A$13,0)))</f>
        <v>67896.57</v>
      </c>
      <c r="P336" s="16" t="n">
        <f aca="false">N336-O336</f>
        <v>13569.3518071233</v>
      </c>
    </row>
    <row r="337" customFormat="false" ht="15" hidden="false" customHeight="false" outlineLevel="0" collapsed="false">
      <c r="A337" s="2" t="s">
        <v>119</v>
      </c>
      <c r="B337" s="2" t="n">
        <v>12</v>
      </c>
      <c r="C337" s="2" t="s">
        <v>68</v>
      </c>
      <c r="D337" s="2" t="s">
        <v>34</v>
      </c>
      <c r="E337" s="2" t="str">
        <f aca="false">INDEX(Products!$B$2:$B$13,MATCH(D337,Products!$A$2:$A$13,0))</f>
        <v>FCC</v>
      </c>
      <c r="F337" s="15" t="n">
        <v>30.8</v>
      </c>
      <c r="G337" s="16" t="n">
        <f aca="false">IF(A337="2025",INDEX(Products!$C$2:$C$13,MATCH(D337,Products!$A$2:$A$13,0)),INDEX(Products!$E$2:$E$13,MATCH(D337,Products!$A$2:$A$13,0)))</f>
        <v>3433.5</v>
      </c>
      <c r="H337" s="13" t="n">
        <f aca="false">IF(A337="2025",INDEX(Customers!$D$2:$D$41,MATCH(C337,Customers!$A$2:$A$41,0)),INDEX(Customers!$F$2:$F$41,MATCH(C337,Customers!$A$2:$A$41,0)))</f>
        <v>0.08</v>
      </c>
      <c r="I337" s="16" t="n">
        <f aca="false">F337*G337</f>
        <v>105751.8</v>
      </c>
      <c r="J337" s="16" t="n">
        <f aca="false">I337*(1-H337)</f>
        <v>97291.656</v>
      </c>
      <c r="K337" s="16" t="n">
        <f aca="false">J337*INDEX(Customers!$G$2:$G$41,MATCH(C337,Customers!$A$2:$A$41,0))</f>
        <v>0</v>
      </c>
      <c r="L337" s="16" t="n">
        <f aca="false">F337*INDEX(Customers!$H$2:$H$41,MATCH(C337,Customers!$A$2:$A$41,0))</f>
        <v>12012</v>
      </c>
      <c r="M337" s="16" t="n">
        <f aca="false">J337*INDEX(Customers!$I$2:$I$41,MATCH(C337,Customers!$A$2:$A$41,0))/365*Assumptions!$B$6</f>
        <v>1919.17787178082</v>
      </c>
      <c r="N337" s="16" t="n">
        <f aca="false">J337-K337-L337-M337</f>
        <v>83360.4781282192</v>
      </c>
      <c r="O337" s="16" t="n">
        <f aca="false">F337*IF(A337="2025",INDEX(Products!$D$2:$D$13,MATCH(D337,Products!$A$2:$A$13,0)),INDEX(Products!$F$2:$F$13,MATCH(D337,Products!$A$2:$A$13,0)))</f>
        <v>69475.56</v>
      </c>
      <c r="P337" s="16" t="n">
        <f aca="false">N337-O337</f>
        <v>13884.9181282192</v>
      </c>
    </row>
    <row r="338" customFormat="false" ht="15" hidden="false" customHeight="false" outlineLevel="0" collapsed="false">
      <c r="A338" s="2" t="s">
        <v>118</v>
      </c>
      <c r="B338" s="2" t="n">
        <v>1</v>
      </c>
      <c r="C338" s="2" t="s">
        <v>68</v>
      </c>
      <c r="D338" s="2" t="s">
        <v>36</v>
      </c>
      <c r="E338" s="2" t="str">
        <f aca="false">INDEX(Products!$B$2:$B$13,MATCH(D338,Products!$A$2:$A$13,0))</f>
        <v>FCC</v>
      </c>
      <c r="F338" s="15" t="n">
        <v>22.4</v>
      </c>
      <c r="G338" s="16" t="n">
        <f aca="false">IF(A338="2025",INDEX(Products!$C$2:$C$13,MATCH(D338,Products!$A$2:$A$13,0)),INDEX(Products!$E$2:$E$13,MATCH(D338,Products!$A$2:$A$13,0)))</f>
        <v>3700</v>
      </c>
      <c r="H338" s="13" t="n">
        <f aca="false">IF(A338="2025",INDEX(Customers!$D$2:$D$41,MATCH(C338,Customers!$A$2:$A$41,0)),INDEX(Customers!$F$2:$F$41,MATCH(C338,Customers!$A$2:$A$41,0)))</f>
        <v>0.08</v>
      </c>
      <c r="I338" s="16" t="n">
        <f aca="false">F338*G338</f>
        <v>82880</v>
      </c>
      <c r="J338" s="16" t="n">
        <f aca="false">I338*(1-H338)</f>
        <v>76249.6</v>
      </c>
      <c r="K338" s="16" t="n">
        <f aca="false">J338*INDEX(Customers!$G$2:$G$41,MATCH(C338,Customers!$A$2:$A$41,0))</f>
        <v>0</v>
      </c>
      <c r="L338" s="16" t="n">
        <f aca="false">F338*INDEX(Customers!$H$2:$H$41,MATCH(C338,Customers!$A$2:$A$41,0))</f>
        <v>8736</v>
      </c>
      <c r="M338" s="16" t="n">
        <f aca="false">J338*INDEX(Customers!$I$2:$I$41,MATCH(C338,Customers!$A$2:$A$41,0))/365*Assumptions!$B$6</f>
        <v>1504.10169863014</v>
      </c>
      <c r="N338" s="16" t="n">
        <f aca="false">J338-K338-L338-M338</f>
        <v>66009.4983013699</v>
      </c>
      <c r="O338" s="16" t="n">
        <f aca="false">F338*IF(A338="2025",INDEX(Products!$D$2:$D$13,MATCH(D338,Products!$A$2:$A$13,0)),INDEX(Products!$F$2:$F$13,MATCH(D338,Products!$A$2:$A$13,0)))</f>
        <v>53760</v>
      </c>
      <c r="P338" s="16" t="n">
        <f aca="false">N338-O338</f>
        <v>12249.4983013699</v>
      </c>
    </row>
    <row r="339" customFormat="false" ht="15" hidden="false" customHeight="false" outlineLevel="0" collapsed="false">
      <c r="A339" s="2" t="s">
        <v>118</v>
      </c>
      <c r="B339" s="2" t="n">
        <v>2</v>
      </c>
      <c r="C339" s="2" t="s">
        <v>68</v>
      </c>
      <c r="D339" s="2" t="s">
        <v>36</v>
      </c>
      <c r="E339" s="2" t="str">
        <f aca="false">INDEX(Products!$B$2:$B$13,MATCH(D339,Products!$A$2:$A$13,0))</f>
        <v>FCC</v>
      </c>
      <c r="F339" s="15" t="n">
        <v>35.9</v>
      </c>
      <c r="G339" s="16" t="n">
        <f aca="false">IF(A339="2025",INDEX(Products!$C$2:$C$13,MATCH(D339,Products!$A$2:$A$13,0)),INDEX(Products!$E$2:$E$13,MATCH(D339,Products!$A$2:$A$13,0)))</f>
        <v>3700</v>
      </c>
      <c r="H339" s="13" t="n">
        <f aca="false">IF(A339="2025",INDEX(Customers!$D$2:$D$41,MATCH(C339,Customers!$A$2:$A$41,0)),INDEX(Customers!$F$2:$F$41,MATCH(C339,Customers!$A$2:$A$41,0)))</f>
        <v>0.08</v>
      </c>
      <c r="I339" s="16" t="n">
        <f aca="false">F339*G339</f>
        <v>132830</v>
      </c>
      <c r="J339" s="16" t="n">
        <f aca="false">I339*(1-H339)</f>
        <v>122203.6</v>
      </c>
      <c r="K339" s="16" t="n">
        <f aca="false">J339*INDEX(Customers!$G$2:$G$41,MATCH(C339,Customers!$A$2:$A$41,0))</f>
        <v>0</v>
      </c>
      <c r="L339" s="16" t="n">
        <f aca="false">F339*INDEX(Customers!$H$2:$H$41,MATCH(C339,Customers!$A$2:$A$41,0))</f>
        <v>14001</v>
      </c>
      <c r="M339" s="16" t="n">
        <f aca="false">J339*INDEX(Customers!$I$2:$I$41,MATCH(C339,Customers!$A$2:$A$41,0))/365*Assumptions!$B$6</f>
        <v>2410.59156164384</v>
      </c>
      <c r="N339" s="16" t="n">
        <f aca="false">J339-K339-L339-M339</f>
        <v>105792.008438356</v>
      </c>
      <c r="O339" s="16" t="n">
        <f aca="false">F339*IF(A339="2025",INDEX(Products!$D$2:$D$13,MATCH(D339,Products!$A$2:$A$13,0)),INDEX(Products!$F$2:$F$13,MATCH(D339,Products!$A$2:$A$13,0)))</f>
        <v>86160</v>
      </c>
      <c r="P339" s="16" t="n">
        <f aca="false">N339-O339</f>
        <v>19632.0084383562</v>
      </c>
    </row>
    <row r="340" customFormat="false" ht="15" hidden="false" customHeight="false" outlineLevel="0" collapsed="false">
      <c r="A340" s="2" t="s">
        <v>118</v>
      </c>
      <c r="B340" s="2" t="n">
        <v>3</v>
      </c>
      <c r="C340" s="2" t="s">
        <v>68</v>
      </c>
      <c r="D340" s="2" t="s">
        <v>36</v>
      </c>
      <c r="E340" s="2" t="str">
        <f aca="false">INDEX(Products!$B$2:$B$13,MATCH(D340,Products!$A$2:$A$13,0))</f>
        <v>FCC</v>
      </c>
      <c r="F340" s="15" t="n">
        <v>32.1</v>
      </c>
      <c r="G340" s="16" t="n">
        <f aca="false">IF(A340="2025",INDEX(Products!$C$2:$C$13,MATCH(D340,Products!$A$2:$A$13,0)),INDEX(Products!$E$2:$E$13,MATCH(D340,Products!$A$2:$A$13,0)))</f>
        <v>3700</v>
      </c>
      <c r="H340" s="13" t="n">
        <f aca="false">IF(A340="2025",INDEX(Customers!$D$2:$D$41,MATCH(C340,Customers!$A$2:$A$41,0)),INDEX(Customers!$F$2:$F$41,MATCH(C340,Customers!$A$2:$A$41,0)))</f>
        <v>0.08</v>
      </c>
      <c r="I340" s="16" t="n">
        <f aca="false">F340*G340</f>
        <v>118770</v>
      </c>
      <c r="J340" s="16" t="n">
        <f aca="false">I340*(1-H340)</f>
        <v>109268.4</v>
      </c>
      <c r="K340" s="16" t="n">
        <f aca="false">J340*INDEX(Customers!$G$2:$G$41,MATCH(C340,Customers!$A$2:$A$41,0))</f>
        <v>0</v>
      </c>
      <c r="L340" s="16" t="n">
        <f aca="false">F340*INDEX(Customers!$H$2:$H$41,MATCH(C340,Customers!$A$2:$A$41,0))</f>
        <v>12519</v>
      </c>
      <c r="M340" s="16" t="n">
        <f aca="false">J340*INDEX(Customers!$I$2:$I$41,MATCH(C340,Customers!$A$2:$A$41,0))/365*Assumptions!$B$6</f>
        <v>2155.43145205479</v>
      </c>
      <c r="N340" s="16" t="n">
        <f aca="false">J340-K340-L340-M340</f>
        <v>94593.9685479452</v>
      </c>
      <c r="O340" s="16" t="n">
        <f aca="false">F340*IF(A340="2025",INDEX(Products!$D$2:$D$13,MATCH(D340,Products!$A$2:$A$13,0)),INDEX(Products!$F$2:$F$13,MATCH(D340,Products!$A$2:$A$13,0)))</f>
        <v>77040</v>
      </c>
      <c r="P340" s="16" t="n">
        <f aca="false">N340-O340</f>
        <v>17553.9685479452</v>
      </c>
    </row>
    <row r="341" customFormat="false" ht="15" hidden="false" customHeight="false" outlineLevel="0" collapsed="false">
      <c r="A341" s="2" t="s">
        <v>118</v>
      </c>
      <c r="B341" s="2" t="n">
        <v>4</v>
      </c>
      <c r="C341" s="2" t="s">
        <v>68</v>
      </c>
      <c r="D341" s="2" t="s">
        <v>36</v>
      </c>
      <c r="E341" s="2" t="str">
        <f aca="false">INDEX(Products!$B$2:$B$13,MATCH(D341,Products!$A$2:$A$13,0))</f>
        <v>FCC</v>
      </c>
      <c r="F341" s="15" t="n">
        <v>37.3</v>
      </c>
      <c r="G341" s="16" t="n">
        <f aca="false">IF(A341="2025",INDEX(Products!$C$2:$C$13,MATCH(D341,Products!$A$2:$A$13,0)),INDEX(Products!$E$2:$E$13,MATCH(D341,Products!$A$2:$A$13,0)))</f>
        <v>3700</v>
      </c>
      <c r="H341" s="13" t="n">
        <f aca="false">IF(A341="2025",INDEX(Customers!$D$2:$D$41,MATCH(C341,Customers!$A$2:$A$41,0)),INDEX(Customers!$F$2:$F$41,MATCH(C341,Customers!$A$2:$A$41,0)))</f>
        <v>0.08</v>
      </c>
      <c r="I341" s="16" t="n">
        <f aca="false">F341*G341</f>
        <v>138010</v>
      </c>
      <c r="J341" s="16" t="n">
        <f aca="false">I341*(1-H341)</f>
        <v>126969.2</v>
      </c>
      <c r="K341" s="16" t="n">
        <f aca="false">J341*INDEX(Customers!$G$2:$G$41,MATCH(C341,Customers!$A$2:$A$41,0))</f>
        <v>0</v>
      </c>
      <c r="L341" s="16" t="n">
        <f aca="false">F341*INDEX(Customers!$H$2:$H$41,MATCH(C341,Customers!$A$2:$A$41,0))</f>
        <v>14547</v>
      </c>
      <c r="M341" s="16" t="n">
        <f aca="false">J341*INDEX(Customers!$I$2:$I$41,MATCH(C341,Customers!$A$2:$A$41,0))/365*Assumptions!$B$6</f>
        <v>2504.59791780822</v>
      </c>
      <c r="N341" s="16" t="n">
        <f aca="false">J341-K341-L341-M341</f>
        <v>109917.602082192</v>
      </c>
      <c r="O341" s="16" t="n">
        <f aca="false">F341*IF(A341="2025",INDEX(Products!$D$2:$D$13,MATCH(D341,Products!$A$2:$A$13,0)),INDEX(Products!$F$2:$F$13,MATCH(D341,Products!$A$2:$A$13,0)))</f>
        <v>89520</v>
      </c>
      <c r="P341" s="16" t="n">
        <f aca="false">N341-O341</f>
        <v>20397.6020821918</v>
      </c>
    </row>
    <row r="342" customFormat="false" ht="15" hidden="false" customHeight="false" outlineLevel="0" collapsed="false">
      <c r="A342" s="2" t="s">
        <v>118</v>
      </c>
      <c r="B342" s="2" t="n">
        <v>5</v>
      </c>
      <c r="C342" s="2" t="s">
        <v>68</v>
      </c>
      <c r="D342" s="2" t="s">
        <v>36</v>
      </c>
      <c r="E342" s="2" t="str">
        <f aca="false">INDEX(Products!$B$2:$B$13,MATCH(D342,Products!$A$2:$A$13,0))</f>
        <v>FCC</v>
      </c>
      <c r="F342" s="15" t="n">
        <v>38.2</v>
      </c>
      <c r="G342" s="16" t="n">
        <f aca="false">IF(A342="2025",INDEX(Products!$C$2:$C$13,MATCH(D342,Products!$A$2:$A$13,0)),INDEX(Products!$E$2:$E$13,MATCH(D342,Products!$A$2:$A$13,0)))</f>
        <v>3700</v>
      </c>
      <c r="H342" s="13" t="n">
        <f aca="false">IF(A342="2025",INDEX(Customers!$D$2:$D$41,MATCH(C342,Customers!$A$2:$A$41,0)),INDEX(Customers!$F$2:$F$41,MATCH(C342,Customers!$A$2:$A$41,0)))</f>
        <v>0.08</v>
      </c>
      <c r="I342" s="16" t="n">
        <f aca="false">F342*G342</f>
        <v>141340</v>
      </c>
      <c r="J342" s="16" t="n">
        <f aca="false">I342*(1-H342)</f>
        <v>130032.8</v>
      </c>
      <c r="K342" s="16" t="n">
        <f aca="false">J342*INDEX(Customers!$G$2:$G$41,MATCH(C342,Customers!$A$2:$A$41,0))</f>
        <v>0</v>
      </c>
      <c r="L342" s="16" t="n">
        <f aca="false">F342*INDEX(Customers!$H$2:$H$41,MATCH(C342,Customers!$A$2:$A$41,0))</f>
        <v>14898</v>
      </c>
      <c r="M342" s="16" t="n">
        <f aca="false">J342*INDEX(Customers!$I$2:$I$41,MATCH(C342,Customers!$A$2:$A$41,0))/365*Assumptions!$B$6</f>
        <v>2565.03057534247</v>
      </c>
      <c r="N342" s="16" t="n">
        <f aca="false">J342-K342-L342-M342</f>
        <v>112569.769424658</v>
      </c>
      <c r="O342" s="16" t="n">
        <f aca="false">F342*IF(A342="2025",INDEX(Products!$D$2:$D$13,MATCH(D342,Products!$A$2:$A$13,0)),INDEX(Products!$F$2:$F$13,MATCH(D342,Products!$A$2:$A$13,0)))</f>
        <v>91680</v>
      </c>
      <c r="P342" s="16" t="n">
        <f aca="false">N342-O342</f>
        <v>20889.7694246575</v>
      </c>
    </row>
    <row r="343" customFormat="false" ht="15" hidden="false" customHeight="false" outlineLevel="0" collapsed="false">
      <c r="A343" s="2" t="s">
        <v>118</v>
      </c>
      <c r="B343" s="2" t="n">
        <v>6</v>
      </c>
      <c r="C343" s="2" t="s">
        <v>68</v>
      </c>
      <c r="D343" s="2" t="s">
        <v>36</v>
      </c>
      <c r="E343" s="2" t="str">
        <f aca="false">INDEX(Products!$B$2:$B$13,MATCH(D343,Products!$A$2:$A$13,0))</f>
        <v>FCC</v>
      </c>
      <c r="F343" s="15" t="n">
        <v>34</v>
      </c>
      <c r="G343" s="16" t="n">
        <f aca="false">IF(A343="2025",INDEX(Products!$C$2:$C$13,MATCH(D343,Products!$A$2:$A$13,0)),INDEX(Products!$E$2:$E$13,MATCH(D343,Products!$A$2:$A$13,0)))</f>
        <v>3700</v>
      </c>
      <c r="H343" s="13" t="n">
        <f aca="false">IF(A343="2025",INDEX(Customers!$D$2:$D$41,MATCH(C343,Customers!$A$2:$A$41,0)),INDEX(Customers!$F$2:$F$41,MATCH(C343,Customers!$A$2:$A$41,0)))</f>
        <v>0.08</v>
      </c>
      <c r="I343" s="16" t="n">
        <f aca="false">F343*G343</f>
        <v>125800</v>
      </c>
      <c r="J343" s="16" t="n">
        <f aca="false">I343*(1-H343)</f>
        <v>115736</v>
      </c>
      <c r="K343" s="16" t="n">
        <f aca="false">J343*INDEX(Customers!$G$2:$G$41,MATCH(C343,Customers!$A$2:$A$41,0))</f>
        <v>0</v>
      </c>
      <c r="L343" s="16" t="n">
        <f aca="false">F343*INDEX(Customers!$H$2:$H$41,MATCH(C343,Customers!$A$2:$A$41,0))</f>
        <v>13260</v>
      </c>
      <c r="M343" s="16" t="n">
        <f aca="false">J343*INDEX(Customers!$I$2:$I$41,MATCH(C343,Customers!$A$2:$A$41,0))/365*Assumptions!$B$6</f>
        <v>2283.01150684932</v>
      </c>
      <c r="N343" s="16" t="n">
        <f aca="false">J343-K343-L343-M343</f>
        <v>100192.988493151</v>
      </c>
      <c r="O343" s="16" t="n">
        <f aca="false">F343*IF(A343="2025",INDEX(Products!$D$2:$D$13,MATCH(D343,Products!$A$2:$A$13,0)),INDEX(Products!$F$2:$F$13,MATCH(D343,Products!$A$2:$A$13,0)))</f>
        <v>81600</v>
      </c>
      <c r="P343" s="16" t="n">
        <f aca="false">N343-O343</f>
        <v>18592.9884931507</v>
      </c>
    </row>
    <row r="344" customFormat="false" ht="15" hidden="false" customHeight="false" outlineLevel="0" collapsed="false">
      <c r="A344" s="2" t="s">
        <v>118</v>
      </c>
      <c r="B344" s="2" t="n">
        <v>7</v>
      </c>
      <c r="C344" s="2" t="s">
        <v>68</v>
      </c>
      <c r="D344" s="2" t="s">
        <v>36</v>
      </c>
      <c r="E344" s="2" t="str">
        <f aca="false">INDEX(Products!$B$2:$B$13,MATCH(D344,Products!$A$2:$A$13,0))</f>
        <v>FCC</v>
      </c>
      <c r="F344" s="15" t="n">
        <v>34.9</v>
      </c>
      <c r="G344" s="16" t="n">
        <f aca="false">IF(A344="2025",INDEX(Products!$C$2:$C$13,MATCH(D344,Products!$A$2:$A$13,0)),INDEX(Products!$E$2:$E$13,MATCH(D344,Products!$A$2:$A$13,0)))</f>
        <v>3700</v>
      </c>
      <c r="H344" s="13" t="n">
        <f aca="false">IF(A344="2025",INDEX(Customers!$D$2:$D$41,MATCH(C344,Customers!$A$2:$A$41,0)),INDEX(Customers!$F$2:$F$41,MATCH(C344,Customers!$A$2:$A$41,0)))</f>
        <v>0.08</v>
      </c>
      <c r="I344" s="16" t="n">
        <f aca="false">F344*G344</f>
        <v>129130</v>
      </c>
      <c r="J344" s="16" t="n">
        <f aca="false">I344*(1-H344)</f>
        <v>118799.6</v>
      </c>
      <c r="K344" s="16" t="n">
        <f aca="false">J344*INDEX(Customers!$G$2:$G$41,MATCH(C344,Customers!$A$2:$A$41,0))</f>
        <v>0</v>
      </c>
      <c r="L344" s="16" t="n">
        <f aca="false">F344*INDEX(Customers!$H$2:$H$41,MATCH(C344,Customers!$A$2:$A$41,0))</f>
        <v>13611</v>
      </c>
      <c r="M344" s="16" t="n">
        <f aca="false">J344*INDEX(Customers!$I$2:$I$41,MATCH(C344,Customers!$A$2:$A$41,0))/365*Assumptions!$B$6</f>
        <v>2343.44416438356</v>
      </c>
      <c r="N344" s="16" t="n">
        <f aca="false">J344-K344-L344-M344</f>
        <v>102845.155835616</v>
      </c>
      <c r="O344" s="16" t="n">
        <f aca="false">F344*IF(A344="2025",INDEX(Products!$D$2:$D$13,MATCH(D344,Products!$A$2:$A$13,0)),INDEX(Products!$F$2:$F$13,MATCH(D344,Products!$A$2:$A$13,0)))</f>
        <v>83760</v>
      </c>
      <c r="P344" s="16" t="n">
        <f aca="false">N344-O344</f>
        <v>19085.1558356164</v>
      </c>
    </row>
    <row r="345" customFormat="false" ht="15" hidden="false" customHeight="false" outlineLevel="0" collapsed="false">
      <c r="A345" s="2" t="s">
        <v>118</v>
      </c>
      <c r="B345" s="2" t="n">
        <v>8</v>
      </c>
      <c r="C345" s="2" t="s">
        <v>68</v>
      </c>
      <c r="D345" s="2" t="s">
        <v>36</v>
      </c>
      <c r="E345" s="2" t="str">
        <f aca="false">INDEX(Products!$B$2:$B$13,MATCH(D345,Products!$A$2:$A$13,0))</f>
        <v>FCC</v>
      </c>
      <c r="F345" s="15" t="n">
        <v>37.6</v>
      </c>
      <c r="G345" s="16" t="n">
        <f aca="false">IF(A345="2025",INDEX(Products!$C$2:$C$13,MATCH(D345,Products!$A$2:$A$13,0)),INDEX(Products!$E$2:$E$13,MATCH(D345,Products!$A$2:$A$13,0)))</f>
        <v>3700</v>
      </c>
      <c r="H345" s="13" t="n">
        <f aca="false">IF(A345="2025",INDEX(Customers!$D$2:$D$41,MATCH(C345,Customers!$A$2:$A$41,0)),INDEX(Customers!$F$2:$F$41,MATCH(C345,Customers!$A$2:$A$41,0)))</f>
        <v>0.08</v>
      </c>
      <c r="I345" s="16" t="n">
        <f aca="false">F345*G345</f>
        <v>139120</v>
      </c>
      <c r="J345" s="16" t="n">
        <f aca="false">I345*(1-H345)</f>
        <v>127990.4</v>
      </c>
      <c r="K345" s="16" t="n">
        <f aca="false">J345*INDEX(Customers!$G$2:$G$41,MATCH(C345,Customers!$A$2:$A$41,0))</f>
        <v>0</v>
      </c>
      <c r="L345" s="16" t="n">
        <f aca="false">F345*INDEX(Customers!$H$2:$H$41,MATCH(C345,Customers!$A$2:$A$41,0))</f>
        <v>14664</v>
      </c>
      <c r="M345" s="16" t="n">
        <f aca="false">J345*INDEX(Customers!$I$2:$I$41,MATCH(C345,Customers!$A$2:$A$41,0))/365*Assumptions!$B$6</f>
        <v>2524.7421369863</v>
      </c>
      <c r="N345" s="16" t="n">
        <f aca="false">J345-K345-L345-M345</f>
        <v>110801.657863014</v>
      </c>
      <c r="O345" s="16" t="n">
        <f aca="false">F345*IF(A345="2025",INDEX(Products!$D$2:$D$13,MATCH(D345,Products!$A$2:$A$13,0)),INDEX(Products!$F$2:$F$13,MATCH(D345,Products!$A$2:$A$13,0)))</f>
        <v>90240</v>
      </c>
      <c r="P345" s="16" t="n">
        <f aca="false">N345-O345</f>
        <v>20561.6578630137</v>
      </c>
    </row>
    <row r="346" customFormat="false" ht="15" hidden="false" customHeight="false" outlineLevel="0" collapsed="false">
      <c r="A346" s="2" t="s">
        <v>118</v>
      </c>
      <c r="B346" s="2" t="n">
        <v>9</v>
      </c>
      <c r="C346" s="2" t="s">
        <v>68</v>
      </c>
      <c r="D346" s="2" t="s">
        <v>36</v>
      </c>
      <c r="E346" s="2" t="str">
        <f aca="false">INDEX(Products!$B$2:$B$13,MATCH(D346,Products!$A$2:$A$13,0))</f>
        <v>FCC</v>
      </c>
      <c r="F346" s="15" t="n">
        <v>33.3</v>
      </c>
      <c r="G346" s="16" t="n">
        <f aca="false">IF(A346="2025",INDEX(Products!$C$2:$C$13,MATCH(D346,Products!$A$2:$A$13,0)),INDEX(Products!$E$2:$E$13,MATCH(D346,Products!$A$2:$A$13,0)))</f>
        <v>3700</v>
      </c>
      <c r="H346" s="13" t="n">
        <f aca="false">IF(A346="2025",INDEX(Customers!$D$2:$D$41,MATCH(C346,Customers!$A$2:$A$41,0)),INDEX(Customers!$F$2:$F$41,MATCH(C346,Customers!$A$2:$A$41,0)))</f>
        <v>0.08</v>
      </c>
      <c r="I346" s="16" t="n">
        <f aca="false">F346*G346</f>
        <v>123210</v>
      </c>
      <c r="J346" s="16" t="n">
        <f aca="false">I346*(1-H346)</f>
        <v>113353.2</v>
      </c>
      <c r="K346" s="16" t="n">
        <f aca="false">J346*INDEX(Customers!$G$2:$G$41,MATCH(C346,Customers!$A$2:$A$41,0))</f>
        <v>0</v>
      </c>
      <c r="L346" s="16" t="n">
        <f aca="false">F346*INDEX(Customers!$H$2:$H$41,MATCH(C346,Customers!$A$2:$A$41,0))</f>
        <v>12987</v>
      </c>
      <c r="M346" s="16" t="n">
        <f aca="false">J346*INDEX(Customers!$I$2:$I$41,MATCH(C346,Customers!$A$2:$A$41,0))/365*Assumptions!$B$6</f>
        <v>2236.00832876712</v>
      </c>
      <c r="N346" s="16" t="n">
        <f aca="false">J346-K346-L346-M346</f>
        <v>98130.1916712329</v>
      </c>
      <c r="O346" s="16" t="n">
        <f aca="false">F346*IF(A346="2025",INDEX(Products!$D$2:$D$13,MATCH(D346,Products!$A$2:$A$13,0)),INDEX(Products!$F$2:$F$13,MATCH(D346,Products!$A$2:$A$13,0)))</f>
        <v>79920</v>
      </c>
      <c r="P346" s="16" t="n">
        <f aca="false">N346-O346</f>
        <v>18210.1916712329</v>
      </c>
    </row>
    <row r="347" customFormat="false" ht="15" hidden="false" customHeight="false" outlineLevel="0" collapsed="false">
      <c r="A347" s="2" t="s">
        <v>118</v>
      </c>
      <c r="B347" s="2" t="n">
        <v>10</v>
      </c>
      <c r="C347" s="2" t="s">
        <v>68</v>
      </c>
      <c r="D347" s="2" t="s">
        <v>36</v>
      </c>
      <c r="E347" s="2" t="str">
        <f aca="false">INDEX(Products!$B$2:$B$13,MATCH(D347,Products!$A$2:$A$13,0))</f>
        <v>FCC</v>
      </c>
      <c r="F347" s="15" t="n">
        <v>31.4</v>
      </c>
      <c r="G347" s="16" t="n">
        <f aca="false">IF(A347="2025",INDEX(Products!$C$2:$C$13,MATCH(D347,Products!$A$2:$A$13,0)),INDEX(Products!$E$2:$E$13,MATCH(D347,Products!$A$2:$A$13,0)))</f>
        <v>3700</v>
      </c>
      <c r="H347" s="13" t="n">
        <f aca="false">IF(A347="2025",INDEX(Customers!$D$2:$D$41,MATCH(C347,Customers!$A$2:$A$41,0)),INDEX(Customers!$F$2:$F$41,MATCH(C347,Customers!$A$2:$A$41,0)))</f>
        <v>0.08</v>
      </c>
      <c r="I347" s="16" t="n">
        <f aca="false">F347*G347</f>
        <v>116180</v>
      </c>
      <c r="J347" s="16" t="n">
        <f aca="false">I347*(1-H347)</f>
        <v>106885.6</v>
      </c>
      <c r="K347" s="16" t="n">
        <f aca="false">J347*INDEX(Customers!$G$2:$G$41,MATCH(C347,Customers!$A$2:$A$41,0))</f>
        <v>0</v>
      </c>
      <c r="L347" s="16" t="n">
        <f aca="false">F347*INDEX(Customers!$H$2:$H$41,MATCH(C347,Customers!$A$2:$A$41,0))</f>
        <v>12246</v>
      </c>
      <c r="M347" s="16" t="n">
        <f aca="false">J347*INDEX(Customers!$I$2:$I$41,MATCH(C347,Customers!$A$2:$A$41,0))/365*Assumptions!$B$6</f>
        <v>2108.4282739726</v>
      </c>
      <c r="N347" s="16" t="n">
        <f aca="false">J347-K347-L347-M347</f>
        <v>92531.1717260274</v>
      </c>
      <c r="O347" s="16" t="n">
        <f aca="false">F347*IF(A347="2025",INDEX(Products!$D$2:$D$13,MATCH(D347,Products!$A$2:$A$13,0)),INDEX(Products!$F$2:$F$13,MATCH(D347,Products!$A$2:$A$13,0)))</f>
        <v>75360</v>
      </c>
      <c r="P347" s="16" t="n">
        <f aca="false">N347-O347</f>
        <v>17171.1717260274</v>
      </c>
    </row>
    <row r="348" customFormat="false" ht="15" hidden="false" customHeight="false" outlineLevel="0" collapsed="false">
      <c r="A348" s="2" t="s">
        <v>118</v>
      </c>
      <c r="B348" s="2" t="n">
        <v>11</v>
      </c>
      <c r="C348" s="2" t="s">
        <v>68</v>
      </c>
      <c r="D348" s="2" t="s">
        <v>36</v>
      </c>
      <c r="E348" s="2" t="str">
        <f aca="false">INDEX(Products!$B$2:$B$13,MATCH(D348,Products!$A$2:$A$13,0))</f>
        <v>FCC</v>
      </c>
      <c r="F348" s="15" t="n">
        <v>29.9</v>
      </c>
      <c r="G348" s="16" t="n">
        <f aca="false">IF(A348="2025",INDEX(Products!$C$2:$C$13,MATCH(D348,Products!$A$2:$A$13,0)),INDEX(Products!$E$2:$E$13,MATCH(D348,Products!$A$2:$A$13,0)))</f>
        <v>3700</v>
      </c>
      <c r="H348" s="13" t="n">
        <f aca="false">IF(A348="2025",INDEX(Customers!$D$2:$D$41,MATCH(C348,Customers!$A$2:$A$41,0)),INDEX(Customers!$F$2:$F$41,MATCH(C348,Customers!$A$2:$A$41,0)))</f>
        <v>0.08</v>
      </c>
      <c r="I348" s="16" t="n">
        <f aca="false">F348*G348</f>
        <v>110630</v>
      </c>
      <c r="J348" s="16" t="n">
        <f aca="false">I348*(1-H348)</f>
        <v>101779.6</v>
      </c>
      <c r="K348" s="16" t="n">
        <f aca="false">J348*INDEX(Customers!$G$2:$G$41,MATCH(C348,Customers!$A$2:$A$41,0))</f>
        <v>0</v>
      </c>
      <c r="L348" s="16" t="n">
        <f aca="false">F348*INDEX(Customers!$H$2:$H$41,MATCH(C348,Customers!$A$2:$A$41,0))</f>
        <v>11661</v>
      </c>
      <c r="M348" s="16" t="n">
        <f aca="false">J348*INDEX(Customers!$I$2:$I$41,MATCH(C348,Customers!$A$2:$A$41,0))/365*Assumptions!$B$6</f>
        <v>2007.70717808219</v>
      </c>
      <c r="N348" s="16" t="n">
        <f aca="false">J348-K348-L348-M348</f>
        <v>88110.8928219178</v>
      </c>
      <c r="O348" s="16" t="n">
        <f aca="false">F348*IF(A348="2025",INDEX(Products!$D$2:$D$13,MATCH(D348,Products!$A$2:$A$13,0)),INDEX(Products!$F$2:$F$13,MATCH(D348,Products!$A$2:$A$13,0)))</f>
        <v>71760</v>
      </c>
      <c r="P348" s="16" t="n">
        <f aca="false">N348-O348</f>
        <v>16350.8928219178</v>
      </c>
    </row>
    <row r="349" customFormat="false" ht="15" hidden="false" customHeight="false" outlineLevel="0" collapsed="false">
      <c r="A349" s="2" t="s">
        <v>118</v>
      </c>
      <c r="B349" s="2" t="n">
        <v>12</v>
      </c>
      <c r="C349" s="2" t="s">
        <v>68</v>
      </c>
      <c r="D349" s="2" t="s">
        <v>36</v>
      </c>
      <c r="E349" s="2" t="str">
        <f aca="false">INDEX(Products!$B$2:$B$13,MATCH(D349,Products!$A$2:$A$13,0))</f>
        <v>FCC</v>
      </c>
      <c r="F349" s="15" t="n">
        <v>29.9</v>
      </c>
      <c r="G349" s="16" t="n">
        <f aca="false">IF(A349="2025",INDEX(Products!$C$2:$C$13,MATCH(D349,Products!$A$2:$A$13,0)),INDEX(Products!$E$2:$E$13,MATCH(D349,Products!$A$2:$A$13,0)))</f>
        <v>3700</v>
      </c>
      <c r="H349" s="13" t="n">
        <f aca="false">IF(A349="2025",INDEX(Customers!$D$2:$D$41,MATCH(C349,Customers!$A$2:$A$41,0)),INDEX(Customers!$F$2:$F$41,MATCH(C349,Customers!$A$2:$A$41,0)))</f>
        <v>0.08</v>
      </c>
      <c r="I349" s="16" t="n">
        <f aca="false">F349*G349</f>
        <v>110630</v>
      </c>
      <c r="J349" s="16" t="n">
        <f aca="false">I349*(1-H349)</f>
        <v>101779.6</v>
      </c>
      <c r="K349" s="16" t="n">
        <f aca="false">J349*INDEX(Customers!$G$2:$G$41,MATCH(C349,Customers!$A$2:$A$41,0))</f>
        <v>0</v>
      </c>
      <c r="L349" s="16" t="n">
        <f aca="false">F349*INDEX(Customers!$H$2:$H$41,MATCH(C349,Customers!$A$2:$A$41,0))</f>
        <v>11661</v>
      </c>
      <c r="M349" s="16" t="n">
        <f aca="false">J349*INDEX(Customers!$I$2:$I$41,MATCH(C349,Customers!$A$2:$A$41,0))/365*Assumptions!$B$6</f>
        <v>2007.70717808219</v>
      </c>
      <c r="N349" s="16" t="n">
        <f aca="false">J349-K349-L349-M349</f>
        <v>88110.8928219178</v>
      </c>
      <c r="O349" s="16" t="n">
        <f aca="false">F349*IF(A349="2025",INDEX(Products!$D$2:$D$13,MATCH(D349,Products!$A$2:$A$13,0)),INDEX(Products!$F$2:$F$13,MATCH(D349,Products!$A$2:$A$13,0)))</f>
        <v>71760</v>
      </c>
      <c r="P349" s="16" t="n">
        <f aca="false">N349-O349</f>
        <v>16350.8928219178</v>
      </c>
    </row>
    <row r="350" customFormat="false" ht="15" hidden="false" customHeight="false" outlineLevel="0" collapsed="false">
      <c r="A350" s="2" t="s">
        <v>119</v>
      </c>
      <c r="B350" s="2" t="n">
        <v>1</v>
      </c>
      <c r="C350" s="2" t="s">
        <v>68</v>
      </c>
      <c r="D350" s="2" t="s">
        <v>36</v>
      </c>
      <c r="E350" s="2" t="str">
        <f aca="false">INDEX(Products!$B$2:$B$13,MATCH(D350,Products!$A$2:$A$13,0))</f>
        <v>FCC</v>
      </c>
      <c r="F350" s="15" t="n">
        <v>27.6</v>
      </c>
      <c r="G350" s="16" t="n">
        <f aca="false">IF(A350="2025",INDEX(Products!$C$2:$C$13,MATCH(D350,Products!$A$2:$A$13,0)),INDEX(Products!$E$2:$E$13,MATCH(D350,Products!$A$2:$A$13,0)))</f>
        <v>3885</v>
      </c>
      <c r="H350" s="13" t="n">
        <f aca="false">IF(A350="2025",INDEX(Customers!$D$2:$D$41,MATCH(C350,Customers!$A$2:$A$41,0)),INDEX(Customers!$F$2:$F$41,MATCH(C350,Customers!$A$2:$A$41,0)))</f>
        <v>0.08</v>
      </c>
      <c r="I350" s="16" t="n">
        <f aca="false">F350*G350</f>
        <v>107226</v>
      </c>
      <c r="J350" s="16" t="n">
        <f aca="false">I350*(1-H350)</f>
        <v>98647.92</v>
      </c>
      <c r="K350" s="16" t="n">
        <f aca="false">J350*INDEX(Customers!$G$2:$G$41,MATCH(C350,Customers!$A$2:$A$41,0))</f>
        <v>0</v>
      </c>
      <c r="L350" s="16" t="n">
        <f aca="false">F350*INDEX(Customers!$H$2:$H$41,MATCH(C350,Customers!$A$2:$A$41,0))</f>
        <v>10764</v>
      </c>
      <c r="M350" s="16" t="n">
        <f aca="false">J350*INDEX(Customers!$I$2:$I$41,MATCH(C350,Customers!$A$2:$A$41,0))/365*Assumptions!$B$6</f>
        <v>1945.93157260274</v>
      </c>
      <c r="N350" s="16" t="n">
        <f aca="false">J350-K350-L350-M350</f>
        <v>85937.9884273973</v>
      </c>
      <c r="O350" s="16" t="n">
        <f aca="false">F350*IF(A350="2025",INDEX(Products!$D$2:$D$13,MATCH(D350,Products!$A$2:$A$13,0)),INDEX(Products!$F$2:$F$13,MATCH(D350,Products!$A$2:$A$13,0)))</f>
        <v>68227.2</v>
      </c>
      <c r="P350" s="16" t="n">
        <f aca="false">N350-O350</f>
        <v>17710.7884273973</v>
      </c>
    </row>
    <row r="351" customFormat="false" ht="15" hidden="false" customHeight="false" outlineLevel="0" collapsed="false">
      <c r="A351" s="2" t="s">
        <v>119</v>
      </c>
      <c r="B351" s="2" t="n">
        <v>2</v>
      </c>
      <c r="C351" s="2" t="s">
        <v>68</v>
      </c>
      <c r="D351" s="2" t="s">
        <v>36</v>
      </c>
      <c r="E351" s="2" t="str">
        <f aca="false">INDEX(Products!$B$2:$B$13,MATCH(D351,Products!$A$2:$A$13,0))</f>
        <v>FCC</v>
      </c>
      <c r="F351" s="15" t="n">
        <v>27.3</v>
      </c>
      <c r="G351" s="16" t="n">
        <f aca="false">IF(A351="2025",INDEX(Products!$C$2:$C$13,MATCH(D351,Products!$A$2:$A$13,0)),INDEX(Products!$E$2:$E$13,MATCH(D351,Products!$A$2:$A$13,0)))</f>
        <v>3885</v>
      </c>
      <c r="H351" s="13" t="n">
        <f aca="false">IF(A351="2025",INDEX(Customers!$D$2:$D$41,MATCH(C351,Customers!$A$2:$A$41,0)),INDEX(Customers!$F$2:$F$41,MATCH(C351,Customers!$A$2:$A$41,0)))</f>
        <v>0.08</v>
      </c>
      <c r="I351" s="16" t="n">
        <f aca="false">F351*G351</f>
        <v>106060.5</v>
      </c>
      <c r="J351" s="16" t="n">
        <f aca="false">I351*(1-H351)</f>
        <v>97575.66</v>
      </c>
      <c r="K351" s="16" t="n">
        <f aca="false">J351*INDEX(Customers!$G$2:$G$41,MATCH(C351,Customers!$A$2:$A$41,0))</f>
        <v>0</v>
      </c>
      <c r="L351" s="16" t="n">
        <f aca="false">F351*INDEX(Customers!$H$2:$H$41,MATCH(C351,Customers!$A$2:$A$41,0))</f>
        <v>10647</v>
      </c>
      <c r="M351" s="16" t="n">
        <f aca="false">J351*INDEX(Customers!$I$2:$I$41,MATCH(C351,Customers!$A$2:$A$41,0))/365*Assumptions!$B$6</f>
        <v>1924.78014246575</v>
      </c>
      <c r="N351" s="16" t="n">
        <f aca="false">J351-K351-L351-M351</f>
        <v>85003.8798575343</v>
      </c>
      <c r="O351" s="16" t="n">
        <f aca="false">F351*IF(A351="2025",INDEX(Products!$D$2:$D$13,MATCH(D351,Products!$A$2:$A$13,0)),INDEX(Products!$F$2:$F$13,MATCH(D351,Products!$A$2:$A$13,0)))</f>
        <v>67485.6</v>
      </c>
      <c r="P351" s="16" t="n">
        <f aca="false">N351-O351</f>
        <v>17518.2798575342</v>
      </c>
    </row>
    <row r="352" customFormat="false" ht="15" hidden="false" customHeight="false" outlineLevel="0" collapsed="false">
      <c r="A352" s="2" t="s">
        <v>119</v>
      </c>
      <c r="B352" s="2" t="n">
        <v>3</v>
      </c>
      <c r="C352" s="2" t="s">
        <v>68</v>
      </c>
      <c r="D352" s="2" t="s">
        <v>36</v>
      </c>
      <c r="E352" s="2" t="str">
        <f aca="false">INDEX(Products!$B$2:$B$13,MATCH(D352,Products!$A$2:$A$13,0))</f>
        <v>FCC</v>
      </c>
      <c r="F352" s="15" t="n">
        <v>17.8</v>
      </c>
      <c r="G352" s="16" t="n">
        <f aca="false">IF(A352="2025",INDEX(Products!$C$2:$C$13,MATCH(D352,Products!$A$2:$A$13,0)),INDEX(Products!$E$2:$E$13,MATCH(D352,Products!$A$2:$A$13,0)))</f>
        <v>3885</v>
      </c>
      <c r="H352" s="13" t="n">
        <f aca="false">IF(A352="2025",INDEX(Customers!$D$2:$D$41,MATCH(C352,Customers!$A$2:$A$41,0)),INDEX(Customers!$F$2:$F$41,MATCH(C352,Customers!$A$2:$A$41,0)))</f>
        <v>0.08</v>
      </c>
      <c r="I352" s="16" t="n">
        <f aca="false">F352*G352</f>
        <v>69153</v>
      </c>
      <c r="J352" s="16" t="n">
        <f aca="false">I352*(1-H352)</f>
        <v>63620.76</v>
      </c>
      <c r="K352" s="16" t="n">
        <f aca="false">J352*INDEX(Customers!$G$2:$G$41,MATCH(C352,Customers!$A$2:$A$41,0))</f>
        <v>0</v>
      </c>
      <c r="L352" s="16" t="n">
        <f aca="false">F352*INDEX(Customers!$H$2:$H$41,MATCH(C352,Customers!$A$2:$A$41,0))</f>
        <v>6942</v>
      </c>
      <c r="M352" s="16" t="n">
        <f aca="false">J352*INDEX(Customers!$I$2:$I$41,MATCH(C352,Customers!$A$2:$A$41,0))/365*Assumptions!$B$6</f>
        <v>1254.98485479452</v>
      </c>
      <c r="N352" s="16" t="n">
        <f aca="false">J352-K352-L352-M352</f>
        <v>55423.7751452055</v>
      </c>
      <c r="O352" s="16" t="n">
        <f aca="false">F352*IF(A352="2025",INDEX(Products!$D$2:$D$13,MATCH(D352,Products!$A$2:$A$13,0)),INDEX(Products!$F$2:$F$13,MATCH(D352,Products!$A$2:$A$13,0)))</f>
        <v>44001.6</v>
      </c>
      <c r="P352" s="16" t="n">
        <f aca="false">N352-O352</f>
        <v>11422.1751452055</v>
      </c>
    </row>
    <row r="353" customFormat="false" ht="15" hidden="false" customHeight="false" outlineLevel="0" collapsed="false">
      <c r="A353" s="2" t="s">
        <v>119</v>
      </c>
      <c r="B353" s="2" t="n">
        <v>4</v>
      </c>
      <c r="C353" s="2" t="s">
        <v>68</v>
      </c>
      <c r="D353" s="2" t="s">
        <v>36</v>
      </c>
      <c r="E353" s="2" t="str">
        <f aca="false">INDEX(Products!$B$2:$B$13,MATCH(D353,Products!$A$2:$A$13,0))</f>
        <v>FCC</v>
      </c>
      <c r="F353" s="15" t="n">
        <v>20.1</v>
      </c>
      <c r="G353" s="16" t="n">
        <f aca="false">IF(A353="2025",INDEX(Products!$C$2:$C$13,MATCH(D353,Products!$A$2:$A$13,0)),INDEX(Products!$E$2:$E$13,MATCH(D353,Products!$A$2:$A$13,0)))</f>
        <v>3885</v>
      </c>
      <c r="H353" s="13" t="n">
        <f aca="false">IF(A353="2025",INDEX(Customers!$D$2:$D$41,MATCH(C353,Customers!$A$2:$A$41,0)),INDEX(Customers!$F$2:$F$41,MATCH(C353,Customers!$A$2:$A$41,0)))</f>
        <v>0.08</v>
      </c>
      <c r="I353" s="16" t="n">
        <f aca="false">F353*G353</f>
        <v>78088.5</v>
      </c>
      <c r="J353" s="16" t="n">
        <f aca="false">I353*(1-H353)</f>
        <v>71841.42</v>
      </c>
      <c r="K353" s="16" t="n">
        <f aca="false">J353*INDEX(Customers!$G$2:$G$41,MATCH(C353,Customers!$A$2:$A$41,0))</f>
        <v>0</v>
      </c>
      <c r="L353" s="16" t="n">
        <f aca="false">F353*INDEX(Customers!$H$2:$H$41,MATCH(C353,Customers!$A$2:$A$41,0))</f>
        <v>7839</v>
      </c>
      <c r="M353" s="16" t="n">
        <f aca="false">J353*INDEX(Customers!$I$2:$I$41,MATCH(C353,Customers!$A$2:$A$41,0))/365*Assumptions!$B$6</f>
        <v>1417.14581917808</v>
      </c>
      <c r="N353" s="16" t="n">
        <f aca="false">J353-K353-L353-M353</f>
        <v>62585.2741808219</v>
      </c>
      <c r="O353" s="16" t="n">
        <f aca="false">F353*IF(A353="2025",INDEX(Products!$D$2:$D$13,MATCH(D353,Products!$A$2:$A$13,0)),INDEX(Products!$F$2:$F$13,MATCH(D353,Products!$A$2:$A$13,0)))</f>
        <v>49687.2</v>
      </c>
      <c r="P353" s="16" t="n">
        <f aca="false">N353-O353</f>
        <v>12898.0741808219</v>
      </c>
    </row>
    <row r="354" customFormat="false" ht="15" hidden="false" customHeight="false" outlineLevel="0" collapsed="false">
      <c r="A354" s="2" t="s">
        <v>119</v>
      </c>
      <c r="B354" s="2" t="n">
        <v>5</v>
      </c>
      <c r="C354" s="2" t="s">
        <v>68</v>
      </c>
      <c r="D354" s="2" t="s">
        <v>36</v>
      </c>
      <c r="E354" s="2" t="str">
        <f aca="false">INDEX(Products!$B$2:$B$13,MATCH(D354,Products!$A$2:$A$13,0))</f>
        <v>FCC</v>
      </c>
      <c r="F354" s="15" t="n">
        <v>24.2</v>
      </c>
      <c r="G354" s="16" t="n">
        <f aca="false">IF(A354="2025",INDEX(Products!$C$2:$C$13,MATCH(D354,Products!$A$2:$A$13,0)),INDEX(Products!$E$2:$E$13,MATCH(D354,Products!$A$2:$A$13,0)))</f>
        <v>3885</v>
      </c>
      <c r="H354" s="13" t="n">
        <f aca="false">IF(A354="2025",INDEX(Customers!$D$2:$D$41,MATCH(C354,Customers!$A$2:$A$41,0)),INDEX(Customers!$F$2:$F$41,MATCH(C354,Customers!$A$2:$A$41,0)))</f>
        <v>0.08</v>
      </c>
      <c r="I354" s="16" t="n">
        <f aca="false">F354*G354</f>
        <v>94017</v>
      </c>
      <c r="J354" s="16" t="n">
        <f aca="false">I354*(1-H354)</f>
        <v>86495.64</v>
      </c>
      <c r="K354" s="16" t="n">
        <f aca="false">J354*INDEX(Customers!$G$2:$G$41,MATCH(C354,Customers!$A$2:$A$41,0))</f>
        <v>0</v>
      </c>
      <c r="L354" s="16" t="n">
        <f aca="false">F354*INDEX(Customers!$H$2:$H$41,MATCH(C354,Customers!$A$2:$A$41,0))</f>
        <v>9438</v>
      </c>
      <c r="M354" s="16" t="n">
        <f aca="false">J354*INDEX(Customers!$I$2:$I$41,MATCH(C354,Customers!$A$2:$A$41,0))/365*Assumptions!$B$6</f>
        <v>1706.21536438356</v>
      </c>
      <c r="N354" s="16" t="n">
        <f aca="false">J354-K354-L354-M354</f>
        <v>75351.4246356164</v>
      </c>
      <c r="O354" s="16" t="n">
        <f aca="false">F354*IF(A354="2025",INDEX(Products!$D$2:$D$13,MATCH(D354,Products!$A$2:$A$13,0)),INDEX(Products!$F$2:$F$13,MATCH(D354,Products!$A$2:$A$13,0)))</f>
        <v>59822.4</v>
      </c>
      <c r="P354" s="16" t="n">
        <f aca="false">N354-O354</f>
        <v>15529.0246356164</v>
      </c>
    </row>
    <row r="355" customFormat="false" ht="15" hidden="false" customHeight="false" outlineLevel="0" collapsed="false">
      <c r="A355" s="2" t="s">
        <v>119</v>
      </c>
      <c r="B355" s="2" t="n">
        <v>6</v>
      </c>
      <c r="C355" s="2" t="s">
        <v>68</v>
      </c>
      <c r="D355" s="2" t="s">
        <v>36</v>
      </c>
      <c r="E355" s="2" t="str">
        <f aca="false">INDEX(Products!$B$2:$B$13,MATCH(D355,Products!$A$2:$A$13,0))</f>
        <v>FCC</v>
      </c>
      <c r="F355" s="15" t="n">
        <v>22.2</v>
      </c>
      <c r="G355" s="16" t="n">
        <f aca="false">IF(A355="2025",INDEX(Products!$C$2:$C$13,MATCH(D355,Products!$A$2:$A$13,0)),INDEX(Products!$E$2:$E$13,MATCH(D355,Products!$A$2:$A$13,0)))</f>
        <v>3885</v>
      </c>
      <c r="H355" s="13" t="n">
        <f aca="false">IF(A355="2025",INDEX(Customers!$D$2:$D$41,MATCH(C355,Customers!$A$2:$A$41,0)),INDEX(Customers!$F$2:$F$41,MATCH(C355,Customers!$A$2:$A$41,0)))</f>
        <v>0.08</v>
      </c>
      <c r="I355" s="16" t="n">
        <f aca="false">F355*G355</f>
        <v>86247</v>
      </c>
      <c r="J355" s="16" t="n">
        <f aca="false">I355*(1-H355)</f>
        <v>79347.24</v>
      </c>
      <c r="K355" s="16" t="n">
        <f aca="false">J355*INDEX(Customers!$G$2:$G$41,MATCH(C355,Customers!$A$2:$A$41,0))</f>
        <v>0</v>
      </c>
      <c r="L355" s="16" t="n">
        <f aca="false">F355*INDEX(Customers!$H$2:$H$41,MATCH(C355,Customers!$A$2:$A$41,0))</f>
        <v>8658</v>
      </c>
      <c r="M355" s="16" t="n">
        <f aca="false">J355*INDEX(Customers!$I$2:$I$41,MATCH(C355,Customers!$A$2:$A$41,0))/365*Assumptions!$B$6</f>
        <v>1565.20583013699</v>
      </c>
      <c r="N355" s="16" t="n">
        <f aca="false">J355-K355-L355-M355</f>
        <v>69124.034169863</v>
      </c>
      <c r="O355" s="16" t="n">
        <f aca="false">F355*IF(A355="2025",INDEX(Products!$D$2:$D$13,MATCH(D355,Products!$A$2:$A$13,0)),INDEX(Products!$F$2:$F$13,MATCH(D355,Products!$A$2:$A$13,0)))</f>
        <v>54878.4</v>
      </c>
      <c r="P355" s="16" t="n">
        <f aca="false">N355-O355</f>
        <v>14245.634169863</v>
      </c>
    </row>
    <row r="356" customFormat="false" ht="15" hidden="false" customHeight="false" outlineLevel="0" collapsed="false">
      <c r="A356" s="2" t="s">
        <v>119</v>
      </c>
      <c r="B356" s="2" t="n">
        <v>7</v>
      </c>
      <c r="C356" s="2" t="s">
        <v>68</v>
      </c>
      <c r="D356" s="2" t="s">
        <v>36</v>
      </c>
      <c r="E356" s="2" t="str">
        <f aca="false">INDEX(Products!$B$2:$B$13,MATCH(D356,Products!$A$2:$A$13,0))</f>
        <v>FCC</v>
      </c>
      <c r="F356" s="15" t="n">
        <v>28.1</v>
      </c>
      <c r="G356" s="16" t="n">
        <f aca="false">IF(A356="2025",INDEX(Products!$C$2:$C$13,MATCH(D356,Products!$A$2:$A$13,0)),INDEX(Products!$E$2:$E$13,MATCH(D356,Products!$A$2:$A$13,0)))</f>
        <v>3885</v>
      </c>
      <c r="H356" s="13" t="n">
        <f aca="false">IF(A356="2025",INDEX(Customers!$D$2:$D$41,MATCH(C356,Customers!$A$2:$A$41,0)),INDEX(Customers!$F$2:$F$41,MATCH(C356,Customers!$A$2:$A$41,0)))</f>
        <v>0.08</v>
      </c>
      <c r="I356" s="16" t="n">
        <f aca="false">F356*G356</f>
        <v>109168.5</v>
      </c>
      <c r="J356" s="16" t="n">
        <f aca="false">I356*(1-H356)</f>
        <v>100435.02</v>
      </c>
      <c r="K356" s="16" t="n">
        <f aca="false">J356*INDEX(Customers!$G$2:$G$41,MATCH(C356,Customers!$A$2:$A$41,0))</f>
        <v>0</v>
      </c>
      <c r="L356" s="16" t="n">
        <f aca="false">F356*INDEX(Customers!$H$2:$H$41,MATCH(C356,Customers!$A$2:$A$41,0))</f>
        <v>10959</v>
      </c>
      <c r="M356" s="16" t="n">
        <f aca="false">J356*INDEX(Customers!$I$2:$I$41,MATCH(C356,Customers!$A$2:$A$41,0))/365*Assumptions!$B$6</f>
        <v>1981.18395616438</v>
      </c>
      <c r="N356" s="16" t="n">
        <f aca="false">J356-K356-L356-M356</f>
        <v>87494.8360438356</v>
      </c>
      <c r="O356" s="16" t="n">
        <f aca="false">F356*IF(A356="2025",INDEX(Products!$D$2:$D$13,MATCH(D356,Products!$A$2:$A$13,0)),INDEX(Products!$F$2:$F$13,MATCH(D356,Products!$A$2:$A$13,0)))</f>
        <v>69463.2</v>
      </c>
      <c r="P356" s="16" t="n">
        <f aca="false">N356-O356</f>
        <v>18031.6360438356</v>
      </c>
    </row>
    <row r="357" customFormat="false" ht="15" hidden="false" customHeight="false" outlineLevel="0" collapsed="false">
      <c r="A357" s="2" t="s">
        <v>119</v>
      </c>
      <c r="B357" s="2" t="n">
        <v>8</v>
      </c>
      <c r="C357" s="2" t="s">
        <v>68</v>
      </c>
      <c r="D357" s="2" t="s">
        <v>36</v>
      </c>
      <c r="E357" s="2" t="str">
        <f aca="false">INDEX(Products!$B$2:$B$13,MATCH(D357,Products!$A$2:$A$13,0))</f>
        <v>FCC</v>
      </c>
      <c r="F357" s="15" t="n">
        <v>32.9</v>
      </c>
      <c r="G357" s="16" t="n">
        <f aca="false">IF(A357="2025",INDEX(Products!$C$2:$C$13,MATCH(D357,Products!$A$2:$A$13,0)),INDEX(Products!$E$2:$E$13,MATCH(D357,Products!$A$2:$A$13,0)))</f>
        <v>3885</v>
      </c>
      <c r="H357" s="13" t="n">
        <f aca="false">IF(A357="2025",INDEX(Customers!$D$2:$D$41,MATCH(C357,Customers!$A$2:$A$41,0)),INDEX(Customers!$F$2:$F$41,MATCH(C357,Customers!$A$2:$A$41,0)))</f>
        <v>0.08</v>
      </c>
      <c r="I357" s="16" t="n">
        <f aca="false">F357*G357</f>
        <v>127816.5</v>
      </c>
      <c r="J357" s="16" t="n">
        <f aca="false">I357*(1-H357)</f>
        <v>117591.18</v>
      </c>
      <c r="K357" s="16" t="n">
        <f aca="false">J357*INDEX(Customers!$G$2:$G$41,MATCH(C357,Customers!$A$2:$A$41,0))</f>
        <v>0</v>
      </c>
      <c r="L357" s="16" t="n">
        <f aca="false">F357*INDEX(Customers!$H$2:$H$41,MATCH(C357,Customers!$A$2:$A$41,0))</f>
        <v>12831</v>
      </c>
      <c r="M357" s="16" t="n">
        <f aca="false">J357*INDEX(Customers!$I$2:$I$41,MATCH(C357,Customers!$A$2:$A$41,0))/365*Assumptions!$B$6</f>
        <v>2319.60683835616</v>
      </c>
      <c r="N357" s="16" t="n">
        <f aca="false">J357-K357-L357-M357</f>
        <v>102440.573161644</v>
      </c>
      <c r="O357" s="16" t="n">
        <f aca="false">F357*IF(A357="2025",INDEX(Products!$D$2:$D$13,MATCH(D357,Products!$A$2:$A$13,0)),INDEX(Products!$F$2:$F$13,MATCH(D357,Products!$A$2:$A$13,0)))</f>
        <v>81328.8</v>
      </c>
      <c r="P357" s="16" t="n">
        <f aca="false">N357-O357</f>
        <v>21111.7731616438</v>
      </c>
    </row>
    <row r="358" customFormat="false" ht="15" hidden="false" customHeight="false" outlineLevel="0" collapsed="false">
      <c r="A358" s="2" t="s">
        <v>119</v>
      </c>
      <c r="B358" s="2" t="n">
        <v>9</v>
      </c>
      <c r="C358" s="2" t="s">
        <v>68</v>
      </c>
      <c r="D358" s="2" t="s">
        <v>36</v>
      </c>
      <c r="E358" s="2" t="str">
        <f aca="false">INDEX(Products!$B$2:$B$13,MATCH(D358,Products!$A$2:$A$13,0))</f>
        <v>FCC</v>
      </c>
      <c r="F358" s="15" t="n">
        <v>21.9</v>
      </c>
      <c r="G358" s="16" t="n">
        <f aca="false">IF(A358="2025",INDEX(Products!$C$2:$C$13,MATCH(D358,Products!$A$2:$A$13,0)),INDEX(Products!$E$2:$E$13,MATCH(D358,Products!$A$2:$A$13,0)))</f>
        <v>3885</v>
      </c>
      <c r="H358" s="13" t="n">
        <f aca="false">IF(A358="2025",INDEX(Customers!$D$2:$D$41,MATCH(C358,Customers!$A$2:$A$41,0)),INDEX(Customers!$F$2:$F$41,MATCH(C358,Customers!$A$2:$A$41,0)))</f>
        <v>0.08</v>
      </c>
      <c r="I358" s="16" t="n">
        <f aca="false">F358*G358</f>
        <v>85081.5</v>
      </c>
      <c r="J358" s="16" t="n">
        <f aca="false">I358*(1-H358)</f>
        <v>78274.98</v>
      </c>
      <c r="K358" s="16" t="n">
        <f aca="false">J358*INDEX(Customers!$G$2:$G$41,MATCH(C358,Customers!$A$2:$A$41,0))</f>
        <v>0</v>
      </c>
      <c r="L358" s="16" t="n">
        <f aca="false">F358*INDEX(Customers!$H$2:$H$41,MATCH(C358,Customers!$A$2:$A$41,0))</f>
        <v>8541</v>
      </c>
      <c r="M358" s="16" t="n">
        <f aca="false">J358*INDEX(Customers!$I$2:$I$41,MATCH(C358,Customers!$A$2:$A$41,0))/365*Assumptions!$B$6</f>
        <v>1544.0544</v>
      </c>
      <c r="N358" s="16" t="n">
        <f aca="false">J358-K358-L358-M358</f>
        <v>68189.9256</v>
      </c>
      <c r="O358" s="16" t="n">
        <f aca="false">F358*IF(A358="2025",INDEX(Products!$D$2:$D$13,MATCH(D358,Products!$A$2:$A$13,0)),INDEX(Products!$F$2:$F$13,MATCH(D358,Products!$A$2:$A$13,0)))</f>
        <v>54136.8</v>
      </c>
      <c r="P358" s="16" t="n">
        <f aca="false">N358-O358</f>
        <v>14053.1256</v>
      </c>
    </row>
    <row r="359" customFormat="false" ht="15" hidden="false" customHeight="false" outlineLevel="0" collapsed="false">
      <c r="A359" s="2" t="s">
        <v>119</v>
      </c>
      <c r="B359" s="2" t="n">
        <v>10</v>
      </c>
      <c r="C359" s="2" t="s">
        <v>68</v>
      </c>
      <c r="D359" s="2" t="s">
        <v>36</v>
      </c>
      <c r="E359" s="2" t="str">
        <f aca="false">INDEX(Products!$B$2:$B$13,MATCH(D359,Products!$A$2:$A$13,0))</f>
        <v>FCC</v>
      </c>
      <c r="F359" s="15" t="n">
        <v>30.2</v>
      </c>
      <c r="G359" s="16" t="n">
        <f aca="false">IF(A359="2025",INDEX(Products!$C$2:$C$13,MATCH(D359,Products!$A$2:$A$13,0)),INDEX(Products!$E$2:$E$13,MATCH(D359,Products!$A$2:$A$13,0)))</f>
        <v>3885</v>
      </c>
      <c r="H359" s="13" t="n">
        <f aca="false">IF(A359="2025",INDEX(Customers!$D$2:$D$41,MATCH(C359,Customers!$A$2:$A$41,0)),INDEX(Customers!$F$2:$F$41,MATCH(C359,Customers!$A$2:$A$41,0)))</f>
        <v>0.08</v>
      </c>
      <c r="I359" s="16" t="n">
        <f aca="false">F359*G359</f>
        <v>117327</v>
      </c>
      <c r="J359" s="16" t="n">
        <f aca="false">I359*(1-H359)</f>
        <v>107940.84</v>
      </c>
      <c r="K359" s="16" t="n">
        <f aca="false">J359*INDEX(Customers!$G$2:$G$41,MATCH(C359,Customers!$A$2:$A$41,0))</f>
        <v>0</v>
      </c>
      <c r="L359" s="16" t="n">
        <f aca="false">F359*INDEX(Customers!$H$2:$H$41,MATCH(C359,Customers!$A$2:$A$41,0))</f>
        <v>11778</v>
      </c>
      <c r="M359" s="16" t="n">
        <f aca="false">J359*INDEX(Customers!$I$2:$I$41,MATCH(C359,Customers!$A$2:$A$41,0))/365*Assumptions!$B$6</f>
        <v>2129.24396712329</v>
      </c>
      <c r="N359" s="16" t="n">
        <f aca="false">J359-K359-L359-M359</f>
        <v>94033.5960328767</v>
      </c>
      <c r="O359" s="16" t="n">
        <f aca="false">F359*IF(A359="2025",INDEX(Products!$D$2:$D$13,MATCH(D359,Products!$A$2:$A$13,0)),INDEX(Products!$F$2:$F$13,MATCH(D359,Products!$A$2:$A$13,0)))</f>
        <v>74654.4</v>
      </c>
      <c r="P359" s="16" t="n">
        <f aca="false">N359-O359</f>
        <v>19379.1960328767</v>
      </c>
    </row>
    <row r="360" customFormat="false" ht="15" hidden="false" customHeight="false" outlineLevel="0" collapsed="false">
      <c r="A360" s="2" t="s">
        <v>119</v>
      </c>
      <c r="B360" s="2" t="n">
        <v>11</v>
      </c>
      <c r="C360" s="2" t="s">
        <v>68</v>
      </c>
      <c r="D360" s="2" t="s">
        <v>36</v>
      </c>
      <c r="E360" s="2" t="str">
        <f aca="false">INDEX(Products!$B$2:$B$13,MATCH(D360,Products!$A$2:$A$13,0))</f>
        <v>FCC</v>
      </c>
      <c r="F360" s="15" t="n">
        <v>23.5</v>
      </c>
      <c r="G360" s="16" t="n">
        <f aca="false">IF(A360="2025",INDEX(Products!$C$2:$C$13,MATCH(D360,Products!$A$2:$A$13,0)),INDEX(Products!$E$2:$E$13,MATCH(D360,Products!$A$2:$A$13,0)))</f>
        <v>3885</v>
      </c>
      <c r="H360" s="13" t="n">
        <f aca="false">IF(A360="2025",INDEX(Customers!$D$2:$D$41,MATCH(C360,Customers!$A$2:$A$41,0)),INDEX(Customers!$F$2:$F$41,MATCH(C360,Customers!$A$2:$A$41,0)))</f>
        <v>0.08</v>
      </c>
      <c r="I360" s="16" t="n">
        <f aca="false">F360*G360</f>
        <v>91297.5</v>
      </c>
      <c r="J360" s="16" t="n">
        <f aca="false">I360*(1-H360)</f>
        <v>83993.7</v>
      </c>
      <c r="K360" s="16" t="n">
        <f aca="false">J360*INDEX(Customers!$G$2:$G$41,MATCH(C360,Customers!$A$2:$A$41,0))</f>
        <v>0</v>
      </c>
      <c r="L360" s="16" t="n">
        <f aca="false">F360*INDEX(Customers!$H$2:$H$41,MATCH(C360,Customers!$A$2:$A$41,0))</f>
        <v>9165</v>
      </c>
      <c r="M360" s="16" t="n">
        <f aca="false">J360*INDEX(Customers!$I$2:$I$41,MATCH(C360,Customers!$A$2:$A$41,0))/365*Assumptions!$B$6</f>
        <v>1656.86202739726</v>
      </c>
      <c r="N360" s="16" t="n">
        <f aca="false">J360-K360-L360-M360</f>
        <v>73171.8379726027</v>
      </c>
      <c r="O360" s="16" t="n">
        <f aca="false">F360*IF(A360="2025",INDEX(Products!$D$2:$D$13,MATCH(D360,Products!$A$2:$A$13,0)),INDEX(Products!$F$2:$F$13,MATCH(D360,Products!$A$2:$A$13,0)))</f>
        <v>58092</v>
      </c>
      <c r="P360" s="16" t="n">
        <f aca="false">N360-O360</f>
        <v>15079.8379726027</v>
      </c>
    </row>
    <row r="361" customFormat="false" ht="15" hidden="false" customHeight="false" outlineLevel="0" collapsed="false">
      <c r="A361" s="2" t="s">
        <v>119</v>
      </c>
      <c r="B361" s="2" t="n">
        <v>12</v>
      </c>
      <c r="C361" s="2" t="s">
        <v>68</v>
      </c>
      <c r="D361" s="2" t="s">
        <v>36</v>
      </c>
      <c r="E361" s="2" t="str">
        <f aca="false">INDEX(Products!$B$2:$B$13,MATCH(D361,Products!$A$2:$A$13,0))</f>
        <v>FCC</v>
      </c>
      <c r="F361" s="15" t="n">
        <v>28.9</v>
      </c>
      <c r="G361" s="16" t="n">
        <f aca="false">IF(A361="2025",INDEX(Products!$C$2:$C$13,MATCH(D361,Products!$A$2:$A$13,0)),INDEX(Products!$E$2:$E$13,MATCH(D361,Products!$A$2:$A$13,0)))</f>
        <v>3885</v>
      </c>
      <c r="H361" s="13" t="n">
        <f aca="false">IF(A361="2025",INDEX(Customers!$D$2:$D$41,MATCH(C361,Customers!$A$2:$A$41,0)),INDEX(Customers!$F$2:$F$41,MATCH(C361,Customers!$A$2:$A$41,0)))</f>
        <v>0.08</v>
      </c>
      <c r="I361" s="16" t="n">
        <f aca="false">F361*G361</f>
        <v>112276.5</v>
      </c>
      <c r="J361" s="16" t="n">
        <f aca="false">I361*(1-H361)</f>
        <v>103294.38</v>
      </c>
      <c r="K361" s="16" t="n">
        <f aca="false">J361*INDEX(Customers!$G$2:$G$41,MATCH(C361,Customers!$A$2:$A$41,0))</f>
        <v>0</v>
      </c>
      <c r="L361" s="16" t="n">
        <f aca="false">F361*INDEX(Customers!$H$2:$H$41,MATCH(C361,Customers!$A$2:$A$41,0))</f>
        <v>11271</v>
      </c>
      <c r="M361" s="16" t="n">
        <f aca="false">J361*INDEX(Customers!$I$2:$I$41,MATCH(C361,Customers!$A$2:$A$41,0))/365*Assumptions!$B$6</f>
        <v>2037.58776986301</v>
      </c>
      <c r="N361" s="16" t="n">
        <f aca="false">J361-K361-L361-M361</f>
        <v>89985.792230137</v>
      </c>
      <c r="O361" s="16" t="n">
        <f aca="false">F361*IF(A361="2025",INDEX(Products!$D$2:$D$13,MATCH(D361,Products!$A$2:$A$13,0)),INDEX(Products!$F$2:$F$13,MATCH(D361,Products!$A$2:$A$13,0)))</f>
        <v>71440.8</v>
      </c>
      <c r="P361" s="16" t="n">
        <f aca="false">N361-O361</f>
        <v>18544.992230137</v>
      </c>
    </row>
    <row r="362" customFormat="false" ht="15" hidden="false" customHeight="false" outlineLevel="0" collapsed="false">
      <c r="A362" s="2" t="s">
        <v>118</v>
      </c>
      <c r="B362" s="2" t="n">
        <v>1</v>
      </c>
      <c r="C362" s="2" t="s">
        <v>68</v>
      </c>
      <c r="D362" s="2" t="s">
        <v>39</v>
      </c>
      <c r="E362" s="2" t="str">
        <f aca="false">INDEX(Products!$B$2:$B$13,MATCH(D362,Products!$A$2:$A$13,0))</f>
        <v>Hydroprocessing</v>
      </c>
      <c r="F362" s="15" t="n">
        <v>10.7</v>
      </c>
      <c r="G362" s="16" t="n">
        <f aca="false">IF(A362="2025",INDEX(Products!$C$2:$C$13,MATCH(D362,Products!$A$2:$A$13,0)),INDEX(Products!$E$2:$E$13,MATCH(D362,Products!$A$2:$A$13,0)))</f>
        <v>12570</v>
      </c>
      <c r="H362" s="13" t="n">
        <f aca="false">IF(A362="2025",INDEX(Customers!$D$2:$D$41,MATCH(C362,Customers!$A$2:$A$41,0)),INDEX(Customers!$F$2:$F$41,MATCH(C362,Customers!$A$2:$A$41,0)))</f>
        <v>0.08</v>
      </c>
      <c r="I362" s="16" t="n">
        <f aca="false">F362*G362</f>
        <v>134499</v>
      </c>
      <c r="J362" s="16" t="n">
        <f aca="false">I362*(1-H362)</f>
        <v>123739.08</v>
      </c>
      <c r="K362" s="16" t="n">
        <f aca="false">J362*INDEX(Customers!$G$2:$G$41,MATCH(C362,Customers!$A$2:$A$41,0))</f>
        <v>0</v>
      </c>
      <c r="L362" s="16" t="n">
        <f aca="false">F362*INDEX(Customers!$H$2:$H$41,MATCH(C362,Customers!$A$2:$A$41,0))</f>
        <v>4173</v>
      </c>
      <c r="M362" s="16" t="n">
        <f aca="false">J362*INDEX(Customers!$I$2:$I$41,MATCH(C362,Customers!$A$2:$A$41,0))/365*Assumptions!$B$6</f>
        <v>2440.88048219178</v>
      </c>
      <c r="N362" s="16" t="n">
        <f aca="false">J362-K362-L362-M362</f>
        <v>117125.199517808</v>
      </c>
      <c r="O362" s="16" t="n">
        <f aca="false">F362*IF(A362="2025",INDEX(Products!$D$2:$D$13,MATCH(D362,Products!$A$2:$A$13,0)),INDEX(Products!$F$2:$F$13,MATCH(D362,Products!$A$2:$A$13,0)))</f>
        <v>78003</v>
      </c>
      <c r="P362" s="16" t="n">
        <f aca="false">N362-O362</f>
        <v>39122.1995178082</v>
      </c>
    </row>
    <row r="363" customFormat="false" ht="15" hidden="false" customHeight="false" outlineLevel="0" collapsed="false">
      <c r="A363" s="2" t="s">
        <v>118</v>
      </c>
      <c r="B363" s="2" t="n">
        <v>2</v>
      </c>
      <c r="C363" s="2" t="s">
        <v>68</v>
      </c>
      <c r="D363" s="2" t="s">
        <v>39</v>
      </c>
      <c r="E363" s="2" t="str">
        <f aca="false">INDEX(Products!$B$2:$B$13,MATCH(D363,Products!$A$2:$A$13,0))</f>
        <v>Hydroprocessing</v>
      </c>
      <c r="F363" s="15" t="n">
        <v>15.2</v>
      </c>
      <c r="G363" s="16" t="n">
        <f aca="false">IF(A363="2025",INDEX(Products!$C$2:$C$13,MATCH(D363,Products!$A$2:$A$13,0)),INDEX(Products!$E$2:$E$13,MATCH(D363,Products!$A$2:$A$13,0)))</f>
        <v>12570</v>
      </c>
      <c r="H363" s="13" t="n">
        <f aca="false">IF(A363="2025",INDEX(Customers!$D$2:$D$41,MATCH(C363,Customers!$A$2:$A$41,0)),INDEX(Customers!$F$2:$F$41,MATCH(C363,Customers!$A$2:$A$41,0)))</f>
        <v>0.08</v>
      </c>
      <c r="I363" s="16" t="n">
        <f aca="false">F363*G363</f>
        <v>191064</v>
      </c>
      <c r="J363" s="16" t="n">
        <f aca="false">I363*(1-H363)</f>
        <v>175778.88</v>
      </c>
      <c r="K363" s="16" t="n">
        <f aca="false">J363*INDEX(Customers!$G$2:$G$41,MATCH(C363,Customers!$A$2:$A$41,0))</f>
        <v>0</v>
      </c>
      <c r="L363" s="16" t="n">
        <f aca="false">F363*INDEX(Customers!$H$2:$H$41,MATCH(C363,Customers!$A$2:$A$41,0))</f>
        <v>5928</v>
      </c>
      <c r="M363" s="16" t="n">
        <f aca="false">J363*INDEX(Customers!$I$2:$I$41,MATCH(C363,Customers!$A$2:$A$41,0))/365*Assumptions!$B$6</f>
        <v>3467.41900273973</v>
      </c>
      <c r="N363" s="16" t="n">
        <f aca="false">J363-K363-L363-M363</f>
        <v>166383.46099726</v>
      </c>
      <c r="O363" s="16" t="n">
        <f aca="false">F363*IF(A363="2025",INDEX(Products!$D$2:$D$13,MATCH(D363,Products!$A$2:$A$13,0)),INDEX(Products!$F$2:$F$13,MATCH(D363,Products!$A$2:$A$13,0)))</f>
        <v>110808</v>
      </c>
      <c r="P363" s="16" t="n">
        <f aca="false">N363-O363</f>
        <v>55575.4609972603</v>
      </c>
    </row>
    <row r="364" customFormat="false" ht="15" hidden="false" customHeight="false" outlineLevel="0" collapsed="false">
      <c r="A364" s="2" t="s">
        <v>118</v>
      </c>
      <c r="B364" s="2" t="n">
        <v>3</v>
      </c>
      <c r="C364" s="2" t="s">
        <v>68</v>
      </c>
      <c r="D364" s="2" t="s">
        <v>39</v>
      </c>
      <c r="E364" s="2" t="str">
        <f aca="false">INDEX(Products!$B$2:$B$13,MATCH(D364,Products!$A$2:$A$13,0))</f>
        <v>Hydroprocessing</v>
      </c>
      <c r="F364" s="15" t="n">
        <v>14.3</v>
      </c>
      <c r="G364" s="16" t="n">
        <f aca="false">IF(A364="2025",INDEX(Products!$C$2:$C$13,MATCH(D364,Products!$A$2:$A$13,0)),INDEX(Products!$E$2:$E$13,MATCH(D364,Products!$A$2:$A$13,0)))</f>
        <v>12570</v>
      </c>
      <c r="H364" s="13" t="n">
        <f aca="false">IF(A364="2025",INDEX(Customers!$D$2:$D$41,MATCH(C364,Customers!$A$2:$A$41,0)),INDEX(Customers!$F$2:$F$41,MATCH(C364,Customers!$A$2:$A$41,0)))</f>
        <v>0.08</v>
      </c>
      <c r="I364" s="16" t="n">
        <f aca="false">F364*G364</f>
        <v>179751</v>
      </c>
      <c r="J364" s="16" t="n">
        <f aca="false">I364*(1-H364)</f>
        <v>165370.92</v>
      </c>
      <c r="K364" s="16" t="n">
        <f aca="false">J364*INDEX(Customers!$G$2:$G$41,MATCH(C364,Customers!$A$2:$A$41,0))</f>
        <v>0</v>
      </c>
      <c r="L364" s="16" t="n">
        <f aca="false">F364*INDEX(Customers!$H$2:$H$41,MATCH(C364,Customers!$A$2:$A$41,0))</f>
        <v>5577</v>
      </c>
      <c r="M364" s="16" t="n">
        <f aca="false">J364*INDEX(Customers!$I$2:$I$41,MATCH(C364,Customers!$A$2:$A$41,0))/365*Assumptions!$B$6</f>
        <v>3262.11129863014</v>
      </c>
      <c r="N364" s="16" t="n">
        <f aca="false">J364-K364-L364-M364</f>
        <v>156531.80870137</v>
      </c>
      <c r="O364" s="16" t="n">
        <f aca="false">F364*IF(A364="2025",INDEX(Products!$D$2:$D$13,MATCH(D364,Products!$A$2:$A$13,0)),INDEX(Products!$F$2:$F$13,MATCH(D364,Products!$A$2:$A$13,0)))</f>
        <v>104247</v>
      </c>
      <c r="P364" s="16" t="n">
        <f aca="false">N364-O364</f>
        <v>52284.8087013699</v>
      </c>
    </row>
    <row r="365" customFormat="false" ht="15" hidden="false" customHeight="false" outlineLevel="0" collapsed="false">
      <c r="A365" s="2" t="s">
        <v>118</v>
      </c>
      <c r="B365" s="2" t="n">
        <v>4</v>
      </c>
      <c r="C365" s="2" t="s">
        <v>68</v>
      </c>
      <c r="D365" s="2" t="s">
        <v>39</v>
      </c>
      <c r="E365" s="2" t="str">
        <f aca="false">INDEX(Products!$B$2:$B$13,MATCH(D365,Products!$A$2:$A$13,0))</f>
        <v>Hydroprocessing</v>
      </c>
      <c r="F365" s="15" t="n">
        <v>16.9</v>
      </c>
      <c r="G365" s="16" t="n">
        <f aca="false">IF(A365="2025",INDEX(Products!$C$2:$C$13,MATCH(D365,Products!$A$2:$A$13,0)),INDEX(Products!$E$2:$E$13,MATCH(D365,Products!$A$2:$A$13,0)))</f>
        <v>12570</v>
      </c>
      <c r="H365" s="13" t="n">
        <f aca="false">IF(A365="2025",INDEX(Customers!$D$2:$D$41,MATCH(C365,Customers!$A$2:$A$41,0)),INDEX(Customers!$F$2:$F$41,MATCH(C365,Customers!$A$2:$A$41,0)))</f>
        <v>0.08</v>
      </c>
      <c r="I365" s="16" t="n">
        <f aca="false">F365*G365</f>
        <v>212433</v>
      </c>
      <c r="J365" s="16" t="n">
        <f aca="false">I365*(1-H365)</f>
        <v>195438.36</v>
      </c>
      <c r="K365" s="16" t="n">
        <f aca="false">J365*INDEX(Customers!$G$2:$G$41,MATCH(C365,Customers!$A$2:$A$41,0))</f>
        <v>0</v>
      </c>
      <c r="L365" s="16" t="n">
        <f aca="false">F365*INDEX(Customers!$H$2:$H$41,MATCH(C365,Customers!$A$2:$A$41,0))</f>
        <v>6591</v>
      </c>
      <c r="M365" s="16" t="n">
        <f aca="false">J365*INDEX(Customers!$I$2:$I$41,MATCH(C365,Customers!$A$2:$A$41,0))/365*Assumptions!$B$6</f>
        <v>3855.22244383562</v>
      </c>
      <c r="N365" s="16" t="n">
        <f aca="false">J365-K365-L365-M365</f>
        <v>184992.137556164</v>
      </c>
      <c r="O365" s="16" t="n">
        <f aca="false">F365*IF(A365="2025",INDEX(Products!$D$2:$D$13,MATCH(D365,Products!$A$2:$A$13,0)),INDEX(Products!$F$2:$F$13,MATCH(D365,Products!$A$2:$A$13,0)))</f>
        <v>123201</v>
      </c>
      <c r="P365" s="16" t="n">
        <f aca="false">N365-O365</f>
        <v>61791.1375561644</v>
      </c>
    </row>
    <row r="366" customFormat="false" ht="15" hidden="false" customHeight="false" outlineLevel="0" collapsed="false">
      <c r="A366" s="2" t="s">
        <v>118</v>
      </c>
      <c r="B366" s="2" t="n">
        <v>5</v>
      </c>
      <c r="C366" s="2" t="s">
        <v>68</v>
      </c>
      <c r="D366" s="2" t="s">
        <v>39</v>
      </c>
      <c r="E366" s="2" t="str">
        <f aca="false">INDEX(Products!$B$2:$B$13,MATCH(D366,Products!$A$2:$A$13,0))</f>
        <v>Hydroprocessing</v>
      </c>
      <c r="F366" s="15" t="n">
        <v>10.9</v>
      </c>
      <c r="G366" s="16" t="n">
        <f aca="false">IF(A366="2025",INDEX(Products!$C$2:$C$13,MATCH(D366,Products!$A$2:$A$13,0)),INDEX(Products!$E$2:$E$13,MATCH(D366,Products!$A$2:$A$13,0)))</f>
        <v>12570</v>
      </c>
      <c r="H366" s="13" t="n">
        <f aca="false">IF(A366="2025",INDEX(Customers!$D$2:$D$41,MATCH(C366,Customers!$A$2:$A$41,0)),INDEX(Customers!$F$2:$F$41,MATCH(C366,Customers!$A$2:$A$41,0)))</f>
        <v>0.08</v>
      </c>
      <c r="I366" s="16" t="n">
        <f aca="false">F366*G366</f>
        <v>137013</v>
      </c>
      <c r="J366" s="16" t="n">
        <f aca="false">I366*(1-H366)</f>
        <v>126051.96</v>
      </c>
      <c r="K366" s="16" t="n">
        <f aca="false">J366*INDEX(Customers!$G$2:$G$41,MATCH(C366,Customers!$A$2:$A$41,0))</f>
        <v>0</v>
      </c>
      <c r="L366" s="16" t="n">
        <f aca="false">F366*INDEX(Customers!$H$2:$H$41,MATCH(C366,Customers!$A$2:$A$41,0))</f>
        <v>4251</v>
      </c>
      <c r="M366" s="16" t="n">
        <f aca="false">J366*INDEX(Customers!$I$2:$I$41,MATCH(C366,Customers!$A$2:$A$41,0))/365*Assumptions!$B$6</f>
        <v>2486.50441643836</v>
      </c>
      <c r="N366" s="16" t="n">
        <f aca="false">J366-K366-L366-M366</f>
        <v>119314.455583562</v>
      </c>
      <c r="O366" s="16" t="n">
        <f aca="false">F366*IF(A366="2025",INDEX(Products!$D$2:$D$13,MATCH(D366,Products!$A$2:$A$13,0)),INDEX(Products!$F$2:$F$13,MATCH(D366,Products!$A$2:$A$13,0)))</f>
        <v>79461</v>
      </c>
      <c r="P366" s="16" t="n">
        <f aca="false">N366-O366</f>
        <v>39853.4555835617</v>
      </c>
    </row>
    <row r="367" customFormat="false" ht="15" hidden="false" customHeight="false" outlineLevel="0" collapsed="false">
      <c r="A367" s="2" t="s">
        <v>118</v>
      </c>
      <c r="B367" s="2" t="n">
        <v>6</v>
      </c>
      <c r="C367" s="2" t="s">
        <v>68</v>
      </c>
      <c r="D367" s="2" t="s">
        <v>39</v>
      </c>
      <c r="E367" s="2" t="str">
        <f aca="false">INDEX(Products!$B$2:$B$13,MATCH(D367,Products!$A$2:$A$13,0))</f>
        <v>Hydroprocessing</v>
      </c>
      <c r="F367" s="15" t="n">
        <v>14.3</v>
      </c>
      <c r="G367" s="16" t="n">
        <f aca="false">IF(A367="2025",INDEX(Products!$C$2:$C$13,MATCH(D367,Products!$A$2:$A$13,0)),INDEX(Products!$E$2:$E$13,MATCH(D367,Products!$A$2:$A$13,0)))</f>
        <v>12570</v>
      </c>
      <c r="H367" s="13" t="n">
        <f aca="false">IF(A367="2025",INDEX(Customers!$D$2:$D$41,MATCH(C367,Customers!$A$2:$A$41,0)),INDEX(Customers!$F$2:$F$41,MATCH(C367,Customers!$A$2:$A$41,0)))</f>
        <v>0.08</v>
      </c>
      <c r="I367" s="16" t="n">
        <f aca="false">F367*G367</f>
        <v>179751</v>
      </c>
      <c r="J367" s="16" t="n">
        <f aca="false">I367*(1-H367)</f>
        <v>165370.92</v>
      </c>
      <c r="K367" s="16" t="n">
        <f aca="false">J367*INDEX(Customers!$G$2:$G$41,MATCH(C367,Customers!$A$2:$A$41,0))</f>
        <v>0</v>
      </c>
      <c r="L367" s="16" t="n">
        <f aca="false">F367*INDEX(Customers!$H$2:$H$41,MATCH(C367,Customers!$A$2:$A$41,0))</f>
        <v>5577</v>
      </c>
      <c r="M367" s="16" t="n">
        <f aca="false">J367*INDEX(Customers!$I$2:$I$41,MATCH(C367,Customers!$A$2:$A$41,0))/365*Assumptions!$B$6</f>
        <v>3262.11129863014</v>
      </c>
      <c r="N367" s="16" t="n">
        <f aca="false">J367-K367-L367-M367</f>
        <v>156531.80870137</v>
      </c>
      <c r="O367" s="16" t="n">
        <f aca="false">F367*IF(A367="2025",INDEX(Products!$D$2:$D$13,MATCH(D367,Products!$A$2:$A$13,0)),INDEX(Products!$F$2:$F$13,MATCH(D367,Products!$A$2:$A$13,0)))</f>
        <v>104247</v>
      </c>
      <c r="P367" s="16" t="n">
        <f aca="false">N367-O367</f>
        <v>52284.8087013699</v>
      </c>
    </row>
    <row r="368" customFormat="false" ht="15" hidden="false" customHeight="false" outlineLevel="0" collapsed="false">
      <c r="A368" s="2" t="s">
        <v>118</v>
      </c>
      <c r="B368" s="2" t="n">
        <v>7</v>
      </c>
      <c r="C368" s="2" t="s">
        <v>68</v>
      </c>
      <c r="D368" s="2" t="s">
        <v>39</v>
      </c>
      <c r="E368" s="2" t="str">
        <f aca="false">INDEX(Products!$B$2:$B$13,MATCH(D368,Products!$A$2:$A$13,0))</f>
        <v>Hydroprocessing</v>
      </c>
      <c r="F368" s="15" t="n">
        <v>17.2</v>
      </c>
      <c r="G368" s="16" t="n">
        <f aca="false">IF(A368="2025",INDEX(Products!$C$2:$C$13,MATCH(D368,Products!$A$2:$A$13,0)),INDEX(Products!$E$2:$E$13,MATCH(D368,Products!$A$2:$A$13,0)))</f>
        <v>12570</v>
      </c>
      <c r="H368" s="13" t="n">
        <f aca="false">IF(A368="2025",INDEX(Customers!$D$2:$D$41,MATCH(C368,Customers!$A$2:$A$41,0)),INDEX(Customers!$F$2:$F$41,MATCH(C368,Customers!$A$2:$A$41,0)))</f>
        <v>0.08</v>
      </c>
      <c r="I368" s="16" t="n">
        <f aca="false">F368*G368</f>
        <v>216204</v>
      </c>
      <c r="J368" s="16" t="n">
        <f aca="false">I368*(1-H368)</f>
        <v>198907.68</v>
      </c>
      <c r="K368" s="16" t="n">
        <f aca="false">J368*INDEX(Customers!$G$2:$G$41,MATCH(C368,Customers!$A$2:$A$41,0))</f>
        <v>0</v>
      </c>
      <c r="L368" s="16" t="n">
        <f aca="false">F368*INDEX(Customers!$H$2:$H$41,MATCH(C368,Customers!$A$2:$A$41,0))</f>
        <v>6708</v>
      </c>
      <c r="M368" s="16" t="n">
        <f aca="false">J368*INDEX(Customers!$I$2:$I$41,MATCH(C368,Customers!$A$2:$A$41,0))/365*Assumptions!$B$6</f>
        <v>3923.65834520548</v>
      </c>
      <c r="N368" s="16" t="n">
        <f aca="false">J368-K368-L368-M368</f>
        <v>188276.021654795</v>
      </c>
      <c r="O368" s="16" t="n">
        <f aca="false">F368*IF(A368="2025",INDEX(Products!$D$2:$D$13,MATCH(D368,Products!$A$2:$A$13,0)),INDEX(Products!$F$2:$F$13,MATCH(D368,Products!$A$2:$A$13,0)))</f>
        <v>125388</v>
      </c>
      <c r="P368" s="16" t="n">
        <f aca="false">N368-O368</f>
        <v>62888.0216547945</v>
      </c>
    </row>
    <row r="369" customFormat="false" ht="15" hidden="false" customHeight="false" outlineLevel="0" collapsed="false">
      <c r="A369" s="2" t="s">
        <v>118</v>
      </c>
      <c r="B369" s="2" t="n">
        <v>8</v>
      </c>
      <c r="C369" s="2" t="s">
        <v>68</v>
      </c>
      <c r="D369" s="2" t="s">
        <v>39</v>
      </c>
      <c r="E369" s="2" t="str">
        <f aca="false">INDEX(Products!$B$2:$B$13,MATCH(D369,Products!$A$2:$A$13,0))</f>
        <v>Hydroprocessing</v>
      </c>
      <c r="F369" s="15" t="n">
        <v>15.8</v>
      </c>
      <c r="G369" s="16" t="n">
        <f aca="false">IF(A369="2025",INDEX(Products!$C$2:$C$13,MATCH(D369,Products!$A$2:$A$13,0)),INDEX(Products!$E$2:$E$13,MATCH(D369,Products!$A$2:$A$13,0)))</f>
        <v>12570</v>
      </c>
      <c r="H369" s="13" t="n">
        <f aca="false">IF(A369="2025",INDEX(Customers!$D$2:$D$41,MATCH(C369,Customers!$A$2:$A$41,0)),INDEX(Customers!$F$2:$F$41,MATCH(C369,Customers!$A$2:$A$41,0)))</f>
        <v>0.08</v>
      </c>
      <c r="I369" s="16" t="n">
        <f aca="false">F369*G369</f>
        <v>198606</v>
      </c>
      <c r="J369" s="16" t="n">
        <f aca="false">I369*(1-H369)</f>
        <v>182717.52</v>
      </c>
      <c r="K369" s="16" t="n">
        <f aca="false">J369*INDEX(Customers!$G$2:$G$41,MATCH(C369,Customers!$A$2:$A$41,0))</f>
        <v>0</v>
      </c>
      <c r="L369" s="16" t="n">
        <f aca="false">F369*INDEX(Customers!$H$2:$H$41,MATCH(C369,Customers!$A$2:$A$41,0))</f>
        <v>6162</v>
      </c>
      <c r="M369" s="16" t="n">
        <f aca="false">J369*INDEX(Customers!$I$2:$I$41,MATCH(C369,Customers!$A$2:$A$41,0))/365*Assumptions!$B$6</f>
        <v>3604.29080547945</v>
      </c>
      <c r="N369" s="16" t="n">
        <f aca="false">J369-K369-L369-M369</f>
        <v>172951.229194521</v>
      </c>
      <c r="O369" s="16" t="n">
        <f aca="false">F369*IF(A369="2025",INDEX(Products!$D$2:$D$13,MATCH(D369,Products!$A$2:$A$13,0)),INDEX(Products!$F$2:$F$13,MATCH(D369,Products!$A$2:$A$13,0)))</f>
        <v>115182</v>
      </c>
      <c r="P369" s="16" t="n">
        <f aca="false">N369-O369</f>
        <v>57769.2291945206</v>
      </c>
    </row>
    <row r="370" customFormat="false" ht="15" hidden="false" customHeight="false" outlineLevel="0" collapsed="false">
      <c r="A370" s="2" t="s">
        <v>118</v>
      </c>
      <c r="B370" s="2" t="n">
        <v>9</v>
      </c>
      <c r="C370" s="2" t="s">
        <v>68</v>
      </c>
      <c r="D370" s="2" t="s">
        <v>39</v>
      </c>
      <c r="E370" s="2" t="str">
        <f aca="false">INDEX(Products!$B$2:$B$13,MATCH(D370,Products!$A$2:$A$13,0))</f>
        <v>Hydroprocessing</v>
      </c>
      <c r="F370" s="15" t="n">
        <v>11.3</v>
      </c>
      <c r="G370" s="16" t="n">
        <f aca="false">IF(A370="2025",INDEX(Products!$C$2:$C$13,MATCH(D370,Products!$A$2:$A$13,0)),INDEX(Products!$E$2:$E$13,MATCH(D370,Products!$A$2:$A$13,0)))</f>
        <v>12570</v>
      </c>
      <c r="H370" s="13" t="n">
        <f aca="false">IF(A370="2025",INDEX(Customers!$D$2:$D$41,MATCH(C370,Customers!$A$2:$A$41,0)),INDEX(Customers!$F$2:$F$41,MATCH(C370,Customers!$A$2:$A$41,0)))</f>
        <v>0.08</v>
      </c>
      <c r="I370" s="16" t="n">
        <f aca="false">F370*G370</f>
        <v>142041</v>
      </c>
      <c r="J370" s="16" t="n">
        <f aca="false">I370*(1-H370)</f>
        <v>130677.72</v>
      </c>
      <c r="K370" s="16" t="n">
        <f aca="false">J370*INDEX(Customers!$G$2:$G$41,MATCH(C370,Customers!$A$2:$A$41,0))</f>
        <v>0</v>
      </c>
      <c r="L370" s="16" t="n">
        <f aca="false">F370*INDEX(Customers!$H$2:$H$41,MATCH(C370,Customers!$A$2:$A$41,0))</f>
        <v>4407</v>
      </c>
      <c r="M370" s="16" t="n">
        <f aca="false">J370*INDEX(Customers!$I$2:$I$41,MATCH(C370,Customers!$A$2:$A$41,0))/365*Assumptions!$B$6</f>
        <v>2577.75228493151</v>
      </c>
      <c r="N370" s="16" t="n">
        <f aca="false">J370-K370-L370-M370</f>
        <v>123692.967715068</v>
      </c>
      <c r="O370" s="16" t="n">
        <f aca="false">F370*IF(A370="2025",INDEX(Products!$D$2:$D$13,MATCH(D370,Products!$A$2:$A$13,0)),INDEX(Products!$F$2:$F$13,MATCH(D370,Products!$A$2:$A$13,0)))</f>
        <v>82377</v>
      </c>
      <c r="P370" s="16" t="n">
        <f aca="false">N370-O370</f>
        <v>41315.9677150685</v>
      </c>
    </row>
    <row r="371" customFormat="false" ht="15" hidden="false" customHeight="false" outlineLevel="0" collapsed="false">
      <c r="A371" s="2" t="s">
        <v>118</v>
      </c>
      <c r="B371" s="2" t="n">
        <v>10</v>
      </c>
      <c r="C371" s="2" t="s">
        <v>68</v>
      </c>
      <c r="D371" s="2" t="s">
        <v>39</v>
      </c>
      <c r="E371" s="2" t="str">
        <f aca="false">INDEX(Products!$B$2:$B$13,MATCH(D371,Products!$A$2:$A$13,0))</f>
        <v>Hydroprocessing</v>
      </c>
      <c r="F371" s="15" t="n">
        <v>17.1</v>
      </c>
      <c r="G371" s="16" t="n">
        <f aca="false">IF(A371="2025",INDEX(Products!$C$2:$C$13,MATCH(D371,Products!$A$2:$A$13,0)),INDEX(Products!$E$2:$E$13,MATCH(D371,Products!$A$2:$A$13,0)))</f>
        <v>12570</v>
      </c>
      <c r="H371" s="13" t="n">
        <f aca="false">IF(A371="2025",INDEX(Customers!$D$2:$D$41,MATCH(C371,Customers!$A$2:$A$41,0)),INDEX(Customers!$F$2:$F$41,MATCH(C371,Customers!$A$2:$A$41,0)))</f>
        <v>0.08</v>
      </c>
      <c r="I371" s="16" t="n">
        <f aca="false">F371*G371</f>
        <v>214947</v>
      </c>
      <c r="J371" s="16" t="n">
        <f aca="false">I371*(1-H371)</f>
        <v>197751.24</v>
      </c>
      <c r="K371" s="16" t="n">
        <f aca="false">J371*INDEX(Customers!$G$2:$G$41,MATCH(C371,Customers!$A$2:$A$41,0))</f>
        <v>0</v>
      </c>
      <c r="L371" s="16" t="n">
        <f aca="false">F371*INDEX(Customers!$H$2:$H$41,MATCH(C371,Customers!$A$2:$A$41,0))</f>
        <v>6669</v>
      </c>
      <c r="M371" s="16" t="n">
        <f aca="false">J371*INDEX(Customers!$I$2:$I$41,MATCH(C371,Customers!$A$2:$A$41,0))/365*Assumptions!$B$6</f>
        <v>3900.84637808219</v>
      </c>
      <c r="N371" s="16" t="n">
        <f aca="false">J371-K371-L371-M371</f>
        <v>187181.393621918</v>
      </c>
      <c r="O371" s="16" t="n">
        <f aca="false">F371*IF(A371="2025",INDEX(Products!$D$2:$D$13,MATCH(D371,Products!$A$2:$A$13,0)),INDEX(Products!$F$2:$F$13,MATCH(D371,Products!$A$2:$A$13,0)))</f>
        <v>124659</v>
      </c>
      <c r="P371" s="16" t="n">
        <f aca="false">N371-O371</f>
        <v>62522.3936219178</v>
      </c>
    </row>
    <row r="372" customFormat="false" ht="15" hidden="false" customHeight="false" outlineLevel="0" collapsed="false">
      <c r="A372" s="2" t="s">
        <v>118</v>
      </c>
      <c r="B372" s="2" t="n">
        <v>11</v>
      </c>
      <c r="C372" s="2" t="s">
        <v>68</v>
      </c>
      <c r="D372" s="2" t="s">
        <v>39</v>
      </c>
      <c r="E372" s="2" t="str">
        <f aca="false">INDEX(Products!$B$2:$B$13,MATCH(D372,Products!$A$2:$A$13,0))</f>
        <v>Hydroprocessing</v>
      </c>
      <c r="F372" s="15" t="n">
        <v>11.9</v>
      </c>
      <c r="G372" s="16" t="n">
        <f aca="false">IF(A372="2025",INDEX(Products!$C$2:$C$13,MATCH(D372,Products!$A$2:$A$13,0)),INDEX(Products!$E$2:$E$13,MATCH(D372,Products!$A$2:$A$13,0)))</f>
        <v>12570</v>
      </c>
      <c r="H372" s="13" t="n">
        <f aca="false">IF(A372="2025",INDEX(Customers!$D$2:$D$41,MATCH(C372,Customers!$A$2:$A$41,0)),INDEX(Customers!$F$2:$F$41,MATCH(C372,Customers!$A$2:$A$41,0)))</f>
        <v>0.08</v>
      </c>
      <c r="I372" s="16" t="n">
        <f aca="false">F372*G372</f>
        <v>149583</v>
      </c>
      <c r="J372" s="16" t="n">
        <f aca="false">I372*(1-H372)</f>
        <v>137616.36</v>
      </c>
      <c r="K372" s="16" t="n">
        <f aca="false">J372*INDEX(Customers!$G$2:$G$41,MATCH(C372,Customers!$A$2:$A$41,0))</f>
        <v>0</v>
      </c>
      <c r="L372" s="16" t="n">
        <f aca="false">F372*INDEX(Customers!$H$2:$H$41,MATCH(C372,Customers!$A$2:$A$41,0))</f>
        <v>4641</v>
      </c>
      <c r="M372" s="16" t="n">
        <f aca="false">J372*INDEX(Customers!$I$2:$I$41,MATCH(C372,Customers!$A$2:$A$41,0))/365*Assumptions!$B$6</f>
        <v>2714.62408767123</v>
      </c>
      <c r="N372" s="16" t="n">
        <f aca="false">J372-K372-L372-M372</f>
        <v>130260.735912329</v>
      </c>
      <c r="O372" s="16" t="n">
        <f aca="false">F372*IF(A372="2025",INDEX(Products!$D$2:$D$13,MATCH(D372,Products!$A$2:$A$13,0)),INDEX(Products!$F$2:$F$13,MATCH(D372,Products!$A$2:$A$13,0)))</f>
        <v>86751</v>
      </c>
      <c r="P372" s="16" t="n">
        <f aca="false">N372-O372</f>
        <v>43509.7359123288</v>
      </c>
    </row>
    <row r="373" customFormat="false" ht="15" hidden="false" customHeight="false" outlineLevel="0" collapsed="false">
      <c r="A373" s="2" t="s">
        <v>118</v>
      </c>
      <c r="B373" s="2" t="n">
        <v>12</v>
      </c>
      <c r="C373" s="2" t="s">
        <v>68</v>
      </c>
      <c r="D373" s="2" t="s">
        <v>39</v>
      </c>
      <c r="E373" s="2" t="str">
        <f aca="false">INDEX(Products!$B$2:$B$13,MATCH(D373,Products!$A$2:$A$13,0))</f>
        <v>Hydroprocessing</v>
      </c>
      <c r="F373" s="15" t="n">
        <v>10.5</v>
      </c>
      <c r="G373" s="16" t="n">
        <f aca="false">IF(A373="2025",INDEX(Products!$C$2:$C$13,MATCH(D373,Products!$A$2:$A$13,0)),INDEX(Products!$E$2:$E$13,MATCH(D373,Products!$A$2:$A$13,0)))</f>
        <v>12570</v>
      </c>
      <c r="H373" s="13" t="n">
        <f aca="false">IF(A373="2025",INDEX(Customers!$D$2:$D$41,MATCH(C373,Customers!$A$2:$A$41,0)),INDEX(Customers!$F$2:$F$41,MATCH(C373,Customers!$A$2:$A$41,0)))</f>
        <v>0.08</v>
      </c>
      <c r="I373" s="16" t="n">
        <f aca="false">F373*G373</f>
        <v>131985</v>
      </c>
      <c r="J373" s="16" t="n">
        <f aca="false">I373*(1-H373)</f>
        <v>121426.2</v>
      </c>
      <c r="K373" s="16" t="n">
        <f aca="false">J373*INDEX(Customers!$G$2:$G$41,MATCH(C373,Customers!$A$2:$A$41,0))</f>
        <v>0</v>
      </c>
      <c r="L373" s="16" t="n">
        <f aca="false">F373*INDEX(Customers!$H$2:$H$41,MATCH(C373,Customers!$A$2:$A$41,0))</f>
        <v>4095</v>
      </c>
      <c r="M373" s="16" t="n">
        <f aca="false">J373*INDEX(Customers!$I$2:$I$41,MATCH(C373,Customers!$A$2:$A$41,0))/365*Assumptions!$B$6</f>
        <v>2395.25654794521</v>
      </c>
      <c r="N373" s="16" t="n">
        <f aca="false">J373-K373-L373-M373</f>
        <v>114935.943452055</v>
      </c>
      <c r="O373" s="16" t="n">
        <f aca="false">F373*IF(A373="2025",INDEX(Products!$D$2:$D$13,MATCH(D373,Products!$A$2:$A$13,0)),INDEX(Products!$F$2:$F$13,MATCH(D373,Products!$A$2:$A$13,0)))</f>
        <v>76545</v>
      </c>
      <c r="P373" s="16" t="n">
        <f aca="false">N373-O373</f>
        <v>38390.9434520548</v>
      </c>
    </row>
    <row r="374" customFormat="false" ht="15" hidden="false" customHeight="false" outlineLevel="0" collapsed="false">
      <c r="A374" s="2" t="s">
        <v>119</v>
      </c>
      <c r="B374" s="2" t="n">
        <v>1</v>
      </c>
      <c r="C374" s="2" t="s">
        <v>68</v>
      </c>
      <c r="D374" s="2" t="s">
        <v>39</v>
      </c>
      <c r="E374" s="2" t="str">
        <f aca="false">INDEX(Products!$B$2:$B$13,MATCH(D374,Products!$A$2:$A$13,0))</f>
        <v>Hydroprocessing</v>
      </c>
      <c r="F374" s="15" t="n">
        <v>9.2</v>
      </c>
      <c r="G374" s="16" t="n">
        <f aca="false">IF(A374="2025",INDEX(Products!$C$2:$C$13,MATCH(D374,Products!$A$2:$A$13,0)),INDEX(Products!$E$2:$E$13,MATCH(D374,Products!$A$2:$A$13,0)))</f>
        <v>13198.5</v>
      </c>
      <c r="H374" s="13" t="n">
        <f aca="false">IF(A374="2025",INDEX(Customers!$D$2:$D$41,MATCH(C374,Customers!$A$2:$A$41,0)),INDEX(Customers!$F$2:$F$41,MATCH(C374,Customers!$A$2:$A$41,0)))</f>
        <v>0.08</v>
      </c>
      <c r="I374" s="16" t="n">
        <f aca="false">F374*G374</f>
        <v>121426.2</v>
      </c>
      <c r="J374" s="16" t="n">
        <f aca="false">I374*(1-H374)</f>
        <v>111712.104</v>
      </c>
      <c r="K374" s="16" t="n">
        <f aca="false">J374*INDEX(Customers!$G$2:$G$41,MATCH(C374,Customers!$A$2:$A$41,0))</f>
        <v>0</v>
      </c>
      <c r="L374" s="16" t="n">
        <f aca="false">F374*INDEX(Customers!$H$2:$H$41,MATCH(C374,Customers!$A$2:$A$41,0))</f>
        <v>3588</v>
      </c>
      <c r="M374" s="16" t="n">
        <f aca="false">J374*INDEX(Customers!$I$2:$I$41,MATCH(C374,Customers!$A$2:$A$41,0))/365*Assumptions!$B$6</f>
        <v>2203.63602410959</v>
      </c>
      <c r="N374" s="16" t="n">
        <f aca="false">J374-K374-L374-M374</f>
        <v>105920.46797589</v>
      </c>
      <c r="O374" s="16" t="n">
        <f aca="false">F374*IF(A374="2025",INDEX(Products!$D$2:$D$13,MATCH(D374,Products!$A$2:$A$13,0)),INDEX(Products!$F$2:$F$13,MATCH(D374,Products!$A$2:$A$13,0)))</f>
        <v>69080.04</v>
      </c>
      <c r="P374" s="16" t="n">
        <f aca="false">N374-O374</f>
        <v>36840.4279758904</v>
      </c>
    </row>
    <row r="375" customFormat="false" ht="15" hidden="false" customHeight="false" outlineLevel="0" collapsed="false">
      <c r="A375" s="2" t="s">
        <v>119</v>
      </c>
      <c r="B375" s="2" t="n">
        <v>2</v>
      </c>
      <c r="C375" s="2" t="s">
        <v>68</v>
      </c>
      <c r="D375" s="2" t="s">
        <v>39</v>
      </c>
      <c r="E375" s="2" t="str">
        <f aca="false">INDEX(Products!$B$2:$B$13,MATCH(D375,Products!$A$2:$A$13,0))</f>
        <v>Hydroprocessing</v>
      </c>
      <c r="F375" s="15" t="n">
        <v>14.3</v>
      </c>
      <c r="G375" s="16" t="n">
        <f aca="false">IF(A375="2025",INDEX(Products!$C$2:$C$13,MATCH(D375,Products!$A$2:$A$13,0)),INDEX(Products!$E$2:$E$13,MATCH(D375,Products!$A$2:$A$13,0)))</f>
        <v>13198.5</v>
      </c>
      <c r="H375" s="13" t="n">
        <f aca="false">IF(A375="2025",INDEX(Customers!$D$2:$D$41,MATCH(C375,Customers!$A$2:$A$41,0)),INDEX(Customers!$F$2:$F$41,MATCH(C375,Customers!$A$2:$A$41,0)))</f>
        <v>0.08</v>
      </c>
      <c r="I375" s="16" t="n">
        <f aca="false">F375*G375</f>
        <v>188738.55</v>
      </c>
      <c r="J375" s="16" t="n">
        <f aca="false">I375*(1-H375)</f>
        <v>173639.466</v>
      </c>
      <c r="K375" s="16" t="n">
        <f aca="false">J375*INDEX(Customers!$G$2:$G$41,MATCH(C375,Customers!$A$2:$A$41,0))</f>
        <v>0</v>
      </c>
      <c r="L375" s="16" t="n">
        <f aca="false">F375*INDEX(Customers!$H$2:$H$41,MATCH(C375,Customers!$A$2:$A$41,0))</f>
        <v>5577</v>
      </c>
      <c r="M375" s="16" t="n">
        <f aca="false">J375*INDEX(Customers!$I$2:$I$41,MATCH(C375,Customers!$A$2:$A$41,0))/365*Assumptions!$B$6</f>
        <v>3425.21686356164</v>
      </c>
      <c r="N375" s="16" t="n">
        <f aca="false">J375-K375-L375-M375</f>
        <v>164637.249136438</v>
      </c>
      <c r="O375" s="16" t="n">
        <f aca="false">F375*IF(A375="2025",INDEX(Products!$D$2:$D$13,MATCH(D375,Products!$A$2:$A$13,0)),INDEX(Products!$F$2:$F$13,MATCH(D375,Products!$A$2:$A$13,0)))</f>
        <v>107374.41</v>
      </c>
      <c r="P375" s="16" t="n">
        <f aca="false">N375-O375</f>
        <v>57262.8391364384</v>
      </c>
    </row>
    <row r="376" customFormat="false" ht="15" hidden="false" customHeight="false" outlineLevel="0" collapsed="false">
      <c r="A376" s="2" t="s">
        <v>119</v>
      </c>
      <c r="B376" s="2" t="n">
        <v>3</v>
      </c>
      <c r="C376" s="2" t="s">
        <v>68</v>
      </c>
      <c r="D376" s="2" t="s">
        <v>39</v>
      </c>
      <c r="E376" s="2" t="str">
        <f aca="false">INDEX(Products!$B$2:$B$13,MATCH(D376,Products!$A$2:$A$13,0))</f>
        <v>Hydroprocessing</v>
      </c>
      <c r="F376" s="15" t="n">
        <v>14.7</v>
      </c>
      <c r="G376" s="16" t="n">
        <f aca="false">IF(A376="2025",INDEX(Products!$C$2:$C$13,MATCH(D376,Products!$A$2:$A$13,0)),INDEX(Products!$E$2:$E$13,MATCH(D376,Products!$A$2:$A$13,0)))</f>
        <v>13198.5</v>
      </c>
      <c r="H376" s="13" t="n">
        <f aca="false">IF(A376="2025",INDEX(Customers!$D$2:$D$41,MATCH(C376,Customers!$A$2:$A$41,0)),INDEX(Customers!$F$2:$F$41,MATCH(C376,Customers!$A$2:$A$41,0)))</f>
        <v>0.08</v>
      </c>
      <c r="I376" s="16" t="n">
        <f aca="false">F376*G376</f>
        <v>194017.95</v>
      </c>
      <c r="J376" s="16" t="n">
        <f aca="false">I376*(1-H376)</f>
        <v>178496.514</v>
      </c>
      <c r="K376" s="16" t="n">
        <f aca="false">J376*INDEX(Customers!$G$2:$G$41,MATCH(C376,Customers!$A$2:$A$41,0))</f>
        <v>0</v>
      </c>
      <c r="L376" s="16" t="n">
        <f aca="false">F376*INDEX(Customers!$H$2:$H$41,MATCH(C376,Customers!$A$2:$A$41,0))</f>
        <v>5733</v>
      </c>
      <c r="M376" s="16" t="n">
        <f aca="false">J376*INDEX(Customers!$I$2:$I$41,MATCH(C376,Customers!$A$2:$A$41,0))/365*Assumptions!$B$6</f>
        <v>3521.02712547945</v>
      </c>
      <c r="N376" s="16" t="n">
        <f aca="false">J376-K376-L376-M376</f>
        <v>169242.486874521</v>
      </c>
      <c r="O376" s="16" t="n">
        <f aca="false">F376*IF(A376="2025",INDEX(Products!$D$2:$D$13,MATCH(D376,Products!$A$2:$A$13,0)),INDEX(Products!$F$2:$F$13,MATCH(D376,Products!$A$2:$A$13,0)))</f>
        <v>110377.89</v>
      </c>
      <c r="P376" s="16" t="n">
        <f aca="false">N376-O376</f>
        <v>58864.5968745206</v>
      </c>
    </row>
    <row r="377" customFormat="false" ht="15" hidden="false" customHeight="false" outlineLevel="0" collapsed="false">
      <c r="A377" s="2" t="s">
        <v>119</v>
      </c>
      <c r="B377" s="2" t="n">
        <v>4</v>
      </c>
      <c r="C377" s="2" t="s">
        <v>68</v>
      </c>
      <c r="D377" s="2" t="s">
        <v>39</v>
      </c>
      <c r="E377" s="2" t="str">
        <f aca="false">INDEX(Products!$B$2:$B$13,MATCH(D377,Products!$A$2:$A$13,0))</f>
        <v>Hydroprocessing</v>
      </c>
      <c r="F377" s="15" t="n">
        <v>15</v>
      </c>
      <c r="G377" s="16" t="n">
        <f aca="false">IF(A377="2025",INDEX(Products!$C$2:$C$13,MATCH(D377,Products!$A$2:$A$13,0)),INDEX(Products!$E$2:$E$13,MATCH(D377,Products!$A$2:$A$13,0)))</f>
        <v>13198.5</v>
      </c>
      <c r="H377" s="13" t="n">
        <f aca="false">IF(A377="2025",INDEX(Customers!$D$2:$D$41,MATCH(C377,Customers!$A$2:$A$41,0)),INDEX(Customers!$F$2:$F$41,MATCH(C377,Customers!$A$2:$A$41,0)))</f>
        <v>0.08</v>
      </c>
      <c r="I377" s="16" t="n">
        <f aca="false">F377*G377</f>
        <v>197977.5</v>
      </c>
      <c r="J377" s="16" t="n">
        <f aca="false">I377*(1-H377)</f>
        <v>182139.3</v>
      </c>
      <c r="K377" s="16" t="n">
        <f aca="false">J377*INDEX(Customers!$G$2:$G$41,MATCH(C377,Customers!$A$2:$A$41,0))</f>
        <v>0</v>
      </c>
      <c r="L377" s="16" t="n">
        <f aca="false">F377*INDEX(Customers!$H$2:$H$41,MATCH(C377,Customers!$A$2:$A$41,0))</f>
        <v>5850</v>
      </c>
      <c r="M377" s="16" t="n">
        <f aca="false">J377*INDEX(Customers!$I$2:$I$41,MATCH(C377,Customers!$A$2:$A$41,0))/365*Assumptions!$B$6</f>
        <v>3592.88482191781</v>
      </c>
      <c r="N377" s="16" t="n">
        <f aca="false">J377-K377-L377-M377</f>
        <v>172696.415178082</v>
      </c>
      <c r="O377" s="16" t="n">
        <f aca="false">F377*IF(A377="2025",INDEX(Products!$D$2:$D$13,MATCH(D377,Products!$A$2:$A$13,0)),INDEX(Products!$F$2:$F$13,MATCH(D377,Products!$A$2:$A$13,0)))</f>
        <v>112630.5</v>
      </c>
      <c r="P377" s="16" t="n">
        <f aca="false">N377-O377</f>
        <v>60065.9151780822</v>
      </c>
    </row>
    <row r="378" customFormat="false" ht="15" hidden="false" customHeight="false" outlineLevel="0" collapsed="false">
      <c r="A378" s="2" t="s">
        <v>119</v>
      </c>
      <c r="B378" s="2" t="n">
        <v>5</v>
      </c>
      <c r="C378" s="2" t="s">
        <v>68</v>
      </c>
      <c r="D378" s="2" t="s">
        <v>39</v>
      </c>
      <c r="E378" s="2" t="str">
        <f aca="false">INDEX(Products!$B$2:$B$13,MATCH(D378,Products!$A$2:$A$13,0))</f>
        <v>Hydroprocessing</v>
      </c>
      <c r="F378" s="15" t="n">
        <v>14.1</v>
      </c>
      <c r="G378" s="16" t="n">
        <f aca="false">IF(A378="2025",INDEX(Products!$C$2:$C$13,MATCH(D378,Products!$A$2:$A$13,0)),INDEX(Products!$E$2:$E$13,MATCH(D378,Products!$A$2:$A$13,0)))</f>
        <v>13198.5</v>
      </c>
      <c r="H378" s="13" t="n">
        <f aca="false">IF(A378="2025",INDEX(Customers!$D$2:$D$41,MATCH(C378,Customers!$A$2:$A$41,0)),INDEX(Customers!$F$2:$F$41,MATCH(C378,Customers!$A$2:$A$41,0)))</f>
        <v>0.08</v>
      </c>
      <c r="I378" s="16" t="n">
        <f aca="false">F378*G378</f>
        <v>186098.85</v>
      </c>
      <c r="J378" s="16" t="n">
        <f aca="false">I378*(1-H378)</f>
        <v>171210.942</v>
      </c>
      <c r="K378" s="16" t="n">
        <f aca="false">J378*INDEX(Customers!$G$2:$G$41,MATCH(C378,Customers!$A$2:$A$41,0))</f>
        <v>0</v>
      </c>
      <c r="L378" s="16" t="n">
        <f aca="false">F378*INDEX(Customers!$H$2:$H$41,MATCH(C378,Customers!$A$2:$A$41,0))</f>
        <v>5499</v>
      </c>
      <c r="M378" s="16" t="n">
        <f aca="false">J378*INDEX(Customers!$I$2:$I$41,MATCH(C378,Customers!$A$2:$A$41,0))/365*Assumptions!$B$6</f>
        <v>3377.31173260274</v>
      </c>
      <c r="N378" s="16" t="n">
        <f aca="false">J378-K378-L378-M378</f>
        <v>162334.630267397</v>
      </c>
      <c r="O378" s="16" t="n">
        <f aca="false">F378*IF(A378="2025",INDEX(Products!$D$2:$D$13,MATCH(D378,Products!$A$2:$A$13,0)),INDEX(Products!$F$2:$F$13,MATCH(D378,Products!$A$2:$A$13,0)))</f>
        <v>105872.67</v>
      </c>
      <c r="P378" s="16" t="n">
        <f aca="false">N378-O378</f>
        <v>56461.9602673973</v>
      </c>
    </row>
    <row r="379" customFormat="false" ht="15" hidden="false" customHeight="false" outlineLevel="0" collapsed="false">
      <c r="A379" s="2" t="s">
        <v>119</v>
      </c>
      <c r="B379" s="2" t="n">
        <v>6</v>
      </c>
      <c r="C379" s="2" t="s">
        <v>68</v>
      </c>
      <c r="D379" s="2" t="s">
        <v>39</v>
      </c>
      <c r="E379" s="2" t="str">
        <f aca="false">INDEX(Products!$B$2:$B$13,MATCH(D379,Products!$A$2:$A$13,0))</f>
        <v>Hydroprocessing</v>
      </c>
      <c r="F379" s="15" t="n">
        <v>15.1</v>
      </c>
      <c r="G379" s="16" t="n">
        <f aca="false">IF(A379="2025",INDEX(Products!$C$2:$C$13,MATCH(D379,Products!$A$2:$A$13,0)),INDEX(Products!$E$2:$E$13,MATCH(D379,Products!$A$2:$A$13,0)))</f>
        <v>13198.5</v>
      </c>
      <c r="H379" s="13" t="n">
        <f aca="false">IF(A379="2025",INDEX(Customers!$D$2:$D$41,MATCH(C379,Customers!$A$2:$A$41,0)),INDEX(Customers!$F$2:$F$41,MATCH(C379,Customers!$A$2:$A$41,0)))</f>
        <v>0.08</v>
      </c>
      <c r="I379" s="16" t="n">
        <f aca="false">F379*G379</f>
        <v>199297.35</v>
      </c>
      <c r="J379" s="16" t="n">
        <f aca="false">I379*(1-H379)</f>
        <v>183353.562</v>
      </c>
      <c r="K379" s="16" t="n">
        <f aca="false">J379*INDEX(Customers!$G$2:$G$41,MATCH(C379,Customers!$A$2:$A$41,0))</f>
        <v>0</v>
      </c>
      <c r="L379" s="16" t="n">
        <f aca="false">F379*INDEX(Customers!$H$2:$H$41,MATCH(C379,Customers!$A$2:$A$41,0))</f>
        <v>5889</v>
      </c>
      <c r="M379" s="16" t="n">
        <f aca="false">J379*INDEX(Customers!$I$2:$I$41,MATCH(C379,Customers!$A$2:$A$41,0))/365*Assumptions!$B$6</f>
        <v>3616.83738739726</v>
      </c>
      <c r="N379" s="16" t="n">
        <f aca="false">J379-K379-L379-M379</f>
        <v>173847.724612603</v>
      </c>
      <c r="O379" s="16" t="n">
        <f aca="false">F379*IF(A379="2025",INDEX(Products!$D$2:$D$13,MATCH(D379,Products!$A$2:$A$13,0)),INDEX(Products!$F$2:$F$13,MATCH(D379,Products!$A$2:$A$13,0)))</f>
        <v>113381.37</v>
      </c>
      <c r="P379" s="16" t="n">
        <f aca="false">N379-O379</f>
        <v>60466.3546126027</v>
      </c>
    </row>
    <row r="380" customFormat="false" ht="15" hidden="false" customHeight="false" outlineLevel="0" collapsed="false">
      <c r="A380" s="2" t="s">
        <v>119</v>
      </c>
      <c r="B380" s="2" t="n">
        <v>7</v>
      </c>
      <c r="C380" s="2" t="s">
        <v>68</v>
      </c>
      <c r="D380" s="2" t="s">
        <v>39</v>
      </c>
      <c r="E380" s="2" t="str">
        <f aca="false">INDEX(Products!$B$2:$B$13,MATCH(D380,Products!$A$2:$A$13,0))</f>
        <v>Hydroprocessing</v>
      </c>
      <c r="F380" s="15" t="n">
        <v>15.3</v>
      </c>
      <c r="G380" s="16" t="n">
        <f aca="false">IF(A380="2025",INDEX(Products!$C$2:$C$13,MATCH(D380,Products!$A$2:$A$13,0)),INDEX(Products!$E$2:$E$13,MATCH(D380,Products!$A$2:$A$13,0)))</f>
        <v>13198.5</v>
      </c>
      <c r="H380" s="13" t="n">
        <f aca="false">IF(A380="2025",INDEX(Customers!$D$2:$D$41,MATCH(C380,Customers!$A$2:$A$41,0)),INDEX(Customers!$F$2:$F$41,MATCH(C380,Customers!$A$2:$A$41,0)))</f>
        <v>0.08</v>
      </c>
      <c r="I380" s="16" t="n">
        <f aca="false">F380*G380</f>
        <v>201937.05</v>
      </c>
      <c r="J380" s="16" t="n">
        <f aca="false">I380*(1-H380)</f>
        <v>185782.086</v>
      </c>
      <c r="K380" s="16" t="n">
        <f aca="false">J380*INDEX(Customers!$G$2:$G$41,MATCH(C380,Customers!$A$2:$A$41,0))</f>
        <v>0</v>
      </c>
      <c r="L380" s="16" t="n">
        <f aca="false">F380*INDEX(Customers!$H$2:$H$41,MATCH(C380,Customers!$A$2:$A$41,0))</f>
        <v>5967</v>
      </c>
      <c r="M380" s="16" t="n">
        <f aca="false">J380*INDEX(Customers!$I$2:$I$41,MATCH(C380,Customers!$A$2:$A$41,0))/365*Assumptions!$B$6</f>
        <v>3664.74251835616</v>
      </c>
      <c r="N380" s="16" t="n">
        <f aca="false">J380-K380-L380-M380</f>
        <v>176150.343481644</v>
      </c>
      <c r="O380" s="16" t="n">
        <f aca="false">F380*IF(A380="2025",INDEX(Products!$D$2:$D$13,MATCH(D380,Products!$A$2:$A$13,0)),INDEX(Products!$F$2:$F$13,MATCH(D380,Products!$A$2:$A$13,0)))</f>
        <v>114883.11</v>
      </c>
      <c r="P380" s="16" t="n">
        <f aca="false">N380-O380</f>
        <v>61267.2334816439</v>
      </c>
    </row>
    <row r="381" customFormat="false" ht="15" hidden="false" customHeight="false" outlineLevel="0" collapsed="false">
      <c r="A381" s="2" t="s">
        <v>119</v>
      </c>
      <c r="B381" s="2" t="n">
        <v>8</v>
      </c>
      <c r="C381" s="2" t="s">
        <v>68</v>
      </c>
      <c r="D381" s="2" t="s">
        <v>39</v>
      </c>
      <c r="E381" s="2" t="str">
        <f aca="false">INDEX(Products!$B$2:$B$13,MATCH(D381,Products!$A$2:$A$13,0))</f>
        <v>Hydroprocessing</v>
      </c>
      <c r="F381" s="15" t="n">
        <v>12.5</v>
      </c>
      <c r="G381" s="16" t="n">
        <f aca="false">IF(A381="2025",INDEX(Products!$C$2:$C$13,MATCH(D381,Products!$A$2:$A$13,0)),INDEX(Products!$E$2:$E$13,MATCH(D381,Products!$A$2:$A$13,0)))</f>
        <v>13198.5</v>
      </c>
      <c r="H381" s="13" t="n">
        <f aca="false">IF(A381="2025",INDEX(Customers!$D$2:$D$41,MATCH(C381,Customers!$A$2:$A$41,0)),INDEX(Customers!$F$2:$F$41,MATCH(C381,Customers!$A$2:$A$41,0)))</f>
        <v>0.08</v>
      </c>
      <c r="I381" s="16" t="n">
        <f aca="false">F381*G381</f>
        <v>164981.25</v>
      </c>
      <c r="J381" s="16" t="n">
        <f aca="false">I381*(1-H381)</f>
        <v>151782.75</v>
      </c>
      <c r="K381" s="16" t="n">
        <f aca="false">J381*INDEX(Customers!$G$2:$G$41,MATCH(C381,Customers!$A$2:$A$41,0))</f>
        <v>0</v>
      </c>
      <c r="L381" s="16" t="n">
        <f aca="false">F381*INDEX(Customers!$H$2:$H$41,MATCH(C381,Customers!$A$2:$A$41,0))</f>
        <v>4875</v>
      </c>
      <c r="M381" s="16" t="n">
        <f aca="false">J381*INDEX(Customers!$I$2:$I$41,MATCH(C381,Customers!$A$2:$A$41,0))/365*Assumptions!$B$6</f>
        <v>2994.07068493151</v>
      </c>
      <c r="N381" s="16" t="n">
        <f aca="false">J381-K381-L381-M381</f>
        <v>143913.679315069</v>
      </c>
      <c r="O381" s="16" t="n">
        <f aca="false">F381*IF(A381="2025",INDEX(Products!$D$2:$D$13,MATCH(D381,Products!$A$2:$A$13,0)),INDEX(Products!$F$2:$F$13,MATCH(D381,Products!$A$2:$A$13,0)))</f>
        <v>93858.75</v>
      </c>
      <c r="P381" s="16" t="n">
        <f aca="false">N381-O381</f>
        <v>50054.9293150685</v>
      </c>
    </row>
    <row r="382" customFormat="false" ht="15" hidden="false" customHeight="false" outlineLevel="0" collapsed="false">
      <c r="A382" s="2" t="s">
        <v>119</v>
      </c>
      <c r="B382" s="2" t="n">
        <v>9</v>
      </c>
      <c r="C382" s="2" t="s">
        <v>68</v>
      </c>
      <c r="D382" s="2" t="s">
        <v>39</v>
      </c>
      <c r="E382" s="2" t="str">
        <f aca="false">INDEX(Products!$B$2:$B$13,MATCH(D382,Products!$A$2:$A$13,0))</f>
        <v>Hydroprocessing</v>
      </c>
      <c r="F382" s="15" t="n">
        <v>13.2</v>
      </c>
      <c r="G382" s="16" t="n">
        <f aca="false">IF(A382="2025",INDEX(Products!$C$2:$C$13,MATCH(D382,Products!$A$2:$A$13,0)),INDEX(Products!$E$2:$E$13,MATCH(D382,Products!$A$2:$A$13,0)))</f>
        <v>13198.5</v>
      </c>
      <c r="H382" s="13" t="n">
        <f aca="false">IF(A382="2025",INDEX(Customers!$D$2:$D$41,MATCH(C382,Customers!$A$2:$A$41,0)),INDEX(Customers!$F$2:$F$41,MATCH(C382,Customers!$A$2:$A$41,0)))</f>
        <v>0.08</v>
      </c>
      <c r="I382" s="16" t="n">
        <f aca="false">F382*G382</f>
        <v>174220.2</v>
      </c>
      <c r="J382" s="16" t="n">
        <f aca="false">I382*(1-H382)</f>
        <v>160282.584</v>
      </c>
      <c r="K382" s="16" t="n">
        <f aca="false">J382*INDEX(Customers!$G$2:$G$41,MATCH(C382,Customers!$A$2:$A$41,0))</f>
        <v>0</v>
      </c>
      <c r="L382" s="16" t="n">
        <f aca="false">F382*INDEX(Customers!$H$2:$H$41,MATCH(C382,Customers!$A$2:$A$41,0))</f>
        <v>5148</v>
      </c>
      <c r="M382" s="16" t="n">
        <f aca="false">J382*INDEX(Customers!$I$2:$I$41,MATCH(C382,Customers!$A$2:$A$41,0))/365*Assumptions!$B$6</f>
        <v>3161.73864328767</v>
      </c>
      <c r="N382" s="16" t="n">
        <f aca="false">J382-K382-L382-M382</f>
        <v>151972.845356712</v>
      </c>
      <c r="O382" s="16" t="n">
        <f aca="false">F382*IF(A382="2025",INDEX(Products!$D$2:$D$13,MATCH(D382,Products!$A$2:$A$13,0)),INDEX(Products!$F$2:$F$13,MATCH(D382,Products!$A$2:$A$13,0)))</f>
        <v>99114.84</v>
      </c>
      <c r="P382" s="16" t="n">
        <f aca="false">N382-O382</f>
        <v>52858.0053567123</v>
      </c>
    </row>
    <row r="383" customFormat="false" ht="15" hidden="false" customHeight="false" outlineLevel="0" collapsed="false">
      <c r="A383" s="2" t="s">
        <v>119</v>
      </c>
      <c r="B383" s="2" t="n">
        <v>10</v>
      </c>
      <c r="C383" s="2" t="s">
        <v>68</v>
      </c>
      <c r="D383" s="2" t="s">
        <v>39</v>
      </c>
      <c r="E383" s="2" t="str">
        <f aca="false">INDEX(Products!$B$2:$B$13,MATCH(D383,Products!$A$2:$A$13,0))</f>
        <v>Hydroprocessing</v>
      </c>
      <c r="F383" s="15" t="n">
        <v>15.5</v>
      </c>
      <c r="G383" s="16" t="n">
        <f aca="false">IF(A383="2025",INDEX(Products!$C$2:$C$13,MATCH(D383,Products!$A$2:$A$13,0)),INDEX(Products!$E$2:$E$13,MATCH(D383,Products!$A$2:$A$13,0)))</f>
        <v>13198.5</v>
      </c>
      <c r="H383" s="13" t="n">
        <f aca="false">IF(A383="2025",INDEX(Customers!$D$2:$D$41,MATCH(C383,Customers!$A$2:$A$41,0)),INDEX(Customers!$F$2:$F$41,MATCH(C383,Customers!$A$2:$A$41,0)))</f>
        <v>0.08</v>
      </c>
      <c r="I383" s="16" t="n">
        <f aca="false">F383*G383</f>
        <v>204576.75</v>
      </c>
      <c r="J383" s="16" t="n">
        <f aca="false">I383*(1-H383)</f>
        <v>188210.61</v>
      </c>
      <c r="K383" s="16" t="n">
        <f aca="false">J383*INDEX(Customers!$G$2:$G$41,MATCH(C383,Customers!$A$2:$A$41,0))</f>
        <v>0</v>
      </c>
      <c r="L383" s="16" t="n">
        <f aca="false">F383*INDEX(Customers!$H$2:$H$41,MATCH(C383,Customers!$A$2:$A$41,0))</f>
        <v>6045</v>
      </c>
      <c r="M383" s="16" t="n">
        <f aca="false">J383*INDEX(Customers!$I$2:$I$41,MATCH(C383,Customers!$A$2:$A$41,0))/365*Assumptions!$B$6</f>
        <v>3712.64764931507</v>
      </c>
      <c r="N383" s="16" t="n">
        <f aca="false">J383-K383-L383-M383</f>
        <v>178452.962350685</v>
      </c>
      <c r="O383" s="16" t="n">
        <f aca="false">F383*IF(A383="2025",INDEX(Products!$D$2:$D$13,MATCH(D383,Products!$A$2:$A$13,0)),INDEX(Products!$F$2:$F$13,MATCH(D383,Products!$A$2:$A$13,0)))</f>
        <v>116384.85</v>
      </c>
      <c r="P383" s="16" t="n">
        <f aca="false">N383-O383</f>
        <v>62068.112350685</v>
      </c>
    </row>
    <row r="384" customFormat="false" ht="15" hidden="false" customHeight="false" outlineLevel="0" collapsed="false">
      <c r="A384" s="2" t="s">
        <v>119</v>
      </c>
      <c r="B384" s="2" t="n">
        <v>11</v>
      </c>
      <c r="C384" s="2" t="s">
        <v>68</v>
      </c>
      <c r="D384" s="2" t="s">
        <v>39</v>
      </c>
      <c r="E384" s="2" t="str">
        <f aca="false">INDEX(Products!$B$2:$B$13,MATCH(D384,Products!$A$2:$A$13,0))</f>
        <v>Hydroprocessing</v>
      </c>
      <c r="F384" s="15" t="n">
        <v>12.3</v>
      </c>
      <c r="G384" s="16" t="n">
        <f aca="false">IF(A384="2025",INDEX(Products!$C$2:$C$13,MATCH(D384,Products!$A$2:$A$13,0)),INDEX(Products!$E$2:$E$13,MATCH(D384,Products!$A$2:$A$13,0)))</f>
        <v>13198.5</v>
      </c>
      <c r="H384" s="13" t="n">
        <f aca="false">IF(A384="2025",INDEX(Customers!$D$2:$D$41,MATCH(C384,Customers!$A$2:$A$41,0)),INDEX(Customers!$F$2:$F$41,MATCH(C384,Customers!$A$2:$A$41,0)))</f>
        <v>0.08</v>
      </c>
      <c r="I384" s="16" t="n">
        <f aca="false">F384*G384</f>
        <v>162341.55</v>
      </c>
      <c r="J384" s="16" t="n">
        <f aca="false">I384*(1-H384)</f>
        <v>149354.226</v>
      </c>
      <c r="K384" s="16" t="n">
        <f aca="false">J384*INDEX(Customers!$G$2:$G$41,MATCH(C384,Customers!$A$2:$A$41,0))</f>
        <v>0</v>
      </c>
      <c r="L384" s="16" t="n">
        <f aca="false">F384*INDEX(Customers!$H$2:$H$41,MATCH(C384,Customers!$A$2:$A$41,0))</f>
        <v>4797</v>
      </c>
      <c r="M384" s="16" t="n">
        <f aca="false">J384*INDEX(Customers!$I$2:$I$41,MATCH(C384,Customers!$A$2:$A$41,0))/365*Assumptions!$B$6</f>
        <v>2946.1655539726</v>
      </c>
      <c r="N384" s="16" t="n">
        <f aca="false">J384-K384-L384-M384</f>
        <v>141611.060446027</v>
      </c>
      <c r="O384" s="16" t="n">
        <f aca="false">F384*IF(A384="2025",INDEX(Products!$D$2:$D$13,MATCH(D384,Products!$A$2:$A$13,0)),INDEX(Products!$F$2:$F$13,MATCH(D384,Products!$A$2:$A$13,0)))</f>
        <v>92357.01</v>
      </c>
      <c r="P384" s="16" t="n">
        <f aca="false">N384-O384</f>
        <v>49254.0504460274</v>
      </c>
    </row>
    <row r="385" customFormat="false" ht="15" hidden="false" customHeight="false" outlineLevel="0" collapsed="false">
      <c r="A385" s="2" t="s">
        <v>119</v>
      </c>
      <c r="B385" s="2" t="n">
        <v>12</v>
      </c>
      <c r="C385" s="2" t="s">
        <v>68</v>
      </c>
      <c r="D385" s="2" t="s">
        <v>39</v>
      </c>
      <c r="E385" s="2" t="str">
        <f aca="false">INDEX(Products!$B$2:$B$13,MATCH(D385,Products!$A$2:$A$13,0))</f>
        <v>Hydroprocessing</v>
      </c>
      <c r="F385" s="15" t="n">
        <v>10.3</v>
      </c>
      <c r="G385" s="16" t="n">
        <f aca="false">IF(A385="2025",INDEX(Products!$C$2:$C$13,MATCH(D385,Products!$A$2:$A$13,0)),INDEX(Products!$E$2:$E$13,MATCH(D385,Products!$A$2:$A$13,0)))</f>
        <v>13198.5</v>
      </c>
      <c r="H385" s="13" t="n">
        <f aca="false">IF(A385="2025",INDEX(Customers!$D$2:$D$41,MATCH(C385,Customers!$A$2:$A$41,0)),INDEX(Customers!$F$2:$F$41,MATCH(C385,Customers!$A$2:$A$41,0)))</f>
        <v>0.08</v>
      </c>
      <c r="I385" s="16" t="n">
        <f aca="false">F385*G385</f>
        <v>135944.55</v>
      </c>
      <c r="J385" s="16" t="n">
        <f aca="false">I385*(1-H385)</f>
        <v>125068.986</v>
      </c>
      <c r="K385" s="16" t="n">
        <f aca="false">J385*INDEX(Customers!$G$2:$G$41,MATCH(C385,Customers!$A$2:$A$41,0))</f>
        <v>0</v>
      </c>
      <c r="L385" s="16" t="n">
        <f aca="false">F385*INDEX(Customers!$H$2:$H$41,MATCH(C385,Customers!$A$2:$A$41,0))</f>
        <v>4017</v>
      </c>
      <c r="M385" s="16" t="n">
        <f aca="false">J385*INDEX(Customers!$I$2:$I$41,MATCH(C385,Customers!$A$2:$A$41,0))/365*Assumptions!$B$6</f>
        <v>2467.11424438356</v>
      </c>
      <c r="N385" s="16" t="n">
        <f aca="false">J385-K385-L385-M385</f>
        <v>118584.871755616</v>
      </c>
      <c r="O385" s="16" t="n">
        <f aca="false">F385*IF(A385="2025",INDEX(Products!$D$2:$D$13,MATCH(D385,Products!$A$2:$A$13,0)),INDEX(Products!$F$2:$F$13,MATCH(D385,Products!$A$2:$A$13,0)))</f>
        <v>77339.61</v>
      </c>
      <c r="P385" s="16" t="n">
        <f aca="false">N385-O385</f>
        <v>41245.2617556165</v>
      </c>
    </row>
    <row r="386" customFormat="false" ht="15" hidden="false" customHeight="false" outlineLevel="0" collapsed="false">
      <c r="A386" s="2" t="s">
        <v>118</v>
      </c>
      <c r="B386" s="2" t="n">
        <v>1</v>
      </c>
      <c r="C386" s="2" t="s">
        <v>69</v>
      </c>
      <c r="D386" s="2" t="s">
        <v>47</v>
      </c>
      <c r="E386" s="2" t="str">
        <f aca="false">INDEX(Products!$B$2:$B$13,MATCH(D386,Products!$A$2:$A$13,0))</f>
        <v>Specialty</v>
      </c>
      <c r="F386" s="15" t="n">
        <v>1.9</v>
      </c>
      <c r="G386" s="16" t="n">
        <f aca="false">IF(A386="2025",INDEX(Products!$C$2:$C$13,MATCH(D386,Products!$A$2:$A$13,0)),INDEX(Products!$E$2:$E$13,MATCH(D386,Products!$A$2:$A$13,0)))</f>
        <v>30520</v>
      </c>
      <c r="H386" s="13" t="n">
        <f aca="false">IF(A386="2025",INDEX(Customers!$D$2:$D$41,MATCH(C386,Customers!$A$2:$A$41,0)),INDEX(Customers!$F$2:$F$41,MATCH(C386,Customers!$A$2:$A$41,0)))</f>
        <v>0.075</v>
      </c>
      <c r="I386" s="16" t="n">
        <f aca="false">F386*G386</f>
        <v>57988</v>
      </c>
      <c r="J386" s="16" t="n">
        <f aca="false">I386*(1-H386)</f>
        <v>53638.9</v>
      </c>
      <c r="K386" s="16" t="n">
        <f aca="false">J386*INDEX(Customers!$G$2:$G$41,MATCH(C386,Customers!$A$2:$A$41,0))</f>
        <v>1609.167</v>
      </c>
      <c r="L386" s="16" t="n">
        <f aca="false">F386*INDEX(Customers!$H$2:$H$41,MATCH(C386,Customers!$A$2:$A$41,0))</f>
        <v>779</v>
      </c>
      <c r="M386" s="16" t="n">
        <f aca="false">J386*INDEX(Customers!$I$2:$I$41,MATCH(C386,Customers!$A$2:$A$41,0))/365*Assumptions!$B$6</f>
        <v>1058.0824109589</v>
      </c>
      <c r="N386" s="16" t="n">
        <f aca="false">J386-K386-L386-M386</f>
        <v>50192.6505890411</v>
      </c>
      <c r="O386" s="16" t="n">
        <f aca="false">F386*IF(A386="2025",INDEX(Products!$D$2:$D$13,MATCH(D386,Products!$A$2:$A$13,0)),INDEX(Products!$F$2:$F$13,MATCH(D386,Products!$A$2:$A$13,0)))</f>
        <v>29336</v>
      </c>
      <c r="P386" s="16" t="n">
        <f aca="false">N386-O386</f>
        <v>20856.6505890411</v>
      </c>
    </row>
    <row r="387" customFormat="false" ht="15" hidden="false" customHeight="false" outlineLevel="0" collapsed="false">
      <c r="A387" s="2" t="s">
        <v>118</v>
      </c>
      <c r="B387" s="2" t="n">
        <v>2</v>
      </c>
      <c r="C387" s="2" t="s">
        <v>69</v>
      </c>
      <c r="D387" s="2" t="s">
        <v>47</v>
      </c>
      <c r="E387" s="2" t="str">
        <f aca="false">INDEX(Products!$B$2:$B$13,MATCH(D387,Products!$A$2:$A$13,0))</f>
        <v>Specialty</v>
      </c>
      <c r="F387" s="15" t="n">
        <v>2.3</v>
      </c>
      <c r="G387" s="16" t="n">
        <f aca="false">IF(A387="2025",INDEX(Products!$C$2:$C$13,MATCH(D387,Products!$A$2:$A$13,0)),INDEX(Products!$E$2:$E$13,MATCH(D387,Products!$A$2:$A$13,0)))</f>
        <v>30520</v>
      </c>
      <c r="H387" s="13" t="n">
        <f aca="false">IF(A387="2025",INDEX(Customers!$D$2:$D$41,MATCH(C387,Customers!$A$2:$A$41,0)),INDEX(Customers!$F$2:$F$41,MATCH(C387,Customers!$A$2:$A$41,0)))</f>
        <v>0.075</v>
      </c>
      <c r="I387" s="16" t="n">
        <f aca="false">F387*G387</f>
        <v>70196</v>
      </c>
      <c r="J387" s="16" t="n">
        <f aca="false">I387*(1-H387)</f>
        <v>64931.3</v>
      </c>
      <c r="K387" s="16" t="n">
        <f aca="false">J387*INDEX(Customers!$G$2:$G$41,MATCH(C387,Customers!$A$2:$A$41,0))</f>
        <v>1947.939</v>
      </c>
      <c r="L387" s="16" t="n">
        <f aca="false">F387*INDEX(Customers!$H$2:$H$41,MATCH(C387,Customers!$A$2:$A$41,0))</f>
        <v>943</v>
      </c>
      <c r="M387" s="16" t="n">
        <f aca="false">J387*INDEX(Customers!$I$2:$I$41,MATCH(C387,Customers!$A$2:$A$41,0))/365*Assumptions!$B$6</f>
        <v>1280.83660273973</v>
      </c>
      <c r="N387" s="16" t="n">
        <f aca="false">J387-K387-L387-M387</f>
        <v>60759.5243972603</v>
      </c>
      <c r="O387" s="16" t="n">
        <f aca="false">F387*IF(A387="2025",INDEX(Products!$D$2:$D$13,MATCH(D387,Products!$A$2:$A$13,0)),INDEX(Products!$F$2:$F$13,MATCH(D387,Products!$A$2:$A$13,0)))</f>
        <v>35512</v>
      </c>
      <c r="P387" s="16" t="n">
        <f aca="false">N387-O387</f>
        <v>25247.5243972603</v>
      </c>
    </row>
    <row r="388" customFormat="false" ht="15" hidden="false" customHeight="false" outlineLevel="0" collapsed="false">
      <c r="A388" s="2" t="s">
        <v>118</v>
      </c>
      <c r="B388" s="2" t="n">
        <v>3</v>
      </c>
      <c r="C388" s="2" t="s">
        <v>69</v>
      </c>
      <c r="D388" s="2" t="s">
        <v>47</v>
      </c>
      <c r="E388" s="2" t="str">
        <f aca="false">INDEX(Products!$B$2:$B$13,MATCH(D388,Products!$A$2:$A$13,0))</f>
        <v>Specialty</v>
      </c>
      <c r="F388" s="15" t="n">
        <v>2.1</v>
      </c>
      <c r="G388" s="16" t="n">
        <f aca="false">IF(A388="2025",INDEX(Products!$C$2:$C$13,MATCH(D388,Products!$A$2:$A$13,0)),INDEX(Products!$E$2:$E$13,MATCH(D388,Products!$A$2:$A$13,0)))</f>
        <v>30520</v>
      </c>
      <c r="H388" s="13" t="n">
        <f aca="false">IF(A388="2025",INDEX(Customers!$D$2:$D$41,MATCH(C388,Customers!$A$2:$A$41,0)),INDEX(Customers!$F$2:$F$41,MATCH(C388,Customers!$A$2:$A$41,0)))</f>
        <v>0.075</v>
      </c>
      <c r="I388" s="16" t="n">
        <f aca="false">F388*G388</f>
        <v>64092</v>
      </c>
      <c r="J388" s="16" t="n">
        <f aca="false">I388*(1-H388)</f>
        <v>59285.1</v>
      </c>
      <c r="K388" s="16" t="n">
        <f aca="false">J388*INDEX(Customers!$G$2:$G$41,MATCH(C388,Customers!$A$2:$A$41,0))</f>
        <v>1778.553</v>
      </c>
      <c r="L388" s="16" t="n">
        <f aca="false">F388*INDEX(Customers!$H$2:$H$41,MATCH(C388,Customers!$A$2:$A$41,0))</f>
        <v>861</v>
      </c>
      <c r="M388" s="16" t="n">
        <f aca="false">J388*INDEX(Customers!$I$2:$I$41,MATCH(C388,Customers!$A$2:$A$41,0))/365*Assumptions!$B$6</f>
        <v>1169.45950684932</v>
      </c>
      <c r="N388" s="16" t="n">
        <f aca="false">J388-K388-L388-M388</f>
        <v>55476.0874931507</v>
      </c>
      <c r="O388" s="16" t="n">
        <f aca="false">F388*IF(A388="2025",INDEX(Products!$D$2:$D$13,MATCH(D388,Products!$A$2:$A$13,0)),INDEX(Products!$F$2:$F$13,MATCH(D388,Products!$A$2:$A$13,0)))</f>
        <v>32424</v>
      </c>
      <c r="P388" s="16" t="n">
        <f aca="false">N388-O388</f>
        <v>23052.0874931507</v>
      </c>
    </row>
    <row r="389" customFormat="false" ht="15" hidden="false" customHeight="false" outlineLevel="0" collapsed="false">
      <c r="A389" s="2" t="s">
        <v>118</v>
      </c>
      <c r="B389" s="2" t="n">
        <v>4</v>
      </c>
      <c r="C389" s="2" t="s">
        <v>69</v>
      </c>
      <c r="D389" s="2" t="s">
        <v>47</v>
      </c>
      <c r="E389" s="2" t="str">
        <f aca="false">INDEX(Products!$B$2:$B$13,MATCH(D389,Products!$A$2:$A$13,0))</f>
        <v>Specialty</v>
      </c>
      <c r="F389" s="15" t="n">
        <v>1.9</v>
      </c>
      <c r="G389" s="16" t="n">
        <f aca="false">IF(A389="2025",INDEX(Products!$C$2:$C$13,MATCH(D389,Products!$A$2:$A$13,0)),INDEX(Products!$E$2:$E$13,MATCH(D389,Products!$A$2:$A$13,0)))</f>
        <v>30520</v>
      </c>
      <c r="H389" s="13" t="n">
        <f aca="false">IF(A389="2025",INDEX(Customers!$D$2:$D$41,MATCH(C389,Customers!$A$2:$A$41,0)),INDEX(Customers!$F$2:$F$41,MATCH(C389,Customers!$A$2:$A$41,0)))</f>
        <v>0.075</v>
      </c>
      <c r="I389" s="16" t="n">
        <f aca="false">F389*G389</f>
        <v>57988</v>
      </c>
      <c r="J389" s="16" t="n">
        <f aca="false">I389*(1-H389)</f>
        <v>53638.9</v>
      </c>
      <c r="K389" s="16" t="n">
        <f aca="false">J389*INDEX(Customers!$G$2:$G$41,MATCH(C389,Customers!$A$2:$A$41,0))</f>
        <v>1609.167</v>
      </c>
      <c r="L389" s="16" t="n">
        <f aca="false">F389*INDEX(Customers!$H$2:$H$41,MATCH(C389,Customers!$A$2:$A$41,0))</f>
        <v>779</v>
      </c>
      <c r="M389" s="16" t="n">
        <f aca="false">J389*INDEX(Customers!$I$2:$I$41,MATCH(C389,Customers!$A$2:$A$41,0))/365*Assumptions!$B$6</f>
        <v>1058.0824109589</v>
      </c>
      <c r="N389" s="16" t="n">
        <f aca="false">J389-K389-L389-M389</f>
        <v>50192.6505890411</v>
      </c>
      <c r="O389" s="16" t="n">
        <f aca="false">F389*IF(A389="2025",INDEX(Products!$D$2:$D$13,MATCH(D389,Products!$A$2:$A$13,0)),INDEX(Products!$F$2:$F$13,MATCH(D389,Products!$A$2:$A$13,0)))</f>
        <v>29336</v>
      </c>
      <c r="P389" s="16" t="n">
        <f aca="false">N389-O389</f>
        <v>20856.6505890411</v>
      </c>
    </row>
    <row r="390" customFormat="false" ht="15" hidden="false" customHeight="false" outlineLevel="0" collapsed="false">
      <c r="A390" s="2" t="s">
        <v>118</v>
      </c>
      <c r="B390" s="2" t="n">
        <v>5</v>
      </c>
      <c r="C390" s="2" t="s">
        <v>69</v>
      </c>
      <c r="D390" s="2" t="s">
        <v>47</v>
      </c>
      <c r="E390" s="2" t="str">
        <f aca="false">INDEX(Products!$B$2:$B$13,MATCH(D390,Products!$A$2:$A$13,0))</f>
        <v>Specialty</v>
      </c>
      <c r="F390" s="15" t="n">
        <v>1.8</v>
      </c>
      <c r="G390" s="16" t="n">
        <f aca="false">IF(A390="2025",INDEX(Products!$C$2:$C$13,MATCH(D390,Products!$A$2:$A$13,0)),INDEX(Products!$E$2:$E$13,MATCH(D390,Products!$A$2:$A$13,0)))</f>
        <v>30520</v>
      </c>
      <c r="H390" s="13" t="n">
        <f aca="false">IF(A390="2025",INDEX(Customers!$D$2:$D$41,MATCH(C390,Customers!$A$2:$A$41,0)),INDEX(Customers!$F$2:$F$41,MATCH(C390,Customers!$A$2:$A$41,0)))</f>
        <v>0.075</v>
      </c>
      <c r="I390" s="16" t="n">
        <f aca="false">F390*G390</f>
        <v>54936</v>
      </c>
      <c r="J390" s="16" t="n">
        <f aca="false">I390*(1-H390)</f>
        <v>50815.8</v>
      </c>
      <c r="K390" s="16" t="n">
        <f aca="false">J390*INDEX(Customers!$G$2:$G$41,MATCH(C390,Customers!$A$2:$A$41,0))</f>
        <v>1524.474</v>
      </c>
      <c r="L390" s="16" t="n">
        <f aca="false">F390*INDEX(Customers!$H$2:$H$41,MATCH(C390,Customers!$A$2:$A$41,0))</f>
        <v>738</v>
      </c>
      <c r="M390" s="16" t="n">
        <f aca="false">J390*INDEX(Customers!$I$2:$I$41,MATCH(C390,Customers!$A$2:$A$41,0))/365*Assumptions!$B$6</f>
        <v>1002.3938630137</v>
      </c>
      <c r="N390" s="16" t="n">
        <f aca="false">J390-K390-L390-M390</f>
        <v>47550.9321369863</v>
      </c>
      <c r="O390" s="16" t="n">
        <f aca="false">F390*IF(A390="2025",INDEX(Products!$D$2:$D$13,MATCH(D390,Products!$A$2:$A$13,0)),INDEX(Products!$F$2:$F$13,MATCH(D390,Products!$A$2:$A$13,0)))</f>
        <v>27792</v>
      </c>
      <c r="P390" s="16" t="n">
        <f aca="false">N390-O390</f>
        <v>19758.9321369863</v>
      </c>
    </row>
    <row r="391" customFormat="false" ht="15" hidden="false" customHeight="false" outlineLevel="0" collapsed="false">
      <c r="A391" s="2" t="s">
        <v>118</v>
      </c>
      <c r="B391" s="2" t="n">
        <v>6</v>
      </c>
      <c r="C391" s="2" t="s">
        <v>69</v>
      </c>
      <c r="D391" s="2" t="s">
        <v>47</v>
      </c>
      <c r="E391" s="2" t="str">
        <f aca="false">INDEX(Products!$B$2:$B$13,MATCH(D391,Products!$A$2:$A$13,0))</f>
        <v>Specialty</v>
      </c>
      <c r="F391" s="15" t="n">
        <v>1.6</v>
      </c>
      <c r="G391" s="16" t="n">
        <f aca="false">IF(A391="2025",INDEX(Products!$C$2:$C$13,MATCH(D391,Products!$A$2:$A$13,0)),INDEX(Products!$E$2:$E$13,MATCH(D391,Products!$A$2:$A$13,0)))</f>
        <v>30520</v>
      </c>
      <c r="H391" s="13" t="n">
        <f aca="false">IF(A391="2025",INDEX(Customers!$D$2:$D$41,MATCH(C391,Customers!$A$2:$A$41,0)),INDEX(Customers!$F$2:$F$41,MATCH(C391,Customers!$A$2:$A$41,0)))</f>
        <v>0.075</v>
      </c>
      <c r="I391" s="16" t="n">
        <f aca="false">F391*G391</f>
        <v>48832</v>
      </c>
      <c r="J391" s="16" t="n">
        <f aca="false">I391*(1-H391)</f>
        <v>45169.6</v>
      </c>
      <c r="K391" s="16" t="n">
        <f aca="false">J391*INDEX(Customers!$G$2:$G$41,MATCH(C391,Customers!$A$2:$A$41,0))</f>
        <v>1355.088</v>
      </c>
      <c r="L391" s="16" t="n">
        <f aca="false">F391*INDEX(Customers!$H$2:$H$41,MATCH(C391,Customers!$A$2:$A$41,0))</f>
        <v>656</v>
      </c>
      <c r="M391" s="16" t="n">
        <f aca="false">J391*INDEX(Customers!$I$2:$I$41,MATCH(C391,Customers!$A$2:$A$41,0))/365*Assumptions!$B$6</f>
        <v>891.016767123288</v>
      </c>
      <c r="N391" s="16" t="n">
        <f aca="false">J391-K391-L391-M391</f>
        <v>42267.4952328767</v>
      </c>
      <c r="O391" s="16" t="n">
        <f aca="false">F391*IF(A391="2025",INDEX(Products!$D$2:$D$13,MATCH(D391,Products!$A$2:$A$13,0)),INDEX(Products!$F$2:$F$13,MATCH(D391,Products!$A$2:$A$13,0)))</f>
        <v>24704</v>
      </c>
      <c r="P391" s="16" t="n">
        <f aca="false">N391-O391</f>
        <v>17563.4952328767</v>
      </c>
    </row>
    <row r="392" customFormat="false" ht="15" hidden="false" customHeight="false" outlineLevel="0" collapsed="false">
      <c r="A392" s="2" t="s">
        <v>118</v>
      </c>
      <c r="B392" s="2" t="n">
        <v>7</v>
      </c>
      <c r="C392" s="2" t="s">
        <v>69</v>
      </c>
      <c r="D392" s="2" t="s">
        <v>47</v>
      </c>
      <c r="E392" s="2" t="str">
        <f aca="false">INDEX(Products!$B$2:$B$13,MATCH(D392,Products!$A$2:$A$13,0))</f>
        <v>Specialty</v>
      </c>
      <c r="F392" s="15" t="n">
        <v>1.9</v>
      </c>
      <c r="G392" s="16" t="n">
        <f aca="false">IF(A392="2025",INDEX(Products!$C$2:$C$13,MATCH(D392,Products!$A$2:$A$13,0)),INDEX(Products!$E$2:$E$13,MATCH(D392,Products!$A$2:$A$13,0)))</f>
        <v>30520</v>
      </c>
      <c r="H392" s="13" t="n">
        <f aca="false">IF(A392="2025",INDEX(Customers!$D$2:$D$41,MATCH(C392,Customers!$A$2:$A$41,0)),INDEX(Customers!$F$2:$F$41,MATCH(C392,Customers!$A$2:$A$41,0)))</f>
        <v>0.075</v>
      </c>
      <c r="I392" s="16" t="n">
        <f aca="false">F392*G392</f>
        <v>57988</v>
      </c>
      <c r="J392" s="16" t="n">
        <f aca="false">I392*(1-H392)</f>
        <v>53638.9</v>
      </c>
      <c r="K392" s="16" t="n">
        <f aca="false">J392*INDEX(Customers!$G$2:$G$41,MATCH(C392,Customers!$A$2:$A$41,0))</f>
        <v>1609.167</v>
      </c>
      <c r="L392" s="16" t="n">
        <f aca="false">F392*INDEX(Customers!$H$2:$H$41,MATCH(C392,Customers!$A$2:$A$41,0))</f>
        <v>779</v>
      </c>
      <c r="M392" s="16" t="n">
        <f aca="false">J392*INDEX(Customers!$I$2:$I$41,MATCH(C392,Customers!$A$2:$A$41,0))/365*Assumptions!$B$6</f>
        <v>1058.0824109589</v>
      </c>
      <c r="N392" s="16" t="n">
        <f aca="false">J392-K392-L392-M392</f>
        <v>50192.6505890411</v>
      </c>
      <c r="O392" s="16" t="n">
        <f aca="false">F392*IF(A392="2025",INDEX(Products!$D$2:$D$13,MATCH(D392,Products!$A$2:$A$13,0)),INDEX(Products!$F$2:$F$13,MATCH(D392,Products!$A$2:$A$13,0)))</f>
        <v>29336</v>
      </c>
      <c r="P392" s="16" t="n">
        <f aca="false">N392-O392</f>
        <v>20856.6505890411</v>
      </c>
    </row>
    <row r="393" customFormat="false" ht="15" hidden="false" customHeight="false" outlineLevel="0" collapsed="false">
      <c r="A393" s="2" t="s">
        <v>118</v>
      </c>
      <c r="B393" s="2" t="n">
        <v>8</v>
      </c>
      <c r="C393" s="2" t="s">
        <v>69</v>
      </c>
      <c r="D393" s="2" t="s">
        <v>47</v>
      </c>
      <c r="E393" s="2" t="str">
        <f aca="false">INDEX(Products!$B$2:$B$13,MATCH(D393,Products!$A$2:$A$13,0))</f>
        <v>Specialty</v>
      </c>
      <c r="F393" s="15" t="n">
        <v>2.1</v>
      </c>
      <c r="G393" s="16" t="n">
        <f aca="false">IF(A393="2025",INDEX(Products!$C$2:$C$13,MATCH(D393,Products!$A$2:$A$13,0)),INDEX(Products!$E$2:$E$13,MATCH(D393,Products!$A$2:$A$13,0)))</f>
        <v>30520</v>
      </c>
      <c r="H393" s="13" t="n">
        <f aca="false">IF(A393="2025",INDEX(Customers!$D$2:$D$41,MATCH(C393,Customers!$A$2:$A$41,0)),INDEX(Customers!$F$2:$F$41,MATCH(C393,Customers!$A$2:$A$41,0)))</f>
        <v>0.075</v>
      </c>
      <c r="I393" s="16" t="n">
        <f aca="false">F393*G393</f>
        <v>64092</v>
      </c>
      <c r="J393" s="16" t="n">
        <f aca="false">I393*(1-H393)</f>
        <v>59285.1</v>
      </c>
      <c r="K393" s="16" t="n">
        <f aca="false">J393*INDEX(Customers!$G$2:$G$41,MATCH(C393,Customers!$A$2:$A$41,0))</f>
        <v>1778.553</v>
      </c>
      <c r="L393" s="16" t="n">
        <f aca="false">F393*INDEX(Customers!$H$2:$H$41,MATCH(C393,Customers!$A$2:$A$41,0))</f>
        <v>861</v>
      </c>
      <c r="M393" s="16" t="n">
        <f aca="false">J393*INDEX(Customers!$I$2:$I$41,MATCH(C393,Customers!$A$2:$A$41,0))/365*Assumptions!$B$6</f>
        <v>1169.45950684932</v>
      </c>
      <c r="N393" s="16" t="n">
        <f aca="false">J393-K393-L393-M393</f>
        <v>55476.0874931507</v>
      </c>
      <c r="O393" s="16" t="n">
        <f aca="false">F393*IF(A393="2025",INDEX(Products!$D$2:$D$13,MATCH(D393,Products!$A$2:$A$13,0)),INDEX(Products!$F$2:$F$13,MATCH(D393,Products!$A$2:$A$13,0)))</f>
        <v>32424</v>
      </c>
      <c r="P393" s="16" t="n">
        <f aca="false">N393-O393</f>
        <v>23052.0874931507</v>
      </c>
    </row>
    <row r="394" customFormat="false" ht="15" hidden="false" customHeight="false" outlineLevel="0" collapsed="false">
      <c r="A394" s="2" t="s">
        <v>118</v>
      </c>
      <c r="B394" s="2" t="n">
        <v>9</v>
      </c>
      <c r="C394" s="2" t="s">
        <v>69</v>
      </c>
      <c r="D394" s="2" t="s">
        <v>47</v>
      </c>
      <c r="E394" s="2" t="str">
        <f aca="false">INDEX(Products!$B$2:$B$13,MATCH(D394,Products!$A$2:$A$13,0))</f>
        <v>Specialty</v>
      </c>
      <c r="F394" s="15" t="n">
        <v>1.9</v>
      </c>
      <c r="G394" s="16" t="n">
        <f aca="false">IF(A394="2025",INDEX(Products!$C$2:$C$13,MATCH(D394,Products!$A$2:$A$13,0)),INDEX(Products!$E$2:$E$13,MATCH(D394,Products!$A$2:$A$13,0)))</f>
        <v>30520</v>
      </c>
      <c r="H394" s="13" t="n">
        <f aca="false">IF(A394="2025",INDEX(Customers!$D$2:$D$41,MATCH(C394,Customers!$A$2:$A$41,0)),INDEX(Customers!$F$2:$F$41,MATCH(C394,Customers!$A$2:$A$41,0)))</f>
        <v>0.075</v>
      </c>
      <c r="I394" s="16" t="n">
        <f aca="false">F394*G394</f>
        <v>57988</v>
      </c>
      <c r="J394" s="16" t="n">
        <f aca="false">I394*(1-H394)</f>
        <v>53638.9</v>
      </c>
      <c r="K394" s="16" t="n">
        <f aca="false">J394*INDEX(Customers!$G$2:$G$41,MATCH(C394,Customers!$A$2:$A$41,0))</f>
        <v>1609.167</v>
      </c>
      <c r="L394" s="16" t="n">
        <f aca="false">F394*INDEX(Customers!$H$2:$H$41,MATCH(C394,Customers!$A$2:$A$41,0))</f>
        <v>779</v>
      </c>
      <c r="M394" s="16" t="n">
        <f aca="false">J394*INDEX(Customers!$I$2:$I$41,MATCH(C394,Customers!$A$2:$A$41,0))/365*Assumptions!$B$6</f>
        <v>1058.0824109589</v>
      </c>
      <c r="N394" s="16" t="n">
        <f aca="false">J394-K394-L394-M394</f>
        <v>50192.6505890411</v>
      </c>
      <c r="O394" s="16" t="n">
        <f aca="false">F394*IF(A394="2025",INDEX(Products!$D$2:$D$13,MATCH(D394,Products!$A$2:$A$13,0)),INDEX(Products!$F$2:$F$13,MATCH(D394,Products!$A$2:$A$13,0)))</f>
        <v>29336</v>
      </c>
      <c r="P394" s="16" t="n">
        <f aca="false">N394-O394</f>
        <v>20856.6505890411</v>
      </c>
    </row>
    <row r="395" customFormat="false" ht="15" hidden="false" customHeight="false" outlineLevel="0" collapsed="false">
      <c r="A395" s="2" t="s">
        <v>118</v>
      </c>
      <c r="B395" s="2" t="n">
        <v>10</v>
      </c>
      <c r="C395" s="2" t="s">
        <v>69</v>
      </c>
      <c r="D395" s="2" t="s">
        <v>47</v>
      </c>
      <c r="E395" s="2" t="str">
        <f aca="false">INDEX(Products!$B$2:$B$13,MATCH(D395,Products!$A$2:$A$13,0))</f>
        <v>Specialty</v>
      </c>
      <c r="F395" s="15" t="n">
        <v>2.1</v>
      </c>
      <c r="G395" s="16" t="n">
        <f aca="false">IF(A395="2025",INDEX(Products!$C$2:$C$13,MATCH(D395,Products!$A$2:$A$13,0)),INDEX(Products!$E$2:$E$13,MATCH(D395,Products!$A$2:$A$13,0)))</f>
        <v>30520</v>
      </c>
      <c r="H395" s="13" t="n">
        <f aca="false">IF(A395="2025",INDEX(Customers!$D$2:$D$41,MATCH(C395,Customers!$A$2:$A$41,0)),INDEX(Customers!$F$2:$F$41,MATCH(C395,Customers!$A$2:$A$41,0)))</f>
        <v>0.075</v>
      </c>
      <c r="I395" s="16" t="n">
        <f aca="false">F395*G395</f>
        <v>64092</v>
      </c>
      <c r="J395" s="16" t="n">
        <f aca="false">I395*(1-H395)</f>
        <v>59285.1</v>
      </c>
      <c r="K395" s="16" t="n">
        <f aca="false">J395*INDEX(Customers!$G$2:$G$41,MATCH(C395,Customers!$A$2:$A$41,0))</f>
        <v>1778.553</v>
      </c>
      <c r="L395" s="16" t="n">
        <f aca="false">F395*INDEX(Customers!$H$2:$H$41,MATCH(C395,Customers!$A$2:$A$41,0))</f>
        <v>861</v>
      </c>
      <c r="M395" s="16" t="n">
        <f aca="false">J395*INDEX(Customers!$I$2:$I$41,MATCH(C395,Customers!$A$2:$A$41,0))/365*Assumptions!$B$6</f>
        <v>1169.45950684932</v>
      </c>
      <c r="N395" s="16" t="n">
        <f aca="false">J395-K395-L395-M395</f>
        <v>55476.0874931507</v>
      </c>
      <c r="O395" s="16" t="n">
        <f aca="false">F395*IF(A395="2025",INDEX(Products!$D$2:$D$13,MATCH(D395,Products!$A$2:$A$13,0)),INDEX(Products!$F$2:$F$13,MATCH(D395,Products!$A$2:$A$13,0)))</f>
        <v>32424</v>
      </c>
      <c r="P395" s="16" t="n">
        <f aca="false">N395-O395</f>
        <v>23052.0874931507</v>
      </c>
    </row>
    <row r="396" customFormat="false" ht="15" hidden="false" customHeight="false" outlineLevel="0" collapsed="false">
      <c r="A396" s="2" t="s">
        <v>118</v>
      </c>
      <c r="B396" s="2" t="n">
        <v>11</v>
      </c>
      <c r="C396" s="2" t="s">
        <v>69</v>
      </c>
      <c r="D396" s="2" t="s">
        <v>47</v>
      </c>
      <c r="E396" s="2" t="str">
        <f aca="false">INDEX(Products!$B$2:$B$13,MATCH(D396,Products!$A$2:$A$13,0))</f>
        <v>Specialty</v>
      </c>
      <c r="F396" s="15" t="n">
        <v>2.3</v>
      </c>
      <c r="G396" s="16" t="n">
        <f aca="false">IF(A396="2025",INDEX(Products!$C$2:$C$13,MATCH(D396,Products!$A$2:$A$13,0)),INDEX(Products!$E$2:$E$13,MATCH(D396,Products!$A$2:$A$13,0)))</f>
        <v>30520</v>
      </c>
      <c r="H396" s="13" t="n">
        <f aca="false">IF(A396="2025",INDEX(Customers!$D$2:$D$41,MATCH(C396,Customers!$A$2:$A$41,0)),INDEX(Customers!$F$2:$F$41,MATCH(C396,Customers!$A$2:$A$41,0)))</f>
        <v>0.075</v>
      </c>
      <c r="I396" s="16" t="n">
        <f aca="false">F396*G396</f>
        <v>70196</v>
      </c>
      <c r="J396" s="16" t="n">
        <f aca="false">I396*(1-H396)</f>
        <v>64931.3</v>
      </c>
      <c r="K396" s="16" t="n">
        <f aca="false">J396*INDEX(Customers!$G$2:$G$41,MATCH(C396,Customers!$A$2:$A$41,0))</f>
        <v>1947.939</v>
      </c>
      <c r="L396" s="16" t="n">
        <f aca="false">F396*INDEX(Customers!$H$2:$H$41,MATCH(C396,Customers!$A$2:$A$41,0))</f>
        <v>943</v>
      </c>
      <c r="M396" s="16" t="n">
        <f aca="false">J396*INDEX(Customers!$I$2:$I$41,MATCH(C396,Customers!$A$2:$A$41,0))/365*Assumptions!$B$6</f>
        <v>1280.83660273973</v>
      </c>
      <c r="N396" s="16" t="n">
        <f aca="false">J396-K396-L396-M396</f>
        <v>60759.5243972603</v>
      </c>
      <c r="O396" s="16" t="n">
        <f aca="false">F396*IF(A396="2025",INDEX(Products!$D$2:$D$13,MATCH(D396,Products!$A$2:$A$13,0)),INDEX(Products!$F$2:$F$13,MATCH(D396,Products!$A$2:$A$13,0)))</f>
        <v>35512</v>
      </c>
      <c r="P396" s="16" t="n">
        <f aca="false">N396-O396</f>
        <v>25247.5243972603</v>
      </c>
    </row>
    <row r="397" customFormat="false" ht="15" hidden="false" customHeight="false" outlineLevel="0" collapsed="false">
      <c r="A397" s="2" t="s">
        <v>118</v>
      </c>
      <c r="B397" s="2" t="n">
        <v>12</v>
      </c>
      <c r="C397" s="2" t="s">
        <v>69</v>
      </c>
      <c r="D397" s="2" t="s">
        <v>47</v>
      </c>
      <c r="E397" s="2" t="str">
        <f aca="false">INDEX(Products!$B$2:$B$13,MATCH(D397,Products!$A$2:$A$13,0))</f>
        <v>Specialty</v>
      </c>
      <c r="F397" s="15" t="n">
        <v>2</v>
      </c>
      <c r="G397" s="16" t="n">
        <f aca="false">IF(A397="2025",INDEX(Products!$C$2:$C$13,MATCH(D397,Products!$A$2:$A$13,0)),INDEX(Products!$E$2:$E$13,MATCH(D397,Products!$A$2:$A$13,0)))</f>
        <v>30520</v>
      </c>
      <c r="H397" s="13" t="n">
        <f aca="false">IF(A397="2025",INDEX(Customers!$D$2:$D$41,MATCH(C397,Customers!$A$2:$A$41,0)),INDEX(Customers!$F$2:$F$41,MATCH(C397,Customers!$A$2:$A$41,0)))</f>
        <v>0.075</v>
      </c>
      <c r="I397" s="16" t="n">
        <f aca="false">F397*G397</f>
        <v>61040</v>
      </c>
      <c r="J397" s="16" t="n">
        <f aca="false">I397*(1-H397)</f>
        <v>56462</v>
      </c>
      <c r="K397" s="16" t="n">
        <f aca="false">J397*INDEX(Customers!$G$2:$G$41,MATCH(C397,Customers!$A$2:$A$41,0))</f>
        <v>1693.86</v>
      </c>
      <c r="L397" s="16" t="n">
        <f aca="false">F397*INDEX(Customers!$H$2:$H$41,MATCH(C397,Customers!$A$2:$A$41,0))</f>
        <v>820</v>
      </c>
      <c r="M397" s="16" t="n">
        <f aca="false">J397*INDEX(Customers!$I$2:$I$41,MATCH(C397,Customers!$A$2:$A$41,0))/365*Assumptions!$B$6</f>
        <v>1113.77095890411</v>
      </c>
      <c r="N397" s="16" t="n">
        <f aca="false">J397-K397-L397-M397</f>
        <v>52834.3690410959</v>
      </c>
      <c r="O397" s="16" t="n">
        <f aca="false">F397*IF(A397="2025",INDEX(Products!$D$2:$D$13,MATCH(D397,Products!$A$2:$A$13,0)),INDEX(Products!$F$2:$F$13,MATCH(D397,Products!$A$2:$A$13,0)))</f>
        <v>30880</v>
      </c>
      <c r="P397" s="16" t="n">
        <f aca="false">N397-O397</f>
        <v>21954.3690410959</v>
      </c>
    </row>
    <row r="398" customFormat="false" ht="15" hidden="false" customHeight="false" outlineLevel="0" collapsed="false">
      <c r="A398" s="2" t="s">
        <v>119</v>
      </c>
      <c r="B398" s="2" t="n">
        <v>1</v>
      </c>
      <c r="C398" s="2" t="s">
        <v>69</v>
      </c>
      <c r="D398" s="2" t="s">
        <v>47</v>
      </c>
      <c r="E398" s="2" t="str">
        <f aca="false">INDEX(Products!$B$2:$B$13,MATCH(D398,Products!$A$2:$A$13,0))</f>
        <v>Specialty</v>
      </c>
      <c r="F398" s="15" t="n">
        <v>2.1</v>
      </c>
      <c r="G398" s="16" t="n">
        <f aca="false">IF(A398="2025",INDEX(Products!$C$2:$C$13,MATCH(D398,Products!$A$2:$A$13,0)),INDEX(Products!$E$2:$E$13,MATCH(D398,Products!$A$2:$A$13,0)))</f>
        <v>32046</v>
      </c>
      <c r="H398" s="13" t="n">
        <f aca="false">IF(A398="2025",INDEX(Customers!$D$2:$D$41,MATCH(C398,Customers!$A$2:$A$41,0)),INDEX(Customers!$F$2:$F$41,MATCH(C398,Customers!$A$2:$A$41,0)))</f>
        <v>0.135</v>
      </c>
      <c r="I398" s="16" t="n">
        <f aca="false">F398*G398</f>
        <v>67296.6</v>
      </c>
      <c r="J398" s="16" t="n">
        <f aca="false">I398*(1-H398)</f>
        <v>58211.559</v>
      </c>
      <c r="K398" s="16" t="n">
        <f aca="false">J398*INDEX(Customers!$G$2:$G$41,MATCH(C398,Customers!$A$2:$A$41,0))</f>
        <v>1746.34677</v>
      </c>
      <c r="L398" s="16" t="n">
        <f aca="false">F398*INDEX(Customers!$H$2:$H$41,MATCH(C398,Customers!$A$2:$A$41,0))</f>
        <v>861</v>
      </c>
      <c r="M398" s="16" t="n">
        <f aca="false">J398*INDEX(Customers!$I$2:$I$41,MATCH(C398,Customers!$A$2:$A$41,0))/365*Assumptions!$B$6</f>
        <v>1148.28280767123</v>
      </c>
      <c r="N398" s="16" t="n">
        <f aca="false">J398-K398-L398-M398</f>
        <v>54455.9294223288</v>
      </c>
      <c r="O398" s="16" t="n">
        <f aca="false">F398*IF(A398="2025",INDEX(Products!$D$2:$D$13,MATCH(D398,Products!$A$2:$A$13,0)),INDEX(Products!$F$2:$F$13,MATCH(D398,Products!$A$2:$A$13,0)))</f>
        <v>33396.72</v>
      </c>
      <c r="P398" s="16" t="n">
        <f aca="false">N398-O398</f>
        <v>21059.2094223288</v>
      </c>
    </row>
    <row r="399" customFormat="false" ht="15" hidden="false" customHeight="false" outlineLevel="0" collapsed="false">
      <c r="A399" s="2" t="s">
        <v>119</v>
      </c>
      <c r="B399" s="2" t="n">
        <v>2</v>
      </c>
      <c r="C399" s="2" t="s">
        <v>69</v>
      </c>
      <c r="D399" s="2" t="s">
        <v>47</v>
      </c>
      <c r="E399" s="2" t="str">
        <f aca="false">INDEX(Products!$B$2:$B$13,MATCH(D399,Products!$A$2:$A$13,0))</f>
        <v>Specialty</v>
      </c>
      <c r="F399" s="15" t="n">
        <v>2.3</v>
      </c>
      <c r="G399" s="16" t="n">
        <f aca="false">IF(A399="2025",INDEX(Products!$C$2:$C$13,MATCH(D399,Products!$A$2:$A$13,0)),INDEX(Products!$E$2:$E$13,MATCH(D399,Products!$A$2:$A$13,0)))</f>
        <v>32046</v>
      </c>
      <c r="H399" s="13" t="n">
        <f aca="false">IF(A399="2025",INDEX(Customers!$D$2:$D$41,MATCH(C399,Customers!$A$2:$A$41,0)),INDEX(Customers!$F$2:$F$41,MATCH(C399,Customers!$A$2:$A$41,0)))</f>
        <v>0.135</v>
      </c>
      <c r="I399" s="16" t="n">
        <f aca="false">F399*G399</f>
        <v>73705.8</v>
      </c>
      <c r="J399" s="16" t="n">
        <f aca="false">I399*(1-H399)</f>
        <v>63755.517</v>
      </c>
      <c r="K399" s="16" t="n">
        <f aca="false">J399*INDEX(Customers!$G$2:$G$41,MATCH(C399,Customers!$A$2:$A$41,0))</f>
        <v>1912.66551</v>
      </c>
      <c r="L399" s="16" t="n">
        <f aca="false">F399*INDEX(Customers!$H$2:$H$41,MATCH(C399,Customers!$A$2:$A$41,0))</f>
        <v>943</v>
      </c>
      <c r="M399" s="16" t="n">
        <f aca="false">J399*INDEX(Customers!$I$2:$I$41,MATCH(C399,Customers!$A$2:$A$41,0))/365*Assumptions!$B$6</f>
        <v>1257.64307506849</v>
      </c>
      <c r="N399" s="16" t="n">
        <f aca="false">J399-K399-L399-M399</f>
        <v>59642.2084149315</v>
      </c>
      <c r="O399" s="16" t="n">
        <f aca="false">F399*IF(A399="2025",INDEX(Products!$D$2:$D$13,MATCH(D399,Products!$A$2:$A$13,0)),INDEX(Products!$F$2:$F$13,MATCH(D399,Products!$A$2:$A$13,0)))</f>
        <v>36577.36</v>
      </c>
      <c r="P399" s="16" t="n">
        <f aca="false">N399-O399</f>
        <v>23064.8484149315</v>
      </c>
    </row>
    <row r="400" customFormat="false" ht="15" hidden="false" customHeight="false" outlineLevel="0" collapsed="false">
      <c r="A400" s="2" t="s">
        <v>119</v>
      </c>
      <c r="B400" s="2" t="n">
        <v>3</v>
      </c>
      <c r="C400" s="2" t="s">
        <v>69</v>
      </c>
      <c r="D400" s="2" t="s">
        <v>47</v>
      </c>
      <c r="E400" s="2" t="str">
        <f aca="false">INDEX(Products!$B$2:$B$13,MATCH(D400,Products!$A$2:$A$13,0))</f>
        <v>Specialty</v>
      </c>
      <c r="F400" s="15" t="n">
        <v>1.9</v>
      </c>
      <c r="G400" s="16" t="n">
        <f aca="false">IF(A400="2025",INDEX(Products!$C$2:$C$13,MATCH(D400,Products!$A$2:$A$13,0)),INDEX(Products!$E$2:$E$13,MATCH(D400,Products!$A$2:$A$13,0)))</f>
        <v>32046</v>
      </c>
      <c r="H400" s="13" t="n">
        <f aca="false">IF(A400="2025",INDEX(Customers!$D$2:$D$41,MATCH(C400,Customers!$A$2:$A$41,0)),INDEX(Customers!$F$2:$F$41,MATCH(C400,Customers!$A$2:$A$41,0)))</f>
        <v>0.135</v>
      </c>
      <c r="I400" s="16" t="n">
        <f aca="false">F400*G400</f>
        <v>60887.4</v>
      </c>
      <c r="J400" s="16" t="n">
        <f aca="false">I400*(1-H400)</f>
        <v>52667.601</v>
      </c>
      <c r="K400" s="16" t="n">
        <f aca="false">J400*INDEX(Customers!$G$2:$G$41,MATCH(C400,Customers!$A$2:$A$41,0))</f>
        <v>1580.02803</v>
      </c>
      <c r="L400" s="16" t="n">
        <f aca="false">F400*INDEX(Customers!$H$2:$H$41,MATCH(C400,Customers!$A$2:$A$41,0))</f>
        <v>779</v>
      </c>
      <c r="M400" s="16" t="n">
        <f aca="false">J400*INDEX(Customers!$I$2:$I$41,MATCH(C400,Customers!$A$2:$A$41,0))/365*Assumptions!$B$6</f>
        <v>1038.92254027397</v>
      </c>
      <c r="N400" s="16" t="n">
        <f aca="false">J400-K400-L400-M400</f>
        <v>49269.650429726</v>
      </c>
      <c r="O400" s="16" t="n">
        <f aca="false">F400*IF(A400="2025",INDEX(Products!$D$2:$D$13,MATCH(D400,Products!$A$2:$A$13,0)),INDEX(Products!$F$2:$F$13,MATCH(D400,Products!$A$2:$A$13,0)))</f>
        <v>30216.08</v>
      </c>
      <c r="P400" s="16" t="n">
        <f aca="false">N400-O400</f>
        <v>19053.570429726</v>
      </c>
    </row>
    <row r="401" customFormat="false" ht="15" hidden="false" customHeight="false" outlineLevel="0" collapsed="false">
      <c r="A401" s="2" t="s">
        <v>119</v>
      </c>
      <c r="B401" s="2" t="n">
        <v>4</v>
      </c>
      <c r="C401" s="2" t="s">
        <v>69</v>
      </c>
      <c r="D401" s="2" t="s">
        <v>47</v>
      </c>
      <c r="E401" s="2" t="str">
        <f aca="false">INDEX(Products!$B$2:$B$13,MATCH(D401,Products!$A$2:$A$13,0))</f>
        <v>Specialty</v>
      </c>
      <c r="F401" s="15" t="n">
        <v>1.6</v>
      </c>
      <c r="G401" s="16" t="n">
        <f aca="false">IF(A401="2025",INDEX(Products!$C$2:$C$13,MATCH(D401,Products!$A$2:$A$13,0)),INDEX(Products!$E$2:$E$13,MATCH(D401,Products!$A$2:$A$13,0)))</f>
        <v>32046</v>
      </c>
      <c r="H401" s="13" t="n">
        <f aca="false">IF(A401="2025",INDEX(Customers!$D$2:$D$41,MATCH(C401,Customers!$A$2:$A$41,0)),INDEX(Customers!$F$2:$F$41,MATCH(C401,Customers!$A$2:$A$41,0)))</f>
        <v>0.135</v>
      </c>
      <c r="I401" s="16" t="n">
        <f aca="false">F401*G401</f>
        <v>51273.6</v>
      </c>
      <c r="J401" s="16" t="n">
        <f aca="false">I401*(1-H401)</f>
        <v>44351.664</v>
      </c>
      <c r="K401" s="16" t="n">
        <f aca="false">J401*INDEX(Customers!$G$2:$G$41,MATCH(C401,Customers!$A$2:$A$41,0))</f>
        <v>1330.54992</v>
      </c>
      <c r="L401" s="16" t="n">
        <f aca="false">F401*INDEX(Customers!$H$2:$H$41,MATCH(C401,Customers!$A$2:$A$41,0))</f>
        <v>656</v>
      </c>
      <c r="M401" s="16" t="n">
        <f aca="false">J401*INDEX(Customers!$I$2:$I$41,MATCH(C401,Customers!$A$2:$A$41,0))/365*Assumptions!$B$6</f>
        <v>874.882139178082</v>
      </c>
      <c r="N401" s="16" t="n">
        <f aca="false">J401-K401-L401-M401</f>
        <v>41490.2319408219</v>
      </c>
      <c r="O401" s="16" t="n">
        <f aca="false">F401*IF(A401="2025",INDEX(Products!$D$2:$D$13,MATCH(D401,Products!$A$2:$A$13,0)),INDEX(Products!$F$2:$F$13,MATCH(D401,Products!$A$2:$A$13,0)))</f>
        <v>25445.12</v>
      </c>
      <c r="P401" s="16" t="n">
        <f aca="false">N401-O401</f>
        <v>16045.1119408219</v>
      </c>
    </row>
    <row r="402" customFormat="false" ht="15" hidden="false" customHeight="false" outlineLevel="0" collapsed="false">
      <c r="A402" s="2" t="s">
        <v>119</v>
      </c>
      <c r="B402" s="2" t="n">
        <v>5</v>
      </c>
      <c r="C402" s="2" t="s">
        <v>69</v>
      </c>
      <c r="D402" s="2" t="s">
        <v>47</v>
      </c>
      <c r="E402" s="2" t="str">
        <f aca="false">INDEX(Products!$B$2:$B$13,MATCH(D402,Products!$A$2:$A$13,0))</f>
        <v>Specialty</v>
      </c>
      <c r="F402" s="15" t="n">
        <v>2.2</v>
      </c>
      <c r="G402" s="16" t="n">
        <f aca="false">IF(A402="2025",INDEX(Products!$C$2:$C$13,MATCH(D402,Products!$A$2:$A$13,0)),INDEX(Products!$E$2:$E$13,MATCH(D402,Products!$A$2:$A$13,0)))</f>
        <v>32046</v>
      </c>
      <c r="H402" s="13" t="n">
        <f aca="false">IF(A402="2025",INDEX(Customers!$D$2:$D$41,MATCH(C402,Customers!$A$2:$A$41,0)),INDEX(Customers!$F$2:$F$41,MATCH(C402,Customers!$A$2:$A$41,0)))</f>
        <v>0.135</v>
      </c>
      <c r="I402" s="16" t="n">
        <f aca="false">F402*G402</f>
        <v>70501.2</v>
      </c>
      <c r="J402" s="16" t="n">
        <f aca="false">I402*(1-H402)</f>
        <v>60983.538</v>
      </c>
      <c r="K402" s="16" t="n">
        <f aca="false">J402*INDEX(Customers!$G$2:$G$41,MATCH(C402,Customers!$A$2:$A$41,0))</f>
        <v>1829.50614</v>
      </c>
      <c r="L402" s="16" t="n">
        <f aca="false">F402*INDEX(Customers!$H$2:$H$41,MATCH(C402,Customers!$A$2:$A$41,0))</f>
        <v>902</v>
      </c>
      <c r="M402" s="16" t="n">
        <f aca="false">J402*INDEX(Customers!$I$2:$I$41,MATCH(C402,Customers!$A$2:$A$41,0))/365*Assumptions!$B$6</f>
        <v>1202.96294136986</v>
      </c>
      <c r="N402" s="16" t="n">
        <f aca="false">J402-K402-L402-M402</f>
        <v>57049.0689186301</v>
      </c>
      <c r="O402" s="16" t="n">
        <f aca="false">F402*IF(A402="2025",INDEX(Products!$D$2:$D$13,MATCH(D402,Products!$A$2:$A$13,0)),INDEX(Products!$F$2:$F$13,MATCH(D402,Products!$A$2:$A$13,0)))</f>
        <v>34987.04</v>
      </c>
      <c r="P402" s="16" t="n">
        <f aca="false">N402-O402</f>
        <v>22062.0289186301</v>
      </c>
    </row>
    <row r="403" customFormat="false" ht="15" hidden="false" customHeight="false" outlineLevel="0" collapsed="false">
      <c r="A403" s="2" t="s">
        <v>119</v>
      </c>
      <c r="B403" s="2" t="n">
        <v>6</v>
      </c>
      <c r="C403" s="2" t="s">
        <v>69</v>
      </c>
      <c r="D403" s="2" t="s">
        <v>47</v>
      </c>
      <c r="E403" s="2" t="str">
        <f aca="false">INDEX(Products!$B$2:$B$13,MATCH(D403,Products!$A$2:$A$13,0))</f>
        <v>Specialty</v>
      </c>
      <c r="F403" s="15" t="n">
        <v>2.2</v>
      </c>
      <c r="G403" s="16" t="n">
        <f aca="false">IF(A403="2025",INDEX(Products!$C$2:$C$13,MATCH(D403,Products!$A$2:$A$13,0)),INDEX(Products!$E$2:$E$13,MATCH(D403,Products!$A$2:$A$13,0)))</f>
        <v>32046</v>
      </c>
      <c r="H403" s="13" t="n">
        <f aca="false">IF(A403="2025",INDEX(Customers!$D$2:$D$41,MATCH(C403,Customers!$A$2:$A$41,0)),INDEX(Customers!$F$2:$F$41,MATCH(C403,Customers!$A$2:$A$41,0)))</f>
        <v>0.135</v>
      </c>
      <c r="I403" s="16" t="n">
        <f aca="false">F403*G403</f>
        <v>70501.2</v>
      </c>
      <c r="J403" s="16" t="n">
        <f aca="false">I403*(1-H403)</f>
        <v>60983.538</v>
      </c>
      <c r="K403" s="16" t="n">
        <f aca="false">J403*INDEX(Customers!$G$2:$G$41,MATCH(C403,Customers!$A$2:$A$41,0))</f>
        <v>1829.50614</v>
      </c>
      <c r="L403" s="16" t="n">
        <f aca="false">F403*INDEX(Customers!$H$2:$H$41,MATCH(C403,Customers!$A$2:$A$41,0))</f>
        <v>902</v>
      </c>
      <c r="M403" s="16" t="n">
        <f aca="false">J403*INDEX(Customers!$I$2:$I$41,MATCH(C403,Customers!$A$2:$A$41,0))/365*Assumptions!$B$6</f>
        <v>1202.96294136986</v>
      </c>
      <c r="N403" s="16" t="n">
        <f aca="false">J403-K403-L403-M403</f>
        <v>57049.0689186301</v>
      </c>
      <c r="O403" s="16" t="n">
        <f aca="false">F403*IF(A403="2025",INDEX(Products!$D$2:$D$13,MATCH(D403,Products!$A$2:$A$13,0)),INDEX(Products!$F$2:$F$13,MATCH(D403,Products!$A$2:$A$13,0)))</f>
        <v>34987.04</v>
      </c>
      <c r="P403" s="16" t="n">
        <f aca="false">N403-O403</f>
        <v>22062.0289186301</v>
      </c>
    </row>
    <row r="404" customFormat="false" ht="15" hidden="false" customHeight="false" outlineLevel="0" collapsed="false">
      <c r="A404" s="2" t="s">
        <v>119</v>
      </c>
      <c r="B404" s="2" t="n">
        <v>7</v>
      </c>
      <c r="C404" s="2" t="s">
        <v>69</v>
      </c>
      <c r="D404" s="2" t="s">
        <v>47</v>
      </c>
      <c r="E404" s="2" t="str">
        <f aca="false">INDEX(Products!$B$2:$B$13,MATCH(D404,Products!$A$2:$A$13,0))</f>
        <v>Specialty</v>
      </c>
      <c r="F404" s="15" t="n">
        <v>2.4</v>
      </c>
      <c r="G404" s="16" t="n">
        <f aca="false">IF(A404="2025",INDEX(Products!$C$2:$C$13,MATCH(D404,Products!$A$2:$A$13,0)),INDEX(Products!$E$2:$E$13,MATCH(D404,Products!$A$2:$A$13,0)))</f>
        <v>32046</v>
      </c>
      <c r="H404" s="13" t="n">
        <f aca="false">IF(A404="2025",INDEX(Customers!$D$2:$D$41,MATCH(C404,Customers!$A$2:$A$41,0)),INDEX(Customers!$F$2:$F$41,MATCH(C404,Customers!$A$2:$A$41,0)))</f>
        <v>0.135</v>
      </c>
      <c r="I404" s="16" t="n">
        <f aca="false">F404*G404</f>
        <v>76910.4</v>
      </c>
      <c r="J404" s="16" t="n">
        <f aca="false">I404*(1-H404)</f>
        <v>66527.496</v>
      </c>
      <c r="K404" s="16" t="n">
        <f aca="false">J404*INDEX(Customers!$G$2:$G$41,MATCH(C404,Customers!$A$2:$A$41,0))</f>
        <v>1995.82488</v>
      </c>
      <c r="L404" s="16" t="n">
        <f aca="false">F404*INDEX(Customers!$H$2:$H$41,MATCH(C404,Customers!$A$2:$A$41,0))</f>
        <v>984</v>
      </c>
      <c r="M404" s="16" t="n">
        <f aca="false">J404*INDEX(Customers!$I$2:$I$41,MATCH(C404,Customers!$A$2:$A$41,0))/365*Assumptions!$B$6</f>
        <v>1312.32320876712</v>
      </c>
      <c r="N404" s="16" t="n">
        <f aca="false">J404-K404-L404-M404</f>
        <v>62235.3479112329</v>
      </c>
      <c r="O404" s="16" t="n">
        <f aca="false">F404*IF(A404="2025",INDEX(Products!$D$2:$D$13,MATCH(D404,Products!$A$2:$A$13,0)),INDEX(Products!$F$2:$F$13,MATCH(D404,Products!$A$2:$A$13,0)))</f>
        <v>38167.68</v>
      </c>
      <c r="P404" s="16" t="n">
        <f aca="false">N404-O404</f>
        <v>24067.6679112329</v>
      </c>
    </row>
    <row r="405" customFormat="false" ht="15" hidden="false" customHeight="false" outlineLevel="0" collapsed="false">
      <c r="A405" s="2" t="s">
        <v>119</v>
      </c>
      <c r="B405" s="2" t="n">
        <v>8</v>
      </c>
      <c r="C405" s="2" t="s">
        <v>69</v>
      </c>
      <c r="D405" s="2" t="s">
        <v>47</v>
      </c>
      <c r="E405" s="2" t="str">
        <f aca="false">INDEX(Products!$B$2:$B$13,MATCH(D405,Products!$A$2:$A$13,0))</f>
        <v>Specialty</v>
      </c>
      <c r="F405" s="15" t="n">
        <v>1.3</v>
      </c>
      <c r="G405" s="16" t="n">
        <f aca="false">IF(A405="2025",INDEX(Products!$C$2:$C$13,MATCH(D405,Products!$A$2:$A$13,0)),INDEX(Products!$E$2:$E$13,MATCH(D405,Products!$A$2:$A$13,0)))</f>
        <v>32046</v>
      </c>
      <c r="H405" s="13" t="n">
        <f aca="false">IF(A405="2025",INDEX(Customers!$D$2:$D$41,MATCH(C405,Customers!$A$2:$A$41,0)),INDEX(Customers!$F$2:$F$41,MATCH(C405,Customers!$A$2:$A$41,0)))</f>
        <v>0.135</v>
      </c>
      <c r="I405" s="16" t="n">
        <f aca="false">F405*G405</f>
        <v>41659.8</v>
      </c>
      <c r="J405" s="16" t="n">
        <f aca="false">I405*(1-H405)</f>
        <v>36035.727</v>
      </c>
      <c r="K405" s="16" t="n">
        <f aca="false">J405*INDEX(Customers!$G$2:$G$41,MATCH(C405,Customers!$A$2:$A$41,0))</f>
        <v>1081.07181</v>
      </c>
      <c r="L405" s="16" t="n">
        <f aca="false">F405*INDEX(Customers!$H$2:$H$41,MATCH(C405,Customers!$A$2:$A$41,0))</f>
        <v>533</v>
      </c>
      <c r="M405" s="16" t="n">
        <f aca="false">J405*INDEX(Customers!$I$2:$I$41,MATCH(C405,Customers!$A$2:$A$41,0))/365*Assumptions!$B$6</f>
        <v>710.841738082192</v>
      </c>
      <c r="N405" s="16" t="n">
        <f aca="false">J405-K405-L405-M405</f>
        <v>33710.8134519178</v>
      </c>
      <c r="O405" s="16" t="n">
        <f aca="false">F405*IF(A405="2025",INDEX(Products!$D$2:$D$13,MATCH(D405,Products!$A$2:$A$13,0)),INDEX(Products!$F$2:$F$13,MATCH(D405,Products!$A$2:$A$13,0)))</f>
        <v>20674.16</v>
      </c>
      <c r="P405" s="16" t="n">
        <f aca="false">N405-O405</f>
        <v>13036.6534519178</v>
      </c>
    </row>
    <row r="406" customFormat="false" ht="15" hidden="false" customHeight="false" outlineLevel="0" collapsed="false">
      <c r="A406" s="2" t="s">
        <v>119</v>
      </c>
      <c r="B406" s="2" t="n">
        <v>9</v>
      </c>
      <c r="C406" s="2" t="s">
        <v>69</v>
      </c>
      <c r="D406" s="2" t="s">
        <v>47</v>
      </c>
      <c r="E406" s="2" t="str">
        <f aca="false">INDEX(Products!$B$2:$B$13,MATCH(D406,Products!$A$2:$A$13,0))</f>
        <v>Specialty</v>
      </c>
      <c r="F406" s="15" t="n">
        <v>1.9</v>
      </c>
      <c r="G406" s="16" t="n">
        <f aca="false">IF(A406="2025",INDEX(Products!$C$2:$C$13,MATCH(D406,Products!$A$2:$A$13,0)),INDEX(Products!$E$2:$E$13,MATCH(D406,Products!$A$2:$A$13,0)))</f>
        <v>32046</v>
      </c>
      <c r="H406" s="13" t="n">
        <f aca="false">IF(A406="2025",INDEX(Customers!$D$2:$D$41,MATCH(C406,Customers!$A$2:$A$41,0)),INDEX(Customers!$F$2:$F$41,MATCH(C406,Customers!$A$2:$A$41,0)))</f>
        <v>0.135</v>
      </c>
      <c r="I406" s="16" t="n">
        <f aca="false">F406*G406</f>
        <v>60887.4</v>
      </c>
      <c r="J406" s="16" t="n">
        <f aca="false">I406*(1-H406)</f>
        <v>52667.601</v>
      </c>
      <c r="K406" s="16" t="n">
        <f aca="false">J406*INDEX(Customers!$G$2:$G$41,MATCH(C406,Customers!$A$2:$A$41,0))</f>
        <v>1580.02803</v>
      </c>
      <c r="L406" s="16" t="n">
        <f aca="false">F406*INDEX(Customers!$H$2:$H$41,MATCH(C406,Customers!$A$2:$A$41,0))</f>
        <v>779</v>
      </c>
      <c r="M406" s="16" t="n">
        <f aca="false">J406*INDEX(Customers!$I$2:$I$41,MATCH(C406,Customers!$A$2:$A$41,0))/365*Assumptions!$B$6</f>
        <v>1038.92254027397</v>
      </c>
      <c r="N406" s="16" t="n">
        <f aca="false">J406-K406-L406-M406</f>
        <v>49269.650429726</v>
      </c>
      <c r="O406" s="16" t="n">
        <f aca="false">F406*IF(A406="2025",INDEX(Products!$D$2:$D$13,MATCH(D406,Products!$A$2:$A$13,0)),INDEX(Products!$F$2:$F$13,MATCH(D406,Products!$A$2:$A$13,0)))</f>
        <v>30216.08</v>
      </c>
      <c r="P406" s="16" t="n">
        <f aca="false">N406-O406</f>
        <v>19053.570429726</v>
      </c>
    </row>
    <row r="407" customFormat="false" ht="15" hidden="false" customHeight="false" outlineLevel="0" collapsed="false">
      <c r="A407" s="2" t="s">
        <v>119</v>
      </c>
      <c r="B407" s="2" t="n">
        <v>10</v>
      </c>
      <c r="C407" s="2" t="s">
        <v>69</v>
      </c>
      <c r="D407" s="2" t="s">
        <v>47</v>
      </c>
      <c r="E407" s="2" t="str">
        <f aca="false">INDEX(Products!$B$2:$B$13,MATCH(D407,Products!$A$2:$A$13,0))</f>
        <v>Specialty</v>
      </c>
      <c r="F407" s="15" t="n">
        <v>1.4</v>
      </c>
      <c r="G407" s="16" t="n">
        <f aca="false">IF(A407="2025",INDEX(Products!$C$2:$C$13,MATCH(D407,Products!$A$2:$A$13,0)),INDEX(Products!$E$2:$E$13,MATCH(D407,Products!$A$2:$A$13,0)))</f>
        <v>32046</v>
      </c>
      <c r="H407" s="13" t="n">
        <f aca="false">IF(A407="2025",INDEX(Customers!$D$2:$D$41,MATCH(C407,Customers!$A$2:$A$41,0)),INDEX(Customers!$F$2:$F$41,MATCH(C407,Customers!$A$2:$A$41,0)))</f>
        <v>0.135</v>
      </c>
      <c r="I407" s="16" t="n">
        <f aca="false">F407*G407</f>
        <v>44864.4</v>
      </c>
      <c r="J407" s="16" t="n">
        <f aca="false">I407*(1-H407)</f>
        <v>38807.706</v>
      </c>
      <c r="K407" s="16" t="n">
        <f aca="false">J407*INDEX(Customers!$G$2:$G$41,MATCH(C407,Customers!$A$2:$A$41,0))</f>
        <v>1164.23118</v>
      </c>
      <c r="L407" s="16" t="n">
        <f aca="false">F407*INDEX(Customers!$H$2:$H$41,MATCH(C407,Customers!$A$2:$A$41,0))</f>
        <v>574</v>
      </c>
      <c r="M407" s="16" t="n">
        <f aca="false">J407*INDEX(Customers!$I$2:$I$41,MATCH(C407,Customers!$A$2:$A$41,0))/365*Assumptions!$B$6</f>
        <v>765.521871780822</v>
      </c>
      <c r="N407" s="16" t="n">
        <f aca="false">J407-K407-L407-M407</f>
        <v>36303.9529482192</v>
      </c>
      <c r="O407" s="16" t="n">
        <f aca="false">F407*IF(A407="2025",INDEX(Products!$D$2:$D$13,MATCH(D407,Products!$A$2:$A$13,0)),INDEX(Products!$F$2:$F$13,MATCH(D407,Products!$A$2:$A$13,0)))</f>
        <v>22264.48</v>
      </c>
      <c r="P407" s="16" t="n">
        <f aca="false">N407-O407</f>
        <v>14039.4729482192</v>
      </c>
    </row>
    <row r="408" customFormat="false" ht="15" hidden="false" customHeight="false" outlineLevel="0" collapsed="false">
      <c r="A408" s="2" t="s">
        <v>119</v>
      </c>
      <c r="B408" s="2" t="n">
        <v>11</v>
      </c>
      <c r="C408" s="2" t="s">
        <v>69</v>
      </c>
      <c r="D408" s="2" t="s">
        <v>47</v>
      </c>
      <c r="E408" s="2" t="str">
        <f aca="false">INDEX(Products!$B$2:$B$13,MATCH(D408,Products!$A$2:$A$13,0))</f>
        <v>Specialty</v>
      </c>
      <c r="F408" s="15" t="n">
        <v>1.9</v>
      </c>
      <c r="G408" s="16" t="n">
        <f aca="false">IF(A408="2025",INDEX(Products!$C$2:$C$13,MATCH(D408,Products!$A$2:$A$13,0)),INDEX(Products!$E$2:$E$13,MATCH(D408,Products!$A$2:$A$13,0)))</f>
        <v>32046</v>
      </c>
      <c r="H408" s="13" t="n">
        <f aca="false">IF(A408="2025",INDEX(Customers!$D$2:$D$41,MATCH(C408,Customers!$A$2:$A$41,0)),INDEX(Customers!$F$2:$F$41,MATCH(C408,Customers!$A$2:$A$41,0)))</f>
        <v>0.135</v>
      </c>
      <c r="I408" s="16" t="n">
        <f aca="false">F408*G408</f>
        <v>60887.4</v>
      </c>
      <c r="J408" s="16" t="n">
        <f aca="false">I408*(1-H408)</f>
        <v>52667.601</v>
      </c>
      <c r="K408" s="16" t="n">
        <f aca="false">J408*INDEX(Customers!$G$2:$G$41,MATCH(C408,Customers!$A$2:$A$41,0))</f>
        <v>1580.02803</v>
      </c>
      <c r="L408" s="16" t="n">
        <f aca="false">F408*INDEX(Customers!$H$2:$H$41,MATCH(C408,Customers!$A$2:$A$41,0))</f>
        <v>779</v>
      </c>
      <c r="M408" s="16" t="n">
        <f aca="false">J408*INDEX(Customers!$I$2:$I$41,MATCH(C408,Customers!$A$2:$A$41,0))/365*Assumptions!$B$6</f>
        <v>1038.92254027397</v>
      </c>
      <c r="N408" s="16" t="n">
        <f aca="false">J408-K408-L408-M408</f>
        <v>49269.650429726</v>
      </c>
      <c r="O408" s="16" t="n">
        <f aca="false">F408*IF(A408="2025",INDEX(Products!$D$2:$D$13,MATCH(D408,Products!$A$2:$A$13,0)),INDEX(Products!$F$2:$F$13,MATCH(D408,Products!$A$2:$A$13,0)))</f>
        <v>30216.08</v>
      </c>
      <c r="P408" s="16" t="n">
        <f aca="false">N408-O408</f>
        <v>19053.570429726</v>
      </c>
    </row>
    <row r="409" customFormat="false" ht="15" hidden="false" customHeight="false" outlineLevel="0" collapsed="false">
      <c r="A409" s="2" t="s">
        <v>119</v>
      </c>
      <c r="B409" s="2" t="n">
        <v>12</v>
      </c>
      <c r="C409" s="2" t="s">
        <v>69</v>
      </c>
      <c r="D409" s="2" t="s">
        <v>47</v>
      </c>
      <c r="E409" s="2" t="str">
        <f aca="false">INDEX(Products!$B$2:$B$13,MATCH(D409,Products!$A$2:$A$13,0))</f>
        <v>Specialty</v>
      </c>
      <c r="F409" s="15" t="n">
        <v>1.9</v>
      </c>
      <c r="G409" s="16" t="n">
        <f aca="false">IF(A409="2025",INDEX(Products!$C$2:$C$13,MATCH(D409,Products!$A$2:$A$13,0)),INDEX(Products!$E$2:$E$13,MATCH(D409,Products!$A$2:$A$13,0)))</f>
        <v>32046</v>
      </c>
      <c r="H409" s="13" t="n">
        <f aca="false">IF(A409="2025",INDEX(Customers!$D$2:$D$41,MATCH(C409,Customers!$A$2:$A$41,0)),INDEX(Customers!$F$2:$F$41,MATCH(C409,Customers!$A$2:$A$41,0)))</f>
        <v>0.135</v>
      </c>
      <c r="I409" s="16" t="n">
        <f aca="false">F409*G409</f>
        <v>60887.4</v>
      </c>
      <c r="J409" s="16" t="n">
        <f aca="false">I409*(1-H409)</f>
        <v>52667.601</v>
      </c>
      <c r="K409" s="16" t="n">
        <f aca="false">J409*INDEX(Customers!$G$2:$G$41,MATCH(C409,Customers!$A$2:$A$41,0))</f>
        <v>1580.02803</v>
      </c>
      <c r="L409" s="16" t="n">
        <f aca="false">F409*INDEX(Customers!$H$2:$H$41,MATCH(C409,Customers!$A$2:$A$41,0))</f>
        <v>779</v>
      </c>
      <c r="M409" s="16" t="n">
        <f aca="false">J409*INDEX(Customers!$I$2:$I$41,MATCH(C409,Customers!$A$2:$A$41,0))/365*Assumptions!$B$6</f>
        <v>1038.92254027397</v>
      </c>
      <c r="N409" s="16" t="n">
        <f aca="false">J409-K409-L409-M409</f>
        <v>49269.650429726</v>
      </c>
      <c r="O409" s="16" t="n">
        <f aca="false">F409*IF(A409="2025",INDEX(Products!$D$2:$D$13,MATCH(D409,Products!$A$2:$A$13,0)),INDEX(Products!$F$2:$F$13,MATCH(D409,Products!$A$2:$A$13,0)))</f>
        <v>30216.08</v>
      </c>
      <c r="P409" s="16" t="n">
        <f aca="false">N409-O409</f>
        <v>19053.570429726</v>
      </c>
    </row>
    <row r="410" customFormat="false" ht="15" hidden="false" customHeight="false" outlineLevel="0" collapsed="false">
      <c r="A410" s="2" t="s">
        <v>118</v>
      </c>
      <c r="B410" s="2" t="n">
        <v>1</v>
      </c>
      <c r="C410" s="2" t="s">
        <v>69</v>
      </c>
      <c r="D410" s="2" t="s">
        <v>39</v>
      </c>
      <c r="E410" s="2" t="str">
        <f aca="false">INDEX(Products!$B$2:$B$13,MATCH(D410,Products!$A$2:$A$13,0))</f>
        <v>Hydroprocessing</v>
      </c>
      <c r="F410" s="15" t="n">
        <v>2.6</v>
      </c>
      <c r="G410" s="16" t="n">
        <f aca="false">IF(A410="2025",INDEX(Products!$C$2:$C$13,MATCH(D410,Products!$A$2:$A$13,0)),INDEX(Products!$E$2:$E$13,MATCH(D410,Products!$A$2:$A$13,0)))</f>
        <v>12570</v>
      </c>
      <c r="H410" s="13" t="n">
        <f aca="false">IF(A410="2025",INDEX(Customers!$D$2:$D$41,MATCH(C410,Customers!$A$2:$A$41,0)),INDEX(Customers!$F$2:$F$41,MATCH(C410,Customers!$A$2:$A$41,0)))</f>
        <v>0.075</v>
      </c>
      <c r="I410" s="16" t="n">
        <f aca="false">F410*G410</f>
        <v>32682</v>
      </c>
      <c r="J410" s="16" t="n">
        <f aca="false">I410*(1-H410)</f>
        <v>30230.85</v>
      </c>
      <c r="K410" s="16" t="n">
        <f aca="false">J410*INDEX(Customers!$G$2:$G$41,MATCH(C410,Customers!$A$2:$A$41,0))</f>
        <v>906.9255</v>
      </c>
      <c r="L410" s="16" t="n">
        <f aca="false">F410*INDEX(Customers!$H$2:$H$41,MATCH(C410,Customers!$A$2:$A$41,0))</f>
        <v>1066</v>
      </c>
      <c r="M410" s="16" t="n">
        <f aca="false">J410*INDEX(Customers!$I$2:$I$41,MATCH(C410,Customers!$A$2:$A$41,0))/365*Assumptions!$B$6</f>
        <v>596.334575342466</v>
      </c>
      <c r="N410" s="16" t="n">
        <f aca="false">J410-K410-L410-M410</f>
        <v>27661.5899246575</v>
      </c>
      <c r="O410" s="16" t="n">
        <f aca="false">F410*IF(A410="2025",INDEX(Products!$D$2:$D$13,MATCH(D410,Products!$A$2:$A$13,0)),INDEX(Products!$F$2:$F$13,MATCH(D410,Products!$A$2:$A$13,0)))</f>
        <v>18954</v>
      </c>
      <c r="P410" s="16" t="n">
        <f aca="false">N410-O410</f>
        <v>8707.58992465754</v>
      </c>
    </row>
    <row r="411" customFormat="false" ht="15" hidden="false" customHeight="false" outlineLevel="0" collapsed="false">
      <c r="A411" s="2" t="s">
        <v>118</v>
      </c>
      <c r="B411" s="2" t="n">
        <v>2</v>
      </c>
      <c r="C411" s="2" t="s">
        <v>69</v>
      </c>
      <c r="D411" s="2" t="s">
        <v>39</v>
      </c>
      <c r="E411" s="2" t="str">
        <f aca="false">INDEX(Products!$B$2:$B$13,MATCH(D411,Products!$A$2:$A$13,0))</f>
        <v>Hydroprocessing</v>
      </c>
      <c r="F411" s="15" t="n">
        <v>4</v>
      </c>
      <c r="G411" s="16" t="n">
        <f aca="false">IF(A411="2025",INDEX(Products!$C$2:$C$13,MATCH(D411,Products!$A$2:$A$13,0)),INDEX(Products!$E$2:$E$13,MATCH(D411,Products!$A$2:$A$13,0)))</f>
        <v>12570</v>
      </c>
      <c r="H411" s="13" t="n">
        <f aca="false">IF(A411="2025",INDEX(Customers!$D$2:$D$41,MATCH(C411,Customers!$A$2:$A$41,0)),INDEX(Customers!$F$2:$F$41,MATCH(C411,Customers!$A$2:$A$41,0)))</f>
        <v>0.075</v>
      </c>
      <c r="I411" s="16" t="n">
        <f aca="false">F411*G411</f>
        <v>50280</v>
      </c>
      <c r="J411" s="16" t="n">
        <f aca="false">I411*(1-H411)</f>
        <v>46509</v>
      </c>
      <c r="K411" s="16" t="n">
        <f aca="false">J411*INDEX(Customers!$G$2:$G$41,MATCH(C411,Customers!$A$2:$A$41,0))</f>
        <v>1395.27</v>
      </c>
      <c r="L411" s="16" t="n">
        <f aca="false">F411*INDEX(Customers!$H$2:$H$41,MATCH(C411,Customers!$A$2:$A$41,0))</f>
        <v>1640</v>
      </c>
      <c r="M411" s="16" t="n">
        <f aca="false">J411*INDEX(Customers!$I$2:$I$41,MATCH(C411,Customers!$A$2:$A$41,0))/365*Assumptions!$B$6</f>
        <v>917.437808219178</v>
      </c>
      <c r="N411" s="16" t="n">
        <f aca="false">J411-K411-L411-M411</f>
        <v>42556.2921917808</v>
      </c>
      <c r="O411" s="16" t="n">
        <f aca="false">F411*IF(A411="2025",INDEX(Products!$D$2:$D$13,MATCH(D411,Products!$A$2:$A$13,0)),INDEX(Products!$F$2:$F$13,MATCH(D411,Products!$A$2:$A$13,0)))</f>
        <v>29160</v>
      </c>
      <c r="P411" s="16" t="n">
        <f aca="false">N411-O411</f>
        <v>13396.2921917808</v>
      </c>
    </row>
    <row r="412" customFormat="false" ht="15" hidden="false" customHeight="false" outlineLevel="0" collapsed="false">
      <c r="A412" s="2" t="s">
        <v>118</v>
      </c>
      <c r="B412" s="2" t="n">
        <v>3</v>
      </c>
      <c r="C412" s="2" t="s">
        <v>69</v>
      </c>
      <c r="D412" s="2" t="s">
        <v>39</v>
      </c>
      <c r="E412" s="2" t="str">
        <f aca="false">INDEX(Products!$B$2:$B$13,MATCH(D412,Products!$A$2:$A$13,0))</f>
        <v>Hydroprocessing</v>
      </c>
      <c r="F412" s="15" t="n">
        <v>3.5</v>
      </c>
      <c r="G412" s="16" t="n">
        <f aca="false">IF(A412="2025",INDEX(Products!$C$2:$C$13,MATCH(D412,Products!$A$2:$A$13,0)),INDEX(Products!$E$2:$E$13,MATCH(D412,Products!$A$2:$A$13,0)))</f>
        <v>12570</v>
      </c>
      <c r="H412" s="13" t="n">
        <f aca="false">IF(A412="2025",INDEX(Customers!$D$2:$D$41,MATCH(C412,Customers!$A$2:$A$41,0)),INDEX(Customers!$F$2:$F$41,MATCH(C412,Customers!$A$2:$A$41,0)))</f>
        <v>0.075</v>
      </c>
      <c r="I412" s="16" t="n">
        <f aca="false">F412*G412</f>
        <v>43995</v>
      </c>
      <c r="J412" s="16" t="n">
        <f aca="false">I412*(1-H412)</f>
        <v>40695.375</v>
      </c>
      <c r="K412" s="16" t="n">
        <f aca="false">J412*INDEX(Customers!$G$2:$G$41,MATCH(C412,Customers!$A$2:$A$41,0))</f>
        <v>1220.86125</v>
      </c>
      <c r="L412" s="16" t="n">
        <f aca="false">F412*INDEX(Customers!$H$2:$H$41,MATCH(C412,Customers!$A$2:$A$41,0))</f>
        <v>1435</v>
      </c>
      <c r="M412" s="16" t="n">
        <f aca="false">J412*INDEX(Customers!$I$2:$I$41,MATCH(C412,Customers!$A$2:$A$41,0))/365*Assumptions!$B$6</f>
        <v>802.758082191781</v>
      </c>
      <c r="N412" s="16" t="n">
        <f aca="false">J412-K412-L412-M412</f>
        <v>37236.7556678082</v>
      </c>
      <c r="O412" s="16" t="n">
        <f aca="false">F412*IF(A412="2025",INDEX(Products!$D$2:$D$13,MATCH(D412,Products!$A$2:$A$13,0)),INDEX(Products!$F$2:$F$13,MATCH(D412,Products!$A$2:$A$13,0)))</f>
        <v>25515</v>
      </c>
      <c r="P412" s="16" t="n">
        <f aca="false">N412-O412</f>
        <v>11721.7556678082</v>
      </c>
    </row>
    <row r="413" customFormat="false" ht="15" hidden="false" customHeight="false" outlineLevel="0" collapsed="false">
      <c r="A413" s="2" t="s">
        <v>118</v>
      </c>
      <c r="B413" s="2" t="n">
        <v>4</v>
      </c>
      <c r="C413" s="2" t="s">
        <v>69</v>
      </c>
      <c r="D413" s="2" t="s">
        <v>39</v>
      </c>
      <c r="E413" s="2" t="str">
        <f aca="false">INDEX(Products!$B$2:$B$13,MATCH(D413,Products!$A$2:$A$13,0))</f>
        <v>Hydroprocessing</v>
      </c>
      <c r="F413" s="15" t="n">
        <v>2.9</v>
      </c>
      <c r="G413" s="16" t="n">
        <f aca="false">IF(A413="2025",INDEX(Products!$C$2:$C$13,MATCH(D413,Products!$A$2:$A$13,0)),INDEX(Products!$E$2:$E$13,MATCH(D413,Products!$A$2:$A$13,0)))</f>
        <v>12570</v>
      </c>
      <c r="H413" s="13" t="n">
        <f aca="false">IF(A413="2025",INDEX(Customers!$D$2:$D$41,MATCH(C413,Customers!$A$2:$A$41,0)),INDEX(Customers!$F$2:$F$41,MATCH(C413,Customers!$A$2:$A$41,0)))</f>
        <v>0.075</v>
      </c>
      <c r="I413" s="16" t="n">
        <f aca="false">F413*G413</f>
        <v>36453</v>
      </c>
      <c r="J413" s="16" t="n">
        <f aca="false">I413*(1-H413)</f>
        <v>33719.025</v>
      </c>
      <c r="K413" s="16" t="n">
        <f aca="false">J413*INDEX(Customers!$G$2:$G$41,MATCH(C413,Customers!$A$2:$A$41,0))</f>
        <v>1011.57075</v>
      </c>
      <c r="L413" s="16" t="n">
        <f aca="false">F413*INDEX(Customers!$H$2:$H$41,MATCH(C413,Customers!$A$2:$A$41,0))</f>
        <v>1189</v>
      </c>
      <c r="M413" s="16" t="n">
        <f aca="false">J413*INDEX(Customers!$I$2:$I$41,MATCH(C413,Customers!$A$2:$A$41,0))/365*Assumptions!$B$6</f>
        <v>665.142410958904</v>
      </c>
      <c r="N413" s="16" t="n">
        <f aca="false">J413-K413-L413-M413</f>
        <v>30853.3118390411</v>
      </c>
      <c r="O413" s="16" t="n">
        <f aca="false">F413*IF(A413="2025",INDEX(Products!$D$2:$D$13,MATCH(D413,Products!$A$2:$A$13,0)),INDEX(Products!$F$2:$F$13,MATCH(D413,Products!$A$2:$A$13,0)))</f>
        <v>21141</v>
      </c>
      <c r="P413" s="16" t="n">
        <f aca="false">N413-O413</f>
        <v>9712.3118390411</v>
      </c>
    </row>
    <row r="414" customFormat="false" ht="15" hidden="false" customHeight="false" outlineLevel="0" collapsed="false">
      <c r="A414" s="2" t="s">
        <v>118</v>
      </c>
      <c r="B414" s="2" t="n">
        <v>5</v>
      </c>
      <c r="C414" s="2" t="s">
        <v>69</v>
      </c>
      <c r="D414" s="2" t="s">
        <v>39</v>
      </c>
      <c r="E414" s="2" t="str">
        <f aca="false">INDEX(Products!$B$2:$B$13,MATCH(D414,Products!$A$2:$A$13,0))</f>
        <v>Hydroprocessing</v>
      </c>
      <c r="F414" s="15" t="n">
        <v>3.6</v>
      </c>
      <c r="G414" s="16" t="n">
        <f aca="false">IF(A414="2025",INDEX(Products!$C$2:$C$13,MATCH(D414,Products!$A$2:$A$13,0)),INDEX(Products!$E$2:$E$13,MATCH(D414,Products!$A$2:$A$13,0)))</f>
        <v>12570</v>
      </c>
      <c r="H414" s="13" t="n">
        <f aca="false">IF(A414="2025",INDEX(Customers!$D$2:$D$41,MATCH(C414,Customers!$A$2:$A$41,0)),INDEX(Customers!$F$2:$F$41,MATCH(C414,Customers!$A$2:$A$41,0)))</f>
        <v>0.075</v>
      </c>
      <c r="I414" s="16" t="n">
        <f aca="false">F414*G414</f>
        <v>45252</v>
      </c>
      <c r="J414" s="16" t="n">
        <f aca="false">I414*(1-H414)</f>
        <v>41858.1</v>
      </c>
      <c r="K414" s="16" t="n">
        <f aca="false">J414*INDEX(Customers!$G$2:$G$41,MATCH(C414,Customers!$A$2:$A$41,0))</f>
        <v>1255.743</v>
      </c>
      <c r="L414" s="16" t="n">
        <f aca="false">F414*INDEX(Customers!$H$2:$H$41,MATCH(C414,Customers!$A$2:$A$41,0))</f>
        <v>1476</v>
      </c>
      <c r="M414" s="16" t="n">
        <f aca="false">J414*INDEX(Customers!$I$2:$I$41,MATCH(C414,Customers!$A$2:$A$41,0))/365*Assumptions!$B$6</f>
        <v>825.69402739726</v>
      </c>
      <c r="N414" s="16" t="n">
        <f aca="false">J414-K414-L414-M414</f>
        <v>38300.6629726027</v>
      </c>
      <c r="O414" s="16" t="n">
        <f aca="false">F414*IF(A414="2025",INDEX(Products!$D$2:$D$13,MATCH(D414,Products!$A$2:$A$13,0)),INDEX(Products!$F$2:$F$13,MATCH(D414,Products!$A$2:$A$13,0)))</f>
        <v>26244</v>
      </c>
      <c r="P414" s="16" t="n">
        <f aca="false">N414-O414</f>
        <v>12056.6629726027</v>
      </c>
    </row>
    <row r="415" customFormat="false" ht="15" hidden="false" customHeight="false" outlineLevel="0" collapsed="false">
      <c r="A415" s="2" t="s">
        <v>118</v>
      </c>
      <c r="B415" s="2" t="n">
        <v>6</v>
      </c>
      <c r="C415" s="2" t="s">
        <v>69</v>
      </c>
      <c r="D415" s="2" t="s">
        <v>39</v>
      </c>
      <c r="E415" s="2" t="str">
        <f aca="false">INDEX(Products!$B$2:$B$13,MATCH(D415,Products!$A$2:$A$13,0))</f>
        <v>Hydroprocessing</v>
      </c>
      <c r="F415" s="15" t="n">
        <v>2.6</v>
      </c>
      <c r="G415" s="16" t="n">
        <f aca="false">IF(A415="2025",INDEX(Products!$C$2:$C$13,MATCH(D415,Products!$A$2:$A$13,0)),INDEX(Products!$E$2:$E$13,MATCH(D415,Products!$A$2:$A$13,0)))</f>
        <v>12570</v>
      </c>
      <c r="H415" s="13" t="n">
        <f aca="false">IF(A415="2025",INDEX(Customers!$D$2:$D$41,MATCH(C415,Customers!$A$2:$A$41,0)),INDEX(Customers!$F$2:$F$41,MATCH(C415,Customers!$A$2:$A$41,0)))</f>
        <v>0.075</v>
      </c>
      <c r="I415" s="16" t="n">
        <f aca="false">F415*G415</f>
        <v>32682</v>
      </c>
      <c r="J415" s="16" t="n">
        <f aca="false">I415*(1-H415)</f>
        <v>30230.85</v>
      </c>
      <c r="K415" s="16" t="n">
        <f aca="false">J415*INDEX(Customers!$G$2:$G$41,MATCH(C415,Customers!$A$2:$A$41,0))</f>
        <v>906.9255</v>
      </c>
      <c r="L415" s="16" t="n">
        <f aca="false">F415*INDEX(Customers!$H$2:$H$41,MATCH(C415,Customers!$A$2:$A$41,0))</f>
        <v>1066</v>
      </c>
      <c r="M415" s="16" t="n">
        <f aca="false">J415*INDEX(Customers!$I$2:$I$41,MATCH(C415,Customers!$A$2:$A$41,0))/365*Assumptions!$B$6</f>
        <v>596.334575342466</v>
      </c>
      <c r="N415" s="16" t="n">
        <f aca="false">J415-K415-L415-M415</f>
        <v>27661.5899246575</v>
      </c>
      <c r="O415" s="16" t="n">
        <f aca="false">F415*IF(A415="2025",INDEX(Products!$D$2:$D$13,MATCH(D415,Products!$A$2:$A$13,0)),INDEX(Products!$F$2:$F$13,MATCH(D415,Products!$A$2:$A$13,0)))</f>
        <v>18954</v>
      </c>
      <c r="P415" s="16" t="n">
        <f aca="false">N415-O415</f>
        <v>8707.58992465754</v>
      </c>
    </row>
    <row r="416" customFormat="false" ht="15" hidden="false" customHeight="false" outlineLevel="0" collapsed="false">
      <c r="A416" s="2" t="s">
        <v>118</v>
      </c>
      <c r="B416" s="2" t="n">
        <v>7</v>
      </c>
      <c r="C416" s="2" t="s">
        <v>69</v>
      </c>
      <c r="D416" s="2" t="s">
        <v>39</v>
      </c>
      <c r="E416" s="2" t="str">
        <f aca="false">INDEX(Products!$B$2:$B$13,MATCH(D416,Products!$A$2:$A$13,0))</f>
        <v>Hydroprocessing</v>
      </c>
      <c r="F416" s="15" t="n">
        <v>2.7</v>
      </c>
      <c r="G416" s="16" t="n">
        <f aca="false">IF(A416="2025",INDEX(Products!$C$2:$C$13,MATCH(D416,Products!$A$2:$A$13,0)),INDEX(Products!$E$2:$E$13,MATCH(D416,Products!$A$2:$A$13,0)))</f>
        <v>12570</v>
      </c>
      <c r="H416" s="13" t="n">
        <f aca="false">IF(A416="2025",INDEX(Customers!$D$2:$D$41,MATCH(C416,Customers!$A$2:$A$41,0)),INDEX(Customers!$F$2:$F$41,MATCH(C416,Customers!$A$2:$A$41,0)))</f>
        <v>0.075</v>
      </c>
      <c r="I416" s="16" t="n">
        <f aca="false">F416*G416</f>
        <v>33939</v>
      </c>
      <c r="J416" s="16" t="n">
        <f aca="false">I416*(1-H416)</f>
        <v>31393.575</v>
      </c>
      <c r="K416" s="16" t="n">
        <f aca="false">J416*INDEX(Customers!$G$2:$G$41,MATCH(C416,Customers!$A$2:$A$41,0))</f>
        <v>941.80725</v>
      </c>
      <c r="L416" s="16" t="n">
        <f aca="false">F416*INDEX(Customers!$H$2:$H$41,MATCH(C416,Customers!$A$2:$A$41,0))</f>
        <v>1107</v>
      </c>
      <c r="M416" s="16" t="n">
        <f aca="false">J416*INDEX(Customers!$I$2:$I$41,MATCH(C416,Customers!$A$2:$A$41,0))/365*Assumptions!$B$6</f>
        <v>619.270520547945</v>
      </c>
      <c r="N416" s="16" t="n">
        <f aca="false">J416-K416-L416-M416</f>
        <v>28725.4972294521</v>
      </c>
      <c r="O416" s="16" t="n">
        <f aca="false">F416*IF(A416="2025",INDEX(Products!$D$2:$D$13,MATCH(D416,Products!$A$2:$A$13,0)),INDEX(Products!$F$2:$F$13,MATCH(D416,Products!$A$2:$A$13,0)))</f>
        <v>19683</v>
      </c>
      <c r="P416" s="16" t="n">
        <f aca="false">N416-O416</f>
        <v>9042.49722945205</v>
      </c>
    </row>
    <row r="417" customFormat="false" ht="15" hidden="false" customHeight="false" outlineLevel="0" collapsed="false">
      <c r="A417" s="2" t="s">
        <v>118</v>
      </c>
      <c r="B417" s="2" t="n">
        <v>8</v>
      </c>
      <c r="C417" s="2" t="s">
        <v>69</v>
      </c>
      <c r="D417" s="2" t="s">
        <v>39</v>
      </c>
      <c r="E417" s="2" t="str">
        <f aca="false">INDEX(Products!$B$2:$B$13,MATCH(D417,Products!$A$2:$A$13,0))</f>
        <v>Hydroprocessing</v>
      </c>
      <c r="F417" s="15" t="n">
        <v>3.6</v>
      </c>
      <c r="G417" s="16" t="n">
        <f aca="false">IF(A417="2025",INDEX(Products!$C$2:$C$13,MATCH(D417,Products!$A$2:$A$13,0)),INDEX(Products!$E$2:$E$13,MATCH(D417,Products!$A$2:$A$13,0)))</f>
        <v>12570</v>
      </c>
      <c r="H417" s="13" t="n">
        <f aca="false">IF(A417="2025",INDEX(Customers!$D$2:$D$41,MATCH(C417,Customers!$A$2:$A$41,0)),INDEX(Customers!$F$2:$F$41,MATCH(C417,Customers!$A$2:$A$41,0)))</f>
        <v>0.075</v>
      </c>
      <c r="I417" s="16" t="n">
        <f aca="false">F417*G417</f>
        <v>45252</v>
      </c>
      <c r="J417" s="16" t="n">
        <f aca="false">I417*(1-H417)</f>
        <v>41858.1</v>
      </c>
      <c r="K417" s="16" t="n">
        <f aca="false">J417*INDEX(Customers!$G$2:$G$41,MATCH(C417,Customers!$A$2:$A$41,0))</f>
        <v>1255.743</v>
      </c>
      <c r="L417" s="16" t="n">
        <f aca="false">F417*INDEX(Customers!$H$2:$H$41,MATCH(C417,Customers!$A$2:$A$41,0))</f>
        <v>1476</v>
      </c>
      <c r="M417" s="16" t="n">
        <f aca="false">J417*INDEX(Customers!$I$2:$I$41,MATCH(C417,Customers!$A$2:$A$41,0))/365*Assumptions!$B$6</f>
        <v>825.69402739726</v>
      </c>
      <c r="N417" s="16" t="n">
        <f aca="false">J417-K417-L417-M417</f>
        <v>38300.6629726027</v>
      </c>
      <c r="O417" s="16" t="n">
        <f aca="false">F417*IF(A417="2025",INDEX(Products!$D$2:$D$13,MATCH(D417,Products!$A$2:$A$13,0)),INDEX(Products!$F$2:$F$13,MATCH(D417,Products!$A$2:$A$13,0)))</f>
        <v>26244</v>
      </c>
      <c r="P417" s="16" t="n">
        <f aca="false">N417-O417</f>
        <v>12056.6629726027</v>
      </c>
    </row>
    <row r="418" customFormat="false" ht="15" hidden="false" customHeight="false" outlineLevel="0" collapsed="false">
      <c r="A418" s="2" t="s">
        <v>118</v>
      </c>
      <c r="B418" s="2" t="n">
        <v>9</v>
      </c>
      <c r="C418" s="2" t="s">
        <v>69</v>
      </c>
      <c r="D418" s="2" t="s">
        <v>39</v>
      </c>
      <c r="E418" s="2" t="str">
        <f aca="false">INDEX(Products!$B$2:$B$13,MATCH(D418,Products!$A$2:$A$13,0))</f>
        <v>Hydroprocessing</v>
      </c>
      <c r="F418" s="15" t="n">
        <v>3.4</v>
      </c>
      <c r="G418" s="16" t="n">
        <f aca="false">IF(A418="2025",INDEX(Products!$C$2:$C$13,MATCH(D418,Products!$A$2:$A$13,0)),INDEX(Products!$E$2:$E$13,MATCH(D418,Products!$A$2:$A$13,0)))</f>
        <v>12570</v>
      </c>
      <c r="H418" s="13" t="n">
        <f aca="false">IF(A418="2025",INDEX(Customers!$D$2:$D$41,MATCH(C418,Customers!$A$2:$A$41,0)),INDEX(Customers!$F$2:$F$41,MATCH(C418,Customers!$A$2:$A$41,0)))</f>
        <v>0.075</v>
      </c>
      <c r="I418" s="16" t="n">
        <f aca="false">F418*G418</f>
        <v>42738</v>
      </c>
      <c r="J418" s="16" t="n">
        <f aca="false">I418*(1-H418)</f>
        <v>39532.65</v>
      </c>
      <c r="K418" s="16" t="n">
        <f aca="false">J418*INDEX(Customers!$G$2:$G$41,MATCH(C418,Customers!$A$2:$A$41,0))</f>
        <v>1185.9795</v>
      </c>
      <c r="L418" s="16" t="n">
        <f aca="false">F418*INDEX(Customers!$H$2:$H$41,MATCH(C418,Customers!$A$2:$A$41,0))</f>
        <v>1394</v>
      </c>
      <c r="M418" s="16" t="n">
        <f aca="false">J418*INDEX(Customers!$I$2:$I$41,MATCH(C418,Customers!$A$2:$A$41,0))/365*Assumptions!$B$6</f>
        <v>779.822136986301</v>
      </c>
      <c r="N418" s="16" t="n">
        <f aca="false">J418-K418-L418-M418</f>
        <v>36172.8483630137</v>
      </c>
      <c r="O418" s="16" t="n">
        <f aca="false">F418*IF(A418="2025",INDEX(Products!$D$2:$D$13,MATCH(D418,Products!$A$2:$A$13,0)),INDEX(Products!$F$2:$F$13,MATCH(D418,Products!$A$2:$A$13,0)))</f>
        <v>24786</v>
      </c>
      <c r="P418" s="16" t="n">
        <f aca="false">N418-O418</f>
        <v>11386.8483630137</v>
      </c>
    </row>
    <row r="419" customFormat="false" ht="15" hidden="false" customHeight="false" outlineLevel="0" collapsed="false">
      <c r="A419" s="2" t="s">
        <v>118</v>
      </c>
      <c r="B419" s="2" t="n">
        <v>10</v>
      </c>
      <c r="C419" s="2" t="s">
        <v>69</v>
      </c>
      <c r="D419" s="2" t="s">
        <v>39</v>
      </c>
      <c r="E419" s="2" t="str">
        <f aca="false">INDEX(Products!$B$2:$B$13,MATCH(D419,Products!$A$2:$A$13,0))</f>
        <v>Hydroprocessing</v>
      </c>
      <c r="F419" s="15" t="n">
        <v>3.6</v>
      </c>
      <c r="G419" s="16" t="n">
        <f aca="false">IF(A419="2025",INDEX(Products!$C$2:$C$13,MATCH(D419,Products!$A$2:$A$13,0)),INDEX(Products!$E$2:$E$13,MATCH(D419,Products!$A$2:$A$13,0)))</f>
        <v>12570</v>
      </c>
      <c r="H419" s="13" t="n">
        <f aca="false">IF(A419="2025",INDEX(Customers!$D$2:$D$41,MATCH(C419,Customers!$A$2:$A$41,0)),INDEX(Customers!$F$2:$F$41,MATCH(C419,Customers!$A$2:$A$41,0)))</f>
        <v>0.075</v>
      </c>
      <c r="I419" s="16" t="n">
        <f aca="false">F419*G419</f>
        <v>45252</v>
      </c>
      <c r="J419" s="16" t="n">
        <f aca="false">I419*(1-H419)</f>
        <v>41858.1</v>
      </c>
      <c r="K419" s="16" t="n">
        <f aca="false">J419*INDEX(Customers!$G$2:$G$41,MATCH(C419,Customers!$A$2:$A$41,0))</f>
        <v>1255.743</v>
      </c>
      <c r="L419" s="16" t="n">
        <f aca="false">F419*INDEX(Customers!$H$2:$H$41,MATCH(C419,Customers!$A$2:$A$41,0))</f>
        <v>1476</v>
      </c>
      <c r="M419" s="16" t="n">
        <f aca="false">J419*INDEX(Customers!$I$2:$I$41,MATCH(C419,Customers!$A$2:$A$41,0))/365*Assumptions!$B$6</f>
        <v>825.69402739726</v>
      </c>
      <c r="N419" s="16" t="n">
        <f aca="false">J419-K419-L419-M419</f>
        <v>38300.6629726027</v>
      </c>
      <c r="O419" s="16" t="n">
        <f aca="false">F419*IF(A419="2025",INDEX(Products!$D$2:$D$13,MATCH(D419,Products!$A$2:$A$13,0)),INDEX(Products!$F$2:$F$13,MATCH(D419,Products!$A$2:$A$13,0)))</f>
        <v>26244</v>
      </c>
      <c r="P419" s="16" t="n">
        <f aca="false">N419-O419</f>
        <v>12056.6629726027</v>
      </c>
    </row>
    <row r="420" customFormat="false" ht="15" hidden="false" customHeight="false" outlineLevel="0" collapsed="false">
      <c r="A420" s="2" t="s">
        <v>118</v>
      </c>
      <c r="B420" s="2" t="n">
        <v>11</v>
      </c>
      <c r="C420" s="2" t="s">
        <v>69</v>
      </c>
      <c r="D420" s="2" t="s">
        <v>39</v>
      </c>
      <c r="E420" s="2" t="str">
        <f aca="false">INDEX(Products!$B$2:$B$13,MATCH(D420,Products!$A$2:$A$13,0))</f>
        <v>Hydroprocessing</v>
      </c>
      <c r="F420" s="15" t="n">
        <v>2.9</v>
      </c>
      <c r="G420" s="16" t="n">
        <f aca="false">IF(A420="2025",INDEX(Products!$C$2:$C$13,MATCH(D420,Products!$A$2:$A$13,0)),INDEX(Products!$E$2:$E$13,MATCH(D420,Products!$A$2:$A$13,0)))</f>
        <v>12570</v>
      </c>
      <c r="H420" s="13" t="n">
        <f aca="false">IF(A420="2025",INDEX(Customers!$D$2:$D$41,MATCH(C420,Customers!$A$2:$A$41,0)),INDEX(Customers!$F$2:$F$41,MATCH(C420,Customers!$A$2:$A$41,0)))</f>
        <v>0.075</v>
      </c>
      <c r="I420" s="16" t="n">
        <f aca="false">F420*G420</f>
        <v>36453</v>
      </c>
      <c r="J420" s="16" t="n">
        <f aca="false">I420*(1-H420)</f>
        <v>33719.025</v>
      </c>
      <c r="K420" s="16" t="n">
        <f aca="false">J420*INDEX(Customers!$G$2:$G$41,MATCH(C420,Customers!$A$2:$A$41,0))</f>
        <v>1011.57075</v>
      </c>
      <c r="L420" s="16" t="n">
        <f aca="false">F420*INDEX(Customers!$H$2:$H$41,MATCH(C420,Customers!$A$2:$A$41,0))</f>
        <v>1189</v>
      </c>
      <c r="M420" s="16" t="n">
        <f aca="false">J420*INDEX(Customers!$I$2:$I$41,MATCH(C420,Customers!$A$2:$A$41,0))/365*Assumptions!$B$6</f>
        <v>665.142410958904</v>
      </c>
      <c r="N420" s="16" t="n">
        <f aca="false">J420-K420-L420-M420</f>
        <v>30853.3118390411</v>
      </c>
      <c r="O420" s="16" t="n">
        <f aca="false">F420*IF(A420="2025",INDEX(Products!$D$2:$D$13,MATCH(D420,Products!$A$2:$A$13,0)),INDEX(Products!$F$2:$F$13,MATCH(D420,Products!$A$2:$A$13,0)))</f>
        <v>21141</v>
      </c>
      <c r="P420" s="16" t="n">
        <f aca="false">N420-O420</f>
        <v>9712.3118390411</v>
      </c>
    </row>
    <row r="421" customFormat="false" ht="15" hidden="false" customHeight="false" outlineLevel="0" collapsed="false">
      <c r="A421" s="2" t="s">
        <v>118</v>
      </c>
      <c r="B421" s="2" t="n">
        <v>12</v>
      </c>
      <c r="C421" s="2" t="s">
        <v>69</v>
      </c>
      <c r="D421" s="2" t="s">
        <v>39</v>
      </c>
      <c r="E421" s="2" t="str">
        <f aca="false">INDEX(Products!$B$2:$B$13,MATCH(D421,Products!$A$2:$A$13,0))</f>
        <v>Hydroprocessing</v>
      </c>
      <c r="F421" s="15" t="n">
        <v>2.5</v>
      </c>
      <c r="G421" s="16" t="n">
        <f aca="false">IF(A421="2025",INDEX(Products!$C$2:$C$13,MATCH(D421,Products!$A$2:$A$13,0)),INDEX(Products!$E$2:$E$13,MATCH(D421,Products!$A$2:$A$13,0)))</f>
        <v>12570</v>
      </c>
      <c r="H421" s="13" t="n">
        <f aca="false">IF(A421="2025",INDEX(Customers!$D$2:$D$41,MATCH(C421,Customers!$A$2:$A$41,0)),INDEX(Customers!$F$2:$F$41,MATCH(C421,Customers!$A$2:$A$41,0)))</f>
        <v>0.075</v>
      </c>
      <c r="I421" s="16" t="n">
        <f aca="false">F421*G421</f>
        <v>31425</v>
      </c>
      <c r="J421" s="16" t="n">
        <f aca="false">I421*(1-H421)</f>
        <v>29068.125</v>
      </c>
      <c r="K421" s="16" t="n">
        <f aca="false">J421*INDEX(Customers!$G$2:$G$41,MATCH(C421,Customers!$A$2:$A$41,0))</f>
        <v>872.04375</v>
      </c>
      <c r="L421" s="16" t="n">
        <f aca="false">F421*INDEX(Customers!$H$2:$H$41,MATCH(C421,Customers!$A$2:$A$41,0))</f>
        <v>1025</v>
      </c>
      <c r="M421" s="16" t="n">
        <f aca="false">J421*INDEX(Customers!$I$2:$I$41,MATCH(C421,Customers!$A$2:$A$41,0))/365*Assumptions!$B$6</f>
        <v>573.398630136986</v>
      </c>
      <c r="N421" s="16" t="n">
        <f aca="false">J421-K421-L421-M421</f>
        <v>26597.682619863</v>
      </c>
      <c r="O421" s="16" t="n">
        <f aca="false">F421*IF(A421="2025",INDEX(Products!$D$2:$D$13,MATCH(D421,Products!$A$2:$A$13,0)),INDEX(Products!$F$2:$F$13,MATCH(D421,Products!$A$2:$A$13,0)))</f>
        <v>18225</v>
      </c>
      <c r="P421" s="16" t="n">
        <f aca="false">N421-O421</f>
        <v>8372.68261986301</v>
      </c>
    </row>
    <row r="422" customFormat="false" ht="15" hidden="false" customHeight="false" outlineLevel="0" collapsed="false">
      <c r="A422" s="2" t="s">
        <v>119</v>
      </c>
      <c r="B422" s="2" t="n">
        <v>1</v>
      </c>
      <c r="C422" s="2" t="s">
        <v>69</v>
      </c>
      <c r="D422" s="2" t="s">
        <v>39</v>
      </c>
      <c r="E422" s="2" t="str">
        <f aca="false">INDEX(Products!$B$2:$B$13,MATCH(D422,Products!$A$2:$A$13,0))</f>
        <v>Hydroprocessing</v>
      </c>
      <c r="F422" s="15" t="n">
        <v>2.7</v>
      </c>
      <c r="G422" s="16" t="n">
        <f aca="false">IF(A422="2025",INDEX(Products!$C$2:$C$13,MATCH(D422,Products!$A$2:$A$13,0)),INDEX(Products!$E$2:$E$13,MATCH(D422,Products!$A$2:$A$13,0)))</f>
        <v>13198.5</v>
      </c>
      <c r="H422" s="13" t="n">
        <f aca="false">IF(A422="2025",INDEX(Customers!$D$2:$D$41,MATCH(C422,Customers!$A$2:$A$41,0)),INDEX(Customers!$F$2:$F$41,MATCH(C422,Customers!$A$2:$A$41,0)))</f>
        <v>0.135</v>
      </c>
      <c r="I422" s="16" t="n">
        <f aca="false">F422*G422</f>
        <v>35635.95</v>
      </c>
      <c r="J422" s="16" t="n">
        <f aca="false">I422*(1-H422)</f>
        <v>30825.09675</v>
      </c>
      <c r="K422" s="16" t="n">
        <f aca="false">J422*INDEX(Customers!$G$2:$G$41,MATCH(C422,Customers!$A$2:$A$41,0))</f>
        <v>924.7529025</v>
      </c>
      <c r="L422" s="16" t="n">
        <f aca="false">F422*INDEX(Customers!$H$2:$H$41,MATCH(C422,Customers!$A$2:$A$41,0))</f>
        <v>1107</v>
      </c>
      <c r="M422" s="16" t="n">
        <f aca="false">J422*INDEX(Customers!$I$2:$I$41,MATCH(C422,Customers!$A$2:$A$41,0))/365*Assumptions!$B$6</f>
        <v>608.056703013699</v>
      </c>
      <c r="N422" s="16" t="n">
        <f aca="false">J422-K422-L422-M422</f>
        <v>28185.2871444863</v>
      </c>
      <c r="O422" s="16" t="n">
        <f aca="false">F422*IF(A422="2025",INDEX(Products!$D$2:$D$13,MATCH(D422,Products!$A$2:$A$13,0)),INDEX(Products!$F$2:$F$13,MATCH(D422,Products!$A$2:$A$13,0)))</f>
        <v>20273.49</v>
      </c>
      <c r="P422" s="16" t="n">
        <f aca="false">N422-O422</f>
        <v>7911.7971444863</v>
      </c>
    </row>
    <row r="423" customFormat="false" ht="15" hidden="false" customHeight="false" outlineLevel="0" collapsed="false">
      <c r="A423" s="2" t="s">
        <v>119</v>
      </c>
      <c r="B423" s="2" t="n">
        <v>2</v>
      </c>
      <c r="C423" s="2" t="s">
        <v>69</v>
      </c>
      <c r="D423" s="2" t="s">
        <v>39</v>
      </c>
      <c r="E423" s="2" t="str">
        <f aca="false">INDEX(Products!$B$2:$B$13,MATCH(D423,Products!$A$2:$A$13,0))</f>
        <v>Hydroprocessing</v>
      </c>
      <c r="F423" s="15" t="n">
        <v>3.2</v>
      </c>
      <c r="G423" s="16" t="n">
        <f aca="false">IF(A423="2025",INDEX(Products!$C$2:$C$13,MATCH(D423,Products!$A$2:$A$13,0)),INDEX(Products!$E$2:$E$13,MATCH(D423,Products!$A$2:$A$13,0)))</f>
        <v>13198.5</v>
      </c>
      <c r="H423" s="13" t="n">
        <f aca="false">IF(A423="2025",INDEX(Customers!$D$2:$D$41,MATCH(C423,Customers!$A$2:$A$41,0)),INDEX(Customers!$F$2:$F$41,MATCH(C423,Customers!$A$2:$A$41,0)))</f>
        <v>0.135</v>
      </c>
      <c r="I423" s="16" t="n">
        <f aca="false">F423*G423</f>
        <v>42235.2</v>
      </c>
      <c r="J423" s="16" t="n">
        <f aca="false">I423*(1-H423)</f>
        <v>36533.448</v>
      </c>
      <c r="K423" s="16" t="n">
        <f aca="false">J423*INDEX(Customers!$G$2:$G$41,MATCH(C423,Customers!$A$2:$A$41,0))</f>
        <v>1096.00344</v>
      </c>
      <c r="L423" s="16" t="n">
        <f aca="false">F423*INDEX(Customers!$H$2:$H$41,MATCH(C423,Customers!$A$2:$A$41,0))</f>
        <v>1312</v>
      </c>
      <c r="M423" s="16" t="n">
        <f aca="false">J423*INDEX(Customers!$I$2:$I$41,MATCH(C423,Customers!$A$2:$A$41,0))/365*Assumptions!$B$6</f>
        <v>720.659796164384</v>
      </c>
      <c r="N423" s="16" t="n">
        <f aca="false">J423-K423-L423-M423</f>
        <v>33404.7847638356</v>
      </c>
      <c r="O423" s="16" t="n">
        <f aca="false">F423*IF(A423="2025",INDEX(Products!$D$2:$D$13,MATCH(D423,Products!$A$2:$A$13,0)),INDEX(Products!$F$2:$F$13,MATCH(D423,Products!$A$2:$A$13,0)))</f>
        <v>24027.84</v>
      </c>
      <c r="P423" s="16" t="n">
        <f aca="false">N423-O423</f>
        <v>9376.94476383562</v>
      </c>
    </row>
    <row r="424" customFormat="false" ht="15" hidden="false" customHeight="false" outlineLevel="0" collapsed="false">
      <c r="A424" s="2" t="s">
        <v>119</v>
      </c>
      <c r="B424" s="2" t="n">
        <v>3</v>
      </c>
      <c r="C424" s="2" t="s">
        <v>69</v>
      </c>
      <c r="D424" s="2" t="s">
        <v>39</v>
      </c>
      <c r="E424" s="2" t="str">
        <f aca="false">INDEX(Products!$B$2:$B$13,MATCH(D424,Products!$A$2:$A$13,0))</f>
        <v>Hydroprocessing</v>
      </c>
      <c r="F424" s="15" t="n">
        <v>3.3</v>
      </c>
      <c r="G424" s="16" t="n">
        <f aca="false">IF(A424="2025",INDEX(Products!$C$2:$C$13,MATCH(D424,Products!$A$2:$A$13,0)),INDEX(Products!$E$2:$E$13,MATCH(D424,Products!$A$2:$A$13,0)))</f>
        <v>13198.5</v>
      </c>
      <c r="H424" s="13" t="n">
        <f aca="false">IF(A424="2025",INDEX(Customers!$D$2:$D$41,MATCH(C424,Customers!$A$2:$A$41,0)),INDEX(Customers!$F$2:$F$41,MATCH(C424,Customers!$A$2:$A$41,0)))</f>
        <v>0.135</v>
      </c>
      <c r="I424" s="16" t="n">
        <f aca="false">F424*G424</f>
        <v>43555.05</v>
      </c>
      <c r="J424" s="16" t="n">
        <f aca="false">I424*(1-H424)</f>
        <v>37675.11825</v>
      </c>
      <c r="K424" s="16" t="n">
        <f aca="false">J424*INDEX(Customers!$G$2:$G$41,MATCH(C424,Customers!$A$2:$A$41,0))</f>
        <v>1130.2535475</v>
      </c>
      <c r="L424" s="16" t="n">
        <f aca="false">F424*INDEX(Customers!$H$2:$H$41,MATCH(C424,Customers!$A$2:$A$41,0))</f>
        <v>1353</v>
      </c>
      <c r="M424" s="16" t="n">
        <f aca="false">J424*INDEX(Customers!$I$2:$I$41,MATCH(C424,Customers!$A$2:$A$41,0))/365*Assumptions!$B$6</f>
        <v>743.18041479452</v>
      </c>
      <c r="N424" s="16" t="n">
        <f aca="false">J424-K424-L424-M424</f>
        <v>34448.6842877055</v>
      </c>
      <c r="O424" s="16" t="n">
        <f aca="false">F424*IF(A424="2025",INDEX(Products!$D$2:$D$13,MATCH(D424,Products!$A$2:$A$13,0)),INDEX(Products!$F$2:$F$13,MATCH(D424,Products!$A$2:$A$13,0)))</f>
        <v>24778.71</v>
      </c>
      <c r="P424" s="16" t="n">
        <f aca="false">N424-O424</f>
        <v>9669.97428770547</v>
      </c>
    </row>
    <row r="425" customFormat="false" ht="15" hidden="false" customHeight="false" outlineLevel="0" collapsed="false">
      <c r="A425" s="2" t="s">
        <v>119</v>
      </c>
      <c r="B425" s="2" t="n">
        <v>4</v>
      </c>
      <c r="C425" s="2" t="s">
        <v>69</v>
      </c>
      <c r="D425" s="2" t="s">
        <v>39</v>
      </c>
      <c r="E425" s="2" t="str">
        <f aca="false">INDEX(Products!$B$2:$B$13,MATCH(D425,Products!$A$2:$A$13,0))</f>
        <v>Hydroprocessing</v>
      </c>
      <c r="F425" s="15" t="n">
        <v>3.4</v>
      </c>
      <c r="G425" s="16" t="n">
        <f aca="false">IF(A425="2025",INDEX(Products!$C$2:$C$13,MATCH(D425,Products!$A$2:$A$13,0)),INDEX(Products!$E$2:$E$13,MATCH(D425,Products!$A$2:$A$13,0)))</f>
        <v>13198.5</v>
      </c>
      <c r="H425" s="13" t="n">
        <f aca="false">IF(A425="2025",INDEX(Customers!$D$2:$D$41,MATCH(C425,Customers!$A$2:$A$41,0)),INDEX(Customers!$F$2:$F$41,MATCH(C425,Customers!$A$2:$A$41,0)))</f>
        <v>0.135</v>
      </c>
      <c r="I425" s="16" t="n">
        <f aca="false">F425*G425</f>
        <v>44874.9</v>
      </c>
      <c r="J425" s="16" t="n">
        <f aca="false">I425*(1-H425)</f>
        <v>38816.7885</v>
      </c>
      <c r="K425" s="16" t="n">
        <f aca="false">J425*INDEX(Customers!$G$2:$G$41,MATCH(C425,Customers!$A$2:$A$41,0))</f>
        <v>1164.503655</v>
      </c>
      <c r="L425" s="16" t="n">
        <f aca="false">F425*INDEX(Customers!$H$2:$H$41,MATCH(C425,Customers!$A$2:$A$41,0))</f>
        <v>1394</v>
      </c>
      <c r="M425" s="16" t="n">
        <f aca="false">J425*INDEX(Customers!$I$2:$I$41,MATCH(C425,Customers!$A$2:$A$41,0))/365*Assumptions!$B$6</f>
        <v>765.701033424658</v>
      </c>
      <c r="N425" s="16" t="n">
        <f aca="false">J425-K425-L425-M425</f>
        <v>35492.5838115753</v>
      </c>
      <c r="O425" s="16" t="n">
        <f aca="false">F425*IF(A425="2025",INDEX(Products!$D$2:$D$13,MATCH(D425,Products!$A$2:$A$13,0)),INDEX(Products!$F$2:$F$13,MATCH(D425,Products!$A$2:$A$13,0)))</f>
        <v>25529.58</v>
      </c>
      <c r="P425" s="16" t="n">
        <f aca="false">N425-O425</f>
        <v>9963.00381157535</v>
      </c>
    </row>
    <row r="426" customFormat="false" ht="15" hidden="false" customHeight="false" outlineLevel="0" collapsed="false">
      <c r="A426" s="2" t="s">
        <v>119</v>
      </c>
      <c r="B426" s="2" t="n">
        <v>5</v>
      </c>
      <c r="C426" s="2" t="s">
        <v>69</v>
      </c>
      <c r="D426" s="2" t="s">
        <v>39</v>
      </c>
      <c r="E426" s="2" t="str">
        <f aca="false">INDEX(Products!$B$2:$B$13,MATCH(D426,Products!$A$2:$A$13,0))</f>
        <v>Hydroprocessing</v>
      </c>
      <c r="F426" s="15" t="n">
        <v>3.6</v>
      </c>
      <c r="G426" s="16" t="n">
        <f aca="false">IF(A426="2025",INDEX(Products!$C$2:$C$13,MATCH(D426,Products!$A$2:$A$13,0)),INDEX(Products!$E$2:$E$13,MATCH(D426,Products!$A$2:$A$13,0)))</f>
        <v>13198.5</v>
      </c>
      <c r="H426" s="13" t="n">
        <f aca="false">IF(A426="2025",INDEX(Customers!$D$2:$D$41,MATCH(C426,Customers!$A$2:$A$41,0)),INDEX(Customers!$F$2:$F$41,MATCH(C426,Customers!$A$2:$A$41,0)))</f>
        <v>0.135</v>
      </c>
      <c r="I426" s="16" t="n">
        <f aca="false">F426*G426</f>
        <v>47514.6</v>
      </c>
      <c r="J426" s="16" t="n">
        <f aca="false">I426*(1-H426)</f>
        <v>41100.129</v>
      </c>
      <c r="K426" s="16" t="n">
        <f aca="false">J426*INDEX(Customers!$G$2:$G$41,MATCH(C426,Customers!$A$2:$A$41,0))</f>
        <v>1233.00387</v>
      </c>
      <c r="L426" s="16" t="n">
        <f aca="false">F426*INDEX(Customers!$H$2:$H$41,MATCH(C426,Customers!$A$2:$A$41,0))</f>
        <v>1476</v>
      </c>
      <c r="M426" s="16" t="n">
        <f aca="false">J426*INDEX(Customers!$I$2:$I$41,MATCH(C426,Customers!$A$2:$A$41,0))/365*Assumptions!$B$6</f>
        <v>810.742270684931</v>
      </c>
      <c r="N426" s="16" t="n">
        <f aca="false">J426-K426-L426-M426</f>
        <v>37580.3828593151</v>
      </c>
      <c r="O426" s="16" t="n">
        <f aca="false">F426*IF(A426="2025",INDEX(Products!$D$2:$D$13,MATCH(D426,Products!$A$2:$A$13,0)),INDEX(Products!$F$2:$F$13,MATCH(D426,Products!$A$2:$A$13,0)))</f>
        <v>27031.32</v>
      </c>
      <c r="P426" s="16" t="n">
        <f aca="false">N426-O426</f>
        <v>10549.0628593151</v>
      </c>
    </row>
    <row r="427" customFormat="false" ht="15" hidden="false" customHeight="false" outlineLevel="0" collapsed="false">
      <c r="A427" s="2" t="s">
        <v>119</v>
      </c>
      <c r="B427" s="2" t="n">
        <v>6</v>
      </c>
      <c r="C427" s="2" t="s">
        <v>69</v>
      </c>
      <c r="D427" s="2" t="s">
        <v>39</v>
      </c>
      <c r="E427" s="2" t="str">
        <f aca="false">INDEX(Products!$B$2:$B$13,MATCH(D427,Products!$A$2:$A$13,0))</f>
        <v>Hydroprocessing</v>
      </c>
      <c r="F427" s="15" t="n">
        <v>2.5</v>
      </c>
      <c r="G427" s="16" t="n">
        <f aca="false">IF(A427="2025",INDEX(Products!$C$2:$C$13,MATCH(D427,Products!$A$2:$A$13,0)),INDEX(Products!$E$2:$E$13,MATCH(D427,Products!$A$2:$A$13,0)))</f>
        <v>13198.5</v>
      </c>
      <c r="H427" s="13" t="n">
        <f aca="false">IF(A427="2025",INDEX(Customers!$D$2:$D$41,MATCH(C427,Customers!$A$2:$A$41,0)),INDEX(Customers!$F$2:$F$41,MATCH(C427,Customers!$A$2:$A$41,0)))</f>
        <v>0.135</v>
      </c>
      <c r="I427" s="16" t="n">
        <f aca="false">F427*G427</f>
        <v>32996.25</v>
      </c>
      <c r="J427" s="16" t="n">
        <f aca="false">I427*(1-H427)</f>
        <v>28541.75625</v>
      </c>
      <c r="K427" s="16" t="n">
        <f aca="false">J427*INDEX(Customers!$G$2:$G$41,MATCH(C427,Customers!$A$2:$A$41,0))</f>
        <v>856.2526875</v>
      </c>
      <c r="L427" s="16" t="n">
        <f aca="false">F427*INDEX(Customers!$H$2:$H$41,MATCH(C427,Customers!$A$2:$A$41,0))</f>
        <v>1025</v>
      </c>
      <c r="M427" s="16" t="n">
        <f aca="false">J427*INDEX(Customers!$I$2:$I$41,MATCH(C427,Customers!$A$2:$A$41,0))/365*Assumptions!$B$6</f>
        <v>563.015465753425</v>
      </c>
      <c r="N427" s="16" t="n">
        <f aca="false">J427-K427-L427-M427</f>
        <v>26097.4880967466</v>
      </c>
      <c r="O427" s="16" t="n">
        <f aca="false">F427*IF(A427="2025",INDEX(Products!$D$2:$D$13,MATCH(D427,Products!$A$2:$A$13,0)),INDEX(Products!$F$2:$F$13,MATCH(D427,Products!$A$2:$A$13,0)))</f>
        <v>18771.75</v>
      </c>
      <c r="P427" s="16" t="n">
        <f aca="false">N427-O427</f>
        <v>7325.73809674657</v>
      </c>
    </row>
    <row r="428" customFormat="false" ht="15" hidden="false" customHeight="false" outlineLevel="0" collapsed="false">
      <c r="A428" s="2" t="s">
        <v>119</v>
      </c>
      <c r="B428" s="2" t="n">
        <v>7</v>
      </c>
      <c r="C428" s="2" t="s">
        <v>69</v>
      </c>
      <c r="D428" s="2" t="s">
        <v>39</v>
      </c>
      <c r="E428" s="2" t="str">
        <f aca="false">INDEX(Products!$B$2:$B$13,MATCH(D428,Products!$A$2:$A$13,0))</f>
        <v>Hydroprocessing</v>
      </c>
      <c r="F428" s="15" t="n">
        <v>3.3</v>
      </c>
      <c r="G428" s="16" t="n">
        <f aca="false">IF(A428="2025",INDEX(Products!$C$2:$C$13,MATCH(D428,Products!$A$2:$A$13,0)),INDEX(Products!$E$2:$E$13,MATCH(D428,Products!$A$2:$A$13,0)))</f>
        <v>13198.5</v>
      </c>
      <c r="H428" s="13" t="n">
        <f aca="false">IF(A428="2025",INDEX(Customers!$D$2:$D$41,MATCH(C428,Customers!$A$2:$A$41,0)),INDEX(Customers!$F$2:$F$41,MATCH(C428,Customers!$A$2:$A$41,0)))</f>
        <v>0.135</v>
      </c>
      <c r="I428" s="16" t="n">
        <f aca="false">F428*G428</f>
        <v>43555.05</v>
      </c>
      <c r="J428" s="16" t="n">
        <f aca="false">I428*(1-H428)</f>
        <v>37675.11825</v>
      </c>
      <c r="K428" s="16" t="n">
        <f aca="false">J428*INDEX(Customers!$G$2:$G$41,MATCH(C428,Customers!$A$2:$A$41,0))</f>
        <v>1130.2535475</v>
      </c>
      <c r="L428" s="16" t="n">
        <f aca="false">F428*INDEX(Customers!$H$2:$H$41,MATCH(C428,Customers!$A$2:$A$41,0))</f>
        <v>1353</v>
      </c>
      <c r="M428" s="16" t="n">
        <f aca="false">J428*INDEX(Customers!$I$2:$I$41,MATCH(C428,Customers!$A$2:$A$41,0))/365*Assumptions!$B$6</f>
        <v>743.18041479452</v>
      </c>
      <c r="N428" s="16" t="n">
        <f aca="false">J428-K428-L428-M428</f>
        <v>34448.6842877055</v>
      </c>
      <c r="O428" s="16" t="n">
        <f aca="false">F428*IF(A428="2025",INDEX(Products!$D$2:$D$13,MATCH(D428,Products!$A$2:$A$13,0)),INDEX(Products!$F$2:$F$13,MATCH(D428,Products!$A$2:$A$13,0)))</f>
        <v>24778.71</v>
      </c>
      <c r="P428" s="16" t="n">
        <f aca="false">N428-O428</f>
        <v>9669.97428770547</v>
      </c>
    </row>
    <row r="429" customFormat="false" ht="15" hidden="false" customHeight="false" outlineLevel="0" collapsed="false">
      <c r="A429" s="2" t="s">
        <v>119</v>
      </c>
      <c r="B429" s="2" t="n">
        <v>8</v>
      </c>
      <c r="C429" s="2" t="s">
        <v>69</v>
      </c>
      <c r="D429" s="2" t="s">
        <v>39</v>
      </c>
      <c r="E429" s="2" t="str">
        <f aca="false">INDEX(Products!$B$2:$B$13,MATCH(D429,Products!$A$2:$A$13,0))</f>
        <v>Hydroprocessing</v>
      </c>
      <c r="F429" s="15" t="n">
        <v>3.6</v>
      </c>
      <c r="G429" s="16" t="n">
        <f aca="false">IF(A429="2025",INDEX(Products!$C$2:$C$13,MATCH(D429,Products!$A$2:$A$13,0)),INDEX(Products!$E$2:$E$13,MATCH(D429,Products!$A$2:$A$13,0)))</f>
        <v>13198.5</v>
      </c>
      <c r="H429" s="13" t="n">
        <f aca="false">IF(A429="2025",INDEX(Customers!$D$2:$D$41,MATCH(C429,Customers!$A$2:$A$41,0)),INDEX(Customers!$F$2:$F$41,MATCH(C429,Customers!$A$2:$A$41,0)))</f>
        <v>0.135</v>
      </c>
      <c r="I429" s="16" t="n">
        <f aca="false">F429*G429</f>
        <v>47514.6</v>
      </c>
      <c r="J429" s="16" t="n">
        <f aca="false">I429*(1-H429)</f>
        <v>41100.129</v>
      </c>
      <c r="K429" s="16" t="n">
        <f aca="false">J429*INDEX(Customers!$G$2:$G$41,MATCH(C429,Customers!$A$2:$A$41,0))</f>
        <v>1233.00387</v>
      </c>
      <c r="L429" s="16" t="n">
        <f aca="false">F429*INDEX(Customers!$H$2:$H$41,MATCH(C429,Customers!$A$2:$A$41,0))</f>
        <v>1476</v>
      </c>
      <c r="M429" s="16" t="n">
        <f aca="false">J429*INDEX(Customers!$I$2:$I$41,MATCH(C429,Customers!$A$2:$A$41,0))/365*Assumptions!$B$6</f>
        <v>810.742270684931</v>
      </c>
      <c r="N429" s="16" t="n">
        <f aca="false">J429-K429-L429-M429</f>
        <v>37580.3828593151</v>
      </c>
      <c r="O429" s="16" t="n">
        <f aca="false">F429*IF(A429="2025",INDEX(Products!$D$2:$D$13,MATCH(D429,Products!$A$2:$A$13,0)),INDEX(Products!$F$2:$F$13,MATCH(D429,Products!$A$2:$A$13,0)))</f>
        <v>27031.32</v>
      </c>
      <c r="P429" s="16" t="n">
        <f aca="false">N429-O429</f>
        <v>10549.0628593151</v>
      </c>
    </row>
    <row r="430" customFormat="false" ht="15" hidden="false" customHeight="false" outlineLevel="0" collapsed="false">
      <c r="A430" s="2" t="s">
        <v>119</v>
      </c>
      <c r="B430" s="2" t="n">
        <v>9</v>
      </c>
      <c r="C430" s="2" t="s">
        <v>69</v>
      </c>
      <c r="D430" s="2" t="s">
        <v>39</v>
      </c>
      <c r="E430" s="2" t="str">
        <f aca="false">INDEX(Products!$B$2:$B$13,MATCH(D430,Products!$A$2:$A$13,0))</f>
        <v>Hydroprocessing</v>
      </c>
      <c r="F430" s="15" t="n">
        <v>2.4</v>
      </c>
      <c r="G430" s="16" t="n">
        <f aca="false">IF(A430="2025",INDEX(Products!$C$2:$C$13,MATCH(D430,Products!$A$2:$A$13,0)),INDEX(Products!$E$2:$E$13,MATCH(D430,Products!$A$2:$A$13,0)))</f>
        <v>13198.5</v>
      </c>
      <c r="H430" s="13" t="n">
        <f aca="false">IF(A430="2025",INDEX(Customers!$D$2:$D$41,MATCH(C430,Customers!$A$2:$A$41,0)),INDEX(Customers!$F$2:$F$41,MATCH(C430,Customers!$A$2:$A$41,0)))</f>
        <v>0.135</v>
      </c>
      <c r="I430" s="16" t="n">
        <f aca="false">F430*G430</f>
        <v>31676.4</v>
      </c>
      <c r="J430" s="16" t="n">
        <f aca="false">I430*(1-H430)</f>
        <v>27400.086</v>
      </c>
      <c r="K430" s="16" t="n">
        <f aca="false">J430*INDEX(Customers!$G$2:$G$41,MATCH(C430,Customers!$A$2:$A$41,0))</f>
        <v>822.00258</v>
      </c>
      <c r="L430" s="16" t="n">
        <f aca="false">F430*INDEX(Customers!$H$2:$H$41,MATCH(C430,Customers!$A$2:$A$41,0))</f>
        <v>984</v>
      </c>
      <c r="M430" s="16" t="n">
        <f aca="false">J430*INDEX(Customers!$I$2:$I$41,MATCH(C430,Customers!$A$2:$A$41,0))/365*Assumptions!$B$6</f>
        <v>540.494847123288</v>
      </c>
      <c r="N430" s="16" t="n">
        <f aca="false">J430-K430-L430-M430</f>
        <v>25053.5885728767</v>
      </c>
      <c r="O430" s="16" t="n">
        <f aca="false">F430*IF(A430="2025",INDEX(Products!$D$2:$D$13,MATCH(D430,Products!$A$2:$A$13,0)),INDEX(Products!$F$2:$F$13,MATCH(D430,Products!$A$2:$A$13,0)))</f>
        <v>18020.88</v>
      </c>
      <c r="P430" s="16" t="n">
        <f aca="false">N430-O430</f>
        <v>7032.70857287671</v>
      </c>
    </row>
    <row r="431" customFormat="false" ht="15" hidden="false" customHeight="false" outlineLevel="0" collapsed="false">
      <c r="A431" s="2" t="s">
        <v>119</v>
      </c>
      <c r="B431" s="2" t="n">
        <v>10</v>
      </c>
      <c r="C431" s="2" t="s">
        <v>69</v>
      </c>
      <c r="D431" s="2" t="s">
        <v>39</v>
      </c>
      <c r="E431" s="2" t="str">
        <f aca="false">INDEX(Products!$B$2:$B$13,MATCH(D431,Products!$A$2:$A$13,0))</f>
        <v>Hydroprocessing</v>
      </c>
      <c r="F431" s="15" t="n">
        <v>1.9</v>
      </c>
      <c r="G431" s="16" t="n">
        <f aca="false">IF(A431="2025",INDEX(Products!$C$2:$C$13,MATCH(D431,Products!$A$2:$A$13,0)),INDEX(Products!$E$2:$E$13,MATCH(D431,Products!$A$2:$A$13,0)))</f>
        <v>13198.5</v>
      </c>
      <c r="H431" s="13" t="n">
        <f aca="false">IF(A431="2025",INDEX(Customers!$D$2:$D$41,MATCH(C431,Customers!$A$2:$A$41,0)),INDEX(Customers!$F$2:$F$41,MATCH(C431,Customers!$A$2:$A$41,0)))</f>
        <v>0.135</v>
      </c>
      <c r="I431" s="16" t="n">
        <f aca="false">F431*G431</f>
        <v>25077.15</v>
      </c>
      <c r="J431" s="16" t="n">
        <f aca="false">I431*(1-H431)</f>
        <v>21691.73475</v>
      </c>
      <c r="K431" s="16" t="n">
        <f aca="false">J431*INDEX(Customers!$G$2:$G$41,MATCH(C431,Customers!$A$2:$A$41,0))</f>
        <v>650.7520425</v>
      </c>
      <c r="L431" s="16" t="n">
        <f aca="false">F431*INDEX(Customers!$H$2:$H$41,MATCH(C431,Customers!$A$2:$A$41,0))</f>
        <v>779</v>
      </c>
      <c r="M431" s="16" t="n">
        <f aca="false">J431*INDEX(Customers!$I$2:$I$41,MATCH(C431,Customers!$A$2:$A$41,0))/365*Assumptions!$B$6</f>
        <v>427.891753972603</v>
      </c>
      <c r="N431" s="16" t="n">
        <f aca="false">J431-K431-L431-M431</f>
        <v>19834.0909535274</v>
      </c>
      <c r="O431" s="16" t="n">
        <f aca="false">F431*IF(A431="2025",INDEX(Products!$D$2:$D$13,MATCH(D431,Products!$A$2:$A$13,0)),INDEX(Products!$F$2:$F$13,MATCH(D431,Products!$A$2:$A$13,0)))</f>
        <v>14266.53</v>
      </c>
      <c r="P431" s="16" t="n">
        <f aca="false">N431-O431</f>
        <v>5567.5609535274</v>
      </c>
    </row>
    <row r="432" customFormat="false" ht="15" hidden="false" customHeight="false" outlineLevel="0" collapsed="false">
      <c r="A432" s="2" t="s">
        <v>119</v>
      </c>
      <c r="B432" s="2" t="n">
        <v>11</v>
      </c>
      <c r="C432" s="2" t="s">
        <v>69</v>
      </c>
      <c r="D432" s="2" t="s">
        <v>39</v>
      </c>
      <c r="E432" s="2" t="str">
        <f aca="false">INDEX(Products!$B$2:$B$13,MATCH(D432,Products!$A$2:$A$13,0))</f>
        <v>Hydroprocessing</v>
      </c>
      <c r="F432" s="15" t="n">
        <v>2.2</v>
      </c>
      <c r="G432" s="16" t="n">
        <f aca="false">IF(A432="2025",INDEX(Products!$C$2:$C$13,MATCH(D432,Products!$A$2:$A$13,0)),INDEX(Products!$E$2:$E$13,MATCH(D432,Products!$A$2:$A$13,0)))</f>
        <v>13198.5</v>
      </c>
      <c r="H432" s="13" t="n">
        <f aca="false">IF(A432="2025",INDEX(Customers!$D$2:$D$41,MATCH(C432,Customers!$A$2:$A$41,0)),INDEX(Customers!$F$2:$F$41,MATCH(C432,Customers!$A$2:$A$41,0)))</f>
        <v>0.135</v>
      </c>
      <c r="I432" s="16" t="n">
        <f aca="false">F432*G432</f>
        <v>29036.7</v>
      </c>
      <c r="J432" s="16" t="n">
        <f aca="false">I432*(1-H432)</f>
        <v>25116.7455</v>
      </c>
      <c r="K432" s="16" t="n">
        <f aca="false">J432*INDEX(Customers!$G$2:$G$41,MATCH(C432,Customers!$A$2:$A$41,0))</f>
        <v>753.502365</v>
      </c>
      <c r="L432" s="16" t="n">
        <f aca="false">F432*INDEX(Customers!$H$2:$H$41,MATCH(C432,Customers!$A$2:$A$41,0))</f>
        <v>902</v>
      </c>
      <c r="M432" s="16" t="n">
        <f aca="false">J432*INDEX(Customers!$I$2:$I$41,MATCH(C432,Customers!$A$2:$A$41,0))/365*Assumptions!$B$6</f>
        <v>495.453609863014</v>
      </c>
      <c r="N432" s="16" t="n">
        <f aca="false">J432-K432-L432-M432</f>
        <v>22965.789525137</v>
      </c>
      <c r="O432" s="16" t="n">
        <f aca="false">F432*IF(A432="2025",INDEX(Products!$D$2:$D$13,MATCH(D432,Products!$A$2:$A$13,0)),INDEX(Products!$F$2:$F$13,MATCH(D432,Products!$A$2:$A$13,0)))</f>
        <v>16519.14</v>
      </c>
      <c r="P432" s="16" t="n">
        <f aca="false">N432-O432</f>
        <v>6446.64952513699</v>
      </c>
    </row>
    <row r="433" customFormat="false" ht="15" hidden="false" customHeight="false" outlineLevel="0" collapsed="false">
      <c r="A433" s="2" t="s">
        <v>119</v>
      </c>
      <c r="B433" s="2" t="n">
        <v>12</v>
      </c>
      <c r="C433" s="2" t="s">
        <v>69</v>
      </c>
      <c r="D433" s="2" t="s">
        <v>39</v>
      </c>
      <c r="E433" s="2" t="str">
        <f aca="false">INDEX(Products!$B$2:$B$13,MATCH(D433,Products!$A$2:$A$13,0))</f>
        <v>Hydroprocessing</v>
      </c>
      <c r="F433" s="15" t="n">
        <v>3.2</v>
      </c>
      <c r="G433" s="16" t="n">
        <f aca="false">IF(A433="2025",INDEX(Products!$C$2:$C$13,MATCH(D433,Products!$A$2:$A$13,0)),INDEX(Products!$E$2:$E$13,MATCH(D433,Products!$A$2:$A$13,0)))</f>
        <v>13198.5</v>
      </c>
      <c r="H433" s="13" t="n">
        <f aca="false">IF(A433="2025",INDEX(Customers!$D$2:$D$41,MATCH(C433,Customers!$A$2:$A$41,0)),INDEX(Customers!$F$2:$F$41,MATCH(C433,Customers!$A$2:$A$41,0)))</f>
        <v>0.135</v>
      </c>
      <c r="I433" s="16" t="n">
        <f aca="false">F433*G433</f>
        <v>42235.2</v>
      </c>
      <c r="J433" s="16" t="n">
        <f aca="false">I433*(1-H433)</f>
        <v>36533.448</v>
      </c>
      <c r="K433" s="16" t="n">
        <f aca="false">J433*INDEX(Customers!$G$2:$G$41,MATCH(C433,Customers!$A$2:$A$41,0))</f>
        <v>1096.00344</v>
      </c>
      <c r="L433" s="16" t="n">
        <f aca="false">F433*INDEX(Customers!$H$2:$H$41,MATCH(C433,Customers!$A$2:$A$41,0))</f>
        <v>1312</v>
      </c>
      <c r="M433" s="16" t="n">
        <f aca="false">J433*INDEX(Customers!$I$2:$I$41,MATCH(C433,Customers!$A$2:$A$41,0))/365*Assumptions!$B$6</f>
        <v>720.659796164384</v>
      </c>
      <c r="N433" s="16" t="n">
        <f aca="false">J433-K433-L433-M433</f>
        <v>33404.7847638356</v>
      </c>
      <c r="O433" s="16" t="n">
        <f aca="false">F433*IF(A433="2025",INDEX(Products!$D$2:$D$13,MATCH(D433,Products!$A$2:$A$13,0)),INDEX(Products!$F$2:$F$13,MATCH(D433,Products!$A$2:$A$13,0)))</f>
        <v>24027.84</v>
      </c>
      <c r="P433" s="16" t="n">
        <f aca="false">N433-O433</f>
        <v>9376.94476383562</v>
      </c>
    </row>
    <row r="434" customFormat="false" ht="15" hidden="false" customHeight="false" outlineLevel="0" collapsed="false">
      <c r="A434" s="2" t="s">
        <v>118</v>
      </c>
      <c r="B434" s="2" t="n">
        <v>1</v>
      </c>
      <c r="C434" s="2" t="s">
        <v>69</v>
      </c>
      <c r="D434" s="2" t="s">
        <v>42</v>
      </c>
      <c r="E434" s="2" t="str">
        <f aca="false">INDEX(Products!$B$2:$B$13,MATCH(D434,Products!$A$2:$A$13,0))</f>
        <v>Hydroprocessing</v>
      </c>
      <c r="F434" s="15" t="n">
        <v>3.6</v>
      </c>
      <c r="G434" s="16" t="n">
        <f aca="false">IF(A434="2025",INDEX(Products!$C$2:$C$13,MATCH(D434,Products!$A$2:$A$13,0)),INDEX(Products!$E$2:$E$13,MATCH(D434,Products!$A$2:$A$13,0)))</f>
        <v>12450</v>
      </c>
      <c r="H434" s="13" t="n">
        <f aca="false">IF(A434="2025",INDEX(Customers!$D$2:$D$41,MATCH(C434,Customers!$A$2:$A$41,0)),INDEX(Customers!$F$2:$F$41,MATCH(C434,Customers!$A$2:$A$41,0)))</f>
        <v>0.075</v>
      </c>
      <c r="I434" s="16" t="n">
        <f aca="false">F434*G434</f>
        <v>44820</v>
      </c>
      <c r="J434" s="16" t="n">
        <f aca="false">I434*(1-H434)</f>
        <v>41458.5</v>
      </c>
      <c r="K434" s="16" t="n">
        <f aca="false">J434*INDEX(Customers!$G$2:$G$41,MATCH(C434,Customers!$A$2:$A$41,0))</f>
        <v>1243.755</v>
      </c>
      <c r="L434" s="16" t="n">
        <f aca="false">F434*INDEX(Customers!$H$2:$H$41,MATCH(C434,Customers!$A$2:$A$41,0))</f>
        <v>1476</v>
      </c>
      <c r="M434" s="16" t="n">
        <f aca="false">J434*INDEX(Customers!$I$2:$I$41,MATCH(C434,Customers!$A$2:$A$41,0))/365*Assumptions!$B$6</f>
        <v>817.811506849315</v>
      </c>
      <c r="N434" s="16" t="n">
        <f aca="false">J434-K434-L434-M434</f>
        <v>37920.9334931507</v>
      </c>
      <c r="O434" s="16" t="n">
        <f aca="false">F434*IF(A434="2025",INDEX(Products!$D$2:$D$13,MATCH(D434,Products!$A$2:$A$13,0)),INDEX(Products!$F$2:$F$13,MATCH(D434,Products!$A$2:$A$13,0)))</f>
        <v>28008</v>
      </c>
      <c r="P434" s="16" t="n">
        <f aca="false">N434-O434</f>
        <v>9912.93349315069</v>
      </c>
    </row>
    <row r="435" customFormat="false" ht="15" hidden="false" customHeight="false" outlineLevel="0" collapsed="false">
      <c r="A435" s="2" t="s">
        <v>118</v>
      </c>
      <c r="B435" s="2" t="n">
        <v>2</v>
      </c>
      <c r="C435" s="2" t="s">
        <v>69</v>
      </c>
      <c r="D435" s="2" t="s">
        <v>42</v>
      </c>
      <c r="E435" s="2" t="str">
        <f aca="false">INDEX(Products!$B$2:$B$13,MATCH(D435,Products!$A$2:$A$13,0))</f>
        <v>Hydroprocessing</v>
      </c>
      <c r="F435" s="15" t="n">
        <v>2.6</v>
      </c>
      <c r="G435" s="16" t="n">
        <f aca="false">IF(A435="2025",INDEX(Products!$C$2:$C$13,MATCH(D435,Products!$A$2:$A$13,0)),INDEX(Products!$E$2:$E$13,MATCH(D435,Products!$A$2:$A$13,0)))</f>
        <v>12450</v>
      </c>
      <c r="H435" s="13" t="n">
        <f aca="false">IF(A435="2025",INDEX(Customers!$D$2:$D$41,MATCH(C435,Customers!$A$2:$A$41,0)),INDEX(Customers!$F$2:$F$41,MATCH(C435,Customers!$A$2:$A$41,0)))</f>
        <v>0.075</v>
      </c>
      <c r="I435" s="16" t="n">
        <f aca="false">F435*G435</f>
        <v>32370</v>
      </c>
      <c r="J435" s="16" t="n">
        <f aca="false">I435*(1-H435)</f>
        <v>29942.25</v>
      </c>
      <c r="K435" s="16" t="n">
        <f aca="false">J435*INDEX(Customers!$G$2:$G$41,MATCH(C435,Customers!$A$2:$A$41,0))</f>
        <v>898.2675</v>
      </c>
      <c r="L435" s="16" t="n">
        <f aca="false">F435*INDEX(Customers!$H$2:$H$41,MATCH(C435,Customers!$A$2:$A$41,0))</f>
        <v>1066</v>
      </c>
      <c r="M435" s="16" t="n">
        <f aca="false">J435*INDEX(Customers!$I$2:$I$41,MATCH(C435,Customers!$A$2:$A$41,0))/365*Assumptions!$B$6</f>
        <v>590.641643835616</v>
      </c>
      <c r="N435" s="16" t="n">
        <f aca="false">J435-K435-L435-M435</f>
        <v>27387.3408561644</v>
      </c>
      <c r="O435" s="16" t="n">
        <f aca="false">F435*IF(A435="2025",INDEX(Products!$D$2:$D$13,MATCH(D435,Products!$A$2:$A$13,0)),INDEX(Products!$F$2:$F$13,MATCH(D435,Products!$A$2:$A$13,0)))</f>
        <v>20228</v>
      </c>
      <c r="P435" s="16" t="n">
        <f aca="false">N435-O435</f>
        <v>7159.34085616438</v>
      </c>
    </row>
    <row r="436" customFormat="false" ht="15" hidden="false" customHeight="false" outlineLevel="0" collapsed="false">
      <c r="A436" s="2" t="s">
        <v>118</v>
      </c>
      <c r="B436" s="2" t="n">
        <v>3</v>
      </c>
      <c r="C436" s="2" t="s">
        <v>69</v>
      </c>
      <c r="D436" s="2" t="s">
        <v>42</v>
      </c>
      <c r="E436" s="2" t="str">
        <f aca="false">INDEX(Products!$B$2:$B$13,MATCH(D436,Products!$A$2:$A$13,0))</f>
        <v>Hydroprocessing</v>
      </c>
      <c r="F436" s="15" t="n">
        <v>3.9</v>
      </c>
      <c r="G436" s="16" t="n">
        <f aca="false">IF(A436="2025",INDEX(Products!$C$2:$C$13,MATCH(D436,Products!$A$2:$A$13,0)),INDEX(Products!$E$2:$E$13,MATCH(D436,Products!$A$2:$A$13,0)))</f>
        <v>12450</v>
      </c>
      <c r="H436" s="13" t="n">
        <f aca="false">IF(A436="2025",INDEX(Customers!$D$2:$D$41,MATCH(C436,Customers!$A$2:$A$41,0)),INDEX(Customers!$F$2:$F$41,MATCH(C436,Customers!$A$2:$A$41,0)))</f>
        <v>0.075</v>
      </c>
      <c r="I436" s="16" t="n">
        <f aca="false">F436*G436</f>
        <v>48555</v>
      </c>
      <c r="J436" s="16" t="n">
        <f aca="false">I436*(1-H436)</f>
        <v>44913.375</v>
      </c>
      <c r="K436" s="16" t="n">
        <f aca="false">J436*INDEX(Customers!$G$2:$G$41,MATCH(C436,Customers!$A$2:$A$41,0))</f>
        <v>1347.40125</v>
      </c>
      <c r="L436" s="16" t="n">
        <f aca="false">F436*INDEX(Customers!$H$2:$H$41,MATCH(C436,Customers!$A$2:$A$41,0))</f>
        <v>1599</v>
      </c>
      <c r="M436" s="16" t="n">
        <f aca="false">J436*INDEX(Customers!$I$2:$I$41,MATCH(C436,Customers!$A$2:$A$41,0))/365*Assumptions!$B$6</f>
        <v>885.962465753425</v>
      </c>
      <c r="N436" s="16" t="n">
        <f aca="false">J436-K436-L436-M436</f>
        <v>41081.0112842466</v>
      </c>
      <c r="O436" s="16" t="n">
        <f aca="false">F436*IF(A436="2025",INDEX(Products!$D$2:$D$13,MATCH(D436,Products!$A$2:$A$13,0)),INDEX(Products!$F$2:$F$13,MATCH(D436,Products!$A$2:$A$13,0)))</f>
        <v>30342</v>
      </c>
      <c r="P436" s="16" t="n">
        <f aca="false">N436-O436</f>
        <v>10739.0112842466</v>
      </c>
    </row>
    <row r="437" customFormat="false" ht="15" hidden="false" customHeight="false" outlineLevel="0" collapsed="false">
      <c r="A437" s="2" t="s">
        <v>118</v>
      </c>
      <c r="B437" s="2" t="n">
        <v>4</v>
      </c>
      <c r="C437" s="2" t="s">
        <v>69</v>
      </c>
      <c r="D437" s="2" t="s">
        <v>42</v>
      </c>
      <c r="E437" s="2" t="str">
        <f aca="false">INDEX(Products!$B$2:$B$13,MATCH(D437,Products!$A$2:$A$13,0))</f>
        <v>Hydroprocessing</v>
      </c>
      <c r="F437" s="15" t="n">
        <v>2.6</v>
      </c>
      <c r="G437" s="16" t="n">
        <f aca="false">IF(A437="2025",INDEX(Products!$C$2:$C$13,MATCH(D437,Products!$A$2:$A$13,0)),INDEX(Products!$E$2:$E$13,MATCH(D437,Products!$A$2:$A$13,0)))</f>
        <v>12450</v>
      </c>
      <c r="H437" s="13" t="n">
        <f aca="false">IF(A437="2025",INDEX(Customers!$D$2:$D$41,MATCH(C437,Customers!$A$2:$A$41,0)),INDEX(Customers!$F$2:$F$41,MATCH(C437,Customers!$A$2:$A$41,0)))</f>
        <v>0.075</v>
      </c>
      <c r="I437" s="16" t="n">
        <f aca="false">F437*G437</f>
        <v>32370</v>
      </c>
      <c r="J437" s="16" t="n">
        <f aca="false">I437*(1-H437)</f>
        <v>29942.25</v>
      </c>
      <c r="K437" s="16" t="n">
        <f aca="false">J437*INDEX(Customers!$G$2:$G$41,MATCH(C437,Customers!$A$2:$A$41,0))</f>
        <v>898.2675</v>
      </c>
      <c r="L437" s="16" t="n">
        <f aca="false">F437*INDEX(Customers!$H$2:$H$41,MATCH(C437,Customers!$A$2:$A$41,0))</f>
        <v>1066</v>
      </c>
      <c r="M437" s="16" t="n">
        <f aca="false">J437*INDEX(Customers!$I$2:$I$41,MATCH(C437,Customers!$A$2:$A$41,0))/365*Assumptions!$B$6</f>
        <v>590.641643835616</v>
      </c>
      <c r="N437" s="16" t="n">
        <f aca="false">J437-K437-L437-M437</f>
        <v>27387.3408561644</v>
      </c>
      <c r="O437" s="16" t="n">
        <f aca="false">F437*IF(A437="2025",INDEX(Products!$D$2:$D$13,MATCH(D437,Products!$A$2:$A$13,0)),INDEX(Products!$F$2:$F$13,MATCH(D437,Products!$A$2:$A$13,0)))</f>
        <v>20228</v>
      </c>
      <c r="P437" s="16" t="n">
        <f aca="false">N437-O437</f>
        <v>7159.34085616438</v>
      </c>
    </row>
    <row r="438" customFormat="false" ht="15" hidden="false" customHeight="false" outlineLevel="0" collapsed="false">
      <c r="A438" s="2" t="s">
        <v>118</v>
      </c>
      <c r="B438" s="2" t="n">
        <v>5</v>
      </c>
      <c r="C438" s="2" t="s">
        <v>69</v>
      </c>
      <c r="D438" s="2" t="s">
        <v>42</v>
      </c>
      <c r="E438" s="2" t="str">
        <f aca="false">INDEX(Products!$B$2:$B$13,MATCH(D438,Products!$A$2:$A$13,0))</f>
        <v>Hydroprocessing</v>
      </c>
      <c r="F438" s="15" t="n">
        <v>3.5</v>
      </c>
      <c r="G438" s="16" t="n">
        <f aca="false">IF(A438="2025",INDEX(Products!$C$2:$C$13,MATCH(D438,Products!$A$2:$A$13,0)),INDEX(Products!$E$2:$E$13,MATCH(D438,Products!$A$2:$A$13,0)))</f>
        <v>12450</v>
      </c>
      <c r="H438" s="13" t="n">
        <f aca="false">IF(A438="2025",INDEX(Customers!$D$2:$D$41,MATCH(C438,Customers!$A$2:$A$41,0)),INDEX(Customers!$F$2:$F$41,MATCH(C438,Customers!$A$2:$A$41,0)))</f>
        <v>0.075</v>
      </c>
      <c r="I438" s="16" t="n">
        <f aca="false">F438*G438</f>
        <v>43575</v>
      </c>
      <c r="J438" s="16" t="n">
        <f aca="false">I438*(1-H438)</f>
        <v>40306.875</v>
      </c>
      <c r="K438" s="16" t="n">
        <f aca="false">J438*INDEX(Customers!$G$2:$G$41,MATCH(C438,Customers!$A$2:$A$41,0))</f>
        <v>1209.20625</v>
      </c>
      <c r="L438" s="16" t="n">
        <f aca="false">F438*INDEX(Customers!$H$2:$H$41,MATCH(C438,Customers!$A$2:$A$41,0))</f>
        <v>1435</v>
      </c>
      <c r="M438" s="16" t="n">
        <f aca="false">J438*INDEX(Customers!$I$2:$I$41,MATCH(C438,Customers!$A$2:$A$41,0))/365*Assumptions!$B$6</f>
        <v>795.094520547945</v>
      </c>
      <c r="N438" s="16" t="n">
        <f aca="false">J438-K438-L438-M438</f>
        <v>36867.5742294521</v>
      </c>
      <c r="O438" s="16" t="n">
        <f aca="false">F438*IF(A438="2025",INDEX(Products!$D$2:$D$13,MATCH(D438,Products!$A$2:$A$13,0)),INDEX(Products!$F$2:$F$13,MATCH(D438,Products!$A$2:$A$13,0)))</f>
        <v>27230</v>
      </c>
      <c r="P438" s="16" t="n">
        <f aca="false">N438-O438</f>
        <v>9637.57422945205</v>
      </c>
    </row>
    <row r="439" customFormat="false" ht="15" hidden="false" customHeight="false" outlineLevel="0" collapsed="false">
      <c r="A439" s="2" t="s">
        <v>118</v>
      </c>
      <c r="B439" s="2" t="n">
        <v>6</v>
      </c>
      <c r="C439" s="2" t="s">
        <v>69</v>
      </c>
      <c r="D439" s="2" t="s">
        <v>42</v>
      </c>
      <c r="E439" s="2" t="str">
        <f aca="false">INDEX(Products!$B$2:$B$13,MATCH(D439,Products!$A$2:$A$13,0))</f>
        <v>Hydroprocessing</v>
      </c>
      <c r="F439" s="15" t="n">
        <v>2.5</v>
      </c>
      <c r="G439" s="16" t="n">
        <f aca="false">IF(A439="2025",INDEX(Products!$C$2:$C$13,MATCH(D439,Products!$A$2:$A$13,0)),INDEX(Products!$E$2:$E$13,MATCH(D439,Products!$A$2:$A$13,0)))</f>
        <v>12450</v>
      </c>
      <c r="H439" s="13" t="n">
        <f aca="false">IF(A439="2025",INDEX(Customers!$D$2:$D$41,MATCH(C439,Customers!$A$2:$A$41,0)),INDEX(Customers!$F$2:$F$41,MATCH(C439,Customers!$A$2:$A$41,0)))</f>
        <v>0.075</v>
      </c>
      <c r="I439" s="16" t="n">
        <f aca="false">F439*G439</f>
        <v>31125</v>
      </c>
      <c r="J439" s="16" t="n">
        <f aca="false">I439*(1-H439)</f>
        <v>28790.625</v>
      </c>
      <c r="K439" s="16" t="n">
        <f aca="false">J439*INDEX(Customers!$G$2:$G$41,MATCH(C439,Customers!$A$2:$A$41,0))</f>
        <v>863.71875</v>
      </c>
      <c r="L439" s="16" t="n">
        <f aca="false">F439*INDEX(Customers!$H$2:$H$41,MATCH(C439,Customers!$A$2:$A$41,0))</f>
        <v>1025</v>
      </c>
      <c r="M439" s="16" t="n">
        <f aca="false">J439*INDEX(Customers!$I$2:$I$41,MATCH(C439,Customers!$A$2:$A$41,0))/365*Assumptions!$B$6</f>
        <v>567.924657534247</v>
      </c>
      <c r="N439" s="16" t="n">
        <f aca="false">J439-K439-L439-M439</f>
        <v>26333.9815924658</v>
      </c>
      <c r="O439" s="16" t="n">
        <f aca="false">F439*IF(A439="2025",INDEX(Products!$D$2:$D$13,MATCH(D439,Products!$A$2:$A$13,0)),INDEX(Products!$F$2:$F$13,MATCH(D439,Products!$A$2:$A$13,0)))</f>
        <v>19450</v>
      </c>
      <c r="P439" s="16" t="n">
        <f aca="false">N439-O439</f>
        <v>6883.98159246575</v>
      </c>
    </row>
    <row r="440" customFormat="false" ht="15" hidden="false" customHeight="false" outlineLevel="0" collapsed="false">
      <c r="A440" s="2" t="s">
        <v>118</v>
      </c>
      <c r="B440" s="2" t="n">
        <v>7</v>
      </c>
      <c r="C440" s="2" t="s">
        <v>69</v>
      </c>
      <c r="D440" s="2" t="s">
        <v>42</v>
      </c>
      <c r="E440" s="2" t="str">
        <f aca="false">INDEX(Products!$B$2:$B$13,MATCH(D440,Products!$A$2:$A$13,0))</f>
        <v>Hydroprocessing</v>
      </c>
      <c r="F440" s="15" t="n">
        <v>3.6</v>
      </c>
      <c r="G440" s="16" t="n">
        <f aca="false">IF(A440="2025",INDEX(Products!$C$2:$C$13,MATCH(D440,Products!$A$2:$A$13,0)),INDEX(Products!$E$2:$E$13,MATCH(D440,Products!$A$2:$A$13,0)))</f>
        <v>12450</v>
      </c>
      <c r="H440" s="13" t="n">
        <f aca="false">IF(A440="2025",INDEX(Customers!$D$2:$D$41,MATCH(C440,Customers!$A$2:$A$41,0)),INDEX(Customers!$F$2:$F$41,MATCH(C440,Customers!$A$2:$A$41,0)))</f>
        <v>0.075</v>
      </c>
      <c r="I440" s="16" t="n">
        <f aca="false">F440*G440</f>
        <v>44820</v>
      </c>
      <c r="J440" s="16" t="n">
        <f aca="false">I440*(1-H440)</f>
        <v>41458.5</v>
      </c>
      <c r="K440" s="16" t="n">
        <f aca="false">J440*INDEX(Customers!$G$2:$G$41,MATCH(C440,Customers!$A$2:$A$41,0))</f>
        <v>1243.755</v>
      </c>
      <c r="L440" s="16" t="n">
        <f aca="false">F440*INDEX(Customers!$H$2:$H$41,MATCH(C440,Customers!$A$2:$A$41,0))</f>
        <v>1476</v>
      </c>
      <c r="M440" s="16" t="n">
        <f aca="false">J440*INDEX(Customers!$I$2:$I$41,MATCH(C440,Customers!$A$2:$A$41,0))/365*Assumptions!$B$6</f>
        <v>817.811506849315</v>
      </c>
      <c r="N440" s="16" t="n">
        <f aca="false">J440-K440-L440-M440</f>
        <v>37920.9334931507</v>
      </c>
      <c r="O440" s="16" t="n">
        <f aca="false">F440*IF(A440="2025",INDEX(Products!$D$2:$D$13,MATCH(D440,Products!$A$2:$A$13,0)),INDEX(Products!$F$2:$F$13,MATCH(D440,Products!$A$2:$A$13,0)))</f>
        <v>28008</v>
      </c>
      <c r="P440" s="16" t="n">
        <f aca="false">N440-O440</f>
        <v>9912.93349315069</v>
      </c>
    </row>
    <row r="441" customFormat="false" ht="15" hidden="false" customHeight="false" outlineLevel="0" collapsed="false">
      <c r="A441" s="2" t="s">
        <v>118</v>
      </c>
      <c r="B441" s="2" t="n">
        <v>8</v>
      </c>
      <c r="C441" s="2" t="s">
        <v>69</v>
      </c>
      <c r="D441" s="2" t="s">
        <v>42</v>
      </c>
      <c r="E441" s="2" t="str">
        <f aca="false">INDEX(Products!$B$2:$B$13,MATCH(D441,Products!$A$2:$A$13,0))</f>
        <v>Hydroprocessing</v>
      </c>
      <c r="F441" s="15" t="n">
        <v>2.3</v>
      </c>
      <c r="G441" s="16" t="n">
        <f aca="false">IF(A441="2025",INDEX(Products!$C$2:$C$13,MATCH(D441,Products!$A$2:$A$13,0)),INDEX(Products!$E$2:$E$13,MATCH(D441,Products!$A$2:$A$13,0)))</f>
        <v>12450</v>
      </c>
      <c r="H441" s="13" t="n">
        <f aca="false">IF(A441="2025",INDEX(Customers!$D$2:$D$41,MATCH(C441,Customers!$A$2:$A$41,0)),INDEX(Customers!$F$2:$F$41,MATCH(C441,Customers!$A$2:$A$41,0)))</f>
        <v>0.075</v>
      </c>
      <c r="I441" s="16" t="n">
        <f aca="false">F441*G441</f>
        <v>28635</v>
      </c>
      <c r="J441" s="16" t="n">
        <f aca="false">I441*(1-H441)</f>
        <v>26487.375</v>
      </c>
      <c r="K441" s="16" t="n">
        <f aca="false">J441*INDEX(Customers!$G$2:$G$41,MATCH(C441,Customers!$A$2:$A$41,0))</f>
        <v>794.62125</v>
      </c>
      <c r="L441" s="16" t="n">
        <f aca="false">F441*INDEX(Customers!$H$2:$H$41,MATCH(C441,Customers!$A$2:$A$41,0))</f>
        <v>943</v>
      </c>
      <c r="M441" s="16" t="n">
        <f aca="false">J441*INDEX(Customers!$I$2:$I$41,MATCH(C441,Customers!$A$2:$A$41,0))/365*Assumptions!$B$6</f>
        <v>522.490684931507</v>
      </c>
      <c r="N441" s="16" t="n">
        <f aca="false">J441-K441-L441-M441</f>
        <v>24227.2630650685</v>
      </c>
      <c r="O441" s="16" t="n">
        <f aca="false">F441*IF(A441="2025",INDEX(Products!$D$2:$D$13,MATCH(D441,Products!$A$2:$A$13,0)),INDEX(Products!$F$2:$F$13,MATCH(D441,Products!$A$2:$A$13,0)))</f>
        <v>17894</v>
      </c>
      <c r="P441" s="16" t="n">
        <f aca="false">N441-O441</f>
        <v>6333.26306506849</v>
      </c>
    </row>
    <row r="442" customFormat="false" ht="15" hidden="false" customHeight="false" outlineLevel="0" collapsed="false">
      <c r="A442" s="2" t="s">
        <v>118</v>
      </c>
      <c r="B442" s="2" t="n">
        <v>9</v>
      </c>
      <c r="C442" s="2" t="s">
        <v>69</v>
      </c>
      <c r="D442" s="2" t="s">
        <v>42</v>
      </c>
      <c r="E442" s="2" t="str">
        <f aca="false">INDEX(Products!$B$2:$B$13,MATCH(D442,Products!$A$2:$A$13,0))</f>
        <v>Hydroprocessing</v>
      </c>
      <c r="F442" s="15" t="n">
        <v>3.3</v>
      </c>
      <c r="G442" s="16" t="n">
        <f aca="false">IF(A442="2025",INDEX(Products!$C$2:$C$13,MATCH(D442,Products!$A$2:$A$13,0)),INDEX(Products!$E$2:$E$13,MATCH(D442,Products!$A$2:$A$13,0)))</f>
        <v>12450</v>
      </c>
      <c r="H442" s="13" t="n">
        <f aca="false">IF(A442="2025",INDEX(Customers!$D$2:$D$41,MATCH(C442,Customers!$A$2:$A$41,0)),INDEX(Customers!$F$2:$F$41,MATCH(C442,Customers!$A$2:$A$41,0)))</f>
        <v>0.075</v>
      </c>
      <c r="I442" s="16" t="n">
        <f aca="false">F442*G442</f>
        <v>41085</v>
      </c>
      <c r="J442" s="16" t="n">
        <f aca="false">I442*(1-H442)</f>
        <v>38003.625</v>
      </c>
      <c r="K442" s="16" t="n">
        <f aca="false">J442*INDEX(Customers!$G$2:$G$41,MATCH(C442,Customers!$A$2:$A$41,0))</f>
        <v>1140.10875</v>
      </c>
      <c r="L442" s="16" t="n">
        <f aca="false">F442*INDEX(Customers!$H$2:$H$41,MATCH(C442,Customers!$A$2:$A$41,0))</f>
        <v>1353</v>
      </c>
      <c r="M442" s="16" t="n">
        <f aca="false">J442*INDEX(Customers!$I$2:$I$41,MATCH(C442,Customers!$A$2:$A$41,0))/365*Assumptions!$B$6</f>
        <v>749.660547945206</v>
      </c>
      <c r="N442" s="16" t="n">
        <f aca="false">J442-K442-L442-M442</f>
        <v>34760.8557020548</v>
      </c>
      <c r="O442" s="16" t="n">
        <f aca="false">F442*IF(A442="2025",INDEX(Products!$D$2:$D$13,MATCH(D442,Products!$A$2:$A$13,0)),INDEX(Products!$F$2:$F$13,MATCH(D442,Products!$A$2:$A$13,0)))</f>
        <v>25674</v>
      </c>
      <c r="P442" s="16" t="n">
        <f aca="false">N442-O442</f>
        <v>9086.8557020548</v>
      </c>
    </row>
    <row r="443" customFormat="false" ht="15" hidden="false" customHeight="false" outlineLevel="0" collapsed="false">
      <c r="A443" s="2" t="s">
        <v>118</v>
      </c>
      <c r="B443" s="2" t="n">
        <v>10</v>
      </c>
      <c r="C443" s="2" t="s">
        <v>69</v>
      </c>
      <c r="D443" s="2" t="s">
        <v>42</v>
      </c>
      <c r="E443" s="2" t="str">
        <f aca="false">INDEX(Products!$B$2:$B$13,MATCH(D443,Products!$A$2:$A$13,0))</f>
        <v>Hydroprocessing</v>
      </c>
      <c r="F443" s="15" t="n">
        <v>2.8</v>
      </c>
      <c r="G443" s="16" t="n">
        <f aca="false">IF(A443="2025",INDEX(Products!$C$2:$C$13,MATCH(D443,Products!$A$2:$A$13,0)),INDEX(Products!$E$2:$E$13,MATCH(D443,Products!$A$2:$A$13,0)))</f>
        <v>12450</v>
      </c>
      <c r="H443" s="13" t="n">
        <f aca="false">IF(A443="2025",INDEX(Customers!$D$2:$D$41,MATCH(C443,Customers!$A$2:$A$41,0)),INDEX(Customers!$F$2:$F$41,MATCH(C443,Customers!$A$2:$A$41,0)))</f>
        <v>0.075</v>
      </c>
      <c r="I443" s="16" t="n">
        <f aca="false">F443*G443</f>
        <v>34860</v>
      </c>
      <c r="J443" s="16" t="n">
        <f aca="false">I443*(1-H443)</f>
        <v>32245.5</v>
      </c>
      <c r="K443" s="16" t="n">
        <f aca="false">J443*INDEX(Customers!$G$2:$G$41,MATCH(C443,Customers!$A$2:$A$41,0))</f>
        <v>967.365</v>
      </c>
      <c r="L443" s="16" t="n">
        <f aca="false">F443*INDEX(Customers!$H$2:$H$41,MATCH(C443,Customers!$A$2:$A$41,0))</f>
        <v>1148</v>
      </c>
      <c r="M443" s="16" t="n">
        <f aca="false">J443*INDEX(Customers!$I$2:$I$41,MATCH(C443,Customers!$A$2:$A$41,0))/365*Assumptions!$B$6</f>
        <v>636.075616438356</v>
      </c>
      <c r="N443" s="16" t="n">
        <f aca="false">J443-K443-L443-M443</f>
        <v>29494.0593835616</v>
      </c>
      <c r="O443" s="16" t="n">
        <f aca="false">F443*IF(A443="2025",INDEX(Products!$D$2:$D$13,MATCH(D443,Products!$A$2:$A$13,0)),INDEX(Products!$F$2:$F$13,MATCH(D443,Products!$A$2:$A$13,0)))</f>
        <v>21784</v>
      </c>
      <c r="P443" s="16" t="n">
        <f aca="false">N443-O443</f>
        <v>7710.05938356164</v>
      </c>
    </row>
    <row r="444" customFormat="false" ht="15" hidden="false" customHeight="false" outlineLevel="0" collapsed="false">
      <c r="A444" s="2" t="s">
        <v>118</v>
      </c>
      <c r="B444" s="2" t="n">
        <v>11</v>
      </c>
      <c r="C444" s="2" t="s">
        <v>69</v>
      </c>
      <c r="D444" s="2" t="s">
        <v>42</v>
      </c>
      <c r="E444" s="2" t="str">
        <f aca="false">INDEX(Products!$B$2:$B$13,MATCH(D444,Products!$A$2:$A$13,0))</f>
        <v>Hydroprocessing</v>
      </c>
      <c r="F444" s="15" t="n">
        <v>3.4</v>
      </c>
      <c r="G444" s="16" t="n">
        <f aca="false">IF(A444="2025",INDEX(Products!$C$2:$C$13,MATCH(D444,Products!$A$2:$A$13,0)),INDEX(Products!$E$2:$E$13,MATCH(D444,Products!$A$2:$A$13,0)))</f>
        <v>12450</v>
      </c>
      <c r="H444" s="13" t="n">
        <f aca="false">IF(A444="2025",INDEX(Customers!$D$2:$D$41,MATCH(C444,Customers!$A$2:$A$41,0)),INDEX(Customers!$F$2:$F$41,MATCH(C444,Customers!$A$2:$A$41,0)))</f>
        <v>0.075</v>
      </c>
      <c r="I444" s="16" t="n">
        <f aca="false">F444*G444</f>
        <v>42330</v>
      </c>
      <c r="J444" s="16" t="n">
        <f aca="false">I444*(1-H444)</f>
        <v>39155.25</v>
      </c>
      <c r="K444" s="16" t="n">
        <f aca="false">J444*INDEX(Customers!$G$2:$G$41,MATCH(C444,Customers!$A$2:$A$41,0))</f>
        <v>1174.6575</v>
      </c>
      <c r="L444" s="16" t="n">
        <f aca="false">F444*INDEX(Customers!$H$2:$H$41,MATCH(C444,Customers!$A$2:$A$41,0))</f>
        <v>1394</v>
      </c>
      <c r="M444" s="16" t="n">
        <f aca="false">J444*INDEX(Customers!$I$2:$I$41,MATCH(C444,Customers!$A$2:$A$41,0))/365*Assumptions!$B$6</f>
        <v>772.377534246575</v>
      </c>
      <c r="N444" s="16" t="n">
        <f aca="false">J444-K444-L444-M444</f>
        <v>35814.2149657534</v>
      </c>
      <c r="O444" s="16" t="n">
        <f aca="false">F444*IF(A444="2025",INDEX(Products!$D$2:$D$13,MATCH(D444,Products!$A$2:$A$13,0)),INDEX(Products!$F$2:$F$13,MATCH(D444,Products!$A$2:$A$13,0)))</f>
        <v>26452</v>
      </c>
      <c r="P444" s="16" t="n">
        <f aca="false">N444-O444</f>
        <v>9362.21496575343</v>
      </c>
    </row>
    <row r="445" customFormat="false" ht="15" hidden="false" customHeight="false" outlineLevel="0" collapsed="false">
      <c r="A445" s="2" t="s">
        <v>118</v>
      </c>
      <c r="B445" s="2" t="n">
        <v>12</v>
      </c>
      <c r="C445" s="2" t="s">
        <v>69</v>
      </c>
      <c r="D445" s="2" t="s">
        <v>42</v>
      </c>
      <c r="E445" s="2" t="str">
        <f aca="false">INDEX(Products!$B$2:$B$13,MATCH(D445,Products!$A$2:$A$13,0))</f>
        <v>Hydroprocessing</v>
      </c>
      <c r="F445" s="15" t="n">
        <v>3.8</v>
      </c>
      <c r="G445" s="16" t="n">
        <f aca="false">IF(A445="2025",INDEX(Products!$C$2:$C$13,MATCH(D445,Products!$A$2:$A$13,0)),INDEX(Products!$E$2:$E$13,MATCH(D445,Products!$A$2:$A$13,0)))</f>
        <v>12450</v>
      </c>
      <c r="H445" s="13" t="n">
        <f aca="false">IF(A445="2025",INDEX(Customers!$D$2:$D$41,MATCH(C445,Customers!$A$2:$A$41,0)),INDEX(Customers!$F$2:$F$41,MATCH(C445,Customers!$A$2:$A$41,0)))</f>
        <v>0.075</v>
      </c>
      <c r="I445" s="16" t="n">
        <f aca="false">F445*G445</f>
        <v>47310</v>
      </c>
      <c r="J445" s="16" t="n">
        <f aca="false">I445*(1-H445)</f>
        <v>43761.75</v>
      </c>
      <c r="K445" s="16" t="n">
        <f aca="false">J445*INDEX(Customers!$G$2:$G$41,MATCH(C445,Customers!$A$2:$A$41,0))</f>
        <v>1312.8525</v>
      </c>
      <c r="L445" s="16" t="n">
        <f aca="false">F445*INDEX(Customers!$H$2:$H$41,MATCH(C445,Customers!$A$2:$A$41,0))</f>
        <v>1558</v>
      </c>
      <c r="M445" s="16" t="n">
        <f aca="false">J445*INDEX(Customers!$I$2:$I$41,MATCH(C445,Customers!$A$2:$A$41,0))/365*Assumptions!$B$6</f>
        <v>863.245479452055</v>
      </c>
      <c r="N445" s="16" t="n">
        <f aca="false">J445-K445-L445-M445</f>
        <v>40027.652020548</v>
      </c>
      <c r="O445" s="16" t="n">
        <f aca="false">F445*IF(A445="2025",INDEX(Products!$D$2:$D$13,MATCH(D445,Products!$A$2:$A$13,0)),INDEX(Products!$F$2:$F$13,MATCH(D445,Products!$A$2:$A$13,0)))</f>
        <v>29564</v>
      </c>
      <c r="P445" s="16" t="n">
        <f aca="false">N445-O445</f>
        <v>10463.6520205479</v>
      </c>
    </row>
    <row r="446" customFormat="false" ht="15" hidden="false" customHeight="false" outlineLevel="0" collapsed="false">
      <c r="A446" s="2" t="s">
        <v>119</v>
      </c>
      <c r="B446" s="2" t="n">
        <v>1</v>
      </c>
      <c r="C446" s="2" t="s">
        <v>69</v>
      </c>
      <c r="D446" s="2" t="s">
        <v>42</v>
      </c>
      <c r="E446" s="2" t="str">
        <f aca="false">INDEX(Products!$B$2:$B$13,MATCH(D446,Products!$A$2:$A$13,0))</f>
        <v>Hydroprocessing</v>
      </c>
      <c r="F446" s="15" t="n">
        <v>2.5</v>
      </c>
      <c r="G446" s="16" t="n">
        <f aca="false">IF(A446="2025",INDEX(Products!$C$2:$C$13,MATCH(D446,Products!$A$2:$A$13,0)),INDEX(Products!$E$2:$E$13,MATCH(D446,Products!$A$2:$A$13,0)))</f>
        <v>13072.5</v>
      </c>
      <c r="H446" s="13" t="n">
        <f aca="false">IF(A446="2025",INDEX(Customers!$D$2:$D$41,MATCH(C446,Customers!$A$2:$A$41,0)),INDEX(Customers!$F$2:$F$41,MATCH(C446,Customers!$A$2:$A$41,0)))</f>
        <v>0.135</v>
      </c>
      <c r="I446" s="16" t="n">
        <f aca="false">F446*G446</f>
        <v>32681.25</v>
      </c>
      <c r="J446" s="16" t="n">
        <f aca="false">I446*(1-H446)</f>
        <v>28269.28125</v>
      </c>
      <c r="K446" s="16" t="n">
        <f aca="false">J446*INDEX(Customers!$G$2:$G$41,MATCH(C446,Customers!$A$2:$A$41,0))</f>
        <v>848.0784375</v>
      </c>
      <c r="L446" s="16" t="n">
        <f aca="false">F446*INDEX(Customers!$H$2:$H$41,MATCH(C446,Customers!$A$2:$A$41,0))</f>
        <v>1025</v>
      </c>
      <c r="M446" s="16" t="n">
        <f aca="false">J446*INDEX(Customers!$I$2:$I$41,MATCH(C446,Customers!$A$2:$A$41,0))/365*Assumptions!$B$6</f>
        <v>557.640616438356</v>
      </c>
      <c r="N446" s="16" t="n">
        <f aca="false">J446-K446-L446-M446</f>
        <v>25838.5621960616</v>
      </c>
      <c r="O446" s="16" t="n">
        <f aca="false">F446*IF(A446="2025",INDEX(Products!$D$2:$D$13,MATCH(D446,Products!$A$2:$A$13,0)),INDEX(Products!$F$2:$F$13,MATCH(D446,Products!$A$2:$A$13,0)))</f>
        <v>20033.5</v>
      </c>
      <c r="P446" s="16" t="n">
        <f aca="false">N446-O446</f>
        <v>5805.06219606164</v>
      </c>
    </row>
    <row r="447" customFormat="false" ht="15" hidden="false" customHeight="false" outlineLevel="0" collapsed="false">
      <c r="A447" s="2" t="s">
        <v>119</v>
      </c>
      <c r="B447" s="2" t="n">
        <v>2</v>
      </c>
      <c r="C447" s="2" t="s">
        <v>69</v>
      </c>
      <c r="D447" s="2" t="s">
        <v>42</v>
      </c>
      <c r="E447" s="2" t="str">
        <f aca="false">INDEX(Products!$B$2:$B$13,MATCH(D447,Products!$A$2:$A$13,0))</f>
        <v>Hydroprocessing</v>
      </c>
      <c r="F447" s="15" t="n">
        <v>3.5</v>
      </c>
      <c r="G447" s="16" t="n">
        <f aca="false">IF(A447="2025",INDEX(Products!$C$2:$C$13,MATCH(D447,Products!$A$2:$A$13,0)),INDEX(Products!$E$2:$E$13,MATCH(D447,Products!$A$2:$A$13,0)))</f>
        <v>13072.5</v>
      </c>
      <c r="H447" s="13" t="n">
        <f aca="false">IF(A447="2025",INDEX(Customers!$D$2:$D$41,MATCH(C447,Customers!$A$2:$A$41,0)),INDEX(Customers!$F$2:$F$41,MATCH(C447,Customers!$A$2:$A$41,0)))</f>
        <v>0.135</v>
      </c>
      <c r="I447" s="16" t="n">
        <f aca="false">F447*G447</f>
        <v>45753.75</v>
      </c>
      <c r="J447" s="16" t="n">
        <f aca="false">I447*(1-H447)</f>
        <v>39576.99375</v>
      </c>
      <c r="K447" s="16" t="n">
        <f aca="false">J447*INDEX(Customers!$G$2:$G$41,MATCH(C447,Customers!$A$2:$A$41,0))</f>
        <v>1187.3098125</v>
      </c>
      <c r="L447" s="16" t="n">
        <f aca="false">F447*INDEX(Customers!$H$2:$H$41,MATCH(C447,Customers!$A$2:$A$41,0))</f>
        <v>1435</v>
      </c>
      <c r="M447" s="16" t="n">
        <f aca="false">J447*INDEX(Customers!$I$2:$I$41,MATCH(C447,Customers!$A$2:$A$41,0))/365*Assumptions!$B$6</f>
        <v>780.696863013699</v>
      </c>
      <c r="N447" s="16" t="n">
        <f aca="false">J447-K447-L447-M447</f>
        <v>36173.9870744863</v>
      </c>
      <c r="O447" s="16" t="n">
        <f aca="false">F447*IF(A447="2025",INDEX(Products!$D$2:$D$13,MATCH(D447,Products!$A$2:$A$13,0)),INDEX(Products!$F$2:$F$13,MATCH(D447,Products!$A$2:$A$13,0)))</f>
        <v>28046.9</v>
      </c>
      <c r="P447" s="16" t="n">
        <f aca="false">N447-O447</f>
        <v>8127.0870744863</v>
      </c>
    </row>
    <row r="448" customFormat="false" ht="15" hidden="false" customHeight="false" outlineLevel="0" collapsed="false">
      <c r="A448" s="2" t="s">
        <v>119</v>
      </c>
      <c r="B448" s="2" t="n">
        <v>3</v>
      </c>
      <c r="C448" s="2" t="s">
        <v>69</v>
      </c>
      <c r="D448" s="2" t="s">
        <v>42</v>
      </c>
      <c r="E448" s="2" t="str">
        <f aca="false">INDEX(Products!$B$2:$B$13,MATCH(D448,Products!$A$2:$A$13,0))</f>
        <v>Hydroprocessing</v>
      </c>
      <c r="F448" s="15" t="n">
        <v>2.7</v>
      </c>
      <c r="G448" s="16" t="n">
        <f aca="false">IF(A448="2025",INDEX(Products!$C$2:$C$13,MATCH(D448,Products!$A$2:$A$13,0)),INDEX(Products!$E$2:$E$13,MATCH(D448,Products!$A$2:$A$13,0)))</f>
        <v>13072.5</v>
      </c>
      <c r="H448" s="13" t="n">
        <f aca="false">IF(A448="2025",INDEX(Customers!$D$2:$D$41,MATCH(C448,Customers!$A$2:$A$41,0)),INDEX(Customers!$F$2:$F$41,MATCH(C448,Customers!$A$2:$A$41,0)))</f>
        <v>0.135</v>
      </c>
      <c r="I448" s="16" t="n">
        <f aca="false">F448*G448</f>
        <v>35295.75</v>
      </c>
      <c r="J448" s="16" t="n">
        <f aca="false">I448*(1-H448)</f>
        <v>30530.82375</v>
      </c>
      <c r="K448" s="16" t="n">
        <f aca="false">J448*INDEX(Customers!$G$2:$G$41,MATCH(C448,Customers!$A$2:$A$41,0))</f>
        <v>915.9247125</v>
      </c>
      <c r="L448" s="16" t="n">
        <f aca="false">F448*INDEX(Customers!$H$2:$H$41,MATCH(C448,Customers!$A$2:$A$41,0))</f>
        <v>1107</v>
      </c>
      <c r="M448" s="16" t="n">
        <f aca="false">J448*INDEX(Customers!$I$2:$I$41,MATCH(C448,Customers!$A$2:$A$41,0))/365*Assumptions!$B$6</f>
        <v>602.251865753425</v>
      </c>
      <c r="N448" s="16" t="n">
        <f aca="false">J448-K448-L448-M448</f>
        <v>27905.6471717466</v>
      </c>
      <c r="O448" s="16" t="n">
        <f aca="false">F448*IF(A448="2025",INDEX(Products!$D$2:$D$13,MATCH(D448,Products!$A$2:$A$13,0)),INDEX(Products!$F$2:$F$13,MATCH(D448,Products!$A$2:$A$13,0)))</f>
        <v>21636.18</v>
      </c>
      <c r="P448" s="16" t="n">
        <f aca="false">N448-O448</f>
        <v>6269.46717174657</v>
      </c>
    </row>
    <row r="449" customFormat="false" ht="15" hidden="false" customHeight="false" outlineLevel="0" collapsed="false">
      <c r="A449" s="2" t="s">
        <v>119</v>
      </c>
      <c r="B449" s="2" t="n">
        <v>4</v>
      </c>
      <c r="C449" s="2" t="s">
        <v>69</v>
      </c>
      <c r="D449" s="2" t="s">
        <v>42</v>
      </c>
      <c r="E449" s="2" t="str">
        <f aca="false">INDEX(Products!$B$2:$B$13,MATCH(D449,Products!$A$2:$A$13,0))</f>
        <v>Hydroprocessing</v>
      </c>
      <c r="F449" s="15" t="n">
        <v>2.6</v>
      </c>
      <c r="G449" s="16" t="n">
        <f aca="false">IF(A449="2025",INDEX(Products!$C$2:$C$13,MATCH(D449,Products!$A$2:$A$13,0)),INDEX(Products!$E$2:$E$13,MATCH(D449,Products!$A$2:$A$13,0)))</f>
        <v>13072.5</v>
      </c>
      <c r="H449" s="13" t="n">
        <f aca="false">IF(A449="2025",INDEX(Customers!$D$2:$D$41,MATCH(C449,Customers!$A$2:$A$41,0)),INDEX(Customers!$F$2:$F$41,MATCH(C449,Customers!$A$2:$A$41,0)))</f>
        <v>0.135</v>
      </c>
      <c r="I449" s="16" t="n">
        <f aca="false">F449*G449</f>
        <v>33988.5</v>
      </c>
      <c r="J449" s="16" t="n">
        <f aca="false">I449*(1-H449)</f>
        <v>29400.0525</v>
      </c>
      <c r="K449" s="16" t="n">
        <f aca="false">J449*INDEX(Customers!$G$2:$G$41,MATCH(C449,Customers!$A$2:$A$41,0))</f>
        <v>882.001575</v>
      </c>
      <c r="L449" s="16" t="n">
        <f aca="false">F449*INDEX(Customers!$H$2:$H$41,MATCH(C449,Customers!$A$2:$A$41,0))</f>
        <v>1066</v>
      </c>
      <c r="M449" s="16" t="n">
        <f aca="false">J449*INDEX(Customers!$I$2:$I$41,MATCH(C449,Customers!$A$2:$A$41,0))/365*Assumptions!$B$6</f>
        <v>579.94624109589</v>
      </c>
      <c r="N449" s="16" t="n">
        <f aca="false">J449-K449-L449-M449</f>
        <v>26872.1046839041</v>
      </c>
      <c r="O449" s="16" t="n">
        <f aca="false">F449*IF(A449="2025",INDEX(Products!$D$2:$D$13,MATCH(D449,Products!$A$2:$A$13,0)),INDEX(Products!$F$2:$F$13,MATCH(D449,Products!$A$2:$A$13,0)))</f>
        <v>20834.84</v>
      </c>
      <c r="P449" s="16" t="n">
        <f aca="false">N449-O449</f>
        <v>6037.2646839041</v>
      </c>
    </row>
    <row r="450" customFormat="false" ht="15" hidden="false" customHeight="false" outlineLevel="0" collapsed="false">
      <c r="A450" s="2" t="s">
        <v>119</v>
      </c>
      <c r="B450" s="2" t="n">
        <v>5</v>
      </c>
      <c r="C450" s="2" t="s">
        <v>69</v>
      </c>
      <c r="D450" s="2" t="s">
        <v>42</v>
      </c>
      <c r="E450" s="2" t="str">
        <f aca="false">INDEX(Products!$B$2:$B$13,MATCH(D450,Products!$A$2:$A$13,0))</f>
        <v>Hydroprocessing</v>
      </c>
      <c r="F450" s="15" t="n">
        <v>2.3</v>
      </c>
      <c r="G450" s="16" t="n">
        <f aca="false">IF(A450="2025",INDEX(Products!$C$2:$C$13,MATCH(D450,Products!$A$2:$A$13,0)),INDEX(Products!$E$2:$E$13,MATCH(D450,Products!$A$2:$A$13,0)))</f>
        <v>13072.5</v>
      </c>
      <c r="H450" s="13" t="n">
        <f aca="false">IF(A450="2025",INDEX(Customers!$D$2:$D$41,MATCH(C450,Customers!$A$2:$A$41,0)),INDEX(Customers!$F$2:$F$41,MATCH(C450,Customers!$A$2:$A$41,0)))</f>
        <v>0.135</v>
      </c>
      <c r="I450" s="16" t="n">
        <f aca="false">F450*G450</f>
        <v>30066.75</v>
      </c>
      <c r="J450" s="16" t="n">
        <f aca="false">I450*(1-H450)</f>
        <v>26007.73875</v>
      </c>
      <c r="K450" s="16" t="n">
        <f aca="false">J450*INDEX(Customers!$G$2:$G$41,MATCH(C450,Customers!$A$2:$A$41,0))</f>
        <v>780.2321625</v>
      </c>
      <c r="L450" s="16" t="n">
        <f aca="false">F450*INDEX(Customers!$H$2:$H$41,MATCH(C450,Customers!$A$2:$A$41,0))</f>
        <v>943</v>
      </c>
      <c r="M450" s="16" t="n">
        <f aca="false">J450*INDEX(Customers!$I$2:$I$41,MATCH(C450,Customers!$A$2:$A$41,0))/365*Assumptions!$B$6</f>
        <v>513.029367123288</v>
      </c>
      <c r="N450" s="16" t="n">
        <f aca="false">J450-K450-L450-M450</f>
        <v>23771.4772203767</v>
      </c>
      <c r="O450" s="16" t="n">
        <f aca="false">F450*IF(A450="2025",INDEX(Products!$D$2:$D$13,MATCH(D450,Products!$A$2:$A$13,0)),INDEX(Products!$F$2:$F$13,MATCH(D450,Products!$A$2:$A$13,0)))</f>
        <v>18430.82</v>
      </c>
      <c r="P450" s="16" t="n">
        <f aca="false">N450-O450</f>
        <v>5340.65722037671</v>
      </c>
    </row>
    <row r="451" customFormat="false" ht="15" hidden="false" customHeight="false" outlineLevel="0" collapsed="false">
      <c r="A451" s="2" t="s">
        <v>119</v>
      </c>
      <c r="B451" s="2" t="n">
        <v>6</v>
      </c>
      <c r="C451" s="2" t="s">
        <v>69</v>
      </c>
      <c r="D451" s="2" t="s">
        <v>42</v>
      </c>
      <c r="E451" s="2" t="str">
        <f aca="false">INDEX(Products!$B$2:$B$13,MATCH(D451,Products!$A$2:$A$13,0))</f>
        <v>Hydroprocessing</v>
      </c>
      <c r="F451" s="15" t="n">
        <v>2</v>
      </c>
      <c r="G451" s="16" t="n">
        <f aca="false">IF(A451="2025",INDEX(Products!$C$2:$C$13,MATCH(D451,Products!$A$2:$A$13,0)),INDEX(Products!$E$2:$E$13,MATCH(D451,Products!$A$2:$A$13,0)))</f>
        <v>13072.5</v>
      </c>
      <c r="H451" s="13" t="n">
        <f aca="false">IF(A451="2025",INDEX(Customers!$D$2:$D$41,MATCH(C451,Customers!$A$2:$A$41,0)),INDEX(Customers!$F$2:$F$41,MATCH(C451,Customers!$A$2:$A$41,0)))</f>
        <v>0.135</v>
      </c>
      <c r="I451" s="16" t="n">
        <f aca="false">F451*G451</f>
        <v>26145</v>
      </c>
      <c r="J451" s="16" t="n">
        <f aca="false">I451*(1-H451)</f>
        <v>22615.425</v>
      </c>
      <c r="K451" s="16" t="n">
        <f aca="false">J451*INDEX(Customers!$G$2:$G$41,MATCH(C451,Customers!$A$2:$A$41,0))</f>
        <v>678.46275</v>
      </c>
      <c r="L451" s="16" t="n">
        <f aca="false">F451*INDEX(Customers!$H$2:$H$41,MATCH(C451,Customers!$A$2:$A$41,0))</f>
        <v>820</v>
      </c>
      <c r="M451" s="16" t="n">
        <f aca="false">J451*INDEX(Customers!$I$2:$I$41,MATCH(C451,Customers!$A$2:$A$41,0))/365*Assumptions!$B$6</f>
        <v>446.112493150685</v>
      </c>
      <c r="N451" s="16" t="n">
        <f aca="false">J451-K451-L451-M451</f>
        <v>20670.8497568493</v>
      </c>
      <c r="O451" s="16" t="n">
        <f aca="false">F451*IF(A451="2025",INDEX(Products!$D$2:$D$13,MATCH(D451,Products!$A$2:$A$13,0)),INDEX(Products!$F$2:$F$13,MATCH(D451,Products!$A$2:$A$13,0)))</f>
        <v>16026.8</v>
      </c>
      <c r="P451" s="16" t="n">
        <f aca="false">N451-O451</f>
        <v>4644.04975684931</v>
      </c>
    </row>
    <row r="452" customFormat="false" ht="15" hidden="false" customHeight="false" outlineLevel="0" collapsed="false">
      <c r="A452" s="2" t="s">
        <v>119</v>
      </c>
      <c r="B452" s="2" t="n">
        <v>7</v>
      </c>
      <c r="C452" s="2" t="s">
        <v>69</v>
      </c>
      <c r="D452" s="2" t="s">
        <v>42</v>
      </c>
      <c r="E452" s="2" t="str">
        <f aca="false">INDEX(Products!$B$2:$B$13,MATCH(D452,Products!$A$2:$A$13,0))</f>
        <v>Hydroprocessing</v>
      </c>
      <c r="F452" s="15" t="n">
        <v>2</v>
      </c>
      <c r="G452" s="16" t="n">
        <f aca="false">IF(A452="2025",INDEX(Products!$C$2:$C$13,MATCH(D452,Products!$A$2:$A$13,0)),INDEX(Products!$E$2:$E$13,MATCH(D452,Products!$A$2:$A$13,0)))</f>
        <v>13072.5</v>
      </c>
      <c r="H452" s="13" t="n">
        <f aca="false">IF(A452="2025",INDEX(Customers!$D$2:$D$41,MATCH(C452,Customers!$A$2:$A$41,0)),INDEX(Customers!$F$2:$F$41,MATCH(C452,Customers!$A$2:$A$41,0)))</f>
        <v>0.135</v>
      </c>
      <c r="I452" s="16" t="n">
        <f aca="false">F452*G452</f>
        <v>26145</v>
      </c>
      <c r="J452" s="16" t="n">
        <f aca="false">I452*(1-H452)</f>
        <v>22615.425</v>
      </c>
      <c r="K452" s="16" t="n">
        <f aca="false">J452*INDEX(Customers!$G$2:$G$41,MATCH(C452,Customers!$A$2:$A$41,0))</f>
        <v>678.46275</v>
      </c>
      <c r="L452" s="16" t="n">
        <f aca="false">F452*INDEX(Customers!$H$2:$H$41,MATCH(C452,Customers!$A$2:$A$41,0))</f>
        <v>820</v>
      </c>
      <c r="M452" s="16" t="n">
        <f aca="false">J452*INDEX(Customers!$I$2:$I$41,MATCH(C452,Customers!$A$2:$A$41,0))/365*Assumptions!$B$6</f>
        <v>446.112493150685</v>
      </c>
      <c r="N452" s="16" t="n">
        <f aca="false">J452-K452-L452-M452</f>
        <v>20670.8497568493</v>
      </c>
      <c r="O452" s="16" t="n">
        <f aca="false">F452*IF(A452="2025",INDEX(Products!$D$2:$D$13,MATCH(D452,Products!$A$2:$A$13,0)),INDEX(Products!$F$2:$F$13,MATCH(D452,Products!$A$2:$A$13,0)))</f>
        <v>16026.8</v>
      </c>
      <c r="P452" s="16" t="n">
        <f aca="false">N452-O452</f>
        <v>4644.04975684931</v>
      </c>
    </row>
    <row r="453" customFormat="false" ht="15" hidden="false" customHeight="false" outlineLevel="0" collapsed="false">
      <c r="A453" s="2" t="s">
        <v>119</v>
      </c>
      <c r="B453" s="2" t="n">
        <v>8</v>
      </c>
      <c r="C453" s="2" t="s">
        <v>69</v>
      </c>
      <c r="D453" s="2" t="s">
        <v>42</v>
      </c>
      <c r="E453" s="2" t="str">
        <f aca="false">INDEX(Products!$B$2:$B$13,MATCH(D453,Products!$A$2:$A$13,0))</f>
        <v>Hydroprocessing</v>
      </c>
      <c r="F453" s="15" t="n">
        <v>3.4</v>
      </c>
      <c r="G453" s="16" t="n">
        <f aca="false">IF(A453="2025",INDEX(Products!$C$2:$C$13,MATCH(D453,Products!$A$2:$A$13,0)),INDEX(Products!$E$2:$E$13,MATCH(D453,Products!$A$2:$A$13,0)))</f>
        <v>13072.5</v>
      </c>
      <c r="H453" s="13" t="n">
        <f aca="false">IF(A453="2025",INDEX(Customers!$D$2:$D$41,MATCH(C453,Customers!$A$2:$A$41,0)),INDEX(Customers!$F$2:$F$41,MATCH(C453,Customers!$A$2:$A$41,0)))</f>
        <v>0.135</v>
      </c>
      <c r="I453" s="16" t="n">
        <f aca="false">F453*G453</f>
        <v>44446.5</v>
      </c>
      <c r="J453" s="16" t="n">
        <f aca="false">I453*(1-H453)</f>
        <v>38446.2225</v>
      </c>
      <c r="K453" s="16" t="n">
        <f aca="false">J453*INDEX(Customers!$G$2:$G$41,MATCH(C453,Customers!$A$2:$A$41,0))</f>
        <v>1153.386675</v>
      </c>
      <c r="L453" s="16" t="n">
        <f aca="false">F453*INDEX(Customers!$H$2:$H$41,MATCH(C453,Customers!$A$2:$A$41,0))</f>
        <v>1394</v>
      </c>
      <c r="M453" s="16" t="n">
        <f aca="false">J453*INDEX(Customers!$I$2:$I$41,MATCH(C453,Customers!$A$2:$A$41,0))/365*Assumptions!$B$6</f>
        <v>758.391238356164</v>
      </c>
      <c r="N453" s="16" t="n">
        <f aca="false">J453-K453-L453-M453</f>
        <v>35140.4445866438</v>
      </c>
      <c r="O453" s="16" t="n">
        <f aca="false">F453*IF(A453="2025",INDEX(Products!$D$2:$D$13,MATCH(D453,Products!$A$2:$A$13,0)),INDEX(Products!$F$2:$F$13,MATCH(D453,Products!$A$2:$A$13,0)))</f>
        <v>27245.56</v>
      </c>
      <c r="P453" s="16" t="n">
        <f aca="false">N453-O453</f>
        <v>7894.88458664383</v>
      </c>
    </row>
    <row r="454" customFormat="false" ht="15" hidden="false" customHeight="false" outlineLevel="0" collapsed="false">
      <c r="A454" s="2" t="s">
        <v>119</v>
      </c>
      <c r="B454" s="2" t="n">
        <v>9</v>
      </c>
      <c r="C454" s="2" t="s">
        <v>69</v>
      </c>
      <c r="D454" s="2" t="s">
        <v>42</v>
      </c>
      <c r="E454" s="2" t="str">
        <f aca="false">INDEX(Products!$B$2:$B$13,MATCH(D454,Products!$A$2:$A$13,0))</f>
        <v>Hydroprocessing</v>
      </c>
      <c r="F454" s="15" t="n">
        <v>2</v>
      </c>
      <c r="G454" s="16" t="n">
        <f aca="false">IF(A454="2025",INDEX(Products!$C$2:$C$13,MATCH(D454,Products!$A$2:$A$13,0)),INDEX(Products!$E$2:$E$13,MATCH(D454,Products!$A$2:$A$13,0)))</f>
        <v>13072.5</v>
      </c>
      <c r="H454" s="13" t="n">
        <f aca="false">IF(A454="2025",INDEX(Customers!$D$2:$D$41,MATCH(C454,Customers!$A$2:$A$41,0)),INDEX(Customers!$F$2:$F$41,MATCH(C454,Customers!$A$2:$A$41,0)))</f>
        <v>0.135</v>
      </c>
      <c r="I454" s="16" t="n">
        <f aca="false">F454*G454</f>
        <v>26145</v>
      </c>
      <c r="J454" s="16" t="n">
        <f aca="false">I454*(1-H454)</f>
        <v>22615.425</v>
      </c>
      <c r="K454" s="16" t="n">
        <f aca="false">J454*INDEX(Customers!$G$2:$G$41,MATCH(C454,Customers!$A$2:$A$41,0))</f>
        <v>678.46275</v>
      </c>
      <c r="L454" s="16" t="n">
        <f aca="false">F454*INDEX(Customers!$H$2:$H$41,MATCH(C454,Customers!$A$2:$A$41,0))</f>
        <v>820</v>
      </c>
      <c r="M454" s="16" t="n">
        <f aca="false">J454*INDEX(Customers!$I$2:$I$41,MATCH(C454,Customers!$A$2:$A$41,0))/365*Assumptions!$B$6</f>
        <v>446.112493150685</v>
      </c>
      <c r="N454" s="16" t="n">
        <f aca="false">J454-K454-L454-M454</f>
        <v>20670.8497568493</v>
      </c>
      <c r="O454" s="16" t="n">
        <f aca="false">F454*IF(A454="2025",INDEX(Products!$D$2:$D$13,MATCH(D454,Products!$A$2:$A$13,0)),INDEX(Products!$F$2:$F$13,MATCH(D454,Products!$A$2:$A$13,0)))</f>
        <v>16026.8</v>
      </c>
      <c r="P454" s="16" t="n">
        <f aca="false">N454-O454</f>
        <v>4644.04975684931</v>
      </c>
    </row>
    <row r="455" customFormat="false" ht="15" hidden="false" customHeight="false" outlineLevel="0" collapsed="false">
      <c r="A455" s="2" t="s">
        <v>119</v>
      </c>
      <c r="B455" s="2" t="n">
        <v>10</v>
      </c>
      <c r="C455" s="2" t="s">
        <v>69</v>
      </c>
      <c r="D455" s="2" t="s">
        <v>42</v>
      </c>
      <c r="E455" s="2" t="str">
        <f aca="false">INDEX(Products!$B$2:$B$13,MATCH(D455,Products!$A$2:$A$13,0))</f>
        <v>Hydroprocessing</v>
      </c>
      <c r="F455" s="15" t="n">
        <v>3</v>
      </c>
      <c r="G455" s="16" t="n">
        <f aca="false">IF(A455="2025",INDEX(Products!$C$2:$C$13,MATCH(D455,Products!$A$2:$A$13,0)),INDEX(Products!$E$2:$E$13,MATCH(D455,Products!$A$2:$A$13,0)))</f>
        <v>13072.5</v>
      </c>
      <c r="H455" s="13" t="n">
        <f aca="false">IF(A455="2025",INDEX(Customers!$D$2:$D$41,MATCH(C455,Customers!$A$2:$A$41,0)),INDEX(Customers!$F$2:$F$41,MATCH(C455,Customers!$A$2:$A$41,0)))</f>
        <v>0.135</v>
      </c>
      <c r="I455" s="16" t="n">
        <f aca="false">F455*G455</f>
        <v>39217.5</v>
      </c>
      <c r="J455" s="16" t="n">
        <f aca="false">I455*(1-H455)</f>
        <v>33923.1375</v>
      </c>
      <c r="K455" s="16" t="n">
        <f aca="false">J455*INDEX(Customers!$G$2:$G$41,MATCH(C455,Customers!$A$2:$A$41,0))</f>
        <v>1017.694125</v>
      </c>
      <c r="L455" s="16" t="n">
        <f aca="false">F455*INDEX(Customers!$H$2:$H$41,MATCH(C455,Customers!$A$2:$A$41,0))</f>
        <v>1230</v>
      </c>
      <c r="M455" s="16" t="n">
        <f aca="false">J455*INDEX(Customers!$I$2:$I$41,MATCH(C455,Customers!$A$2:$A$41,0))/365*Assumptions!$B$6</f>
        <v>669.168739726027</v>
      </c>
      <c r="N455" s="16" t="n">
        <f aca="false">J455-K455-L455-M455</f>
        <v>31006.274635274</v>
      </c>
      <c r="O455" s="16" t="n">
        <f aca="false">F455*IF(A455="2025",INDEX(Products!$D$2:$D$13,MATCH(D455,Products!$A$2:$A$13,0)),INDEX(Products!$F$2:$F$13,MATCH(D455,Products!$A$2:$A$13,0)))</f>
        <v>24040.2</v>
      </c>
      <c r="P455" s="16" t="n">
        <f aca="false">N455-O455</f>
        <v>6966.07463527397</v>
      </c>
    </row>
    <row r="456" customFormat="false" ht="15" hidden="false" customHeight="false" outlineLevel="0" collapsed="false">
      <c r="A456" s="2" t="s">
        <v>119</v>
      </c>
      <c r="B456" s="2" t="n">
        <v>11</v>
      </c>
      <c r="C456" s="2" t="s">
        <v>69</v>
      </c>
      <c r="D456" s="2" t="s">
        <v>42</v>
      </c>
      <c r="E456" s="2" t="str">
        <f aca="false">INDEX(Products!$B$2:$B$13,MATCH(D456,Products!$A$2:$A$13,0))</f>
        <v>Hydroprocessing</v>
      </c>
      <c r="F456" s="15" t="n">
        <v>3</v>
      </c>
      <c r="G456" s="16" t="n">
        <f aca="false">IF(A456="2025",INDEX(Products!$C$2:$C$13,MATCH(D456,Products!$A$2:$A$13,0)),INDEX(Products!$E$2:$E$13,MATCH(D456,Products!$A$2:$A$13,0)))</f>
        <v>13072.5</v>
      </c>
      <c r="H456" s="13" t="n">
        <f aca="false">IF(A456="2025",INDEX(Customers!$D$2:$D$41,MATCH(C456,Customers!$A$2:$A$41,0)),INDEX(Customers!$F$2:$F$41,MATCH(C456,Customers!$A$2:$A$41,0)))</f>
        <v>0.135</v>
      </c>
      <c r="I456" s="16" t="n">
        <f aca="false">F456*G456</f>
        <v>39217.5</v>
      </c>
      <c r="J456" s="16" t="n">
        <f aca="false">I456*(1-H456)</f>
        <v>33923.1375</v>
      </c>
      <c r="K456" s="16" t="n">
        <f aca="false">J456*INDEX(Customers!$G$2:$G$41,MATCH(C456,Customers!$A$2:$A$41,0))</f>
        <v>1017.694125</v>
      </c>
      <c r="L456" s="16" t="n">
        <f aca="false">F456*INDEX(Customers!$H$2:$H$41,MATCH(C456,Customers!$A$2:$A$41,0))</f>
        <v>1230</v>
      </c>
      <c r="M456" s="16" t="n">
        <f aca="false">J456*INDEX(Customers!$I$2:$I$41,MATCH(C456,Customers!$A$2:$A$41,0))/365*Assumptions!$B$6</f>
        <v>669.168739726027</v>
      </c>
      <c r="N456" s="16" t="n">
        <f aca="false">J456-K456-L456-M456</f>
        <v>31006.274635274</v>
      </c>
      <c r="O456" s="16" t="n">
        <f aca="false">F456*IF(A456="2025",INDEX(Products!$D$2:$D$13,MATCH(D456,Products!$A$2:$A$13,0)),INDEX(Products!$F$2:$F$13,MATCH(D456,Products!$A$2:$A$13,0)))</f>
        <v>24040.2</v>
      </c>
      <c r="P456" s="16" t="n">
        <f aca="false">N456-O456</f>
        <v>6966.07463527397</v>
      </c>
    </row>
    <row r="457" customFormat="false" ht="15" hidden="false" customHeight="false" outlineLevel="0" collapsed="false">
      <c r="A457" s="2" t="s">
        <v>119</v>
      </c>
      <c r="B457" s="2" t="n">
        <v>12</v>
      </c>
      <c r="C457" s="2" t="s">
        <v>69</v>
      </c>
      <c r="D457" s="2" t="s">
        <v>42</v>
      </c>
      <c r="E457" s="2" t="str">
        <f aca="false">INDEX(Products!$B$2:$B$13,MATCH(D457,Products!$A$2:$A$13,0))</f>
        <v>Hydroprocessing</v>
      </c>
      <c r="F457" s="15" t="n">
        <v>2.9</v>
      </c>
      <c r="G457" s="16" t="n">
        <f aca="false">IF(A457="2025",INDEX(Products!$C$2:$C$13,MATCH(D457,Products!$A$2:$A$13,0)),INDEX(Products!$E$2:$E$13,MATCH(D457,Products!$A$2:$A$13,0)))</f>
        <v>13072.5</v>
      </c>
      <c r="H457" s="13" t="n">
        <f aca="false">IF(A457="2025",INDEX(Customers!$D$2:$D$41,MATCH(C457,Customers!$A$2:$A$41,0)),INDEX(Customers!$F$2:$F$41,MATCH(C457,Customers!$A$2:$A$41,0)))</f>
        <v>0.135</v>
      </c>
      <c r="I457" s="16" t="n">
        <f aca="false">F457*G457</f>
        <v>37910.25</v>
      </c>
      <c r="J457" s="16" t="n">
        <f aca="false">I457*(1-H457)</f>
        <v>32792.36625</v>
      </c>
      <c r="K457" s="16" t="n">
        <f aca="false">J457*INDEX(Customers!$G$2:$G$41,MATCH(C457,Customers!$A$2:$A$41,0))</f>
        <v>983.7709875</v>
      </c>
      <c r="L457" s="16" t="n">
        <f aca="false">F457*INDEX(Customers!$H$2:$H$41,MATCH(C457,Customers!$A$2:$A$41,0))</f>
        <v>1189</v>
      </c>
      <c r="M457" s="16" t="n">
        <f aca="false">J457*INDEX(Customers!$I$2:$I$41,MATCH(C457,Customers!$A$2:$A$41,0))/365*Assumptions!$B$6</f>
        <v>646.863115068493</v>
      </c>
      <c r="N457" s="16" t="n">
        <f aca="false">J457-K457-L457-M457</f>
        <v>29972.7321474315</v>
      </c>
      <c r="O457" s="16" t="n">
        <f aca="false">F457*IF(A457="2025",INDEX(Products!$D$2:$D$13,MATCH(D457,Products!$A$2:$A$13,0)),INDEX(Products!$F$2:$F$13,MATCH(D457,Products!$A$2:$A$13,0)))</f>
        <v>23238.86</v>
      </c>
      <c r="P457" s="16" t="n">
        <f aca="false">N457-O457</f>
        <v>6733.87214743151</v>
      </c>
    </row>
    <row r="458" customFormat="false" ht="15" hidden="false" customHeight="false" outlineLevel="0" collapsed="false">
      <c r="A458" s="2" t="s">
        <v>118</v>
      </c>
      <c r="B458" s="2" t="n">
        <v>1</v>
      </c>
      <c r="C458" s="2" t="s">
        <v>70</v>
      </c>
      <c r="D458" s="2" t="s">
        <v>38</v>
      </c>
      <c r="E458" s="2" t="str">
        <f aca="false">INDEX(Products!$B$2:$B$13,MATCH(D458,Products!$A$2:$A$13,0))</f>
        <v>FCC</v>
      </c>
      <c r="F458" s="15" t="n">
        <v>5</v>
      </c>
      <c r="G458" s="16" t="n">
        <f aca="false">IF(A458="2025",INDEX(Products!$C$2:$C$13,MATCH(D458,Products!$A$2:$A$13,0)),INDEX(Products!$E$2:$E$13,MATCH(D458,Products!$A$2:$A$13,0)))</f>
        <v>4360</v>
      </c>
      <c r="H458" s="13" t="n">
        <f aca="false">IF(A458="2025",INDEX(Customers!$D$2:$D$41,MATCH(C458,Customers!$A$2:$A$41,0)),INDEX(Customers!$F$2:$F$41,MATCH(C458,Customers!$A$2:$A$41,0)))</f>
        <v>0.067</v>
      </c>
      <c r="I458" s="16" t="n">
        <f aca="false">F458*G458</f>
        <v>21800</v>
      </c>
      <c r="J458" s="16" t="n">
        <f aca="false">I458*(1-H458)</f>
        <v>20339.4</v>
      </c>
      <c r="K458" s="16" t="n">
        <f aca="false">J458*INDEX(Customers!$G$2:$G$41,MATCH(C458,Customers!$A$2:$A$41,0))</f>
        <v>406.788</v>
      </c>
      <c r="L458" s="16" t="n">
        <f aca="false">F458*INDEX(Customers!$H$2:$H$41,MATCH(C458,Customers!$A$2:$A$41,0))</f>
        <v>1250</v>
      </c>
      <c r="M458" s="16" t="n">
        <f aca="false">J458*INDEX(Customers!$I$2:$I$41,MATCH(C458,Customers!$A$2:$A$41,0))/365*Assumptions!$B$6</f>
        <v>133.738520547945</v>
      </c>
      <c r="N458" s="16" t="n">
        <f aca="false">J458-K458-L458-M458</f>
        <v>18548.8734794521</v>
      </c>
      <c r="O458" s="16" t="n">
        <f aca="false">F458*IF(A458="2025",INDEX(Products!$D$2:$D$13,MATCH(D458,Products!$A$2:$A$13,0)),INDEX(Products!$F$2:$F$13,MATCH(D458,Products!$A$2:$A$13,0)))</f>
        <v>13850</v>
      </c>
      <c r="P458" s="16" t="n">
        <f aca="false">N458-O458</f>
        <v>4698.87347945206</v>
      </c>
    </row>
    <row r="459" customFormat="false" ht="15" hidden="false" customHeight="false" outlineLevel="0" collapsed="false">
      <c r="A459" s="2" t="s">
        <v>118</v>
      </c>
      <c r="B459" s="2" t="n">
        <v>2</v>
      </c>
      <c r="C459" s="2" t="s">
        <v>70</v>
      </c>
      <c r="D459" s="2" t="s">
        <v>38</v>
      </c>
      <c r="E459" s="2" t="str">
        <f aca="false">INDEX(Products!$B$2:$B$13,MATCH(D459,Products!$A$2:$A$13,0))</f>
        <v>FCC</v>
      </c>
      <c r="F459" s="15" t="n">
        <v>6.9</v>
      </c>
      <c r="G459" s="16" t="n">
        <f aca="false">IF(A459="2025",INDEX(Products!$C$2:$C$13,MATCH(D459,Products!$A$2:$A$13,0)),INDEX(Products!$E$2:$E$13,MATCH(D459,Products!$A$2:$A$13,0)))</f>
        <v>4360</v>
      </c>
      <c r="H459" s="13" t="n">
        <f aca="false">IF(A459="2025",INDEX(Customers!$D$2:$D$41,MATCH(C459,Customers!$A$2:$A$41,0)),INDEX(Customers!$F$2:$F$41,MATCH(C459,Customers!$A$2:$A$41,0)))</f>
        <v>0.067</v>
      </c>
      <c r="I459" s="16" t="n">
        <f aca="false">F459*G459</f>
        <v>30084</v>
      </c>
      <c r="J459" s="16" t="n">
        <f aca="false">I459*(1-H459)</f>
        <v>28068.372</v>
      </c>
      <c r="K459" s="16" t="n">
        <f aca="false">J459*INDEX(Customers!$G$2:$G$41,MATCH(C459,Customers!$A$2:$A$41,0))</f>
        <v>561.36744</v>
      </c>
      <c r="L459" s="16" t="n">
        <f aca="false">F459*INDEX(Customers!$H$2:$H$41,MATCH(C459,Customers!$A$2:$A$41,0))</f>
        <v>1725</v>
      </c>
      <c r="M459" s="16" t="n">
        <f aca="false">J459*INDEX(Customers!$I$2:$I$41,MATCH(C459,Customers!$A$2:$A$41,0))/365*Assumptions!$B$6</f>
        <v>184.559158356164</v>
      </c>
      <c r="N459" s="16" t="n">
        <f aca="false">J459-K459-L459-M459</f>
        <v>25597.4454016438</v>
      </c>
      <c r="O459" s="16" t="n">
        <f aca="false">F459*IF(A459="2025",INDEX(Products!$D$2:$D$13,MATCH(D459,Products!$A$2:$A$13,0)),INDEX(Products!$F$2:$F$13,MATCH(D459,Products!$A$2:$A$13,0)))</f>
        <v>19113</v>
      </c>
      <c r="P459" s="16" t="n">
        <f aca="false">N459-O459</f>
        <v>6484.44540164384</v>
      </c>
    </row>
    <row r="460" customFormat="false" ht="15" hidden="false" customHeight="false" outlineLevel="0" collapsed="false">
      <c r="A460" s="2" t="s">
        <v>118</v>
      </c>
      <c r="B460" s="2" t="n">
        <v>3</v>
      </c>
      <c r="C460" s="2" t="s">
        <v>70</v>
      </c>
      <c r="D460" s="2" t="s">
        <v>38</v>
      </c>
      <c r="E460" s="2" t="str">
        <f aca="false">INDEX(Products!$B$2:$B$13,MATCH(D460,Products!$A$2:$A$13,0))</f>
        <v>FCC</v>
      </c>
      <c r="F460" s="15" t="n">
        <v>7.6</v>
      </c>
      <c r="G460" s="16" t="n">
        <f aca="false">IF(A460="2025",INDEX(Products!$C$2:$C$13,MATCH(D460,Products!$A$2:$A$13,0)),INDEX(Products!$E$2:$E$13,MATCH(D460,Products!$A$2:$A$13,0)))</f>
        <v>4360</v>
      </c>
      <c r="H460" s="13" t="n">
        <f aca="false">IF(A460="2025",INDEX(Customers!$D$2:$D$41,MATCH(C460,Customers!$A$2:$A$41,0)),INDEX(Customers!$F$2:$F$41,MATCH(C460,Customers!$A$2:$A$41,0)))</f>
        <v>0.067</v>
      </c>
      <c r="I460" s="16" t="n">
        <f aca="false">F460*G460</f>
        <v>33136</v>
      </c>
      <c r="J460" s="16" t="n">
        <f aca="false">I460*(1-H460)</f>
        <v>30915.888</v>
      </c>
      <c r="K460" s="16" t="n">
        <f aca="false">J460*INDEX(Customers!$G$2:$G$41,MATCH(C460,Customers!$A$2:$A$41,0))</f>
        <v>618.31776</v>
      </c>
      <c r="L460" s="16" t="n">
        <f aca="false">F460*INDEX(Customers!$H$2:$H$41,MATCH(C460,Customers!$A$2:$A$41,0))</f>
        <v>1900</v>
      </c>
      <c r="M460" s="16" t="n">
        <f aca="false">J460*INDEX(Customers!$I$2:$I$41,MATCH(C460,Customers!$A$2:$A$41,0))/365*Assumptions!$B$6</f>
        <v>203.282551232877</v>
      </c>
      <c r="N460" s="16" t="n">
        <f aca="false">J460-K460-L460-M460</f>
        <v>28194.2876887671</v>
      </c>
      <c r="O460" s="16" t="n">
        <f aca="false">F460*IF(A460="2025",INDEX(Products!$D$2:$D$13,MATCH(D460,Products!$A$2:$A$13,0)),INDEX(Products!$F$2:$F$13,MATCH(D460,Products!$A$2:$A$13,0)))</f>
        <v>21052</v>
      </c>
      <c r="P460" s="16" t="n">
        <f aca="false">N460-O460</f>
        <v>7142.28768876712</v>
      </c>
    </row>
    <row r="461" customFormat="false" ht="15" hidden="false" customHeight="false" outlineLevel="0" collapsed="false">
      <c r="A461" s="2" t="s">
        <v>118</v>
      </c>
      <c r="B461" s="2" t="n">
        <v>4</v>
      </c>
      <c r="C461" s="2" t="s">
        <v>70</v>
      </c>
      <c r="D461" s="2" t="s">
        <v>38</v>
      </c>
      <c r="E461" s="2" t="str">
        <f aca="false">INDEX(Products!$B$2:$B$13,MATCH(D461,Products!$A$2:$A$13,0))</f>
        <v>FCC</v>
      </c>
      <c r="F461" s="15" t="n">
        <v>6.1</v>
      </c>
      <c r="G461" s="16" t="n">
        <f aca="false">IF(A461="2025",INDEX(Products!$C$2:$C$13,MATCH(D461,Products!$A$2:$A$13,0)),INDEX(Products!$E$2:$E$13,MATCH(D461,Products!$A$2:$A$13,0)))</f>
        <v>4360</v>
      </c>
      <c r="H461" s="13" t="n">
        <f aca="false">IF(A461="2025",INDEX(Customers!$D$2:$D$41,MATCH(C461,Customers!$A$2:$A$41,0)),INDEX(Customers!$F$2:$F$41,MATCH(C461,Customers!$A$2:$A$41,0)))</f>
        <v>0.067</v>
      </c>
      <c r="I461" s="16" t="n">
        <f aca="false">F461*G461</f>
        <v>26596</v>
      </c>
      <c r="J461" s="16" t="n">
        <f aca="false">I461*(1-H461)</f>
        <v>24814.068</v>
      </c>
      <c r="K461" s="16" t="n">
        <f aca="false">J461*INDEX(Customers!$G$2:$G$41,MATCH(C461,Customers!$A$2:$A$41,0))</f>
        <v>496.28136</v>
      </c>
      <c r="L461" s="16" t="n">
        <f aca="false">F461*INDEX(Customers!$H$2:$H$41,MATCH(C461,Customers!$A$2:$A$41,0))</f>
        <v>1525</v>
      </c>
      <c r="M461" s="16" t="n">
        <f aca="false">J461*INDEX(Customers!$I$2:$I$41,MATCH(C461,Customers!$A$2:$A$41,0))/365*Assumptions!$B$6</f>
        <v>163.160995068493</v>
      </c>
      <c r="N461" s="16" t="n">
        <f aca="false">J461-K461-L461-M461</f>
        <v>22629.6256449315</v>
      </c>
      <c r="O461" s="16" t="n">
        <f aca="false">F461*IF(A461="2025",INDEX(Products!$D$2:$D$13,MATCH(D461,Products!$A$2:$A$13,0)),INDEX(Products!$F$2:$F$13,MATCH(D461,Products!$A$2:$A$13,0)))</f>
        <v>16897</v>
      </c>
      <c r="P461" s="16" t="n">
        <f aca="false">N461-O461</f>
        <v>5732.62564493151</v>
      </c>
    </row>
    <row r="462" customFormat="false" ht="15" hidden="false" customHeight="false" outlineLevel="0" collapsed="false">
      <c r="A462" s="2" t="s">
        <v>118</v>
      </c>
      <c r="B462" s="2" t="n">
        <v>5</v>
      </c>
      <c r="C462" s="2" t="s">
        <v>70</v>
      </c>
      <c r="D462" s="2" t="s">
        <v>38</v>
      </c>
      <c r="E462" s="2" t="str">
        <f aca="false">INDEX(Products!$B$2:$B$13,MATCH(D462,Products!$A$2:$A$13,0))</f>
        <v>FCC</v>
      </c>
      <c r="F462" s="15" t="n">
        <v>5.8</v>
      </c>
      <c r="G462" s="16" t="n">
        <f aca="false">IF(A462="2025",INDEX(Products!$C$2:$C$13,MATCH(D462,Products!$A$2:$A$13,0)),INDEX(Products!$E$2:$E$13,MATCH(D462,Products!$A$2:$A$13,0)))</f>
        <v>4360</v>
      </c>
      <c r="H462" s="13" t="n">
        <f aca="false">IF(A462="2025",INDEX(Customers!$D$2:$D$41,MATCH(C462,Customers!$A$2:$A$41,0)),INDEX(Customers!$F$2:$F$41,MATCH(C462,Customers!$A$2:$A$41,0)))</f>
        <v>0.067</v>
      </c>
      <c r="I462" s="16" t="n">
        <f aca="false">F462*G462</f>
        <v>25288</v>
      </c>
      <c r="J462" s="16" t="n">
        <f aca="false">I462*(1-H462)</f>
        <v>23593.704</v>
      </c>
      <c r="K462" s="16" t="n">
        <f aca="false">J462*INDEX(Customers!$G$2:$G$41,MATCH(C462,Customers!$A$2:$A$41,0))</f>
        <v>471.87408</v>
      </c>
      <c r="L462" s="16" t="n">
        <f aca="false">F462*INDEX(Customers!$H$2:$H$41,MATCH(C462,Customers!$A$2:$A$41,0))</f>
        <v>1450</v>
      </c>
      <c r="M462" s="16" t="n">
        <f aca="false">J462*INDEX(Customers!$I$2:$I$41,MATCH(C462,Customers!$A$2:$A$41,0))/365*Assumptions!$B$6</f>
        <v>155.136683835616</v>
      </c>
      <c r="N462" s="16" t="n">
        <f aca="false">J462-K462-L462-M462</f>
        <v>21516.6932361644</v>
      </c>
      <c r="O462" s="16" t="n">
        <f aca="false">F462*IF(A462="2025",INDEX(Products!$D$2:$D$13,MATCH(D462,Products!$A$2:$A$13,0)),INDEX(Products!$F$2:$F$13,MATCH(D462,Products!$A$2:$A$13,0)))</f>
        <v>16066</v>
      </c>
      <c r="P462" s="16" t="n">
        <f aca="false">N462-O462</f>
        <v>5450.69323616439</v>
      </c>
    </row>
    <row r="463" customFormat="false" ht="15" hidden="false" customHeight="false" outlineLevel="0" collapsed="false">
      <c r="A463" s="2" t="s">
        <v>118</v>
      </c>
      <c r="B463" s="2" t="n">
        <v>6</v>
      </c>
      <c r="C463" s="2" t="s">
        <v>70</v>
      </c>
      <c r="D463" s="2" t="s">
        <v>38</v>
      </c>
      <c r="E463" s="2" t="str">
        <f aca="false">INDEX(Products!$B$2:$B$13,MATCH(D463,Products!$A$2:$A$13,0))</f>
        <v>FCC</v>
      </c>
      <c r="F463" s="15" t="n">
        <v>7.4</v>
      </c>
      <c r="G463" s="16" t="n">
        <f aca="false">IF(A463="2025",INDEX(Products!$C$2:$C$13,MATCH(D463,Products!$A$2:$A$13,0)),INDEX(Products!$E$2:$E$13,MATCH(D463,Products!$A$2:$A$13,0)))</f>
        <v>4360</v>
      </c>
      <c r="H463" s="13" t="n">
        <f aca="false">IF(A463="2025",INDEX(Customers!$D$2:$D$41,MATCH(C463,Customers!$A$2:$A$41,0)),INDEX(Customers!$F$2:$F$41,MATCH(C463,Customers!$A$2:$A$41,0)))</f>
        <v>0.067</v>
      </c>
      <c r="I463" s="16" t="n">
        <f aca="false">F463*G463</f>
        <v>32264</v>
      </c>
      <c r="J463" s="16" t="n">
        <f aca="false">I463*(1-H463)</f>
        <v>30102.312</v>
      </c>
      <c r="K463" s="16" t="n">
        <f aca="false">J463*INDEX(Customers!$G$2:$G$41,MATCH(C463,Customers!$A$2:$A$41,0))</f>
        <v>602.04624</v>
      </c>
      <c r="L463" s="16" t="n">
        <f aca="false">F463*INDEX(Customers!$H$2:$H$41,MATCH(C463,Customers!$A$2:$A$41,0))</f>
        <v>1850</v>
      </c>
      <c r="M463" s="16" t="n">
        <f aca="false">J463*INDEX(Customers!$I$2:$I$41,MATCH(C463,Customers!$A$2:$A$41,0))/365*Assumptions!$B$6</f>
        <v>197.933010410959</v>
      </c>
      <c r="N463" s="16" t="n">
        <f aca="false">J463-K463-L463-M463</f>
        <v>27452.332749589</v>
      </c>
      <c r="O463" s="16" t="n">
        <f aca="false">F463*IF(A463="2025",INDEX(Products!$D$2:$D$13,MATCH(D463,Products!$A$2:$A$13,0)),INDEX(Products!$F$2:$F$13,MATCH(D463,Products!$A$2:$A$13,0)))</f>
        <v>20498</v>
      </c>
      <c r="P463" s="16" t="n">
        <f aca="false">N463-O463</f>
        <v>6954.33274958904</v>
      </c>
    </row>
    <row r="464" customFormat="false" ht="15" hidden="false" customHeight="false" outlineLevel="0" collapsed="false">
      <c r="A464" s="2" t="s">
        <v>118</v>
      </c>
      <c r="B464" s="2" t="n">
        <v>7</v>
      </c>
      <c r="C464" s="2" t="s">
        <v>70</v>
      </c>
      <c r="D464" s="2" t="s">
        <v>38</v>
      </c>
      <c r="E464" s="2" t="str">
        <f aca="false">INDEX(Products!$B$2:$B$13,MATCH(D464,Products!$A$2:$A$13,0))</f>
        <v>FCC</v>
      </c>
      <c r="F464" s="15" t="n">
        <v>4.5</v>
      </c>
      <c r="G464" s="16" t="n">
        <f aca="false">IF(A464="2025",INDEX(Products!$C$2:$C$13,MATCH(D464,Products!$A$2:$A$13,0)),INDEX(Products!$E$2:$E$13,MATCH(D464,Products!$A$2:$A$13,0)))</f>
        <v>4360</v>
      </c>
      <c r="H464" s="13" t="n">
        <f aca="false">IF(A464="2025",INDEX(Customers!$D$2:$D$41,MATCH(C464,Customers!$A$2:$A$41,0)),INDEX(Customers!$F$2:$F$41,MATCH(C464,Customers!$A$2:$A$41,0)))</f>
        <v>0.067</v>
      </c>
      <c r="I464" s="16" t="n">
        <f aca="false">F464*G464</f>
        <v>19620</v>
      </c>
      <c r="J464" s="16" t="n">
        <f aca="false">I464*(1-H464)</f>
        <v>18305.46</v>
      </c>
      <c r="K464" s="16" t="n">
        <f aca="false">J464*INDEX(Customers!$G$2:$G$41,MATCH(C464,Customers!$A$2:$A$41,0))</f>
        <v>366.1092</v>
      </c>
      <c r="L464" s="16" t="n">
        <f aca="false">F464*INDEX(Customers!$H$2:$H$41,MATCH(C464,Customers!$A$2:$A$41,0))</f>
        <v>1125</v>
      </c>
      <c r="M464" s="16" t="n">
        <f aca="false">J464*INDEX(Customers!$I$2:$I$41,MATCH(C464,Customers!$A$2:$A$41,0))/365*Assumptions!$B$6</f>
        <v>120.364668493151</v>
      </c>
      <c r="N464" s="16" t="n">
        <f aca="false">J464-K464-L464-M464</f>
        <v>16693.9861315069</v>
      </c>
      <c r="O464" s="16" t="n">
        <f aca="false">F464*IF(A464="2025",INDEX(Products!$D$2:$D$13,MATCH(D464,Products!$A$2:$A$13,0)),INDEX(Products!$F$2:$F$13,MATCH(D464,Products!$A$2:$A$13,0)))</f>
        <v>12465</v>
      </c>
      <c r="P464" s="16" t="n">
        <f aca="false">N464-O464</f>
        <v>4228.98613150685</v>
      </c>
    </row>
    <row r="465" customFormat="false" ht="15" hidden="false" customHeight="false" outlineLevel="0" collapsed="false">
      <c r="A465" s="2" t="s">
        <v>118</v>
      </c>
      <c r="B465" s="2" t="n">
        <v>8</v>
      </c>
      <c r="C465" s="2" t="s">
        <v>70</v>
      </c>
      <c r="D465" s="2" t="s">
        <v>38</v>
      </c>
      <c r="E465" s="2" t="str">
        <f aca="false">INDEX(Products!$B$2:$B$13,MATCH(D465,Products!$A$2:$A$13,0))</f>
        <v>FCC</v>
      </c>
      <c r="F465" s="15" t="n">
        <v>6.6</v>
      </c>
      <c r="G465" s="16" t="n">
        <f aca="false">IF(A465="2025",INDEX(Products!$C$2:$C$13,MATCH(D465,Products!$A$2:$A$13,0)),INDEX(Products!$E$2:$E$13,MATCH(D465,Products!$A$2:$A$13,0)))</f>
        <v>4360</v>
      </c>
      <c r="H465" s="13" t="n">
        <f aca="false">IF(A465="2025",INDEX(Customers!$D$2:$D$41,MATCH(C465,Customers!$A$2:$A$41,0)),INDEX(Customers!$F$2:$F$41,MATCH(C465,Customers!$A$2:$A$41,0)))</f>
        <v>0.067</v>
      </c>
      <c r="I465" s="16" t="n">
        <f aca="false">F465*G465</f>
        <v>28776</v>
      </c>
      <c r="J465" s="16" t="n">
        <f aca="false">I465*(1-H465)</f>
        <v>26848.008</v>
      </c>
      <c r="K465" s="16" t="n">
        <f aca="false">J465*INDEX(Customers!$G$2:$G$41,MATCH(C465,Customers!$A$2:$A$41,0))</f>
        <v>536.96016</v>
      </c>
      <c r="L465" s="16" t="n">
        <f aca="false">F465*INDEX(Customers!$H$2:$H$41,MATCH(C465,Customers!$A$2:$A$41,0))</f>
        <v>1650</v>
      </c>
      <c r="M465" s="16" t="n">
        <f aca="false">J465*INDEX(Customers!$I$2:$I$41,MATCH(C465,Customers!$A$2:$A$41,0))/365*Assumptions!$B$6</f>
        <v>176.534847123288</v>
      </c>
      <c r="N465" s="16" t="n">
        <f aca="false">J465-K465-L465-M465</f>
        <v>24484.5129928767</v>
      </c>
      <c r="O465" s="16" t="n">
        <f aca="false">F465*IF(A465="2025",INDEX(Products!$D$2:$D$13,MATCH(D465,Products!$A$2:$A$13,0)),INDEX(Products!$F$2:$F$13,MATCH(D465,Products!$A$2:$A$13,0)))</f>
        <v>18282</v>
      </c>
      <c r="P465" s="16" t="n">
        <f aca="false">N465-O465</f>
        <v>6202.51299287672</v>
      </c>
    </row>
    <row r="466" customFormat="false" ht="15" hidden="false" customHeight="false" outlineLevel="0" collapsed="false">
      <c r="A466" s="2" t="s">
        <v>118</v>
      </c>
      <c r="B466" s="2" t="n">
        <v>9</v>
      </c>
      <c r="C466" s="2" t="s">
        <v>70</v>
      </c>
      <c r="D466" s="2" t="s">
        <v>38</v>
      </c>
      <c r="E466" s="2" t="str">
        <f aca="false">INDEX(Products!$B$2:$B$13,MATCH(D466,Products!$A$2:$A$13,0))</f>
        <v>FCC</v>
      </c>
      <c r="F466" s="15" t="n">
        <v>7.9</v>
      </c>
      <c r="G466" s="16" t="n">
        <f aca="false">IF(A466="2025",INDEX(Products!$C$2:$C$13,MATCH(D466,Products!$A$2:$A$13,0)),INDEX(Products!$E$2:$E$13,MATCH(D466,Products!$A$2:$A$13,0)))</f>
        <v>4360</v>
      </c>
      <c r="H466" s="13" t="n">
        <f aca="false">IF(A466="2025",INDEX(Customers!$D$2:$D$41,MATCH(C466,Customers!$A$2:$A$41,0)),INDEX(Customers!$F$2:$F$41,MATCH(C466,Customers!$A$2:$A$41,0)))</f>
        <v>0.067</v>
      </c>
      <c r="I466" s="16" t="n">
        <f aca="false">F466*G466</f>
        <v>34444</v>
      </c>
      <c r="J466" s="16" t="n">
        <f aca="false">I466*(1-H466)</f>
        <v>32136.252</v>
      </c>
      <c r="K466" s="16" t="n">
        <f aca="false">J466*INDEX(Customers!$G$2:$G$41,MATCH(C466,Customers!$A$2:$A$41,0))</f>
        <v>642.72504</v>
      </c>
      <c r="L466" s="16" t="n">
        <f aca="false">F466*INDEX(Customers!$H$2:$H$41,MATCH(C466,Customers!$A$2:$A$41,0))</f>
        <v>1975</v>
      </c>
      <c r="M466" s="16" t="n">
        <f aca="false">J466*INDEX(Customers!$I$2:$I$41,MATCH(C466,Customers!$A$2:$A$41,0))/365*Assumptions!$B$6</f>
        <v>211.306862465753</v>
      </c>
      <c r="N466" s="16" t="n">
        <f aca="false">J466-K466-L466-M466</f>
        <v>29307.2200975342</v>
      </c>
      <c r="O466" s="16" t="n">
        <f aca="false">F466*IF(A466="2025",INDEX(Products!$D$2:$D$13,MATCH(D466,Products!$A$2:$A$13,0)),INDEX(Products!$F$2:$F$13,MATCH(D466,Products!$A$2:$A$13,0)))</f>
        <v>21883</v>
      </c>
      <c r="P466" s="16" t="n">
        <f aca="false">N466-O466</f>
        <v>7424.22009753425</v>
      </c>
    </row>
    <row r="467" customFormat="false" ht="15" hidden="false" customHeight="false" outlineLevel="0" collapsed="false">
      <c r="A467" s="2" t="s">
        <v>118</v>
      </c>
      <c r="B467" s="2" t="n">
        <v>10</v>
      </c>
      <c r="C467" s="2" t="s">
        <v>70</v>
      </c>
      <c r="D467" s="2" t="s">
        <v>38</v>
      </c>
      <c r="E467" s="2" t="str">
        <f aca="false">INDEX(Products!$B$2:$B$13,MATCH(D467,Products!$A$2:$A$13,0))</f>
        <v>FCC</v>
      </c>
      <c r="F467" s="15" t="n">
        <v>5.9</v>
      </c>
      <c r="G467" s="16" t="n">
        <f aca="false">IF(A467="2025",INDEX(Products!$C$2:$C$13,MATCH(D467,Products!$A$2:$A$13,0)),INDEX(Products!$E$2:$E$13,MATCH(D467,Products!$A$2:$A$13,0)))</f>
        <v>4360</v>
      </c>
      <c r="H467" s="13" t="n">
        <f aca="false">IF(A467="2025",INDEX(Customers!$D$2:$D$41,MATCH(C467,Customers!$A$2:$A$41,0)),INDEX(Customers!$F$2:$F$41,MATCH(C467,Customers!$A$2:$A$41,0)))</f>
        <v>0.067</v>
      </c>
      <c r="I467" s="16" t="n">
        <f aca="false">F467*G467</f>
        <v>25724</v>
      </c>
      <c r="J467" s="16" t="n">
        <f aca="false">I467*(1-H467)</f>
        <v>24000.492</v>
      </c>
      <c r="K467" s="16" t="n">
        <f aca="false">J467*INDEX(Customers!$G$2:$G$41,MATCH(C467,Customers!$A$2:$A$41,0))</f>
        <v>480.00984</v>
      </c>
      <c r="L467" s="16" t="n">
        <f aca="false">F467*INDEX(Customers!$H$2:$H$41,MATCH(C467,Customers!$A$2:$A$41,0))</f>
        <v>1475</v>
      </c>
      <c r="M467" s="16" t="n">
        <f aca="false">J467*INDEX(Customers!$I$2:$I$41,MATCH(C467,Customers!$A$2:$A$41,0))/365*Assumptions!$B$6</f>
        <v>157.811454246575</v>
      </c>
      <c r="N467" s="16" t="n">
        <f aca="false">J467-K467-L467-M467</f>
        <v>21887.6707057534</v>
      </c>
      <c r="O467" s="16" t="n">
        <f aca="false">F467*IF(A467="2025",INDEX(Products!$D$2:$D$13,MATCH(D467,Products!$A$2:$A$13,0)),INDEX(Products!$F$2:$F$13,MATCH(D467,Products!$A$2:$A$13,0)))</f>
        <v>16343</v>
      </c>
      <c r="P467" s="16" t="n">
        <f aca="false">N467-O467</f>
        <v>5544.67070575343</v>
      </c>
    </row>
    <row r="468" customFormat="false" ht="15" hidden="false" customHeight="false" outlineLevel="0" collapsed="false">
      <c r="A468" s="2" t="s">
        <v>118</v>
      </c>
      <c r="B468" s="2" t="n">
        <v>11</v>
      </c>
      <c r="C468" s="2" t="s">
        <v>70</v>
      </c>
      <c r="D468" s="2" t="s">
        <v>38</v>
      </c>
      <c r="E468" s="2" t="str">
        <f aca="false">INDEX(Products!$B$2:$B$13,MATCH(D468,Products!$A$2:$A$13,0))</f>
        <v>FCC</v>
      </c>
      <c r="F468" s="15" t="n">
        <v>5.5</v>
      </c>
      <c r="G468" s="16" t="n">
        <f aca="false">IF(A468="2025",INDEX(Products!$C$2:$C$13,MATCH(D468,Products!$A$2:$A$13,0)),INDEX(Products!$E$2:$E$13,MATCH(D468,Products!$A$2:$A$13,0)))</f>
        <v>4360</v>
      </c>
      <c r="H468" s="13" t="n">
        <f aca="false">IF(A468="2025",INDEX(Customers!$D$2:$D$41,MATCH(C468,Customers!$A$2:$A$41,0)),INDEX(Customers!$F$2:$F$41,MATCH(C468,Customers!$A$2:$A$41,0)))</f>
        <v>0.067</v>
      </c>
      <c r="I468" s="16" t="n">
        <f aca="false">F468*G468</f>
        <v>23980</v>
      </c>
      <c r="J468" s="16" t="n">
        <f aca="false">I468*(1-H468)</f>
        <v>22373.34</v>
      </c>
      <c r="K468" s="16" t="n">
        <f aca="false">J468*INDEX(Customers!$G$2:$G$41,MATCH(C468,Customers!$A$2:$A$41,0))</f>
        <v>447.4668</v>
      </c>
      <c r="L468" s="16" t="n">
        <f aca="false">F468*INDEX(Customers!$H$2:$H$41,MATCH(C468,Customers!$A$2:$A$41,0))</f>
        <v>1375</v>
      </c>
      <c r="M468" s="16" t="n">
        <f aca="false">J468*INDEX(Customers!$I$2:$I$41,MATCH(C468,Customers!$A$2:$A$41,0))/365*Assumptions!$B$6</f>
        <v>147.11237260274</v>
      </c>
      <c r="N468" s="16" t="n">
        <f aca="false">J468-K468-L468-M468</f>
        <v>20403.7608273973</v>
      </c>
      <c r="O468" s="16" t="n">
        <f aca="false">F468*IF(A468="2025",INDEX(Products!$D$2:$D$13,MATCH(D468,Products!$A$2:$A$13,0)),INDEX(Products!$F$2:$F$13,MATCH(D468,Products!$A$2:$A$13,0)))</f>
        <v>15235</v>
      </c>
      <c r="P468" s="16" t="n">
        <f aca="false">N468-O468</f>
        <v>5168.76082739726</v>
      </c>
    </row>
    <row r="469" customFormat="false" ht="15" hidden="false" customHeight="false" outlineLevel="0" collapsed="false">
      <c r="A469" s="2" t="s">
        <v>118</v>
      </c>
      <c r="B469" s="2" t="n">
        <v>12</v>
      </c>
      <c r="C469" s="2" t="s">
        <v>70</v>
      </c>
      <c r="D469" s="2" t="s">
        <v>38</v>
      </c>
      <c r="E469" s="2" t="str">
        <f aca="false">INDEX(Products!$B$2:$B$13,MATCH(D469,Products!$A$2:$A$13,0))</f>
        <v>FCC</v>
      </c>
      <c r="F469" s="15" t="n">
        <v>5.7</v>
      </c>
      <c r="G469" s="16" t="n">
        <f aca="false">IF(A469="2025",INDEX(Products!$C$2:$C$13,MATCH(D469,Products!$A$2:$A$13,0)),INDEX(Products!$E$2:$E$13,MATCH(D469,Products!$A$2:$A$13,0)))</f>
        <v>4360</v>
      </c>
      <c r="H469" s="13" t="n">
        <f aca="false">IF(A469="2025",INDEX(Customers!$D$2:$D$41,MATCH(C469,Customers!$A$2:$A$41,0)),INDEX(Customers!$F$2:$F$41,MATCH(C469,Customers!$A$2:$A$41,0)))</f>
        <v>0.067</v>
      </c>
      <c r="I469" s="16" t="n">
        <f aca="false">F469*G469</f>
        <v>24852</v>
      </c>
      <c r="J469" s="16" t="n">
        <f aca="false">I469*(1-H469)</f>
        <v>23186.916</v>
      </c>
      <c r="K469" s="16" t="n">
        <f aca="false">J469*INDEX(Customers!$G$2:$G$41,MATCH(C469,Customers!$A$2:$A$41,0))</f>
        <v>463.73832</v>
      </c>
      <c r="L469" s="16" t="n">
        <f aca="false">F469*INDEX(Customers!$H$2:$H$41,MATCH(C469,Customers!$A$2:$A$41,0))</f>
        <v>1425</v>
      </c>
      <c r="M469" s="16" t="n">
        <f aca="false">J469*INDEX(Customers!$I$2:$I$41,MATCH(C469,Customers!$A$2:$A$41,0))/365*Assumptions!$B$6</f>
        <v>152.461913424658</v>
      </c>
      <c r="N469" s="16" t="n">
        <f aca="false">J469-K469-L469-M469</f>
        <v>21145.7157665753</v>
      </c>
      <c r="O469" s="16" t="n">
        <f aca="false">F469*IF(A469="2025",INDEX(Products!$D$2:$D$13,MATCH(D469,Products!$A$2:$A$13,0)),INDEX(Products!$F$2:$F$13,MATCH(D469,Products!$A$2:$A$13,0)))</f>
        <v>15789</v>
      </c>
      <c r="P469" s="16" t="n">
        <f aca="false">N469-O469</f>
        <v>5356.71576657534</v>
      </c>
    </row>
    <row r="470" customFormat="false" ht="15" hidden="false" customHeight="false" outlineLevel="0" collapsed="false">
      <c r="A470" s="2" t="s">
        <v>119</v>
      </c>
      <c r="B470" s="2" t="n">
        <v>1</v>
      </c>
      <c r="C470" s="2" t="s">
        <v>70</v>
      </c>
      <c r="D470" s="2" t="s">
        <v>38</v>
      </c>
      <c r="E470" s="2" t="str">
        <f aca="false">INDEX(Products!$B$2:$B$13,MATCH(D470,Products!$A$2:$A$13,0))</f>
        <v>FCC</v>
      </c>
      <c r="F470" s="15" t="n">
        <v>5.7</v>
      </c>
      <c r="G470" s="16" t="n">
        <f aca="false">IF(A470="2025",INDEX(Products!$C$2:$C$13,MATCH(D470,Products!$A$2:$A$13,0)),INDEX(Products!$E$2:$E$13,MATCH(D470,Products!$A$2:$A$13,0)))</f>
        <v>4578</v>
      </c>
      <c r="H470" s="13" t="n">
        <f aca="false">IF(A470="2025",INDEX(Customers!$D$2:$D$41,MATCH(C470,Customers!$A$2:$A$41,0)),INDEX(Customers!$F$2:$F$41,MATCH(C470,Customers!$A$2:$A$41,0)))</f>
        <v>0.067</v>
      </c>
      <c r="I470" s="16" t="n">
        <f aca="false">F470*G470</f>
        <v>26094.6</v>
      </c>
      <c r="J470" s="16" t="n">
        <f aca="false">I470*(1-H470)</f>
        <v>24346.2618</v>
      </c>
      <c r="K470" s="16" t="n">
        <f aca="false">J470*INDEX(Customers!$G$2:$G$41,MATCH(C470,Customers!$A$2:$A$41,0))</f>
        <v>486.925236</v>
      </c>
      <c r="L470" s="16" t="n">
        <f aca="false">F470*INDEX(Customers!$H$2:$H$41,MATCH(C470,Customers!$A$2:$A$41,0))</f>
        <v>1425</v>
      </c>
      <c r="M470" s="16" t="n">
        <f aca="false">J470*INDEX(Customers!$I$2:$I$41,MATCH(C470,Customers!$A$2:$A$41,0))/365*Assumptions!$B$6</f>
        <v>160.08500909589</v>
      </c>
      <c r="N470" s="16" t="n">
        <f aca="false">J470-K470-L470-M470</f>
        <v>22274.2515549041</v>
      </c>
      <c r="O470" s="16" t="n">
        <f aca="false">F470*IF(A470="2025",INDEX(Products!$D$2:$D$13,MATCH(D470,Products!$A$2:$A$13,0)),INDEX(Products!$F$2:$F$13,MATCH(D470,Products!$A$2:$A$13,0)))</f>
        <v>16262.67</v>
      </c>
      <c r="P470" s="16" t="n">
        <f aca="false">N470-O470</f>
        <v>6011.58155490411</v>
      </c>
    </row>
    <row r="471" customFormat="false" ht="15" hidden="false" customHeight="false" outlineLevel="0" collapsed="false">
      <c r="A471" s="2" t="s">
        <v>119</v>
      </c>
      <c r="B471" s="2" t="n">
        <v>2</v>
      </c>
      <c r="C471" s="2" t="s">
        <v>70</v>
      </c>
      <c r="D471" s="2" t="s">
        <v>38</v>
      </c>
      <c r="E471" s="2" t="str">
        <f aca="false">INDEX(Products!$B$2:$B$13,MATCH(D471,Products!$A$2:$A$13,0))</f>
        <v>FCC</v>
      </c>
      <c r="F471" s="15" t="n">
        <v>6.7</v>
      </c>
      <c r="G471" s="16" t="n">
        <f aca="false">IF(A471="2025",INDEX(Products!$C$2:$C$13,MATCH(D471,Products!$A$2:$A$13,0)),INDEX(Products!$E$2:$E$13,MATCH(D471,Products!$A$2:$A$13,0)))</f>
        <v>4578</v>
      </c>
      <c r="H471" s="13" t="n">
        <f aca="false">IF(A471="2025",INDEX(Customers!$D$2:$D$41,MATCH(C471,Customers!$A$2:$A$41,0)),INDEX(Customers!$F$2:$F$41,MATCH(C471,Customers!$A$2:$A$41,0)))</f>
        <v>0.067</v>
      </c>
      <c r="I471" s="16" t="n">
        <f aca="false">F471*G471</f>
        <v>30672.6</v>
      </c>
      <c r="J471" s="16" t="n">
        <f aca="false">I471*(1-H471)</f>
        <v>28617.5358</v>
      </c>
      <c r="K471" s="16" t="n">
        <f aca="false">J471*INDEX(Customers!$G$2:$G$41,MATCH(C471,Customers!$A$2:$A$41,0))</f>
        <v>572.350716</v>
      </c>
      <c r="L471" s="16" t="n">
        <f aca="false">F471*INDEX(Customers!$H$2:$H$41,MATCH(C471,Customers!$A$2:$A$41,0))</f>
        <v>1675</v>
      </c>
      <c r="M471" s="16" t="n">
        <f aca="false">J471*INDEX(Customers!$I$2:$I$41,MATCH(C471,Customers!$A$2:$A$41,0))/365*Assumptions!$B$6</f>
        <v>188.170098410959</v>
      </c>
      <c r="N471" s="16" t="n">
        <f aca="false">J471-K471-L471-M471</f>
        <v>26182.014985589</v>
      </c>
      <c r="O471" s="16" t="n">
        <f aca="false">F471*IF(A471="2025",INDEX(Products!$D$2:$D$13,MATCH(D471,Products!$A$2:$A$13,0)),INDEX(Products!$F$2:$F$13,MATCH(D471,Products!$A$2:$A$13,0)))</f>
        <v>19115.77</v>
      </c>
      <c r="P471" s="16" t="n">
        <f aca="false">N471-O471</f>
        <v>7066.24498558904</v>
      </c>
    </row>
    <row r="472" customFormat="false" ht="15" hidden="false" customHeight="false" outlineLevel="0" collapsed="false">
      <c r="A472" s="2" t="s">
        <v>119</v>
      </c>
      <c r="B472" s="2" t="n">
        <v>3</v>
      </c>
      <c r="C472" s="2" t="s">
        <v>70</v>
      </c>
      <c r="D472" s="2" t="s">
        <v>38</v>
      </c>
      <c r="E472" s="2" t="str">
        <f aca="false">INDEX(Products!$B$2:$B$13,MATCH(D472,Products!$A$2:$A$13,0))</f>
        <v>FCC</v>
      </c>
      <c r="F472" s="15" t="n">
        <v>6.2</v>
      </c>
      <c r="G472" s="16" t="n">
        <f aca="false">IF(A472="2025",INDEX(Products!$C$2:$C$13,MATCH(D472,Products!$A$2:$A$13,0)),INDEX(Products!$E$2:$E$13,MATCH(D472,Products!$A$2:$A$13,0)))</f>
        <v>4578</v>
      </c>
      <c r="H472" s="13" t="n">
        <f aca="false">IF(A472="2025",INDEX(Customers!$D$2:$D$41,MATCH(C472,Customers!$A$2:$A$41,0)),INDEX(Customers!$F$2:$F$41,MATCH(C472,Customers!$A$2:$A$41,0)))</f>
        <v>0.067</v>
      </c>
      <c r="I472" s="16" t="n">
        <f aca="false">F472*G472</f>
        <v>28383.6</v>
      </c>
      <c r="J472" s="16" t="n">
        <f aca="false">I472*(1-H472)</f>
        <v>26481.8988</v>
      </c>
      <c r="K472" s="16" t="n">
        <f aca="false">J472*INDEX(Customers!$G$2:$G$41,MATCH(C472,Customers!$A$2:$A$41,0))</f>
        <v>529.637976</v>
      </c>
      <c r="L472" s="16" t="n">
        <f aca="false">F472*INDEX(Customers!$H$2:$H$41,MATCH(C472,Customers!$A$2:$A$41,0))</f>
        <v>1550</v>
      </c>
      <c r="M472" s="16" t="n">
        <f aca="false">J472*INDEX(Customers!$I$2:$I$41,MATCH(C472,Customers!$A$2:$A$41,0))/365*Assumptions!$B$6</f>
        <v>174.127553753425</v>
      </c>
      <c r="N472" s="16" t="n">
        <f aca="false">J472-K472-L472-M472</f>
        <v>24228.1332702466</v>
      </c>
      <c r="O472" s="16" t="n">
        <f aca="false">F472*IF(A472="2025",INDEX(Products!$D$2:$D$13,MATCH(D472,Products!$A$2:$A$13,0)),INDEX(Products!$F$2:$F$13,MATCH(D472,Products!$A$2:$A$13,0)))</f>
        <v>17689.22</v>
      </c>
      <c r="P472" s="16" t="n">
        <f aca="false">N472-O472</f>
        <v>6538.91327024658</v>
      </c>
    </row>
    <row r="473" customFormat="false" ht="15" hidden="false" customHeight="false" outlineLevel="0" collapsed="false">
      <c r="A473" s="2" t="s">
        <v>119</v>
      </c>
      <c r="B473" s="2" t="n">
        <v>4</v>
      </c>
      <c r="C473" s="2" t="s">
        <v>70</v>
      </c>
      <c r="D473" s="2" t="s">
        <v>38</v>
      </c>
      <c r="E473" s="2" t="str">
        <f aca="false">INDEX(Products!$B$2:$B$13,MATCH(D473,Products!$A$2:$A$13,0))</f>
        <v>FCC</v>
      </c>
      <c r="F473" s="15" t="n">
        <v>5</v>
      </c>
      <c r="G473" s="16" t="n">
        <f aca="false">IF(A473="2025",INDEX(Products!$C$2:$C$13,MATCH(D473,Products!$A$2:$A$13,0)),INDEX(Products!$E$2:$E$13,MATCH(D473,Products!$A$2:$A$13,0)))</f>
        <v>4578</v>
      </c>
      <c r="H473" s="13" t="n">
        <f aca="false">IF(A473="2025",INDEX(Customers!$D$2:$D$41,MATCH(C473,Customers!$A$2:$A$41,0)),INDEX(Customers!$F$2:$F$41,MATCH(C473,Customers!$A$2:$A$41,0)))</f>
        <v>0.067</v>
      </c>
      <c r="I473" s="16" t="n">
        <f aca="false">F473*G473</f>
        <v>22890</v>
      </c>
      <c r="J473" s="16" t="n">
        <f aca="false">I473*(1-H473)</f>
        <v>21356.37</v>
      </c>
      <c r="K473" s="16" t="n">
        <f aca="false">J473*INDEX(Customers!$G$2:$G$41,MATCH(C473,Customers!$A$2:$A$41,0))</f>
        <v>427.1274</v>
      </c>
      <c r="L473" s="16" t="n">
        <f aca="false">F473*INDEX(Customers!$H$2:$H$41,MATCH(C473,Customers!$A$2:$A$41,0))</f>
        <v>1250</v>
      </c>
      <c r="M473" s="16" t="n">
        <f aca="false">J473*INDEX(Customers!$I$2:$I$41,MATCH(C473,Customers!$A$2:$A$41,0))/365*Assumptions!$B$6</f>
        <v>140.425446575342</v>
      </c>
      <c r="N473" s="16" t="n">
        <f aca="false">J473-K473-L473-M473</f>
        <v>19538.8171534247</v>
      </c>
      <c r="O473" s="16" t="n">
        <f aca="false">F473*IF(A473="2025",INDEX(Products!$D$2:$D$13,MATCH(D473,Products!$A$2:$A$13,0)),INDEX(Products!$F$2:$F$13,MATCH(D473,Products!$A$2:$A$13,0)))</f>
        <v>14265.5</v>
      </c>
      <c r="P473" s="16" t="n">
        <f aca="false">N473-O473</f>
        <v>5273.31715342466</v>
      </c>
    </row>
    <row r="474" customFormat="false" ht="15" hidden="false" customHeight="false" outlineLevel="0" collapsed="false">
      <c r="A474" s="2" t="s">
        <v>119</v>
      </c>
      <c r="B474" s="2" t="n">
        <v>5</v>
      </c>
      <c r="C474" s="2" t="s">
        <v>70</v>
      </c>
      <c r="D474" s="2" t="s">
        <v>38</v>
      </c>
      <c r="E474" s="2" t="str">
        <f aca="false">INDEX(Products!$B$2:$B$13,MATCH(D474,Products!$A$2:$A$13,0))</f>
        <v>FCC</v>
      </c>
      <c r="F474" s="15" t="n">
        <v>5.1</v>
      </c>
      <c r="G474" s="16" t="n">
        <f aca="false">IF(A474="2025",INDEX(Products!$C$2:$C$13,MATCH(D474,Products!$A$2:$A$13,0)),INDEX(Products!$E$2:$E$13,MATCH(D474,Products!$A$2:$A$13,0)))</f>
        <v>4578</v>
      </c>
      <c r="H474" s="13" t="n">
        <f aca="false">IF(A474="2025",INDEX(Customers!$D$2:$D$41,MATCH(C474,Customers!$A$2:$A$41,0)),INDEX(Customers!$F$2:$F$41,MATCH(C474,Customers!$A$2:$A$41,0)))</f>
        <v>0.067</v>
      </c>
      <c r="I474" s="16" t="n">
        <f aca="false">F474*G474</f>
        <v>23347.8</v>
      </c>
      <c r="J474" s="16" t="n">
        <f aca="false">I474*(1-H474)</f>
        <v>21783.4974</v>
      </c>
      <c r="K474" s="16" t="n">
        <f aca="false">J474*INDEX(Customers!$G$2:$G$41,MATCH(C474,Customers!$A$2:$A$41,0))</f>
        <v>435.669948</v>
      </c>
      <c r="L474" s="16" t="n">
        <f aca="false">F474*INDEX(Customers!$H$2:$H$41,MATCH(C474,Customers!$A$2:$A$41,0))</f>
        <v>1275</v>
      </c>
      <c r="M474" s="16" t="n">
        <f aca="false">J474*INDEX(Customers!$I$2:$I$41,MATCH(C474,Customers!$A$2:$A$41,0))/365*Assumptions!$B$6</f>
        <v>143.233955506849</v>
      </c>
      <c r="N474" s="16" t="n">
        <f aca="false">J474-K474-L474-M474</f>
        <v>19929.5934964932</v>
      </c>
      <c r="O474" s="16" t="n">
        <f aca="false">F474*IF(A474="2025",INDEX(Products!$D$2:$D$13,MATCH(D474,Products!$A$2:$A$13,0)),INDEX(Products!$F$2:$F$13,MATCH(D474,Products!$A$2:$A$13,0)))</f>
        <v>14550.81</v>
      </c>
      <c r="P474" s="16" t="n">
        <f aca="false">N474-O474</f>
        <v>5378.78349649315</v>
      </c>
    </row>
    <row r="475" customFormat="false" ht="15" hidden="false" customHeight="false" outlineLevel="0" collapsed="false">
      <c r="A475" s="2" t="s">
        <v>119</v>
      </c>
      <c r="B475" s="2" t="n">
        <v>6</v>
      </c>
      <c r="C475" s="2" t="s">
        <v>70</v>
      </c>
      <c r="D475" s="2" t="s">
        <v>38</v>
      </c>
      <c r="E475" s="2" t="str">
        <f aca="false">INDEX(Products!$B$2:$B$13,MATCH(D475,Products!$A$2:$A$13,0))</f>
        <v>FCC</v>
      </c>
      <c r="F475" s="15" t="n">
        <v>5.9</v>
      </c>
      <c r="G475" s="16" t="n">
        <f aca="false">IF(A475="2025",INDEX(Products!$C$2:$C$13,MATCH(D475,Products!$A$2:$A$13,0)),INDEX(Products!$E$2:$E$13,MATCH(D475,Products!$A$2:$A$13,0)))</f>
        <v>4578</v>
      </c>
      <c r="H475" s="13" t="n">
        <f aca="false">IF(A475="2025",INDEX(Customers!$D$2:$D$41,MATCH(C475,Customers!$A$2:$A$41,0)),INDEX(Customers!$F$2:$F$41,MATCH(C475,Customers!$A$2:$A$41,0)))</f>
        <v>0.067</v>
      </c>
      <c r="I475" s="16" t="n">
        <f aca="false">F475*G475</f>
        <v>27010.2</v>
      </c>
      <c r="J475" s="16" t="n">
        <f aca="false">I475*(1-H475)</f>
        <v>25200.5166</v>
      </c>
      <c r="K475" s="16" t="n">
        <f aca="false">J475*INDEX(Customers!$G$2:$G$41,MATCH(C475,Customers!$A$2:$A$41,0))</f>
        <v>504.010332</v>
      </c>
      <c r="L475" s="16" t="n">
        <f aca="false">F475*INDEX(Customers!$H$2:$H$41,MATCH(C475,Customers!$A$2:$A$41,0))</f>
        <v>1475</v>
      </c>
      <c r="M475" s="16" t="n">
        <f aca="false">J475*INDEX(Customers!$I$2:$I$41,MATCH(C475,Customers!$A$2:$A$41,0))/365*Assumptions!$B$6</f>
        <v>165.702026958904</v>
      </c>
      <c r="N475" s="16" t="n">
        <f aca="false">J475-K475-L475-M475</f>
        <v>23055.8042410411</v>
      </c>
      <c r="O475" s="16" t="n">
        <f aca="false">F475*IF(A475="2025",INDEX(Products!$D$2:$D$13,MATCH(D475,Products!$A$2:$A$13,0)),INDEX(Products!$F$2:$F$13,MATCH(D475,Products!$A$2:$A$13,0)))</f>
        <v>16833.29</v>
      </c>
      <c r="P475" s="16" t="n">
        <f aca="false">N475-O475</f>
        <v>6222.5142410411</v>
      </c>
    </row>
    <row r="476" customFormat="false" ht="15" hidden="false" customHeight="false" outlineLevel="0" collapsed="false">
      <c r="A476" s="2" t="s">
        <v>119</v>
      </c>
      <c r="B476" s="2" t="n">
        <v>7</v>
      </c>
      <c r="C476" s="2" t="s">
        <v>70</v>
      </c>
      <c r="D476" s="2" t="s">
        <v>38</v>
      </c>
      <c r="E476" s="2" t="str">
        <f aca="false">INDEX(Products!$B$2:$B$13,MATCH(D476,Products!$A$2:$A$13,0))</f>
        <v>FCC</v>
      </c>
      <c r="F476" s="15" t="n">
        <v>5.9</v>
      </c>
      <c r="G476" s="16" t="n">
        <f aca="false">IF(A476="2025",INDEX(Products!$C$2:$C$13,MATCH(D476,Products!$A$2:$A$13,0)),INDEX(Products!$E$2:$E$13,MATCH(D476,Products!$A$2:$A$13,0)))</f>
        <v>4578</v>
      </c>
      <c r="H476" s="13" t="n">
        <f aca="false">IF(A476="2025",INDEX(Customers!$D$2:$D$41,MATCH(C476,Customers!$A$2:$A$41,0)),INDEX(Customers!$F$2:$F$41,MATCH(C476,Customers!$A$2:$A$41,0)))</f>
        <v>0.067</v>
      </c>
      <c r="I476" s="16" t="n">
        <f aca="false">F476*G476</f>
        <v>27010.2</v>
      </c>
      <c r="J476" s="16" t="n">
        <f aca="false">I476*(1-H476)</f>
        <v>25200.5166</v>
      </c>
      <c r="K476" s="16" t="n">
        <f aca="false">J476*INDEX(Customers!$G$2:$G$41,MATCH(C476,Customers!$A$2:$A$41,0))</f>
        <v>504.010332</v>
      </c>
      <c r="L476" s="16" t="n">
        <f aca="false">F476*INDEX(Customers!$H$2:$H$41,MATCH(C476,Customers!$A$2:$A$41,0))</f>
        <v>1475</v>
      </c>
      <c r="M476" s="16" t="n">
        <f aca="false">J476*INDEX(Customers!$I$2:$I$41,MATCH(C476,Customers!$A$2:$A$41,0))/365*Assumptions!$B$6</f>
        <v>165.702026958904</v>
      </c>
      <c r="N476" s="16" t="n">
        <f aca="false">J476-K476-L476-M476</f>
        <v>23055.8042410411</v>
      </c>
      <c r="O476" s="16" t="n">
        <f aca="false">F476*IF(A476="2025",INDEX(Products!$D$2:$D$13,MATCH(D476,Products!$A$2:$A$13,0)),INDEX(Products!$F$2:$F$13,MATCH(D476,Products!$A$2:$A$13,0)))</f>
        <v>16833.29</v>
      </c>
      <c r="P476" s="16" t="n">
        <f aca="false">N476-O476</f>
        <v>6222.5142410411</v>
      </c>
    </row>
    <row r="477" customFormat="false" ht="15" hidden="false" customHeight="false" outlineLevel="0" collapsed="false">
      <c r="A477" s="2" t="s">
        <v>119</v>
      </c>
      <c r="B477" s="2" t="n">
        <v>8</v>
      </c>
      <c r="C477" s="2" t="s">
        <v>70</v>
      </c>
      <c r="D477" s="2" t="s">
        <v>38</v>
      </c>
      <c r="E477" s="2" t="str">
        <f aca="false">INDEX(Products!$B$2:$B$13,MATCH(D477,Products!$A$2:$A$13,0))</f>
        <v>FCC</v>
      </c>
      <c r="F477" s="15" t="n">
        <v>4.2</v>
      </c>
      <c r="G477" s="16" t="n">
        <f aca="false">IF(A477="2025",INDEX(Products!$C$2:$C$13,MATCH(D477,Products!$A$2:$A$13,0)),INDEX(Products!$E$2:$E$13,MATCH(D477,Products!$A$2:$A$13,0)))</f>
        <v>4578</v>
      </c>
      <c r="H477" s="13" t="n">
        <f aca="false">IF(A477="2025",INDEX(Customers!$D$2:$D$41,MATCH(C477,Customers!$A$2:$A$41,0)),INDEX(Customers!$F$2:$F$41,MATCH(C477,Customers!$A$2:$A$41,0)))</f>
        <v>0.067</v>
      </c>
      <c r="I477" s="16" t="n">
        <f aca="false">F477*G477</f>
        <v>19227.6</v>
      </c>
      <c r="J477" s="16" t="n">
        <f aca="false">I477*(1-H477)</f>
        <v>17939.3508</v>
      </c>
      <c r="K477" s="16" t="n">
        <f aca="false">J477*INDEX(Customers!$G$2:$G$41,MATCH(C477,Customers!$A$2:$A$41,0))</f>
        <v>358.787016</v>
      </c>
      <c r="L477" s="16" t="n">
        <f aca="false">F477*INDEX(Customers!$H$2:$H$41,MATCH(C477,Customers!$A$2:$A$41,0))</f>
        <v>1050</v>
      </c>
      <c r="M477" s="16" t="n">
        <f aca="false">J477*INDEX(Customers!$I$2:$I$41,MATCH(C477,Customers!$A$2:$A$41,0))/365*Assumptions!$B$6</f>
        <v>117.957375123288</v>
      </c>
      <c r="N477" s="16" t="n">
        <f aca="false">J477-K477-L477-M477</f>
        <v>16412.6064088767</v>
      </c>
      <c r="O477" s="16" t="n">
        <f aca="false">F477*IF(A477="2025",INDEX(Products!$D$2:$D$13,MATCH(D477,Products!$A$2:$A$13,0)),INDEX(Products!$F$2:$F$13,MATCH(D477,Products!$A$2:$A$13,0)))</f>
        <v>11983.02</v>
      </c>
      <c r="P477" s="16" t="n">
        <f aca="false">N477-O477</f>
        <v>4429.58640887672</v>
      </c>
    </row>
    <row r="478" customFormat="false" ht="15" hidden="false" customHeight="false" outlineLevel="0" collapsed="false">
      <c r="A478" s="2" t="s">
        <v>119</v>
      </c>
      <c r="B478" s="2" t="n">
        <v>9</v>
      </c>
      <c r="C478" s="2" t="s">
        <v>70</v>
      </c>
      <c r="D478" s="2" t="s">
        <v>38</v>
      </c>
      <c r="E478" s="2" t="str">
        <f aca="false">INDEX(Products!$B$2:$B$13,MATCH(D478,Products!$A$2:$A$13,0))</f>
        <v>FCC</v>
      </c>
      <c r="F478" s="15" t="n">
        <v>5.7</v>
      </c>
      <c r="G478" s="16" t="n">
        <f aca="false">IF(A478="2025",INDEX(Products!$C$2:$C$13,MATCH(D478,Products!$A$2:$A$13,0)),INDEX(Products!$E$2:$E$13,MATCH(D478,Products!$A$2:$A$13,0)))</f>
        <v>4578</v>
      </c>
      <c r="H478" s="13" t="n">
        <f aca="false">IF(A478="2025",INDEX(Customers!$D$2:$D$41,MATCH(C478,Customers!$A$2:$A$41,0)),INDEX(Customers!$F$2:$F$41,MATCH(C478,Customers!$A$2:$A$41,0)))</f>
        <v>0.067</v>
      </c>
      <c r="I478" s="16" t="n">
        <f aca="false">F478*G478</f>
        <v>26094.6</v>
      </c>
      <c r="J478" s="16" t="n">
        <f aca="false">I478*(1-H478)</f>
        <v>24346.2618</v>
      </c>
      <c r="K478" s="16" t="n">
        <f aca="false">J478*INDEX(Customers!$G$2:$G$41,MATCH(C478,Customers!$A$2:$A$41,0))</f>
        <v>486.925236</v>
      </c>
      <c r="L478" s="16" t="n">
        <f aca="false">F478*INDEX(Customers!$H$2:$H$41,MATCH(C478,Customers!$A$2:$A$41,0))</f>
        <v>1425</v>
      </c>
      <c r="M478" s="16" t="n">
        <f aca="false">J478*INDEX(Customers!$I$2:$I$41,MATCH(C478,Customers!$A$2:$A$41,0))/365*Assumptions!$B$6</f>
        <v>160.08500909589</v>
      </c>
      <c r="N478" s="16" t="n">
        <f aca="false">J478-K478-L478-M478</f>
        <v>22274.2515549041</v>
      </c>
      <c r="O478" s="16" t="n">
        <f aca="false">F478*IF(A478="2025",INDEX(Products!$D$2:$D$13,MATCH(D478,Products!$A$2:$A$13,0)),INDEX(Products!$F$2:$F$13,MATCH(D478,Products!$A$2:$A$13,0)))</f>
        <v>16262.67</v>
      </c>
      <c r="P478" s="16" t="n">
        <f aca="false">N478-O478</f>
        <v>6011.58155490411</v>
      </c>
    </row>
    <row r="479" customFormat="false" ht="15" hidden="false" customHeight="false" outlineLevel="0" collapsed="false">
      <c r="A479" s="2" t="s">
        <v>119</v>
      </c>
      <c r="B479" s="2" t="n">
        <v>10</v>
      </c>
      <c r="C479" s="2" t="s">
        <v>70</v>
      </c>
      <c r="D479" s="2" t="s">
        <v>38</v>
      </c>
      <c r="E479" s="2" t="str">
        <f aca="false">INDEX(Products!$B$2:$B$13,MATCH(D479,Products!$A$2:$A$13,0))</f>
        <v>FCC</v>
      </c>
      <c r="F479" s="15" t="n">
        <v>6.3</v>
      </c>
      <c r="G479" s="16" t="n">
        <f aca="false">IF(A479="2025",INDEX(Products!$C$2:$C$13,MATCH(D479,Products!$A$2:$A$13,0)),INDEX(Products!$E$2:$E$13,MATCH(D479,Products!$A$2:$A$13,0)))</f>
        <v>4578</v>
      </c>
      <c r="H479" s="13" t="n">
        <f aca="false">IF(A479="2025",INDEX(Customers!$D$2:$D$41,MATCH(C479,Customers!$A$2:$A$41,0)),INDEX(Customers!$F$2:$F$41,MATCH(C479,Customers!$A$2:$A$41,0)))</f>
        <v>0.067</v>
      </c>
      <c r="I479" s="16" t="n">
        <f aca="false">F479*G479</f>
        <v>28841.4</v>
      </c>
      <c r="J479" s="16" t="n">
        <f aca="false">I479*(1-H479)</f>
        <v>26909.0262</v>
      </c>
      <c r="K479" s="16" t="n">
        <f aca="false">J479*INDEX(Customers!$G$2:$G$41,MATCH(C479,Customers!$A$2:$A$41,0))</f>
        <v>538.180524</v>
      </c>
      <c r="L479" s="16" t="n">
        <f aca="false">F479*INDEX(Customers!$H$2:$H$41,MATCH(C479,Customers!$A$2:$A$41,0))</f>
        <v>1575</v>
      </c>
      <c r="M479" s="16" t="n">
        <f aca="false">J479*INDEX(Customers!$I$2:$I$41,MATCH(C479,Customers!$A$2:$A$41,0))/365*Assumptions!$B$6</f>
        <v>176.936062684932</v>
      </c>
      <c r="N479" s="16" t="n">
        <f aca="false">J479-K479-L479-M479</f>
        <v>24618.9096133151</v>
      </c>
      <c r="O479" s="16" t="n">
        <f aca="false">F479*IF(A479="2025",INDEX(Products!$D$2:$D$13,MATCH(D479,Products!$A$2:$A$13,0)),INDEX(Products!$F$2:$F$13,MATCH(D479,Products!$A$2:$A$13,0)))</f>
        <v>17974.53</v>
      </c>
      <c r="P479" s="16" t="n">
        <f aca="false">N479-O479</f>
        <v>6644.37961331507</v>
      </c>
    </row>
    <row r="480" customFormat="false" ht="15" hidden="false" customHeight="false" outlineLevel="0" collapsed="false">
      <c r="A480" s="2" t="s">
        <v>119</v>
      </c>
      <c r="B480" s="2" t="n">
        <v>11</v>
      </c>
      <c r="C480" s="2" t="s">
        <v>70</v>
      </c>
      <c r="D480" s="2" t="s">
        <v>38</v>
      </c>
      <c r="E480" s="2" t="str">
        <f aca="false">INDEX(Products!$B$2:$B$13,MATCH(D480,Products!$A$2:$A$13,0))</f>
        <v>FCC</v>
      </c>
      <c r="F480" s="15" t="n">
        <v>4.3</v>
      </c>
      <c r="G480" s="16" t="n">
        <f aca="false">IF(A480="2025",INDEX(Products!$C$2:$C$13,MATCH(D480,Products!$A$2:$A$13,0)),INDEX(Products!$E$2:$E$13,MATCH(D480,Products!$A$2:$A$13,0)))</f>
        <v>4578</v>
      </c>
      <c r="H480" s="13" t="n">
        <f aca="false">IF(A480="2025",INDEX(Customers!$D$2:$D$41,MATCH(C480,Customers!$A$2:$A$41,0)),INDEX(Customers!$F$2:$F$41,MATCH(C480,Customers!$A$2:$A$41,0)))</f>
        <v>0.067</v>
      </c>
      <c r="I480" s="16" t="n">
        <f aca="false">F480*G480</f>
        <v>19685.4</v>
      </c>
      <c r="J480" s="16" t="n">
        <f aca="false">I480*(1-H480)</f>
        <v>18366.4782</v>
      </c>
      <c r="K480" s="16" t="n">
        <f aca="false">J480*INDEX(Customers!$G$2:$G$41,MATCH(C480,Customers!$A$2:$A$41,0))</f>
        <v>367.329564</v>
      </c>
      <c r="L480" s="16" t="n">
        <f aca="false">F480*INDEX(Customers!$H$2:$H$41,MATCH(C480,Customers!$A$2:$A$41,0))</f>
        <v>1075</v>
      </c>
      <c r="M480" s="16" t="n">
        <f aca="false">J480*INDEX(Customers!$I$2:$I$41,MATCH(C480,Customers!$A$2:$A$41,0))/365*Assumptions!$B$6</f>
        <v>120.765884054795</v>
      </c>
      <c r="N480" s="16" t="n">
        <f aca="false">J480-K480-L480-M480</f>
        <v>16803.3827519452</v>
      </c>
      <c r="O480" s="16" t="n">
        <f aca="false">F480*IF(A480="2025",INDEX(Products!$D$2:$D$13,MATCH(D480,Products!$A$2:$A$13,0)),INDEX(Products!$F$2:$F$13,MATCH(D480,Products!$A$2:$A$13,0)))</f>
        <v>12268.33</v>
      </c>
      <c r="P480" s="16" t="n">
        <f aca="false">N480-O480</f>
        <v>4535.0527519452</v>
      </c>
    </row>
    <row r="481" customFormat="false" ht="15" hidden="false" customHeight="false" outlineLevel="0" collapsed="false">
      <c r="A481" s="2" t="s">
        <v>119</v>
      </c>
      <c r="B481" s="2" t="n">
        <v>12</v>
      </c>
      <c r="C481" s="2" t="s">
        <v>70</v>
      </c>
      <c r="D481" s="2" t="s">
        <v>38</v>
      </c>
      <c r="E481" s="2" t="str">
        <f aca="false">INDEX(Products!$B$2:$B$13,MATCH(D481,Products!$A$2:$A$13,0))</f>
        <v>FCC</v>
      </c>
      <c r="F481" s="15" t="n">
        <v>6.4</v>
      </c>
      <c r="G481" s="16" t="n">
        <f aca="false">IF(A481="2025",INDEX(Products!$C$2:$C$13,MATCH(D481,Products!$A$2:$A$13,0)),INDEX(Products!$E$2:$E$13,MATCH(D481,Products!$A$2:$A$13,0)))</f>
        <v>4578</v>
      </c>
      <c r="H481" s="13" t="n">
        <f aca="false">IF(A481="2025",INDEX(Customers!$D$2:$D$41,MATCH(C481,Customers!$A$2:$A$41,0)),INDEX(Customers!$F$2:$F$41,MATCH(C481,Customers!$A$2:$A$41,0)))</f>
        <v>0.067</v>
      </c>
      <c r="I481" s="16" t="n">
        <f aca="false">F481*G481</f>
        <v>29299.2</v>
      </c>
      <c r="J481" s="16" t="n">
        <f aca="false">I481*(1-H481)</f>
        <v>27336.1536</v>
      </c>
      <c r="K481" s="16" t="n">
        <f aca="false">J481*INDEX(Customers!$G$2:$G$41,MATCH(C481,Customers!$A$2:$A$41,0))</f>
        <v>546.723072</v>
      </c>
      <c r="L481" s="16" t="n">
        <f aca="false">F481*INDEX(Customers!$H$2:$H$41,MATCH(C481,Customers!$A$2:$A$41,0))</f>
        <v>1600</v>
      </c>
      <c r="M481" s="16" t="n">
        <f aca="false">J481*INDEX(Customers!$I$2:$I$41,MATCH(C481,Customers!$A$2:$A$41,0))/365*Assumptions!$B$6</f>
        <v>179.744571616438</v>
      </c>
      <c r="N481" s="16" t="n">
        <f aca="false">J481-K481-L481-M481</f>
        <v>25009.6859563836</v>
      </c>
      <c r="O481" s="16" t="n">
        <f aca="false">F481*IF(A481="2025",INDEX(Products!$D$2:$D$13,MATCH(D481,Products!$A$2:$A$13,0)),INDEX(Products!$F$2:$F$13,MATCH(D481,Products!$A$2:$A$13,0)))</f>
        <v>18259.84</v>
      </c>
      <c r="P481" s="16" t="n">
        <f aca="false">N481-O481</f>
        <v>6749.84595638356</v>
      </c>
    </row>
    <row r="482" customFormat="false" ht="15" hidden="false" customHeight="false" outlineLevel="0" collapsed="false">
      <c r="A482" s="2" t="s">
        <v>118</v>
      </c>
      <c r="B482" s="2" t="n">
        <v>1</v>
      </c>
      <c r="C482" s="2" t="s">
        <v>70</v>
      </c>
      <c r="D482" s="2" t="s">
        <v>44</v>
      </c>
      <c r="E482" s="2" t="str">
        <f aca="false">INDEX(Products!$B$2:$B$13,MATCH(D482,Products!$A$2:$A$13,0))</f>
        <v>Specialty</v>
      </c>
      <c r="F482" s="15" t="n">
        <v>1.6</v>
      </c>
      <c r="G482" s="16" t="n">
        <f aca="false">IF(A482="2025",INDEX(Products!$C$2:$C$13,MATCH(D482,Products!$A$2:$A$13,0)),INDEX(Products!$E$2:$E$13,MATCH(D482,Products!$A$2:$A$13,0)))</f>
        <v>28970</v>
      </c>
      <c r="H482" s="13" t="n">
        <f aca="false">IF(A482="2025",INDEX(Customers!$D$2:$D$41,MATCH(C482,Customers!$A$2:$A$41,0)),INDEX(Customers!$F$2:$F$41,MATCH(C482,Customers!$A$2:$A$41,0)))</f>
        <v>0.067</v>
      </c>
      <c r="I482" s="16" t="n">
        <f aca="false">F482*G482</f>
        <v>46352</v>
      </c>
      <c r="J482" s="16" t="n">
        <f aca="false">I482*(1-H482)</f>
        <v>43246.416</v>
      </c>
      <c r="K482" s="16" t="n">
        <f aca="false">J482*INDEX(Customers!$G$2:$G$41,MATCH(C482,Customers!$A$2:$A$41,0))</f>
        <v>864.92832</v>
      </c>
      <c r="L482" s="16" t="n">
        <f aca="false">F482*INDEX(Customers!$H$2:$H$41,MATCH(C482,Customers!$A$2:$A$41,0))</f>
        <v>400</v>
      </c>
      <c r="M482" s="16" t="n">
        <f aca="false">J482*INDEX(Customers!$I$2:$I$41,MATCH(C482,Customers!$A$2:$A$41,0))/365*Assumptions!$B$6</f>
        <v>284.359995616438</v>
      </c>
      <c r="N482" s="16" t="n">
        <f aca="false">J482-K482-L482-M482</f>
        <v>41697.1276843836</v>
      </c>
      <c r="O482" s="16" t="n">
        <f aca="false">F482*IF(A482="2025",INDEX(Products!$D$2:$D$13,MATCH(D482,Products!$A$2:$A$13,0)),INDEX(Products!$F$2:$F$13,MATCH(D482,Products!$A$2:$A$13,0)))</f>
        <v>22896</v>
      </c>
      <c r="P482" s="16" t="n">
        <f aca="false">N482-O482</f>
        <v>18801.1276843836</v>
      </c>
    </row>
    <row r="483" customFormat="false" ht="15" hidden="false" customHeight="false" outlineLevel="0" collapsed="false">
      <c r="A483" s="2" t="s">
        <v>118</v>
      </c>
      <c r="B483" s="2" t="n">
        <v>2</v>
      </c>
      <c r="C483" s="2" t="s">
        <v>70</v>
      </c>
      <c r="D483" s="2" t="s">
        <v>44</v>
      </c>
      <c r="E483" s="2" t="str">
        <f aca="false">INDEX(Products!$B$2:$B$13,MATCH(D483,Products!$A$2:$A$13,0))</f>
        <v>Specialty</v>
      </c>
      <c r="F483" s="15" t="n">
        <v>1.5</v>
      </c>
      <c r="G483" s="16" t="n">
        <f aca="false">IF(A483="2025",INDEX(Products!$C$2:$C$13,MATCH(D483,Products!$A$2:$A$13,0)),INDEX(Products!$E$2:$E$13,MATCH(D483,Products!$A$2:$A$13,0)))</f>
        <v>28970</v>
      </c>
      <c r="H483" s="13" t="n">
        <f aca="false">IF(A483="2025",INDEX(Customers!$D$2:$D$41,MATCH(C483,Customers!$A$2:$A$41,0)),INDEX(Customers!$F$2:$F$41,MATCH(C483,Customers!$A$2:$A$41,0)))</f>
        <v>0.067</v>
      </c>
      <c r="I483" s="16" t="n">
        <f aca="false">F483*G483</f>
        <v>43455</v>
      </c>
      <c r="J483" s="16" t="n">
        <f aca="false">I483*(1-H483)</f>
        <v>40543.515</v>
      </c>
      <c r="K483" s="16" t="n">
        <f aca="false">J483*INDEX(Customers!$G$2:$G$41,MATCH(C483,Customers!$A$2:$A$41,0))</f>
        <v>810.8703</v>
      </c>
      <c r="L483" s="16" t="n">
        <f aca="false">F483*INDEX(Customers!$H$2:$H$41,MATCH(C483,Customers!$A$2:$A$41,0))</f>
        <v>375</v>
      </c>
      <c r="M483" s="16" t="n">
        <f aca="false">J483*INDEX(Customers!$I$2:$I$41,MATCH(C483,Customers!$A$2:$A$41,0))/365*Assumptions!$B$6</f>
        <v>266.587495890411</v>
      </c>
      <c r="N483" s="16" t="n">
        <f aca="false">J483-K483-L483-M483</f>
        <v>39091.0572041096</v>
      </c>
      <c r="O483" s="16" t="n">
        <f aca="false">F483*IF(A483="2025",INDEX(Products!$D$2:$D$13,MATCH(D483,Products!$A$2:$A$13,0)),INDEX(Products!$F$2:$F$13,MATCH(D483,Products!$A$2:$A$13,0)))</f>
        <v>21465</v>
      </c>
      <c r="P483" s="16" t="n">
        <f aca="false">N483-O483</f>
        <v>17626.0572041096</v>
      </c>
    </row>
    <row r="484" customFormat="false" ht="15" hidden="false" customHeight="false" outlineLevel="0" collapsed="false">
      <c r="A484" s="2" t="s">
        <v>118</v>
      </c>
      <c r="B484" s="2" t="n">
        <v>3</v>
      </c>
      <c r="C484" s="2" t="s">
        <v>70</v>
      </c>
      <c r="D484" s="2" t="s">
        <v>44</v>
      </c>
      <c r="E484" s="2" t="str">
        <f aca="false">INDEX(Products!$B$2:$B$13,MATCH(D484,Products!$A$2:$A$13,0))</f>
        <v>Specialty</v>
      </c>
      <c r="F484" s="15" t="n">
        <v>2.1</v>
      </c>
      <c r="G484" s="16" t="n">
        <f aca="false">IF(A484="2025",INDEX(Products!$C$2:$C$13,MATCH(D484,Products!$A$2:$A$13,0)),INDEX(Products!$E$2:$E$13,MATCH(D484,Products!$A$2:$A$13,0)))</f>
        <v>28970</v>
      </c>
      <c r="H484" s="13" t="n">
        <f aca="false">IF(A484="2025",INDEX(Customers!$D$2:$D$41,MATCH(C484,Customers!$A$2:$A$41,0)),INDEX(Customers!$F$2:$F$41,MATCH(C484,Customers!$A$2:$A$41,0)))</f>
        <v>0.067</v>
      </c>
      <c r="I484" s="16" t="n">
        <f aca="false">F484*G484</f>
        <v>60837</v>
      </c>
      <c r="J484" s="16" t="n">
        <f aca="false">I484*(1-H484)</f>
        <v>56760.921</v>
      </c>
      <c r="K484" s="16" t="n">
        <f aca="false">J484*INDEX(Customers!$G$2:$G$41,MATCH(C484,Customers!$A$2:$A$41,0))</f>
        <v>1135.21842</v>
      </c>
      <c r="L484" s="16" t="n">
        <f aca="false">F484*INDEX(Customers!$H$2:$H$41,MATCH(C484,Customers!$A$2:$A$41,0))</f>
        <v>525</v>
      </c>
      <c r="M484" s="16" t="n">
        <f aca="false">J484*INDEX(Customers!$I$2:$I$41,MATCH(C484,Customers!$A$2:$A$41,0))/365*Assumptions!$B$6</f>
        <v>373.222494246575</v>
      </c>
      <c r="N484" s="16" t="n">
        <f aca="false">J484-K484-L484-M484</f>
        <v>54727.4800857534</v>
      </c>
      <c r="O484" s="16" t="n">
        <f aca="false">F484*IF(A484="2025",INDEX(Products!$D$2:$D$13,MATCH(D484,Products!$A$2:$A$13,0)),INDEX(Products!$F$2:$F$13,MATCH(D484,Products!$A$2:$A$13,0)))</f>
        <v>30051</v>
      </c>
      <c r="P484" s="16" t="n">
        <f aca="false">N484-O484</f>
        <v>24676.4800857534</v>
      </c>
    </row>
    <row r="485" customFormat="false" ht="15" hidden="false" customHeight="false" outlineLevel="0" collapsed="false">
      <c r="A485" s="2" t="s">
        <v>118</v>
      </c>
      <c r="B485" s="2" t="n">
        <v>4</v>
      </c>
      <c r="C485" s="2" t="s">
        <v>70</v>
      </c>
      <c r="D485" s="2" t="s">
        <v>44</v>
      </c>
      <c r="E485" s="2" t="str">
        <f aca="false">INDEX(Products!$B$2:$B$13,MATCH(D485,Products!$A$2:$A$13,0))</f>
        <v>Specialty</v>
      </c>
      <c r="F485" s="15" t="n">
        <v>2.3</v>
      </c>
      <c r="G485" s="16" t="n">
        <f aca="false">IF(A485="2025",INDEX(Products!$C$2:$C$13,MATCH(D485,Products!$A$2:$A$13,0)),INDEX(Products!$E$2:$E$13,MATCH(D485,Products!$A$2:$A$13,0)))</f>
        <v>28970</v>
      </c>
      <c r="H485" s="13" t="n">
        <f aca="false">IF(A485="2025",INDEX(Customers!$D$2:$D$41,MATCH(C485,Customers!$A$2:$A$41,0)),INDEX(Customers!$F$2:$F$41,MATCH(C485,Customers!$A$2:$A$41,0)))</f>
        <v>0.067</v>
      </c>
      <c r="I485" s="16" t="n">
        <f aca="false">F485*G485</f>
        <v>66631</v>
      </c>
      <c r="J485" s="16" t="n">
        <f aca="false">I485*(1-H485)</f>
        <v>62166.723</v>
      </c>
      <c r="K485" s="16" t="n">
        <f aca="false">J485*INDEX(Customers!$G$2:$G$41,MATCH(C485,Customers!$A$2:$A$41,0))</f>
        <v>1243.33446</v>
      </c>
      <c r="L485" s="16" t="n">
        <f aca="false">F485*INDEX(Customers!$H$2:$H$41,MATCH(C485,Customers!$A$2:$A$41,0))</f>
        <v>575</v>
      </c>
      <c r="M485" s="16" t="n">
        <f aca="false">J485*INDEX(Customers!$I$2:$I$41,MATCH(C485,Customers!$A$2:$A$41,0))/365*Assumptions!$B$6</f>
        <v>408.76749369863</v>
      </c>
      <c r="N485" s="16" t="n">
        <f aca="false">J485-K485-L485-M485</f>
        <v>59939.6210463014</v>
      </c>
      <c r="O485" s="16" t="n">
        <f aca="false">F485*IF(A485="2025",INDEX(Products!$D$2:$D$13,MATCH(D485,Products!$A$2:$A$13,0)),INDEX(Products!$F$2:$F$13,MATCH(D485,Products!$A$2:$A$13,0)))</f>
        <v>32913</v>
      </c>
      <c r="P485" s="16" t="n">
        <f aca="false">N485-O485</f>
        <v>27026.6210463014</v>
      </c>
    </row>
    <row r="486" customFormat="false" ht="15" hidden="false" customHeight="false" outlineLevel="0" collapsed="false">
      <c r="A486" s="2" t="s">
        <v>118</v>
      </c>
      <c r="B486" s="2" t="n">
        <v>5</v>
      </c>
      <c r="C486" s="2" t="s">
        <v>70</v>
      </c>
      <c r="D486" s="2" t="s">
        <v>44</v>
      </c>
      <c r="E486" s="2" t="str">
        <f aca="false">INDEX(Products!$B$2:$B$13,MATCH(D486,Products!$A$2:$A$13,0))</f>
        <v>Specialty</v>
      </c>
      <c r="F486" s="15" t="n">
        <v>2.1</v>
      </c>
      <c r="G486" s="16" t="n">
        <f aca="false">IF(A486="2025",INDEX(Products!$C$2:$C$13,MATCH(D486,Products!$A$2:$A$13,0)),INDEX(Products!$E$2:$E$13,MATCH(D486,Products!$A$2:$A$13,0)))</f>
        <v>28970</v>
      </c>
      <c r="H486" s="13" t="n">
        <f aca="false">IF(A486="2025",INDEX(Customers!$D$2:$D$41,MATCH(C486,Customers!$A$2:$A$41,0)),INDEX(Customers!$F$2:$F$41,MATCH(C486,Customers!$A$2:$A$41,0)))</f>
        <v>0.067</v>
      </c>
      <c r="I486" s="16" t="n">
        <f aca="false">F486*G486</f>
        <v>60837</v>
      </c>
      <c r="J486" s="16" t="n">
        <f aca="false">I486*(1-H486)</f>
        <v>56760.921</v>
      </c>
      <c r="K486" s="16" t="n">
        <f aca="false">J486*INDEX(Customers!$G$2:$G$41,MATCH(C486,Customers!$A$2:$A$41,0))</f>
        <v>1135.21842</v>
      </c>
      <c r="L486" s="16" t="n">
        <f aca="false">F486*INDEX(Customers!$H$2:$H$41,MATCH(C486,Customers!$A$2:$A$41,0))</f>
        <v>525</v>
      </c>
      <c r="M486" s="16" t="n">
        <f aca="false">J486*INDEX(Customers!$I$2:$I$41,MATCH(C486,Customers!$A$2:$A$41,0))/365*Assumptions!$B$6</f>
        <v>373.222494246575</v>
      </c>
      <c r="N486" s="16" t="n">
        <f aca="false">J486-K486-L486-M486</f>
        <v>54727.4800857534</v>
      </c>
      <c r="O486" s="16" t="n">
        <f aca="false">F486*IF(A486="2025",INDEX(Products!$D$2:$D$13,MATCH(D486,Products!$A$2:$A$13,0)),INDEX(Products!$F$2:$F$13,MATCH(D486,Products!$A$2:$A$13,0)))</f>
        <v>30051</v>
      </c>
      <c r="P486" s="16" t="n">
        <f aca="false">N486-O486</f>
        <v>24676.4800857534</v>
      </c>
    </row>
    <row r="487" customFormat="false" ht="15" hidden="false" customHeight="false" outlineLevel="0" collapsed="false">
      <c r="A487" s="2" t="s">
        <v>118</v>
      </c>
      <c r="B487" s="2" t="n">
        <v>6</v>
      </c>
      <c r="C487" s="2" t="s">
        <v>70</v>
      </c>
      <c r="D487" s="2" t="s">
        <v>44</v>
      </c>
      <c r="E487" s="2" t="str">
        <f aca="false">INDEX(Products!$B$2:$B$13,MATCH(D487,Products!$A$2:$A$13,0))</f>
        <v>Specialty</v>
      </c>
      <c r="F487" s="15" t="n">
        <v>2.1</v>
      </c>
      <c r="G487" s="16" t="n">
        <f aca="false">IF(A487="2025",INDEX(Products!$C$2:$C$13,MATCH(D487,Products!$A$2:$A$13,0)),INDEX(Products!$E$2:$E$13,MATCH(D487,Products!$A$2:$A$13,0)))</f>
        <v>28970</v>
      </c>
      <c r="H487" s="13" t="n">
        <f aca="false">IF(A487="2025",INDEX(Customers!$D$2:$D$41,MATCH(C487,Customers!$A$2:$A$41,0)),INDEX(Customers!$F$2:$F$41,MATCH(C487,Customers!$A$2:$A$41,0)))</f>
        <v>0.067</v>
      </c>
      <c r="I487" s="16" t="n">
        <f aca="false">F487*G487</f>
        <v>60837</v>
      </c>
      <c r="J487" s="16" t="n">
        <f aca="false">I487*(1-H487)</f>
        <v>56760.921</v>
      </c>
      <c r="K487" s="16" t="n">
        <f aca="false">J487*INDEX(Customers!$G$2:$G$41,MATCH(C487,Customers!$A$2:$A$41,0))</f>
        <v>1135.21842</v>
      </c>
      <c r="L487" s="16" t="n">
        <f aca="false">F487*INDEX(Customers!$H$2:$H$41,MATCH(C487,Customers!$A$2:$A$41,0))</f>
        <v>525</v>
      </c>
      <c r="M487" s="16" t="n">
        <f aca="false">J487*INDEX(Customers!$I$2:$I$41,MATCH(C487,Customers!$A$2:$A$41,0))/365*Assumptions!$B$6</f>
        <v>373.222494246575</v>
      </c>
      <c r="N487" s="16" t="n">
        <f aca="false">J487-K487-L487-M487</f>
        <v>54727.4800857534</v>
      </c>
      <c r="O487" s="16" t="n">
        <f aca="false">F487*IF(A487="2025",INDEX(Products!$D$2:$D$13,MATCH(D487,Products!$A$2:$A$13,0)),INDEX(Products!$F$2:$F$13,MATCH(D487,Products!$A$2:$A$13,0)))</f>
        <v>30051</v>
      </c>
      <c r="P487" s="16" t="n">
        <f aca="false">N487-O487</f>
        <v>24676.4800857534</v>
      </c>
    </row>
    <row r="488" customFormat="false" ht="15" hidden="false" customHeight="false" outlineLevel="0" collapsed="false">
      <c r="A488" s="2" t="s">
        <v>118</v>
      </c>
      <c r="B488" s="2" t="n">
        <v>7</v>
      </c>
      <c r="C488" s="2" t="s">
        <v>70</v>
      </c>
      <c r="D488" s="2" t="s">
        <v>44</v>
      </c>
      <c r="E488" s="2" t="str">
        <f aca="false">INDEX(Products!$B$2:$B$13,MATCH(D488,Products!$A$2:$A$13,0))</f>
        <v>Specialty</v>
      </c>
      <c r="F488" s="15" t="n">
        <v>1.5</v>
      </c>
      <c r="G488" s="16" t="n">
        <f aca="false">IF(A488="2025",INDEX(Products!$C$2:$C$13,MATCH(D488,Products!$A$2:$A$13,0)),INDEX(Products!$E$2:$E$13,MATCH(D488,Products!$A$2:$A$13,0)))</f>
        <v>28970</v>
      </c>
      <c r="H488" s="13" t="n">
        <f aca="false">IF(A488="2025",INDEX(Customers!$D$2:$D$41,MATCH(C488,Customers!$A$2:$A$41,0)),INDEX(Customers!$F$2:$F$41,MATCH(C488,Customers!$A$2:$A$41,0)))</f>
        <v>0.067</v>
      </c>
      <c r="I488" s="16" t="n">
        <f aca="false">F488*G488</f>
        <v>43455</v>
      </c>
      <c r="J488" s="16" t="n">
        <f aca="false">I488*(1-H488)</f>
        <v>40543.515</v>
      </c>
      <c r="K488" s="16" t="n">
        <f aca="false">J488*INDEX(Customers!$G$2:$G$41,MATCH(C488,Customers!$A$2:$A$41,0))</f>
        <v>810.8703</v>
      </c>
      <c r="L488" s="16" t="n">
        <f aca="false">F488*INDEX(Customers!$H$2:$H$41,MATCH(C488,Customers!$A$2:$A$41,0))</f>
        <v>375</v>
      </c>
      <c r="M488" s="16" t="n">
        <f aca="false">J488*INDEX(Customers!$I$2:$I$41,MATCH(C488,Customers!$A$2:$A$41,0))/365*Assumptions!$B$6</f>
        <v>266.587495890411</v>
      </c>
      <c r="N488" s="16" t="n">
        <f aca="false">J488-K488-L488-M488</f>
        <v>39091.0572041096</v>
      </c>
      <c r="O488" s="16" t="n">
        <f aca="false">F488*IF(A488="2025",INDEX(Products!$D$2:$D$13,MATCH(D488,Products!$A$2:$A$13,0)),INDEX(Products!$F$2:$F$13,MATCH(D488,Products!$A$2:$A$13,0)))</f>
        <v>21465</v>
      </c>
      <c r="P488" s="16" t="n">
        <f aca="false">N488-O488</f>
        <v>17626.0572041096</v>
      </c>
    </row>
    <row r="489" customFormat="false" ht="15" hidden="false" customHeight="false" outlineLevel="0" collapsed="false">
      <c r="A489" s="2" t="s">
        <v>118</v>
      </c>
      <c r="B489" s="2" t="n">
        <v>8</v>
      </c>
      <c r="C489" s="2" t="s">
        <v>70</v>
      </c>
      <c r="D489" s="2" t="s">
        <v>44</v>
      </c>
      <c r="E489" s="2" t="str">
        <f aca="false">INDEX(Products!$B$2:$B$13,MATCH(D489,Products!$A$2:$A$13,0))</f>
        <v>Specialty</v>
      </c>
      <c r="F489" s="15" t="n">
        <v>2.1</v>
      </c>
      <c r="G489" s="16" t="n">
        <f aca="false">IF(A489="2025",INDEX(Products!$C$2:$C$13,MATCH(D489,Products!$A$2:$A$13,0)),INDEX(Products!$E$2:$E$13,MATCH(D489,Products!$A$2:$A$13,0)))</f>
        <v>28970</v>
      </c>
      <c r="H489" s="13" t="n">
        <f aca="false">IF(A489="2025",INDEX(Customers!$D$2:$D$41,MATCH(C489,Customers!$A$2:$A$41,0)),INDEX(Customers!$F$2:$F$41,MATCH(C489,Customers!$A$2:$A$41,0)))</f>
        <v>0.067</v>
      </c>
      <c r="I489" s="16" t="n">
        <f aca="false">F489*G489</f>
        <v>60837</v>
      </c>
      <c r="J489" s="16" t="n">
        <f aca="false">I489*(1-H489)</f>
        <v>56760.921</v>
      </c>
      <c r="K489" s="16" t="n">
        <f aca="false">J489*INDEX(Customers!$G$2:$G$41,MATCH(C489,Customers!$A$2:$A$41,0))</f>
        <v>1135.21842</v>
      </c>
      <c r="L489" s="16" t="n">
        <f aca="false">F489*INDEX(Customers!$H$2:$H$41,MATCH(C489,Customers!$A$2:$A$41,0))</f>
        <v>525</v>
      </c>
      <c r="M489" s="16" t="n">
        <f aca="false">J489*INDEX(Customers!$I$2:$I$41,MATCH(C489,Customers!$A$2:$A$41,0))/365*Assumptions!$B$6</f>
        <v>373.222494246575</v>
      </c>
      <c r="N489" s="16" t="n">
        <f aca="false">J489-K489-L489-M489</f>
        <v>54727.4800857534</v>
      </c>
      <c r="O489" s="16" t="n">
        <f aca="false">F489*IF(A489="2025",INDEX(Products!$D$2:$D$13,MATCH(D489,Products!$A$2:$A$13,0)),INDEX(Products!$F$2:$F$13,MATCH(D489,Products!$A$2:$A$13,0)))</f>
        <v>30051</v>
      </c>
      <c r="P489" s="16" t="n">
        <f aca="false">N489-O489</f>
        <v>24676.4800857534</v>
      </c>
    </row>
    <row r="490" customFormat="false" ht="15" hidden="false" customHeight="false" outlineLevel="0" collapsed="false">
      <c r="A490" s="2" t="s">
        <v>118</v>
      </c>
      <c r="B490" s="2" t="n">
        <v>9</v>
      </c>
      <c r="C490" s="2" t="s">
        <v>70</v>
      </c>
      <c r="D490" s="2" t="s">
        <v>44</v>
      </c>
      <c r="E490" s="2" t="str">
        <f aca="false">INDEX(Products!$B$2:$B$13,MATCH(D490,Products!$A$2:$A$13,0))</f>
        <v>Specialty</v>
      </c>
      <c r="F490" s="15" t="n">
        <v>2</v>
      </c>
      <c r="G490" s="16" t="n">
        <f aca="false">IF(A490="2025",INDEX(Products!$C$2:$C$13,MATCH(D490,Products!$A$2:$A$13,0)),INDEX(Products!$E$2:$E$13,MATCH(D490,Products!$A$2:$A$13,0)))</f>
        <v>28970</v>
      </c>
      <c r="H490" s="13" t="n">
        <f aca="false">IF(A490="2025",INDEX(Customers!$D$2:$D$41,MATCH(C490,Customers!$A$2:$A$41,0)),INDEX(Customers!$F$2:$F$41,MATCH(C490,Customers!$A$2:$A$41,0)))</f>
        <v>0.067</v>
      </c>
      <c r="I490" s="16" t="n">
        <f aca="false">F490*G490</f>
        <v>57940</v>
      </c>
      <c r="J490" s="16" t="n">
        <f aca="false">I490*(1-H490)</f>
        <v>54058.02</v>
      </c>
      <c r="K490" s="16" t="n">
        <f aca="false">J490*INDEX(Customers!$G$2:$G$41,MATCH(C490,Customers!$A$2:$A$41,0))</f>
        <v>1081.1604</v>
      </c>
      <c r="L490" s="16" t="n">
        <f aca="false">F490*INDEX(Customers!$H$2:$H$41,MATCH(C490,Customers!$A$2:$A$41,0))</f>
        <v>500</v>
      </c>
      <c r="M490" s="16" t="n">
        <f aca="false">J490*INDEX(Customers!$I$2:$I$41,MATCH(C490,Customers!$A$2:$A$41,0))/365*Assumptions!$B$6</f>
        <v>355.449994520548</v>
      </c>
      <c r="N490" s="16" t="n">
        <f aca="false">J490-K490-L490-M490</f>
        <v>52121.4096054795</v>
      </c>
      <c r="O490" s="16" t="n">
        <f aca="false">F490*IF(A490="2025",INDEX(Products!$D$2:$D$13,MATCH(D490,Products!$A$2:$A$13,0)),INDEX(Products!$F$2:$F$13,MATCH(D490,Products!$A$2:$A$13,0)))</f>
        <v>28620</v>
      </c>
      <c r="P490" s="16" t="n">
        <f aca="false">N490-O490</f>
        <v>23501.4096054795</v>
      </c>
    </row>
    <row r="491" customFormat="false" ht="15" hidden="false" customHeight="false" outlineLevel="0" collapsed="false">
      <c r="A491" s="2" t="s">
        <v>118</v>
      </c>
      <c r="B491" s="2" t="n">
        <v>10</v>
      </c>
      <c r="C491" s="2" t="s">
        <v>70</v>
      </c>
      <c r="D491" s="2" t="s">
        <v>44</v>
      </c>
      <c r="E491" s="2" t="str">
        <f aca="false">INDEX(Products!$B$2:$B$13,MATCH(D491,Products!$A$2:$A$13,0))</f>
        <v>Specialty</v>
      </c>
      <c r="F491" s="15" t="n">
        <v>1.4</v>
      </c>
      <c r="G491" s="16" t="n">
        <f aca="false">IF(A491="2025",INDEX(Products!$C$2:$C$13,MATCH(D491,Products!$A$2:$A$13,0)),INDEX(Products!$E$2:$E$13,MATCH(D491,Products!$A$2:$A$13,0)))</f>
        <v>28970</v>
      </c>
      <c r="H491" s="13" t="n">
        <f aca="false">IF(A491="2025",INDEX(Customers!$D$2:$D$41,MATCH(C491,Customers!$A$2:$A$41,0)),INDEX(Customers!$F$2:$F$41,MATCH(C491,Customers!$A$2:$A$41,0)))</f>
        <v>0.067</v>
      </c>
      <c r="I491" s="16" t="n">
        <f aca="false">F491*G491</f>
        <v>40558</v>
      </c>
      <c r="J491" s="16" t="n">
        <f aca="false">I491*(1-H491)</f>
        <v>37840.614</v>
      </c>
      <c r="K491" s="16" t="n">
        <f aca="false">J491*INDEX(Customers!$G$2:$G$41,MATCH(C491,Customers!$A$2:$A$41,0))</f>
        <v>756.81228</v>
      </c>
      <c r="L491" s="16" t="n">
        <f aca="false">F491*INDEX(Customers!$H$2:$H$41,MATCH(C491,Customers!$A$2:$A$41,0))</f>
        <v>350</v>
      </c>
      <c r="M491" s="16" t="n">
        <f aca="false">J491*INDEX(Customers!$I$2:$I$41,MATCH(C491,Customers!$A$2:$A$41,0))/365*Assumptions!$B$6</f>
        <v>248.814996164384</v>
      </c>
      <c r="N491" s="16" t="n">
        <f aca="false">J491-K491-L491-M491</f>
        <v>36484.9867238356</v>
      </c>
      <c r="O491" s="16" t="n">
        <f aca="false">F491*IF(A491="2025",INDEX(Products!$D$2:$D$13,MATCH(D491,Products!$A$2:$A$13,0)),INDEX(Products!$F$2:$F$13,MATCH(D491,Products!$A$2:$A$13,0)))</f>
        <v>20034</v>
      </c>
      <c r="P491" s="16" t="n">
        <f aca="false">N491-O491</f>
        <v>16450.9867238356</v>
      </c>
    </row>
    <row r="492" customFormat="false" ht="15" hidden="false" customHeight="false" outlineLevel="0" collapsed="false">
      <c r="A492" s="2" t="s">
        <v>118</v>
      </c>
      <c r="B492" s="2" t="n">
        <v>11</v>
      </c>
      <c r="C492" s="2" t="s">
        <v>70</v>
      </c>
      <c r="D492" s="2" t="s">
        <v>44</v>
      </c>
      <c r="E492" s="2" t="str">
        <f aca="false">INDEX(Products!$B$2:$B$13,MATCH(D492,Products!$A$2:$A$13,0))</f>
        <v>Specialty</v>
      </c>
      <c r="F492" s="15" t="n">
        <v>2.3</v>
      </c>
      <c r="G492" s="16" t="n">
        <f aca="false">IF(A492="2025",INDEX(Products!$C$2:$C$13,MATCH(D492,Products!$A$2:$A$13,0)),INDEX(Products!$E$2:$E$13,MATCH(D492,Products!$A$2:$A$13,0)))</f>
        <v>28970</v>
      </c>
      <c r="H492" s="13" t="n">
        <f aca="false">IF(A492="2025",INDEX(Customers!$D$2:$D$41,MATCH(C492,Customers!$A$2:$A$41,0)),INDEX(Customers!$F$2:$F$41,MATCH(C492,Customers!$A$2:$A$41,0)))</f>
        <v>0.067</v>
      </c>
      <c r="I492" s="16" t="n">
        <f aca="false">F492*G492</f>
        <v>66631</v>
      </c>
      <c r="J492" s="16" t="n">
        <f aca="false">I492*(1-H492)</f>
        <v>62166.723</v>
      </c>
      <c r="K492" s="16" t="n">
        <f aca="false">J492*INDEX(Customers!$G$2:$G$41,MATCH(C492,Customers!$A$2:$A$41,0))</f>
        <v>1243.33446</v>
      </c>
      <c r="L492" s="16" t="n">
        <f aca="false">F492*INDEX(Customers!$H$2:$H$41,MATCH(C492,Customers!$A$2:$A$41,0))</f>
        <v>575</v>
      </c>
      <c r="M492" s="16" t="n">
        <f aca="false">J492*INDEX(Customers!$I$2:$I$41,MATCH(C492,Customers!$A$2:$A$41,0))/365*Assumptions!$B$6</f>
        <v>408.76749369863</v>
      </c>
      <c r="N492" s="16" t="n">
        <f aca="false">J492-K492-L492-M492</f>
        <v>59939.6210463014</v>
      </c>
      <c r="O492" s="16" t="n">
        <f aca="false">F492*IF(A492="2025",INDEX(Products!$D$2:$D$13,MATCH(D492,Products!$A$2:$A$13,0)),INDEX(Products!$F$2:$F$13,MATCH(D492,Products!$A$2:$A$13,0)))</f>
        <v>32913</v>
      </c>
      <c r="P492" s="16" t="n">
        <f aca="false">N492-O492</f>
        <v>27026.6210463014</v>
      </c>
    </row>
    <row r="493" customFormat="false" ht="15" hidden="false" customHeight="false" outlineLevel="0" collapsed="false">
      <c r="A493" s="2" t="s">
        <v>118</v>
      </c>
      <c r="B493" s="2" t="n">
        <v>12</v>
      </c>
      <c r="C493" s="2" t="s">
        <v>70</v>
      </c>
      <c r="D493" s="2" t="s">
        <v>44</v>
      </c>
      <c r="E493" s="2" t="str">
        <f aca="false">INDEX(Products!$B$2:$B$13,MATCH(D493,Products!$A$2:$A$13,0))</f>
        <v>Specialty</v>
      </c>
      <c r="F493" s="15" t="n">
        <v>1.7</v>
      </c>
      <c r="G493" s="16" t="n">
        <f aca="false">IF(A493="2025",INDEX(Products!$C$2:$C$13,MATCH(D493,Products!$A$2:$A$13,0)),INDEX(Products!$E$2:$E$13,MATCH(D493,Products!$A$2:$A$13,0)))</f>
        <v>28970</v>
      </c>
      <c r="H493" s="13" t="n">
        <f aca="false">IF(A493="2025",INDEX(Customers!$D$2:$D$41,MATCH(C493,Customers!$A$2:$A$41,0)),INDEX(Customers!$F$2:$F$41,MATCH(C493,Customers!$A$2:$A$41,0)))</f>
        <v>0.067</v>
      </c>
      <c r="I493" s="16" t="n">
        <f aca="false">F493*G493</f>
        <v>49249</v>
      </c>
      <c r="J493" s="16" t="n">
        <f aca="false">I493*(1-H493)</f>
        <v>45949.317</v>
      </c>
      <c r="K493" s="16" t="n">
        <f aca="false">J493*INDEX(Customers!$G$2:$G$41,MATCH(C493,Customers!$A$2:$A$41,0))</f>
        <v>918.98634</v>
      </c>
      <c r="L493" s="16" t="n">
        <f aca="false">F493*INDEX(Customers!$H$2:$H$41,MATCH(C493,Customers!$A$2:$A$41,0))</f>
        <v>425</v>
      </c>
      <c r="M493" s="16" t="n">
        <f aca="false">J493*INDEX(Customers!$I$2:$I$41,MATCH(C493,Customers!$A$2:$A$41,0))/365*Assumptions!$B$6</f>
        <v>302.132495342466</v>
      </c>
      <c r="N493" s="16" t="n">
        <f aca="false">J493-K493-L493-M493</f>
        <v>44303.1981646575</v>
      </c>
      <c r="O493" s="16" t="n">
        <f aca="false">F493*IF(A493="2025",INDEX(Products!$D$2:$D$13,MATCH(D493,Products!$A$2:$A$13,0)),INDEX(Products!$F$2:$F$13,MATCH(D493,Products!$A$2:$A$13,0)))</f>
        <v>24327</v>
      </c>
      <c r="P493" s="16" t="n">
        <f aca="false">N493-O493</f>
        <v>19976.1981646575</v>
      </c>
    </row>
    <row r="494" customFormat="false" ht="15" hidden="false" customHeight="false" outlineLevel="0" collapsed="false">
      <c r="A494" s="2" t="s">
        <v>119</v>
      </c>
      <c r="B494" s="2" t="n">
        <v>1</v>
      </c>
      <c r="C494" s="2" t="s">
        <v>70</v>
      </c>
      <c r="D494" s="2" t="s">
        <v>44</v>
      </c>
      <c r="E494" s="2" t="str">
        <f aca="false">INDEX(Products!$B$2:$B$13,MATCH(D494,Products!$A$2:$A$13,0))</f>
        <v>Specialty</v>
      </c>
      <c r="F494" s="15" t="n">
        <v>2</v>
      </c>
      <c r="G494" s="16" t="n">
        <f aca="false">IF(A494="2025",INDEX(Products!$C$2:$C$13,MATCH(D494,Products!$A$2:$A$13,0)),INDEX(Products!$E$2:$E$13,MATCH(D494,Products!$A$2:$A$13,0)))</f>
        <v>30418.5</v>
      </c>
      <c r="H494" s="13" t="n">
        <f aca="false">IF(A494="2025",INDEX(Customers!$D$2:$D$41,MATCH(C494,Customers!$A$2:$A$41,0)),INDEX(Customers!$F$2:$F$41,MATCH(C494,Customers!$A$2:$A$41,0)))</f>
        <v>0.067</v>
      </c>
      <c r="I494" s="16" t="n">
        <f aca="false">F494*G494</f>
        <v>60837</v>
      </c>
      <c r="J494" s="16" t="n">
        <f aca="false">I494*(1-H494)</f>
        <v>56760.921</v>
      </c>
      <c r="K494" s="16" t="n">
        <f aca="false">J494*INDEX(Customers!$G$2:$G$41,MATCH(C494,Customers!$A$2:$A$41,0))</f>
        <v>1135.21842</v>
      </c>
      <c r="L494" s="16" t="n">
        <f aca="false">F494*INDEX(Customers!$H$2:$H$41,MATCH(C494,Customers!$A$2:$A$41,0))</f>
        <v>500</v>
      </c>
      <c r="M494" s="16" t="n">
        <f aca="false">J494*INDEX(Customers!$I$2:$I$41,MATCH(C494,Customers!$A$2:$A$41,0))/365*Assumptions!$B$6</f>
        <v>373.222494246575</v>
      </c>
      <c r="N494" s="16" t="n">
        <f aca="false">J494-K494-L494-M494</f>
        <v>54752.4800857534</v>
      </c>
      <c r="O494" s="16" t="n">
        <f aca="false">F494*IF(A494="2025",INDEX(Products!$D$2:$D$13,MATCH(D494,Products!$A$2:$A$13,0)),INDEX(Products!$F$2:$F$13,MATCH(D494,Products!$A$2:$A$13,0)))</f>
        <v>29478.6</v>
      </c>
      <c r="P494" s="16" t="n">
        <f aca="false">N494-O494</f>
        <v>25273.8800857534</v>
      </c>
    </row>
    <row r="495" customFormat="false" ht="15" hidden="false" customHeight="false" outlineLevel="0" collapsed="false">
      <c r="A495" s="2" t="s">
        <v>119</v>
      </c>
      <c r="B495" s="2" t="n">
        <v>2</v>
      </c>
      <c r="C495" s="2" t="s">
        <v>70</v>
      </c>
      <c r="D495" s="2" t="s">
        <v>44</v>
      </c>
      <c r="E495" s="2" t="str">
        <f aca="false">INDEX(Products!$B$2:$B$13,MATCH(D495,Products!$A$2:$A$13,0))</f>
        <v>Specialty</v>
      </c>
      <c r="F495" s="15" t="n">
        <v>2</v>
      </c>
      <c r="G495" s="16" t="n">
        <f aca="false">IF(A495="2025",INDEX(Products!$C$2:$C$13,MATCH(D495,Products!$A$2:$A$13,0)),INDEX(Products!$E$2:$E$13,MATCH(D495,Products!$A$2:$A$13,0)))</f>
        <v>30418.5</v>
      </c>
      <c r="H495" s="13" t="n">
        <f aca="false">IF(A495="2025",INDEX(Customers!$D$2:$D$41,MATCH(C495,Customers!$A$2:$A$41,0)),INDEX(Customers!$F$2:$F$41,MATCH(C495,Customers!$A$2:$A$41,0)))</f>
        <v>0.067</v>
      </c>
      <c r="I495" s="16" t="n">
        <f aca="false">F495*G495</f>
        <v>60837</v>
      </c>
      <c r="J495" s="16" t="n">
        <f aca="false">I495*(1-H495)</f>
        <v>56760.921</v>
      </c>
      <c r="K495" s="16" t="n">
        <f aca="false">J495*INDEX(Customers!$G$2:$G$41,MATCH(C495,Customers!$A$2:$A$41,0))</f>
        <v>1135.21842</v>
      </c>
      <c r="L495" s="16" t="n">
        <f aca="false">F495*INDEX(Customers!$H$2:$H$41,MATCH(C495,Customers!$A$2:$A$41,0))</f>
        <v>500</v>
      </c>
      <c r="M495" s="16" t="n">
        <f aca="false">J495*INDEX(Customers!$I$2:$I$41,MATCH(C495,Customers!$A$2:$A$41,0))/365*Assumptions!$B$6</f>
        <v>373.222494246575</v>
      </c>
      <c r="N495" s="16" t="n">
        <f aca="false">J495-K495-L495-M495</f>
        <v>54752.4800857534</v>
      </c>
      <c r="O495" s="16" t="n">
        <f aca="false">F495*IF(A495="2025",INDEX(Products!$D$2:$D$13,MATCH(D495,Products!$A$2:$A$13,0)),INDEX(Products!$F$2:$F$13,MATCH(D495,Products!$A$2:$A$13,0)))</f>
        <v>29478.6</v>
      </c>
      <c r="P495" s="16" t="n">
        <f aca="false">N495-O495</f>
        <v>25273.8800857534</v>
      </c>
    </row>
    <row r="496" customFormat="false" ht="15" hidden="false" customHeight="false" outlineLevel="0" collapsed="false">
      <c r="A496" s="2" t="s">
        <v>119</v>
      </c>
      <c r="B496" s="2" t="n">
        <v>3</v>
      </c>
      <c r="C496" s="2" t="s">
        <v>70</v>
      </c>
      <c r="D496" s="2" t="s">
        <v>44</v>
      </c>
      <c r="E496" s="2" t="str">
        <f aca="false">INDEX(Products!$B$2:$B$13,MATCH(D496,Products!$A$2:$A$13,0))</f>
        <v>Specialty</v>
      </c>
      <c r="F496" s="15" t="n">
        <v>2.3</v>
      </c>
      <c r="G496" s="16" t="n">
        <f aca="false">IF(A496="2025",INDEX(Products!$C$2:$C$13,MATCH(D496,Products!$A$2:$A$13,0)),INDEX(Products!$E$2:$E$13,MATCH(D496,Products!$A$2:$A$13,0)))</f>
        <v>30418.5</v>
      </c>
      <c r="H496" s="13" t="n">
        <f aca="false">IF(A496="2025",INDEX(Customers!$D$2:$D$41,MATCH(C496,Customers!$A$2:$A$41,0)),INDEX(Customers!$F$2:$F$41,MATCH(C496,Customers!$A$2:$A$41,0)))</f>
        <v>0.067</v>
      </c>
      <c r="I496" s="16" t="n">
        <f aca="false">F496*G496</f>
        <v>69962.55</v>
      </c>
      <c r="J496" s="16" t="n">
        <f aca="false">I496*(1-H496)</f>
        <v>65275.05915</v>
      </c>
      <c r="K496" s="16" t="n">
        <f aca="false">J496*INDEX(Customers!$G$2:$G$41,MATCH(C496,Customers!$A$2:$A$41,0))</f>
        <v>1305.501183</v>
      </c>
      <c r="L496" s="16" t="n">
        <f aca="false">F496*INDEX(Customers!$H$2:$H$41,MATCH(C496,Customers!$A$2:$A$41,0))</f>
        <v>575</v>
      </c>
      <c r="M496" s="16" t="n">
        <f aca="false">J496*INDEX(Customers!$I$2:$I$41,MATCH(C496,Customers!$A$2:$A$41,0))/365*Assumptions!$B$6</f>
        <v>429.205868383562</v>
      </c>
      <c r="N496" s="16" t="n">
        <f aca="false">J496-K496-L496-M496</f>
        <v>62965.3520986164</v>
      </c>
      <c r="O496" s="16" t="n">
        <f aca="false">F496*IF(A496="2025",INDEX(Products!$D$2:$D$13,MATCH(D496,Products!$A$2:$A$13,0)),INDEX(Products!$F$2:$F$13,MATCH(D496,Products!$A$2:$A$13,0)))</f>
        <v>33900.39</v>
      </c>
      <c r="P496" s="16" t="n">
        <f aca="false">N496-O496</f>
        <v>29064.9620986164</v>
      </c>
    </row>
    <row r="497" customFormat="false" ht="15" hidden="false" customHeight="false" outlineLevel="0" collapsed="false">
      <c r="A497" s="2" t="s">
        <v>119</v>
      </c>
      <c r="B497" s="2" t="n">
        <v>4</v>
      </c>
      <c r="C497" s="2" t="s">
        <v>70</v>
      </c>
      <c r="D497" s="2" t="s">
        <v>44</v>
      </c>
      <c r="E497" s="2" t="str">
        <f aca="false">INDEX(Products!$B$2:$B$13,MATCH(D497,Products!$A$2:$A$13,0))</f>
        <v>Specialty</v>
      </c>
      <c r="F497" s="15" t="n">
        <v>2.5</v>
      </c>
      <c r="G497" s="16" t="n">
        <f aca="false">IF(A497="2025",INDEX(Products!$C$2:$C$13,MATCH(D497,Products!$A$2:$A$13,0)),INDEX(Products!$E$2:$E$13,MATCH(D497,Products!$A$2:$A$13,0)))</f>
        <v>30418.5</v>
      </c>
      <c r="H497" s="13" t="n">
        <f aca="false">IF(A497="2025",INDEX(Customers!$D$2:$D$41,MATCH(C497,Customers!$A$2:$A$41,0)),INDEX(Customers!$F$2:$F$41,MATCH(C497,Customers!$A$2:$A$41,0)))</f>
        <v>0.067</v>
      </c>
      <c r="I497" s="16" t="n">
        <f aca="false">F497*G497</f>
        <v>76046.25</v>
      </c>
      <c r="J497" s="16" t="n">
        <f aca="false">I497*(1-H497)</f>
        <v>70951.15125</v>
      </c>
      <c r="K497" s="16" t="n">
        <f aca="false">J497*INDEX(Customers!$G$2:$G$41,MATCH(C497,Customers!$A$2:$A$41,0))</f>
        <v>1419.023025</v>
      </c>
      <c r="L497" s="16" t="n">
        <f aca="false">F497*INDEX(Customers!$H$2:$H$41,MATCH(C497,Customers!$A$2:$A$41,0))</f>
        <v>625</v>
      </c>
      <c r="M497" s="16" t="n">
        <f aca="false">J497*INDEX(Customers!$I$2:$I$41,MATCH(C497,Customers!$A$2:$A$41,0))/365*Assumptions!$B$6</f>
        <v>466.528117808219</v>
      </c>
      <c r="N497" s="16" t="n">
        <f aca="false">J497-K497-L497-M497</f>
        <v>68440.6001071918</v>
      </c>
      <c r="O497" s="16" t="n">
        <f aca="false">F497*IF(A497="2025",INDEX(Products!$D$2:$D$13,MATCH(D497,Products!$A$2:$A$13,0)),INDEX(Products!$F$2:$F$13,MATCH(D497,Products!$A$2:$A$13,0)))</f>
        <v>36848.25</v>
      </c>
      <c r="P497" s="16" t="n">
        <f aca="false">N497-O497</f>
        <v>31592.3501071918</v>
      </c>
    </row>
    <row r="498" customFormat="false" ht="15" hidden="false" customHeight="false" outlineLevel="0" collapsed="false">
      <c r="A498" s="2" t="s">
        <v>119</v>
      </c>
      <c r="B498" s="2" t="n">
        <v>5</v>
      </c>
      <c r="C498" s="2" t="s">
        <v>70</v>
      </c>
      <c r="D498" s="2" t="s">
        <v>44</v>
      </c>
      <c r="E498" s="2" t="str">
        <f aca="false">INDEX(Products!$B$2:$B$13,MATCH(D498,Products!$A$2:$A$13,0))</f>
        <v>Specialty</v>
      </c>
      <c r="F498" s="15" t="n">
        <v>2.4</v>
      </c>
      <c r="G498" s="16" t="n">
        <f aca="false">IF(A498="2025",INDEX(Products!$C$2:$C$13,MATCH(D498,Products!$A$2:$A$13,0)),INDEX(Products!$E$2:$E$13,MATCH(D498,Products!$A$2:$A$13,0)))</f>
        <v>30418.5</v>
      </c>
      <c r="H498" s="13" t="n">
        <f aca="false">IF(A498="2025",INDEX(Customers!$D$2:$D$41,MATCH(C498,Customers!$A$2:$A$41,0)),INDEX(Customers!$F$2:$F$41,MATCH(C498,Customers!$A$2:$A$41,0)))</f>
        <v>0.067</v>
      </c>
      <c r="I498" s="16" t="n">
        <f aca="false">F498*G498</f>
        <v>73004.4</v>
      </c>
      <c r="J498" s="16" t="n">
        <f aca="false">I498*(1-H498)</f>
        <v>68113.1052</v>
      </c>
      <c r="K498" s="16" t="n">
        <f aca="false">J498*INDEX(Customers!$G$2:$G$41,MATCH(C498,Customers!$A$2:$A$41,0))</f>
        <v>1362.262104</v>
      </c>
      <c r="L498" s="16" t="n">
        <f aca="false">F498*INDEX(Customers!$H$2:$H$41,MATCH(C498,Customers!$A$2:$A$41,0))</f>
        <v>600</v>
      </c>
      <c r="M498" s="16" t="n">
        <f aca="false">J498*INDEX(Customers!$I$2:$I$41,MATCH(C498,Customers!$A$2:$A$41,0))/365*Assumptions!$B$6</f>
        <v>447.86699309589</v>
      </c>
      <c r="N498" s="16" t="n">
        <f aca="false">J498-K498-L498-M498</f>
        <v>65702.9761029041</v>
      </c>
      <c r="O498" s="16" t="n">
        <f aca="false">F498*IF(A498="2025",INDEX(Products!$D$2:$D$13,MATCH(D498,Products!$A$2:$A$13,0)),INDEX(Products!$F$2:$F$13,MATCH(D498,Products!$A$2:$A$13,0)))</f>
        <v>35374.32</v>
      </c>
      <c r="P498" s="16" t="n">
        <f aca="false">N498-O498</f>
        <v>30328.6561029041</v>
      </c>
    </row>
    <row r="499" customFormat="false" ht="15" hidden="false" customHeight="false" outlineLevel="0" collapsed="false">
      <c r="A499" s="2" t="s">
        <v>119</v>
      </c>
      <c r="B499" s="2" t="n">
        <v>6</v>
      </c>
      <c r="C499" s="2" t="s">
        <v>70</v>
      </c>
      <c r="D499" s="2" t="s">
        <v>44</v>
      </c>
      <c r="E499" s="2" t="str">
        <f aca="false">INDEX(Products!$B$2:$B$13,MATCH(D499,Products!$A$2:$A$13,0))</f>
        <v>Specialty</v>
      </c>
      <c r="F499" s="15" t="n">
        <v>1.7</v>
      </c>
      <c r="G499" s="16" t="n">
        <f aca="false">IF(A499="2025",INDEX(Products!$C$2:$C$13,MATCH(D499,Products!$A$2:$A$13,0)),INDEX(Products!$E$2:$E$13,MATCH(D499,Products!$A$2:$A$13,0)))</f>
        <v>30418.5</v>
      </c>
      <c r="H499" s="13" t="n">
        <f aca="false">IF(A499="2025",INDEX(Customers!$D$2:$D$41,MATCH(C499,Customers!$A$2:$A$41,0)),INDEX(Customers!$F$2:$F$41,MATCH(C499,Customers!$A$2:$A$41,0)))</f>
        <v>0.067</v>
      </c>
      <c r="I499" s="16" t="n">
        <f aca="false">F499*G499</f>
        <v>51711.45</v>
      </c>
      <c r="J499" s="16" t="n">
        <f aca="false">I499*(1-H499)</f>
        <v>48246.78285</v>
      </c>
      <c r="K499" s="16" t="n">
        <f aca="false">J499*INDEX(Customers!$G$2:$G$41,MATCH(C499,Customers!$A$2:$A$41,0))</f>
        <v>964.935657</v>
      </c>
      <c r="L499" s="16" t="n">
        <f aca="false">F499*INDEX(Customers!$H$2:$H$41,MATCH(C499,Customers!$A$2:$A$41,0))</f>
        <v>425</v>
      </c>
      <c r="M499" s="16" t="n">
        <f aca="false">J499*INDEX(Customers!$I$2:$I$41,MATCH(C499,Customers!$A$2:$A$41,0))/365*Assumptions!$B$6</f>
        <v>317.239120109589</v>
      </c>
      <c r="N499" s="16" t="n">
        <f aca="false">J499-K499-L499-M499</f>
        <v>46539.6080728904</v>
      </c>
      <c r="O499" s="16" t="n">
        <f aca="false">F499*IF(A499="2025",INDEX(Products!$D$2:$D$13,MATCH(D499,Products!$A$2:$A$13,0)),INDEX(Products!$F$2:$F$13,MATCH(D499,Products!$A$2:$A$13,0)))</f>
        <v>25056.81</v>
      </c>
      <c r="P499" s="16" t="n">
        <f aca="false">N499-O499</f>
        <v>21482.7980728904</v>
      </c>
    </row>
    <row r="500" customFormat="false" ht="15" hidden="false" customHeight="false" outlineLevel="0" collapsed="false">
      <c r="A500" s="2" t="s">
        <v>119</v>
      </c>
      <c r="B500" s="2" t="n">
        <v>7</v>
      </c>
      <c r="C500" s="2" t="s">
        <v>70</v>
      </c>
      <c r="D500" s="2" t="s">
        <v>44</v>
      </c>
      <c r="E500" s="2" t="str">
        <f aca="false">INDEX(Products!$B$2:$B$13,MATCH(D500,Products!$A$2:$A$13,0))</f>
        <v>Specialty</v>
      </c>
      <c r="F500" s="15" t="n">
        <v>1.7</v>
      </c>
      <c r="G500" s="16" t="n">
        <f aca="false">IF(A500="2025",INDEX(Products!$C$2:$C$13,MATCH(D500,Products!$A$2:$A$13,0)),INDEX(Products!$E$2:$E$13,MATCH(D500,Products!$A$2:$A$13,0)))</f>
        <v>30418.5</v>
      </c>
      <c r="H500" s="13" t="n">
        <f aca="false">IF(A500="2025",INDEX(Customers!$D$2:$D$41,MATCH(C500,Customers!$A$2:$A$41,0)),INDEX(Customers!$F$2:$F$41,MATCH(C500,Customers!$A$2:$A$41,0)))</f>
        <v>0.067</v>
      </c>
      <c r="I500" s="16" t="n">
        <f aca="false">F500*G500</f>
        <v>51711.45</v>
      </c>
      <c r="J500" s="16" t="n">
        <f aca="false">I500*(1-H500)</f>
        <v>48246.78285</v>
      </c>
      <c r="K500" s="16" t="n">
        <f aca="false">J500*INDEX(Customers!$G$2:$G$41,MATCH(C500,Customers!$A$2:$A$41,0))</f>
        <v>964.935657</v>
      </c>
      <c r="L500" s="16" t="n">
        <f aca="false">F500*INDEX(Customers!$H$2:$H$41,MATCH(C500,Customers!$A$2:$A$41,0))</f>
        <v>425</v>
      </c>
      <c r="M500" s="16" t="n">
        <f aca="false">J500*INDEX(Customers!$I$2:$I$41,MATCH(C500,Customers!$A$2:$A$41,0))/365*Assumptions!$B$6</f>
        <v>317.239120109589</v>
      </c>
      <c r="N500" s="16" t="n">
        <f aca="false">J500-K500-L500-M500</f>
        <v>46539.6080728904</v>
      </c>
      <c r="O500" s="16" t="n">
        <f aca="false">F500*IF(A500="2025",INDEX(Products!$D$2:$D$13,MATCH(D500,Products!$A$2:$A$13,0)),INDEX(Products!$F$2:$F$13,MATCH(D500,Products!$A$2:$A$13,0)))</f>
        <v>25056.81</v>
      </c>
      <c r="P500" s="16" t="n">
        <f aca="false">N500-O500</f>
        <v>21482.7980728904</v>
      </c>
    </row>
    <row r="501" customFormat="false" ht="15" hidden="false" customHeight="false" outlineLevel="0" collapsed="false">
      <c r="A501" s="2" t="s">
        <v>119</v>
      </c>
      <c r="B501" s="2" t="n">
        <v>8</v>
      </c>
      <c r="C501" s="2" t="s">
        <v>70</v>
      </c>
      <c r="D501" s="2" t="s">
        <v>44</v>
      </c>
      <c r="E501" s="2" t="str">
        <f aca="false">INDEX(Products!$B$2:$B$13,MATCH(D501,Products!$A$2:$A$13,0))</f>
        <v>Specialty</v>
      </c>
      <c r="F501" s="15" t="n">
        <v>1.9</v>
      </c>
      <c r="G501" s="16" t="n">
        <f aca="false">IF(A501="2025",INDEX(Products!$C$2:$C$13,MATCH(D501,Products!$A$2:$A$13,0)),INDEX(Products!$E$2:$E$13,MATCH(D501,Products!$A$2:$A$13,0)))</f>
        <v>30418.5</v>
      </c>
      <c r="H501" s="13" t="n">
        <f aca="false">IF(A501="2025",INDEX(Customers!$D$2:$D$41,MATCH(C501,Customers!$A$2:$A$41,0)),INDEX(Customers!$F$2:$F$41,MATCH(C501,Customers!$A$2:$A$41,0)))</f>
        <v>0.067</v>
      </c>
      <c r="I501" s="16" t="n">
        <f aca="false">F501*G501</f>
        <v>57795.15</v>
      </c>
      <c r="J501" s="16" t="n">
        <f aca="false">I501*(1-H501)</f>
        <v>53922.87495</v>
      </c>
      <c r="K501" s="16" t="n">
        <f aca="false">J501*INDEX(Customers!$G$2:$G$41,MATCH(C501,Customers!$A$2:$A$41,0))</f>
        <v>1078.457499</v>
      </c>
      <c r="L501" s="16" t="n">
        <f aca="false">F501*INDEX(Customers!$H$2:$H$41,MATCH(C501,Customers!$A$2:$A$41,0))</f>
        <v>475</v>
      </c>
      <c r="M501" s="16" t="n">
        <f aca="false">J501*INDEX(Customers!$I$2:$I$41,MATCH(C501,Customers!$A$2:$A$41,0))/365*Assumptions!$B$6</f>
        <v>354.561369534247</v>
      </c>
      <c r="N501" s="16" t="n">
        <f aca="false">J501-K501-L501-M501</f>
        <v>52014.8560814658</v>
      </c>
      <c r="O501" s="16" t="n">
        <f aca="false">F501*IF(A501="2025",INDEX(Products!$D$2:$D$13,MATCH(D501,Products!$A$2:$A$13,0)),INDEX(Products!$F$2:$F$13,MATCH(D501,Products!$A$2:$A$13,0)))</f>
        <v>28004.67</v>
      </c>
      <c r="P501" s="16" t="n">
        <f aca="false">N501-O501</f>
        <v>24010.1860814658</v>
      </c>
    </row>
    <row r="502" customFormat="false" ht="15" hidden="false" customHeight="false" outlineLevel="0" collapsed="false">
      <c r="A502" s="2" t="s">
        <v>119</v>
      </c>
      <c r="B502" s="2" t="n">
        <v>9</v>
      </c>
      <c r="C502" s="2" t="s">
        <v>70</v>
      </c>
      <c r="D502" s="2" t="s">
        <v>44</v>
      </c>
      <c r="E502" s="2" t="str">
        <f aca="false">INDEX(Products!$B$2:$B$13,MATCH(D502,Products!$A$2:$A$13,0))</f>
        <v>Specialty</v>
      </c>
      <c r="F502" s="15" t="n">
        <v>1.9</v>
      </c>
      <c r="G502" s="16" t="n">
        <f aca="false">IF(A502="2025",INDEX(Products!$C$2:$C$13,MATCH(D502,Products!$A$2:$A$13,0)),INDEX(Products!$E$2:$E$13,MATCH(D502,Products!$A$2:$A$13,0)))</f>
        <v>30418.5</v>
      </c>
      <c r="H502" s="13" t="n">
        <f aca="false">IF(A502="2025",INDEX(Customers!$D$2:$D$41,MATCH(C502,Customers!$A$2:$A$41,0)),INDEX(Customers!$F$2:$F$41,MATCH(C502,Customers!$A$2:$A$41,0)))</f>
        <v>0.067</v>
      </c>
      <c r="I502" s="16" t="n">
        <f aca="false">F502*G502</f>
        <v>57795.15</v>
      </c>
      <c r="J502" s="16" t="n">
        <f aca="false">I502*(1-H502)</f>
        <v>53922.87495</v>
      </c>
      <c r="K502" s="16" t="n">
        <f aca="false">J502*INDEX(Customers!$G$2:$G$41,MATCH(C502,Customers!$A$2:$A$41,0))</f>
        <v>1078.457499</v>
      </c>
      <c r="L502" s="16" t="n">
        <f aca="false">F502*INDEX(Customers!$H$2:$H$41,MATCH(C502,Customers!$A$2:$A$41,0))</f>
        <v>475</v>
      </c>
      <c r="M502" s="16" t="n">
        <f aca="false">J502*INDEX(Customers!$I$2:$I$41,MATCH(C502,Customers!$A$2:$A$41,0))/365*Assumptions!$B$6</f>
        <v>354.561369534247</v>
      </c>
      <c r="N502" s="16" t="n">
        <f aca="false">J502-K502-L502-M502</f>
        <v>52014.8560814658</v>
      </c>
      <c r="O502" s="16" t="n">
        <f aca="false">F502*IF(A502="2025",INDEX(Products!$D$2:$D$13,MATCH(D502,Products!$A$2:$A$13,0)),INDEX(Products!$F$2:$F$13,MATCH(D502,Products!$A$2:$A$13,0)))</f>
        <v>28004.67</v>
      </c>
      <c r="P502" s="16" t="n">
        <f aca="false">N502-O502</f>
        <v>24010.1860814658</v>
      </c>
    </row>
    <row r="503" customFormat="false" ht="15" hidden="false" customHeight="false" outlineLevel="0" collapsed="false">
      <c r="A503" s="2" t="s">
        <v>119</v>
      </c>
      <c r="B503" s="2" t="n">
        <v>10</v>
      </c>
      <c r="C503" s="2" t="s">
        <v>70</v>
      </c>
      <c r="D503" s="2" t="s">
        <v>44</v>
      </c>
      <c r="E503" s="2" t="str">
        <f aca="false">INDEX(Products!$B$2:$B$13,MATCH(D503,Products!$A$2:$A$13,0))</f>
        <v>Specialty</v>
      </c>
      <c r="F503" s="15" t="n">
        <v>2.3</v>
      </c>
      <c r="G503" s="16" t="n">
        <f aca="false">IF(A503="2025",INDEX(Products!$C$2:$C$13,MATCH(D503,Products!$A$2:$A$13,0)),INDEX(Products!$E$2:$E$13,MATCH(D503,Products!$A$2:$A$13,0)))</f>
        <v>30418.5</v>
      </c>
      <c r="H503" s="13" t="n">
        <f aca="false">IF(A503="2025",INDEX(Customers!$D$2:$D$41,MATCH(C503,Customers!$A$2:$A$41,0)),INDEX(Customers!$F$2:$F$41,MATCH(C503,Customers!$A$2:$A$41,0)))</f>
        <v>0.067</v>
      </c>
      <c r="I503" s="16" t="n">
        <f aca="false">F503*G503</f>
        <v>69962.55</v>
      </c>
      <c r="J503" s="16" t="n">
        <f aca="false">I503*(1-H503)</f>
        <v>65275.05915</v>
      </c>
      <c r="K503" s="16" t="n">
        <f aca="false">J503*INDEX(Customers!$G$2:$G$41,MATCH(C503,Customers!$A$2:$A$41,0))</f>
        <v>1305.501183</v>
      </c>
      <c r="L503" s="16" t="n">
        <f aca="false">F503*INDEX(Customers!$H$2:$H$41,MATCH(C503,Customers!$A$2:$A$41,0))</f>
        <v>575</v>
      </c>
      <c r="M503" s="16" t="n">
        <f aca="false">J503*INDEX(Customers!$I$2:$I$41,MATCH(C503,Customers!$A$2:$A$41,0))/365*Assumptions!$B$6</f>
        <v>429.205868383562</v>
      </c>
      <c r="N503" s="16" t="n">
        <f aca="false">J503-K503-L503-M503</f>
        <v>62965.3520986164</v>
      </c>
      <c r="O503" s="16" t="n">
        <f aca="false">F503*IF(A503="2025",INDEX(Products!$D$2:$D$13,MATCH(D503,Products!$A$2:$A$13,0)),INDEX(Products!$F$2:$F$13,MATCH(D503,Products!$A$2:$A$13,0)))</f>
        <v>33900.39</v>
      </c>
      <c r="P503" s="16" t="n">
        <f aca="false">N503-O503</f>
        <v>29064.9620986164</v>
      </c>
    </row>
    <row r="504" customFormat="false" ht="15" hidden="false" customHeight="false" outlineLevel="0" collapsed="false">
      <c r="A504" s="2" t="s">
        <v>119</v>
      </c>
      <c r="B504" s="2" t="n">
        <v>11</v>
      </c>
      <c r="C504" s="2" t="s">
        <v>70</v>
      </c>
      <c r="D504" s="2" t="s">
        <v>44</v>
      </c>
      <c r="E504" s="2" t="str">
        <f aca="false">INDEX(Products!$B$2:$B$13,MATCH(D504,Products!$A$2:$A$13,0))</f>
        <v>Specialty</v>
      </c>
      <c r="F504" s="15" t="n">
        <v>2.1</v>
      </c>
      <c r="G504" s="16" t="n">
        <f aca="false">IF(A504="2025",INDEX(Products!$C$2:$C$13,MATCH(D504,Products!$A$2:$A$13,0)),INDEX(Products!$E$2:$E$13,MATCH(D504,Products!$A$2:$A$13,0)))</f>
        <v>30418.5</v>
      </c>
      <c r="H504" s="13" t="n">
        <f aca="false">IF(A504="2025",INDEX(Customers!$D$2:$D$41,MATCH(C504,Customers!$A$2:$A$41,0)),INDEX(Customers!$F$2:$F$41,MATCH(C504,Customers!$A$2:$A$41,0)))</f>
        <v>0.067</v>
      </c>
      <c r="I504" s="16" t="n">
        <f aca="false">F504*G504</f>
        <v>63878.85</v>
      </c>
      <c r="J504" s="16" t="n">
        <f aca="false">I504*(1-H504)</f>
        <v>59598.96705</v>
      </c>
      <c r="K504" s="16" t="n">
        <f aca="false">J504*INDEX(Customers!$G$2:$G$41,MATCH(C504,Customers!$A$2:$A$41,0))</f>
        <v>1191.979341</v>
      </c>
      <c r="L504" s="16" t="n">
        <f aca="false">F504*INDEX(Customers!$H$2:$H$41,MATCH(C504,Customers!$A$2:$A$41,0))</f>
        <v>525</v>
      </c>
      <c r="M504" s="16" t="n">
        <f aca="false">J504*INDEX(Customers!$I$2:$I$41,MATCH(C504,Customers!$A$2:$A$41,0))/365*Assumptions!$B$6</f>
        <v>391.883618958904</v>
      </c>
      <c r="N504" s="16" t="n">
        <f aca="false">J504-K504-L504-M504</f>
        <v>57490.1040900411</v>
      </c>
      <c r="O504" s="16" t="n">
        <f aca="false">F504*IF(A504="2025",INDEX(Products!$D$2:$D$13,MATCH(D504,Products!$A$2:$A$13,0)),INDEX(Products!$F$2:$F$13,MATCH(D504,Products!$A$2:$A$13,0)))</f>
        <v>30952.53</v>
      </c>
      <c r="P504" s="16" t="n">
        <f aca="false">N504-O504</f>
        <v>26537.5740900411</v>
      </c>
    </row>
    <row r="505" customFormat="false" ht="15" hidden="false" customHeight="false" outlineLevel="0" collapsed="false">
      <c r="A505" s="2" t="s">
        <v>119</v>
      </c>
      <c r="B505" s="2" t="n">
        <v>12</v>
      </c>
      <c r="C505" s="2" t="s">
        <v>70</v>
      </c>
      <c r="D505" s="2" t="s">
        <v>44</v>
      </c>
      <c r="E505" s="2" t="str">
        <f aca="false">INDEX(Products!$B$2:$B$13,MATCH(D505,Products!$A$2:$A$13,0))</f>
        <v>Specialty</v>
      </c>
      <c r="F505" s="15" t="n">
        <v>2</v>
      </c>
      <c r="G505" s="16" t="n">
        <f aca="false">IF(A505="2025",INDEX(Products!$C$2:$C$13,MATCH(D505,Products!$A$2:$A$13,0)),INDEX(Products!$E$2:$E$13,MATCH(D505,Products!$A$2:$A$13,0)))</f>
        <v>30418.5</v>
      </c>
      <c r="H505" s="13" t="n">
        <f aca="false">IF(A505="2025",INDEX(Customers!$D$2:$D$41,MATCH(C505,Customers!$A$2:$A$41,0)),INDEX(Customers!$F$2:$F$41,MATCH(C505,Customers!$A$2:$A$41,0)))</f>
        <v>0.067</v>
      </c>
      <c r="I505" s="16" t="n">
        <f aca="false">F505*G505</f>
        <v>60837</v>
      </c>
      <c r="J505" s="16" t="n">
        <f aca="false">I505*(1-H505)</f>
        <v>56760.921</v>
      </c>
      <c r="K505" s="16" t="n">
        <f aca="false">J505*INDEX(Customers!$G$2:$G$41,MATCH(C505,Customers!$A$2:$A$41,0))</f>
        <v>1135.21842</v>
      </c>
      <c r="L505" s="16" t="n">
        <f aca="false">F505*INDEX(Customers!$H$2:$H$41,MATCH(C505,Customers!$A$2:$A$41,0))</f>
        <v>500</v>
      </c>
      <c r="M505" s="16" t="n">
        <f aca="false">J505*INDEX(Customers!$I$2:$I$41,MATCH(C505,Customers!$A$2:$A$41,0))/365*Assumptions!$B$6</f>
        <v>373.222494246575</v>
      </c>
      <c r="N505" s="16" t="n">
        <f aca="false">J505-K505-L505-M505</f>
        <v>54752.4800857534</v>
      </c>
      <c r="O505" s="16" t="n">
        <f aca="false">F505*IF(A505="2025",INDEX(Products!$D$2:$D$13,MATCH(D505,Products!$A$2:$A$13,0)),INDEX(Products!$F$2:$F$13,MATCH(D505,Products!$A$2:$A$13,0)))</f>
        <v>29478.6</v>
      </c>
      <c r="P505" s="16" t="n">
        <f aca="false">N505-O505</f>
        <v>25273.8800857534</v>
      </c>
    </row>
    <row r="506" customFormat="false" ht="15" hidden="false" customHeight="false" outlineLevel="0" collapsed="false">
      <c r="A506" s="2" t="s">
        <v>118</v>
      </c>
      <c r="B506" s="2" t="n">
        <v>1</v>
      </c>
      <c r="C506" s="2" t="s">
        <v>70</v>
      </c>
      <c r="D506" s="2" t="s">
        <v>42</v>
      </c>
      <c r="E506" s="2" t="str">
        <f aca="false">INDEX(Products!$B$2:$B$13,MATCH(D506,Products!$A$2:$A$13,0))</f>
        <v>Hydroprocessing</v>
      </c>
      <c r="F506" s="15" t="n">
        <v>3.5</v>
      </c>
      <c r="G506" s="16" t="n">
        <f aca="false">IF(A506="2025",INDEX(Products!$C$2:$C$13,MATCH(D506,Products!$A$2:$A$13,0)),INDEX(Products!$E$2:$E$13,MATCH(D506,Products!$A$2:$A$13,0)))</f>
        <v>12450</v>
      </c>
      <c r="H506" s="13" t="n">
        <f aca="false">IF(A506="2025",INDEX(Customers!$D$2:$D$41,MATCH(C506,Customers!$A$2:$A$41,0)),INDEX(Customers!$F$2:$F$41,MATCH(C506,Customers!$A$2:$A$41,0)))</f>
        <v>0.067</v>
      </c>
      <c r="I506" s="16" t="n">
        <f aca="false">F506*G506</f>
        <v>43575</v>
      </c>
      <c r="J506" s="16" t="n">
        <f aca="false">I506*(1-H506)</f>
        <v>40655.475</v>
      </c>
      <c r="K506" s="16" t="n">
        <f aca="false">J506*INDEX(Customers!$G$2:$G$41,MATCH(C506,Customers!$A$2:$A$41,0))</f>
        <v>813.1095</v>
      </c>
      <c r="L506" s="16" t="n">
        <f aca="false">F506*INDEX(Customers!$H$2:$H$41,MATCH(C506,Customers!$A$2:$A$41,0))</f>
        <v>875</v>
      </c>
      <c r="M506" s="16" t="n">
        <f aca="false">J506*INDEX(Customers!$I$2:$I$41,MATCH(C506,Customers!$A$2:$A$41,0))/365*Assumptions!$B$6</f>
        <v>267.323671232877</v>
      </c>
      <c r="N506" s="16" t="n">
        <f aca="false">J506-K506-L506-M506</f>
        <v>38700.0418287671</v>
      </c>
      <c r="O506" s="16" t="n">
        <f aca="false">F506*IF(A506="2025",INDEX(Products!$D$2:$D$13,MATCH(D506,Products!$A$2:$A$13,0)),INDEX(Products!$F$2:$F$13,MATCH(D506,Products!$A$2:$A$13,0)))</f>
        <v>27230</v>
      </c>
      <c r="P506" s="16" t="n">
        <f aca="false">N506-O506</f>
        <v>11470.0418287671</v>
      </c>
    </row>
    <row r="507" customFormat="false" ht="15" hidden="false" customHeight="false" outlineLevel="0" collapsed="false">
      <c r="A507" s="2" t="s">
        <v>118</v>
      </c>
      <c r="B507" s="2" t="n">
        <v>2</v>
      </c>
      <c r="C507" s="2" t="s">
        <v>70</v>
      </c>
      <c r="D507" s="2" t="s">
        <v>42</v>
      </c>
      <c r="E507" s="2" t="str">
        <f aca="false">INDEX(Products!$B$2:$B$13,MATCH(D507,Products!$A$2:$A$13,0))</f>
        <v>Hydroprocessing</v>
      </c>
      <c r="F507" s="15" t="n">
        <v>3.1</v>
      </c>
      <c r="G507" s="16" t="n">
        <f aca="false">IF(A507="2025",INDEX(Products!$C$2:$C$13,MATCH(D507,Products!$A$2:$A$13,0)),INDEX(Products!$E$2:$E$13,MATCH(D507,Products!$A$2:$A$13,0)))</f>
        <v>12450</v>
      </c>
      <c r="H507" s="13" t="n">
        <f aca="false">IF(A507="2025",INDEX(Customers!$D$2:$D$41,MATCH(C507,Customers!$A$2:$A$41,0)),INDEX(Customers!$F$2:$F$41,MATCH(C507,Customers!$A$2:$A$41,0)))</f>
        <v>0.067</v>
      </c>
      <c r="I507" s="16" t="n">
        <f aca="false">F507*G507</f>
        <v>38595</v>
      </c>
      <c r="J507" s="16" t="n">
        <f aca="false">I507*(1-H507)</f>
        <v>36009.135</v>
      </c>
      <c r="K507" s="16" t="n">
        <f aca="false">J507*INDEX(Customers!$G$2:$G$41,MATCH(C507,Customers!$A$2:$A$41,0))</f>
        <v>720.1827</v>
      </c>
      <c r="L507" s="16" t="n">
        <f aca="false">F507*INDEX(Customers!$H$2:$H$41,MATCH(C507,Customers!$A$2:$A$41,0))</f>
        <v>775</v>
      </c>
      <c r="M507" s="16" t="n">
        <f aca="false">J507*INDEX(Customers!$I$2:$I$41,MATCH(C507,Customers!$A$2:$A$41,0))/365*Assumptions!$B$6</f>
        <v>236.772394520548</v>
      </c>
      <c r="N507" s="16" t="n">
        <f aca="false">J507-K507-L507-M507</f>
        <v>34277.1799054795</v>
      </c>
      <c r="O507" s="16" t="n">
        <f aca="false">F507*IF(A507="2025",INDEX(Products!$D$2:$D$13,MATCH(D507,Products!$A$2:$A$13,0)),INDEX(Products!$F$2:$F$13,MATCH(D507,Products!$A$2:$A$13,0)))</f>
        <v>24118</v>
      </c>
      <c r="P507" s="16" t="n">
        <f aca="false">N507-O507</f>
        <v>10159.1799054795</v>
      </c>
    </row>
    <row r="508" customFormat="false" ht="15" hidden="false" customHeight="false" outlineLevel="0" collapsed="false">
      <c r="A508" s="2" t="s">
        <v>118</v>
      </c>
      <c r="B508" s="2" t="n">
        <v>3</v>
      </c>
      <c r="C508" s="2" t="s">
        <v>70</v>
      </c>
      <c r="D508" s="2" t="s">
        <v>42</v>
      </c>
      <c r="E508" s="2" t="str">
        <f aca="false">INDEX(Products!$B$2:$B$13,MATCH(D508,Products!$A$2:$A$13,0))</f>
        <v>Hydroprocessing</v>
      </c>
      <c r="F508" s="15" t="n">
        <v>4</v>
      </c>
      <c r="G508" s="16" t="n">
        <f aca="false">IF(A508="2025",INDEX(Products!$C$2:$C$13,MATCH(D508,Products!$A$2:$A$13,0)),INDEX(Products!$E$2:$E$13,MATCH(D508,Products!$A$2:$A$13,0)))</f>
        <v>12450</v>
      </c>
      <c r="H508" s="13" t="n">
        <f aca="false">IF(A508="2025",INDEX(Customers!$D$2:$D$41,MATCH(C508,Customers!$A$2:$A$41,0)),INDEX(Customers!$F$2:$F$41,MATCH(C508,Customers!$A$2:$A$41,0)))</f>
        <v>0.067</v>
      </c>
      <c r="I508" s="16" t="n">
        <f aca="false">F508*G508</f>
        <v>49800</v>
      </c>
      <c r="J508" s="16" t="n">
        <f aca="false">I508*(1-H508)</f>
        <v>46463.4</v>
      </c>
      <c r="K508" s="16" t="n">
        <f aca="false">J508*INDEX(Customers!$G$2:$G$41,MATCH(C508,Customers!$A$2:$A$41,0))</f>
        <v>929.268</v>
      </c>
      <c r="L508" s="16" t="n">
        <f aca="false">F508*INDEX(Customers!$H$2:$H$41,MATCH(C508,Customers!$A$2:$A$41,0))</f>
        <v>1000</v>
      </c>
      <c r="M508" s="16" t="n">
        <f aca="false">J508*INDEX(Customers!$I$2:$I$41,MATCH(C508,Customers!$A$2:$A$41,0))/365*Assumptions!$B$6</f>
        <v>305.512767123288</v>
      </c>
      <c r="N508" s="16" t="n">
        <f aca="false">J508-K508-L508-M508</f>
        <v>44228.6192328767</v>
      </c>
      <c r="O508" s="16" t="n">
        <f aca="false">F508*IF(A508="2025",INDEX(Products!$D$2:$D$13,MATCH(D508,Products!$A$2:$A$13,0)),INDEX(Products!$F$2:$F$13,MATCH(D508,Products!$A$2:$A$13,0)))</f>
        <v>31120</v>
      </c>
      <c r="P508" s="16" t="n">
        <f aca="false">N508-O508</f>
        <v>13108.6192328767</v>
      </c>
    </row>
    <row r="509" customFormat="false" ht="15" hidden="false" customHeight="false" outlineLevel="0" collapsed="false">
      <c r="A509" s="2" t="s">
        <v>118</v>
      </c>
      <c r="B509" s="2" t="n">
        <v>4</v>
      </c>
      <c r="C509" s="2" t="s">
        <v>70</v>
      </c>
      <c r="D509" s="2" t="s">
        <v>42</v>
      </c>
      <c r="E509" s="2" t="str">
        <f aca="false">INDEX(Products!$B$2:$B$13,MATCH(D509,Products!$A$2:$A$13,0))</f>
        <v>Hydroprocessing</v>
      </c>
      <c r="F509" s="15" t="n">
        <v>3.8</v>
      </c>
      <c r="G509" s="16" t="n">
        <f aca="false">IF(A509="2025",INDEX(Products!$C$2:$C$13,MATCH(D509,Products!$A$2:$A$13,0)),INDEX(Products!$E$2:$E$13,MATCH(D509,Products!$A$2:$A$13,0)))</f>
        <v>12450</v>
      </c>
      <c r="H509" s="13" t="n">
        <f aca="false">IF(A509="2025",INDEX(Customers!$D$2:$D$41,MATCH(C509,Customers!$A$2:$A$41,0)),INDEX(Customers!$F$2:$F$41,MATCH(C509,Customers!$A$2:$A$41,0)))</f>
        <v>0.067</v>
      </c>
      <c r="I509" s="16" t="n">
        <f aca="false">F509*G509</f>
        <v>47310</v>
      </c>
      <c r="J509" s="16" t="n">
        <f aca="false">I509*(1-H509)</f>
        <v>44140.23</v>
      </c>
      <c r="K509" s="16" t="n">
        <f aca="false">J509*INDEX(Customers!$G$2:$G$41,MATCH(C509,Customers!$A$2:$A$41,0))</f>
        <v>882.8046</v>
      </c>
      <c r="L509" s="16" t="n">
        <f aca="false">F509*INDEX(Customers!$H$2:$H$41,MATCH(C509,Customers!$A$2:$A$41,0))</f>
        <v>950</v>
      </c>
      <c r="M509" s="16" t="n">
        <f aca="false">J509*INDEX(Customers!$I$2:$I$41,MATCH(C509,Customers!$A$2:$A$41,0))/365*Assumptions!$B$6</f>
        <v>290.237128767123</v>
      </c>
      <c r="N509" s="16" t="n">
        <f aca="false">J509-K509-L509-M509</f>
        <v>42017.1882712329</v>
      </c>
      <c r="O509" s="16" t="n">
        <f aca="false">F509*IF(A509="2025",INDEX(Products!$D$2:$D$13,MATCH(D509,Products!$A$2:$A$13,0)),INDEX(Products!$F$2:$F$13,MATCH(D509,Products!$A$2:$A$13,0)))</f>
        <v>29564</v>
      </c>
      <c r="P509" s="16" t="n">
        <f aca="false">N509-O509</f>
        <v>12453.1882712329</v>
      </c>
    </row>
    <row r="510" customFormat="false" ht="15" hidden="false" customHeight="false" outlineLevel="0" collapsed="false">
      <c r="A510" s="2" t="s">
        <v>118</v>
      </c>
      <c r="B510" s="2" t="n">
        <v>5</v>
      </c>
      <c r="C510" s="2" t="s">
        <v>70</v>
      </c>
      <c r="D510" s="2" t="s">
        <v>42</v>
      </c>
      <c r="E510" s="2" t="str">
        <f aca="false">INDEX(Products!$B$2:$B$13,MATCH(D510,Products!$A$2:$A$13,0))</f>
        <v>Hydroprocessing</v>
      </c>
      <c r="F510" s="15" t="n">
        <v>3.9</v>
      </c>
      <c r="G510" s="16" t="n">
        <f aca="false">IF(A510="2025",INDEX(Products!$C$2:$C$13,MATCH(D510,Products!$A$2:$A$13,0)),INDEX(Products!$E$2:$E$13,MATCH(D510,Products!$A$2:$A$13,0)))</f>
        <v>12450</v>
      </c>
      <c r="H510" s="13" t="n">
        <f aca="false">IF(A510="2025",INDEX(Customers!$D$2:$D$41,MATCH(C510,Customers!$A$2:$A$41,0)),INDEX(Customers!$F$2:$F$41,MATCH(C510,Customers!$A$2:$A$41,0)))</f>
        <v>0.067</v>
      </c>
      <c r="I510" s="16" t="n">
        <f aca="false">F510*G510</f>
        <v>48555</v>
      </c>
      <c r="J510" s="16" t="n">
        <f aca="false">I510*(1-H510)</f>
        <v>45301.815</v>
      </c>
      <c r="K510" s="16" t="n">
        <f aca="false">J510*INDEX(Customers!$G$2:$G$41,MATCH(C510,Customers!$A$2:$A$41,0))</f>
        <v>906.0363</v>
      </c>
      <c r="L510" s="16" t="n">
        <f aca="false">F510*INDEX(Customers!$H$2:$H$41,MATCH(C510,Customers!$A$2:$A$41,0))</f>
        <v>975</v>
      </c>
      <c r="M510" s="16" t="n">
        <f aca="false">J510*INDEX(Customers!$I$2:$I$41,MATCH(C510,Customers!$A$2:$A$41,0))/365*Assumptions!$B$6</f>
        <v>297.874947945206</v>
      </c>
      <c r="N510" s="16" t="n">
        <f aca="false">J510-K510-L510-M510</f>
        <v>43122.9037520548</v>
      </c>
      <c r="O510" s="16" t="n">
        <f aca="false">F510*IF(A510="2025",INDEX(Products!$D$2:$D$13,MATCH(D510,Products!$A$2:$A$13,0)),INDEX(Products!$F$2:$F$13,MATCH(D510,Products!$A$2:$A$13,0)))</f>
        <v>30342</v>
      </c>
      <c r="P510" s="16" t="n">
        <f aca="false">N510-O510</f>
        <v>12780.9037520548</v>
      </c>
    </row>
    <row r="511" customFormat="false" ht="15" hidden="false" customHeight="false" outlineLevel="0" collapsed="false">
      <c r="A511" s="2" t="s">
        <v>118</v>
      </c>
      <c r="B511" s="2" t="n">
        <v>6</v>
      </c>
      <c r="C511" s="2" t="s">
        <v>70</v>
      </c>
      <c r="D511" s="2" t="s">
        <v>42</v>
      </c>
      <c r="E511" s="2" t="str">
        <f aca="false">INDEX(Products!$B$2:$B$13,MATCH(D511,Products!$A$2:$A$13,0))</f>
        <v>Hydroprocessing</v>
      </c>
      <c r="F511" s="15" t="n">
        <v>4.3</v>
      </c>
      <c r="G511" s="16" t="n">
        <f aca="false">IF(A511="2025",INDEX(Products!$C$2:$C$13,MATCH(D511,Products!$A$2:$A$13,0)),INDEX(Products!$E$2:$E$13,MATCH(D511,Products!$A$2:$A$13,0)))</f>
        <v>12450</v>
      </c>
      <c r="H511" s="13" t="n">
        <f aca="false">IF(A511="2025",INDEX(Customers!$D$2:$D$41,MATCH(C511,Customers!$A$2:$A$41,0)),INDEX(Customers!$F$2:$F$41,MATCH(C511,Customers!$A$2:$A$41,0)))</f>
        <v>0.067</v>
      </c>
      <c r="I511" s="16" t="n">
        <f aca="false">F511*G511</f>
        <v>53535</v>
      </c>
      <c r="J511" s="16" t="n">
        <f aca="false">I511*(1-H511)</f>
        <v>49948.155</v>
      </c>
      <c r="K511" s="16" t="n">
        <f aca="false">J511*INDEX(Customers!$G$2:$G$41,MATCH(C511,Customers!$A$2:$A$41,0))</f>
        <v>998.9631</v>
      </c>
      <c r="L511" s="16" t="n">
        <f aca="false">F511*INDEX(Customers!$H$2:$H$41,MATCH(C511,Customers!$A$2:$A$41,0))</f>
        <v>1075</v>
      </c>
      <c r="M511" s="16" t="n">
        <f aca="false">J511*INDEX(Customers!$I$2:$I$41,MATCH(C511,Customers!$A$2:$A$41,0))/365*Assumptions!$B$6</f>
        <v>328.426224657534</v>
      </c>
      <c r="N511" s="16" t="n">
        <f aca="false">J511-K511-L511-M511</f>
        <v>47545.7656753425</v>
      </c>
      <c r="O511" s="16" t="n">
        <f aca="false">F511*IF(A511="2025",INDEX(Products!$D$2:$D$13,MATCH(D511,Products!$A$2:$A$13,0)),INDEX(Products!$F$2:$F$13,MATCH(D511,Products!$A$2:$A$13,0)))</f>
        <v>33454</v>
      </c>
      <c r="P511" s="16" t="n">
        <f aca="false">N511-O511</f>
        <v>14091.7656753425</v>
      </c>
    </row>
    <row r="512" customFormat="false" ht="15" hidden="false" customHeight="false" outlineLevel="0" collapsed="false">
      <c r="A512" s="2" t="s">
        <v>118</v>
      </c>
      <c r="B512" s="2" t="n">
        <v>7</v>
      </c>
      <c r="C512" s="2" t="s">
        <v>70</v>
      </c>
      <c r="D512" s="2" t="s">
        <v>42</v>
      </c>
      <c r="E512" s="2" t="str">
        <f aca="false">INDEX(Products!$B$2:$B$13,MATCH(D512,Products!$A$2:$A$13,0))</f>
        <v>Hydroprocessing</v>
      </c>
      <c r="F512" s="15" t="n">
        <v>3.7</v>
      </c>
      <c r="G512" s="16" t="n">
        <f aca="false">IF(A512="2025",INDEX(Products!$C$2:$C$13,MATCH(D512,Products!$A$2:$A$13,0)),INDEX(Products!$E$2:$E$13,MATCH(D512,Products!$A$2:$A$13,0)))</f>
        <v>12450</v>
      </c>
      <c r="H512" s="13" t="n">
        <f aca="false">IF(A512="2025",INDEX(Customers!$D$2:$D$41,MATCH(C512,Customers!$A$2:$A$41,0)),INDEX(Customers!$F$2:$F$41,MATCH(C512,Customers!$A$2:$A$41,0)))</f>
        <v>0.067</v>
      </c>
      <c r="I512" s="16" t="n">
        <f aca="false">F512*G512</f>
        <v>46065</v>
      </c>
      <c r="J512" s="16" t="n">
        <f aca="false">I512*(1-H512)</f>
        <v>42978.645</v>
      </c>
      <c r="K512" s="16" t="n">
        <f aca="false">J512*INDEX(Customers!$G$2:$G$41,MATCH(C512,Customers!$A$2:$A$41,0))</f>
        <v>859.5729</v>
      </c>
      <c r="L512" s="16" t="n">
        <f aca="false">F512*INDEX(Customers!$H$2:$H$41,MATCH(C512,Customers!$A$2:$A$41,0))</f>
        <v>925</v>
      </c>
      <c r="M512" s="16" t="n">
        <f aca="false">J512*INDEX(Customers!$I$2:$I$41,MATCH(C512,Customers!$A$2:$A$41,0))/365*Assumptions!$B$6</f>
        <v>282.599309589041</v>
      </c>
      <c r="N512" s="16" t="n">
        <f aca="false">J512-K512-L512-M512</f>
        <v>40911.472790411</v>
      </c>
      <c r="O512" s="16" t="n">
        <f aca="false">F512*IF(A512="2025",INDEX(Products!$D$2:$D$13,MATCH(D512,Products!$A$2:$A$13,0)),INDEX(Products!$F$2:$F$13,MATCH(D512,Products!$A$2:$A$13,0)))</f>
        <v>28786</v>
      </c>
      <c r="P512" s="16" t="n">
        <f aca="false">N512-O512</f>
        <v>12125.472790411</v>
      </c>
    </row>
    <row r="513" customFormat="false" ht="15" hidden="false" customHeight="false" outlineLevel="0" collapsed="false">
      <c r="A513" s="2" t="s">
        <v>118</v>
      </c>
      <c r="B513" s="2" t="n">
        <v>8</v>
      </c>
      <c r="C513" s="2" t="s">
        <v>70</v>
      </c>
      <c r="D513" s="2" t="s">
        <v>42</v>
      </c>
      <c r="E513" s="2" t="str">
        <f aca="false">INDEX(Products!$B$2:$B$13,MATCH(D513,Products!$A$2:$A$13,0))</f>
        <v>Hydroprocessing</v>
      </c>
      <c r="F513" s="15" t="n">
        <v>3.6</v>
      </c>
      <c r="G513" s="16" t="n">
        <f aca="false">IF(A513="2025",INDEX(Products!$C$2:$C$13,MATCH(D513,Products!$A$2:$A$13,0)),INDEX(Products!$E$2:$E$13,MATCH(D513,Products!$A$2:$A$13,0)))</f>
        <v>12450</v>
      </c>
      <c r="H513" s="13" t="n">
        <f aca="false">IF(A513="2025",INDEX(Customers!$D$2:$D$41,MATCH(C513,Customers!$A$2:$A$41,0)),INDEX(Customers!$F$2:$F$41,MATCH(C513,Customers!$A$2:$A$41,0)))</f>
        <v>0.067</v>
      </c>
      <c r="I513" s="16" t="n">
        <f aca="false">F513*G513</f>
        <v>44820</v>
      </c>
      <c r="J513" s="16" t="n">
        <f aca="false">I513*(1-H513)</f>
        <v>41817.06</v>
      </c>
      <c r="K513" s="16" t="n">
        <f aca="false">J513*INDEX(Customers!$G$2:$G$41,MATCH(C513,Customers!$A$2:$A$41,0))</f>
        <v>836.3412</v>
      </c>
      <c r="L513" s="16" t="n">
        <f aca="false">F513*INDEX(Customers!$H$2:$H$41,MATCH(C513,Customers!$A$2:$A$41,0))</f>
        <v>900</v>
      </c>
      <c r="M513" s="16" t="n">
        <f aca="false">J513*INDEX(Customers!$I$2:$I$41,MATCH(C513,Customers!$A$2:$A$41,0))/365*Assumptions!$B$6</f>
        <v>274.961490410959</v>
      </c>
      <c r="N513" s="16" t="n">
        <f aca="false">J513-K513-L513-M513</f>
        <v>39805.757309589</v>
      </c>
      <c r="O513" s="16" t="n">
        <f aca="false">F513*IF(A513="2025",INDEX(Products!$D$2:$D$13,MATCH(D513,Products!$A$2:$A$13,0)),INDEX(Products!$F$2:$F$13,MATCH(D513,Products!$A$2:$A$13,0)))</f>
        <v>28008</v>
      </c>
      <c r="P513" s="16" t="n">
        <f aca="false">N513-O513</f>
        <v>11797.757309589</v>
      </c>
    </row>
    <row r="514" customFormat="false" ht="15" hidden="false" customHeight="false" outlineLevel="0" collapsed="false">
      <c r="A514" s="2" t="s">
        <v>118</v>
      </c>
      <c r="B514" s="2" t="n">
        <v>9</v>
      </c>
      <c r="C514" s="2" t="s">
        <v>70</v>
      </c>
      <c r="D514" s="2" t="s">
        <v>42</v>
      </c>
      <c r="E514" s="2" t="str">
        <f aca="false">INDEX(Products!$B$2:$B$13,MATCH(D514,Products!$A$2:$A$13,0))</f>
        <v>Hydroprocessing</v>
      </c>
      <c r="F514" s="15" t="n">
        <v>3.8</v>
      </c>
      <c r="G514" s="16" t="n">
        <f aca="false">IF(A514="2025",INDEX(Products!$C$2:$C$13,MATCH(D514,Products!$A$2:$A$13,0)),INDEX(Products!$E$2:$E$13,MATCH(D514,Products!$A$2:$A$13,0)))</f>
        <v>12450</v>
      </c>
      <c r="H514" s="13" t="n">
        <f aca="false">IF(A514="2025",INDEX(Customers!$D$2:$D$41,MATCH(C514,Customers!$A$2:$A$41,0)),INDEX(Customers!$F$2:$F$41,MATCH(C514,Customers!$A$2:$A$41,0)))</f>
        <v>0.067</v>
      </c>
      <c r="I514" s="16" t="n">
        <f aca="false">F514*G514</f>
        <v>47310</v>
      </c>
      <c r="J514" s="16" t="n">
        <f aca="false">I514*(1-H514)</f>
        <v>44140.23</v>
      </c>
      <c r="K514" s="16" t="n">
        <f aca="false">J514*INDEX(Customers!$G$2:$G$41,MATCH(C514,Customers!$A$2:$A$41,0))</f>
        <v>882.8046</v>
      </c>
      <c r="L514" s="16" t="n">
        <f aca="false">F514*INDEX(Customers!$H$2:$H$41,MATCH(C514,Customers!$A$2:$A$41,0))</f>
        <v>950</v>
      </c>
      <c r="M514" s="16" t="n">
        <f aca="false">J514*INDEX(Customers!$I$2:$I$41,MATCH(C514,Customers!$A$2:$A$41,0))/365*Assumptions!$B$6</f>
        <v>290.237128767123</v>
      </c>
      <c r="N514" s="16" t="n">
        <f aca="false">J514-K514-L514-M514</f>
        <v>42017.1882712329</v>
      </c>
      <c r="O514" s="16" t="n">
        <f aca="false">F514*IF(A514="2025",INDEX(Products!$D$2:$D$13,MATCH(D514,Products!$A$2:$A$13,0)),INDEX(Products!$F$2:$F$13,MATCH(D514,Products!$A$2:$A$13,0)))</f>
        <v>29564</v>
      </c>
      <c r="P514" s="16" t="n">
        <f aca="false">N514-O514</f>
        <v>12453.1882712329</v>
      </c>
    </row>
    <row r="515" customFormat="false" ht="15" hidden="false" customHeight="false" outlineLevel="0" collapsed="false">
      <c r="A515" s="2" t="s">
        <v>118</v>
      </c>
      <c r="B515" s="2" t="n">
        <v>10</v>
      </c>
      <c r="C515" s="2" t="s">
        <v>70</v>
      </c>
      <c r="D515" s="2" t="s">
        <v>42</v>
      </c>
      <c r="E515" s="2" t="str">
        <f aca="false">INDEX(Products!$B$2:$B$13,MATCH(D515,Products!$A$2:$A$13,0))</f>
        <v>Hydroprocessing</v>
      </c>
      <c r="F515" s="15" t="n">
        <v>3.6</v>
      </c>
      <c r="G515" s="16" t="n">
        <f aca="false">IF(A515="2025",INDEX(Products!$C$2:$C$13,MATCH(D515,Products!$A$2:$A$13,0)),INDEX(Products!$E$2:$E$13,MATCH(D515,Products!$A$2:$A$13,0)))</f>
        <v>12450</v>
      </c>
      <c r="H515" s="13" t="n">
        <f aca="false">IF(A515="2025",INDEX(Customers!$D$2:$D$41,MATCH(C515,Customers!$A$2:$A$41,0)),INDEX(Customers!$F$2:$F$41,MATCH(C515,Customers!$A$2:$A$41,0)))</f>
        <v>0.067</v>
      </c>
      <c r="I515" s="16" t="n">
        <f aca="false">F515*G515</f>
        <v>44820</v>
      </c>
      <c r="J515" s="16" t="n">
        <f aca="false">I515*(1-H515)</f>
        <v>41817.06</v>
      </c>
      <c r="K515" s="16" t="n">
        <f aca="false">J515*INDEX(Customers!$G$2:$G$41,MATCH(C515,Customers!$A$2:$A$41,0))</f>
        <v>836.3412</v>
      </c>
      <c r="L515" s="16" t="n">
        <f aca="false">F515*INDEX(Customers!$H$2:$H$41,MATCH(C515,Customers!$A$2:$A$41,0))</f>
        <v>900</v>
      </c>
      <c r="M515" s="16" t="n">
        <f aca="false">J515*INDEX(Customers!$I$2:$I$41,MATCH(C515,Customers!$A$2:$A$41,0))/365*Assumptions!$B$6</f>
        <v>274.961490410959</v>
      </c>
      <c r="N515" s="16" t="n">
        <f aca="false">J515-K515-L515-M515</f>
        <v>39805.757309589</v>
      </c>
      <c r="O515" s="16" t="n">
        <f aca="false">F515*IF(A515="2025",INDEX(Products!$D$2:$D$13,MATCH(D515,Products!$A$2:$A$13,0)),INDEX(Products!$F$2:$F$13,MATCH(D515,Products!$A$2:$A$13,0)))</f>
        <v>28008</v>
      </c>
      <c r="P515" s="16" t="n">
        <f aca="false">N515-O515</f>
        <v>11797.757309589</v>
      </c>
    </row>
    <row r="516" customFormat="false" ht="15" hidden="false" customHeight="false" outlineLevel="0" collapsed="false">
      <c r="A516" s="2" t="s">
        <v>118</v>
      </c>
      <c r="B516" s="2" t="n">
        <v>11</v>
      </c>
      <c r="C516" s="2" t="s">
        <v>70</v>
      </c>
      <c r="D516" s="2" t="s">
        <v>42</v>
      </c>
      <c r="E516" s="2" t="str">
        <f aca="false">INDEX(Products!$B$2:$B$13,MATCH(D516,Products!$A$2:$A$13,0))</f>
        <v>Hydroprocessing</v>
      </c>
      <c r="F516" s="15" t="n">
        <v>4.2</v>
      </c>
      <c r="G516" s="16" t="n">
        <f aca="false">IF(A516="2025",INDEX(Products!$C$2:$C$13,MATCH(D516,Products!$A$2:$A$13,0)),INDEX(Products!$E$2:$E$13,MATCH(D516,Products!$A$2:$A$13,0)))</f>
        <v>12450</v>
      </c>
      <c r="H516" s="13" t="n">
        <f aca="false">IF(A516="2025",INDEX(Customers!$D$2:$D$41,MATCH(C516,Customers!$A$2:$A$41,0)),INDEX(Customers!$F$2:$F$41,MATCH(C516,Customers!$A$2:$A$41,0)))</f>
        <v>0.067</v>
      </c>
      <c r="I516" s="16" t="n">
        <f aca="false">F516*G516</f>
        <v>52290</v>
      </c>
      <c r="J516" s="16" t="n">
        <f aca="false">I516*(1-H516)</f>
        <v>48786.57</v>
      </c>
      <c r="K516" s="16" t="n">
        <f aca="false">J516*INDEX(Customers!$G$2:$G$41,MATCH(C516,Customers!$A$2:$A$41,0))</f>
        <v>975.7314</v>
      </c>
      <c r="L516" s="16" t="n">
        <f aca="false">F516*INDEX(Customers!$H$2:$H$41,MATCH(C516,Customers!$A$2:$A$41,0))</f>
        <v>1050</v>
      </c>
      <c r="M516" s="16" t="n">
        <f aca="false">J516*INDEX(Customers!$I$2:$I$41,MATCH(C516,Customers!$A$2:$A$41,0))/365*Assumptions!$B$6</f>
        <v>320.788405479452</v>
      </c>
      <c r="N516" s="16" t="n">
        <f aca="false">J516-K516-L516-M516</f>
        <v>46440.0501945206</v>
      </c>
      <c r="O516" s="16" t="n">
        <f aca="false">F516*IF(A516="2025",INDEX(Products!$D$2:$D$13,MATCH(D516,Products!$A$2:$A$13,0)),INDEX(Products!$F$2:$F$13,MATCH(D516,Products!$A$2:$A$13,0)))</f>
        <v>32676</v>
      </c>
      <c r="P516" s="16" t="n">
        <f aca="false">N516-O516</f>
        <v>13764.0501945206</v>
      </c>
    </row>
    <row r="517" customFormat="false" ht="15" hidden="false" customHeight="false" outlineLevel="0" collapsed="false">
      <c r="A517" s="2" t="s">
        <v>118</v>
      </c>
      <c r="B517" s="2" t="n">
        <v>12</v>
      </c>
      <c r="C517" s="2" t="s">
        <v>70</v>
      </c>
      <c r="D517" s="2" t="s">
        <v>42</v>
      </c>
      <c r="E517" s="2" t="str">
        <f aca="false">INDEX(Products!$B$2:$B$13,MATCH(D517,Products!$A$2:$A$13,0))</f>
        <v>Hydroprocessing</v>
      </c>
      <c r="F517" s="15" t="n">
        <v>3.1</v>
      </c>
      <c r="G517" s="16" t="n">
        <f aca="false">IF(A517="2025",INDEX(Products!$C$2:$C$13,MATCH(D517,Products!$A$2:$A$13,0)),INDEX(Products!$E$2:$E$13,MATCH(D517,Products!$A$2:$A$13,0)))</f>
        <v>12450</v>
      </c>
      <c r="H517" s="13" t="n">
        <f aca="false">IF(A517="2025",INDEX(Customers!$D$2:$D$41,MATCH(C517,Customers!$A$2:$A$41,0)),INDEX(Customers!$F$2:$F$41,MATCH(C517,Customers!$A$2:$A$41,0)))</f>
        <v>0.067</v>
      </c>
      <c r="I517" s="16" t="n">
        <f aca="false">F517*G517</f>
        <v>38595</v>
      </c>
      <c r="J517" s="16" t="n">
        <f aca="false">I517*(1-H517)</f>
        <v>36009.135</v>
      </c>
      <c r="K517" s="16" t="n">
        <f aca="false">J517*INDEX(Customers!$G$2:$G$41,MATCH(C517,Customers!$A$2:$A$41,0))</f>
        <v>720.1827</v>
      </c>
      <c r="L517" s="16" t="n">
        <f aca="false">F517*INDEX(Customers!$H$2:$H$41,MATCH(C517,Customers!$A$2:$A$41,0))</f>
        <v>775</v>
      </c>
      <c r="M517" s="16" t="n">
        <f aca="false">J517*INDEX(Customers!$I$2:$I$41,MATCH(C517,Customers!$A$2:$A$41,0))/365*Assumptions!$B$6</f>
        <v>236.772394520548</v>
      </c>
      <c r="N517" s="16" t="n">
        <f aca="false">J517-K517-L517-M517</f>
        <v>34277.1799054795</v>
      </c>
      <c r="O517" s="16" t="n">
        <f aca="false">F517*IF(A517="2025",INDEX(Products!$D$2:$D$13,MATCH(D517,Products!$A$2:$A$13,0)),INDEX(Products!$F$2:$F$13,MATCH(D517,Products!$A$2:$A$13,0)))</f>
        <v>24118</v>
      </c>
      <c r="P517" s="16" t="n">
        <f aca="false">N517-O517</f>
        <v>10159.1799054795</v>
      </c>
    </row>
    <row r="518" customFormat="false" ht="15" hidden="false" customHeight="false" outlineLevel="0" collapsed="false">
      <c r="A518" s="2" t="s">
        <v>119</v>
      </c>
      <c r="B518" s="2" t="n">
        <v>1</v>
      </c>
      <c r="C518" s="2" t="s">
        <v>70</v>
      </c>
      <c r="D518" s="2" t="s">
        <v>42</v>
      </c>
      <c r="E518" s="2" t="str">
        <f aca="false">INDEX(Products!$B$2:$B$13,MATCH(D518,Products!$A$2:$A$13,0))</f>
        <v>Hydroprocessing</v>
      </c>
      <c r="F518" s="15" t="n">
        <v>2.7</v>
      </c>
      <c r="G518" s="16" t="n">
        <f aca="false">IF(A518="2025",INDEX(Products!$C$2:$C$13,MATCH(D518,Products!$A$2:$A$13,0)),INDEX(Products!$E$2:$E$13,MATCH(D518,Products!$A$2:$A$13,0)))</f>
        <v>13072.5</v>
      </c>
      <c r="H518" s="13" t="n">
        <f aca="false">IF(A518="2025",INDEX(Customers!$D$2:$D$41,MATCH(C518,Customers!$A$2:$A$41,0)),INDEX(Customers!$F$2:$F$41,MATCH(C518,Customers!$A$2:$A$41,0)))</f>
        <v>0.067</v>
      </c>
      <c r="I518" s="16" t="n">
        <f aca="false">F518*G518</f>
        <v>35295.75</v>
      </c>
      <c r="J518" s="16" t="n">
        <f aca="false">I518*(1-H518)</f>
        <v>32930.93475</v>
      </c>
      <c r="K518" s="16" t="n">
        <f aca="false">J518*INDEX(Customers!$G$2:$G$41,MATCH(C518,Customers!$A$2:$A$41,0))</f>
        <v>658.618695</v>
      </c>
      <c r="L518" s="16" t="n">
        <f aca="false">F518*INDEX(Customers!$H$2:$H$41,MATCH(C518,Customers!$A$2:$A$41,0))</f>
        <v>675</v>
      </c>
      <c r="M518" s="16" t="n">
        <f aca="false">J518*INDEX(Customers!$I$2:$I$41,MATCH(C518,Customers!$A$2:$A$41,0))/365*Assumptions!$B$6</f>
        <v>216.53217369863</v>
      </c>
      <c r="N518" s="16" t="n">
        <f aca="false">J518-K518-L518-M518</f>
        <v>31380.7838813014</v>
      </c>
      <c r="O518" s="16" t="n">
        <f aca="false">F518*IF(A518="2025",INDEX(Products!$D$2:$D$13,MATCH(D518,Products!$A$2:$A$13,0)),INDEX(Products!$F$2:$F$13,MATCH(D518,Products!$A$2:$A$13,0)))</f>
        <v>21636.18</v>
      </c>
      <c r="P518" s="16" t="n">
        <f aca="false">N518-O518</f>
        <v>9744.60388130137</v>
      </c>
    </row>
    <row r="519" customFormat="false" ht="15" hidden="false" customHeight="false" outlineLevel="0" collapsed="false">
      <c r="A519" s="2" t="s">
        <v>119</v>
      </c>
      <c r="B519" s="2" t="n">
        <v>2</v>
      </c>
      <c r="C519" s="2" t="s">
        <v>70</v>
      </c>
      <c r="D519" s="2" t="s">
        <v>42</v>
      </c>
      <c r="E519" s="2" t="str">
        <f aca="false">INDEX(Products!$B$2:$B$13,MATCH(D519,Products!$A$2:$A$13,0))</f>
        <v>Hydroprocessing</v>
      </c>
      <c r="F519" s="15" t="n">
        <v>2.2</v>
      </c>
      <c r="G519" s="16" t="n">
        <f aca="false">IF(A519="2025",INDEX(Products!$C$2:$C$13,MATCH(D519,Products!$A$2:$A$13,0)),INDEX(Products!$E$2:$E$13,MATCH(D519,Products!$A$2:$A$13,0)))</f>
        <v>13072.5</v>
      </c>
      <c r="H519" s="13" t="n">
        <f aca="false">IF(A519="2025",INDEX(Customers!$D$2:$D$41,MATCH(C519,Customers!$A$2:$A$41,0)),INDEX(Customers!$F$2:$F$41,MATCH(C519,Customers!$A$2:$A$41,0)))</f>
        <v>0.067</v>
      </c>
      <c r="I519" s="16" t="n">
        <f aca="false">F519*G519</f>
        <v>28759.5</v>
      </c>
      <c r="J519" s="16" t="n">
        <f aca="false">I519*(1-H519)</f>
        <v>26832.6135</v>
      </c>
      <c r="K519" s="16" t="n">
        <f aca="false">J519*INDEX(Customers!$G$2:$G$41,MATCH(C519,Customers!$A$2:$A$41,0))</f>
        <v>536.65227</v>
      </c>
      <c r="L519" s="16" t="n">
        <f aca="false">F519*INDEX(Customers!$H$2:$H$41,MATCH(C519,Customers!$A$2:$A$41,0))</f>
        <v>550</v>
      </c>
      <c r="M519" s="16" t="n">
        <f aca="false">J519*INDEX(Customers!$I$2:$I$41,MATCH(C519,Customers!$A$2:$A$41,0))/365*Assumptions!$B$6</f>
        <v>176.433623013699</v>
      </c>
      <c r="N519" s="16" t="n">
        <f aca="false">J519-K519-L519-M519</f>
        <v>25569.5276069863</v>
      </c>
      <c r="O519" s="16" t="n">
        <f aca="false">F519*IF(A519="2025",INDEX(Products!$D$2:$D$13,MATCH(D519,Products!$A$2:$A$13,0)),INDEX(Products!$F$2:$F$13,MATCH(D519,Products!$A$2:$A$13,0)))</f>
        <v>17629.48</v>
      </c>
      <c r="P519" s="16" t="n">
        <f aca="false">N519-O519</f>
        <v>7940.0476069863</v>
      </c>
    </row>
    <row r="520" customFormat="false" ht="15" hidden="false" customHeight="false" outlineLevel="0" collapsed="false">
      <c r="A520" s="2" t="s">
        <v>119</v>
      </c>
      <c r="B520" s="2" t="n">
        <v>3</v>
      </c>
      <c r="C520" s="2" t="s">
        <v>70</v>
      </c>
      <c r="D520" s="2" t="s">
        <v>42</v>
      </c>
      <c r="E520" s="2" t="str">
        <f aca="false">INDEX(Products!$B$2:$B$13,MATCH(D520,Products!$A$2:$A$13,0))</f>
        <v>Hydroprocessing</v>
      </c>
      <c r="F520" s="15" t="n">
        <v>3.7</v>
      </c>
      <c r="G520" s="16" t="n">
        <f aca="false">IF(A520="2025",INDEX(Products!$C$2:$C$13,MATCH(D520,Products!$A$2:$A$13,0)),INDEX(Products!$E$2:$E$13,MATCH(D520,Products!$A$2:$A$13,0)))</f>
        <v>13072.5</v>
      </c>
      <c r="H520" s="13" t="n">
        <f aca="false">IF(A520="2025",INDEX(Customers!$D$2:$D$41,MATCH(C520,Customers!$A$2:$A$41,0)),INDEX(Customers!$F$2:$F$41,MATCH(C520,Customers!$A$2:$A$41,0)))</f>
        <v>0.067</v>
      </c>
      <c r="I520" s="16" t="n">
        <f aca="false">F520*G520</f>
        <v>48368.25</v>
      </c>
      <c r="J520" s="16" t="n">
        <f aca="false">I520*(1-H520)</f>
        <v>45127.57725</v>
      </c>
      <c r="K520" s="16" t="n">
        <f aca="false">J520*INDEX(Customers!$G$2:$G$41,MATCH(C520,Customers!$A$2:$A$41,0))</f>
        <v>902.551545</v>
      </c>
      <c r="L520" s="16" t="n">
        <f aca="false">F520*INDEX(Customers!$H$2:$H$41,MATCH(C520,Customers!$A$2:$A$41,0))</f>
        <v>925</v>
      </c>
      <c r="M520" s="16" t="n">
        <f aca="false">J520*INDEX(Customers!$I$2:$I$41,MATCH(C520,Customers!$A$2:$A$41,0))/365*Assumptions!$B$6</f>
        <v>296.729275068493</v>
      </c>
      <c r="N520" s="16" t="n">
        <f aca="false">J520-K520-L520-M520</f>
        <v>43003.2964299315</v>
      </c>
      <c r="O520" s="16" t="n">
        <f aca="false">F520*IF(A520="2025",INDEX(Products!$D$2:$D$13,MATCH(D520,Products!$A$2:$A$13,0)),INDEX(Products!$F$2:$F$13,MATCH(D520,Products!$A$2:$A$13,0)))</f>
        <v>29649.58</v>
      </c>
      <c r="P520" s="16" t="n">
        <f aca="false">N520-O520</f>
        <v>13353.7164299315</v>
      </c>
    </row>
    <row r="521" customFormat="false" ht="15" hidden="false" customHeight="false" outlineLevel="0" collapsed="false">
      <c r="A521" s="2" t="s">
        <v>119</v>
      </c>
      <c r="B521" s="2" t="n">
        <v>4</v>
      </c>
      <c r="C521" s="2" t="s">
        <v>70</v>
      </c>
      <c r="D521" s="2" t="s">
        <v>42</v>
      </c>
      <c r="E521" s="2" t="str">
        <f aca="false">INDEX(Products!$B$2:$B$13,MATCH(D521,Products!$A$2:$A$13,0))</f>
        <v>Hydroprocessing</v>
      </c>
      <c r="F521" s="15" t="n">
        <v>2.2</v>
      </c>
      <c r="G521" s="16" t="n">
        <f aca="false">IF(A521="2025",INDEX(Products!$C$2:$C$13,MATCH(D521,Products!$A$2:$A$13,0)),INDEX(Products!$E$2:$E$13,MATCH(D521,Products!$A$2:$A$13,0)))</f>
        <v>13072.5</v>
      </c>
      <c r="H521" s="13" t="n">
        <f aca="false">IF(A521="2025",INDEX(Customers!$D$2:$D$41,MATCH(C521,Customers!$A$2:$A$41,0)),INDEX(Customers!$F$2:$F$41,MATCH(C521,Customers!$A$2:$A$41,0)))</f>
        <v>0.067</v>
      </c>
      <c r="I521" s="16" t="n">
        <f aca="false">F521*G521</f>
        <v>28759.5</v>
      </c>
      <c r="J521" s="16" t="n">
        <f aca="false">I521*(1-H521)</f>
        <v>26832.6135</v>
      </c>
      <c r="K521" s="16" t="n">
        <f aca="false">J521*INDEX(Customers!$G$2:$G$41,MATCH(C521,Customers!$A$2:$A$41,0))</f>
        <v>536.65227</v>
      </c>
      <c r="L521" s="16" t="n">
        <f aca="false">F521*INDEX(Customers!$H$2:$H$41,MATCH(C521,Customers!$A$2:$A$41,0))</f>
        <v>550</v>
      </c>
      <c r="M521" s="16" t="n">
        <f aca="false">J521*INDEX(Customers!$I$2:$I$41,MATCH(C521,Customers!$A$2:$A$41,0))/365*Assumptions!$B$6</f>
        <v>176.433623013699</v>
      </c>
      <c r="N521" s="16" t="n">
        <f aca="false">J521-K521-L521-M521</f>
        <v>25569.5276069863</v>
      </c>
      <c r="O521" s="16" t="n">
        <f aca="false">F521*IF(A521="2025",INDEX(Products!$D$2:$D$13,MATCH(D521,Products!$A$2:$A$13,0)),INDEX(Products!$F$2:$F$13,MATCH(D521,Products!$A$2:$A$13,0)))</f>
        <v>17629.48</v>
      </c>
      <c r="P521" s="16" t="n">
        <f aca="false">N521-O521</f>
        <v>7940.0476069863</v>
      </c>
    </row>
    <row r="522" customFormat="false" ht="15" hidden="false" customHeight="false" outlineLevel="0" collapsed="false">
      <c r="A522" s="2" t="s">
        <v>119</v>
      </c>
      <c r="B522" s="2" t="n">
        <v>5</v>
      </c>
      <c r="C522" s="2" t="s">
        <v>70</v>
      </c>
      <c r="D522" s="2" t="s">
        <v>42</v>
      </c>
      <c r="E522" s="2" t="str">
        <f aca="false">INDEX(Products!$B$2:$B$13,MATCH(D522,Products!$A$2:$A$13,0))</f>
        <v>Hydroprocessing</v>
      </c>
      <c r="F522" s="15" t="n">
        <v>3.6</v>
      </c>
      <c r="G522" s="16" t="n">
        <f aca="false">IF(A522="2025",INDEX(Products!$C$2:$C$13,MATCH(D522,Products!$A$2:$A$13,0)),INDEX(Products!$E$2:$E$13,MATCH(D522,Products!$A$2:$A$13,0)))</f>
        <v>13072.5</v>
      </c>
      <c r="H522" s="13" t="n">
        <f aca="false">IF(A522="2025",INDEX(Customers!$D$2:$D$41,MATCH(C522,Customers!$A$2:$A$41,0)),INDEX(Customers!$F$2:$F$41,MATCH(C522,Customers!$A$2:$A$41,0)))</f>
        <v>0.067</v>
      </c>
      <c r="I522" s="16" t="n">
        <f aca="false">F522*G522</f>
        <v>47061</v>
      </c>
      <c r="J522" s="16" t="n">
        <f aca="false">I522*(1-H522)</f>
        <v>43907.913</v>
      </c>
      <c r="K522" s="16" t="n">
        <f aca="false">J522*INDEX(Customers!$G$2:$G$41,MATCH(C522,Customers!$A$2:$A$41,0))</f>
        <v>878.15826</v>
      </c>
      <c r="L522" s="16" t="n">
        <f aca="false">F522*INDEX(Customers!$H$2:$H$41,MATCH(C522,Customers!$A$2:$A$41,0))</f>
        <v>900</v>
      </c>
      <c r="M522" s="16" t="n">
        <f aca="false">J522*INDEX(Customers!$I$2:$I$41,MATCH(C522,Customers!$A$2:$A$41,0))/365*Assumptions!$B$6</f>
        <v>288.709564931507</v>
      </c>
      <c r="N522" s="16" t="n">
        <f aca="false">J522-K522-L522-M522</f>
        <v>41841.0451750685</v>
      </c>
      <c r="O522" s="16" t="n">
        <f aca="false">F522*IF(A522="2025",INDEX(Products!$D$2:$D$13,MATCH(D522,Products!$A$2:$A$13,0)),INDEX(Products!$F$2:$F$13,MATCH(D522,Products!$A$2:$A$13,0)))</f>
        <v>28848.24</v>
      </c>
      <c r="P522" s="16" t="n">
        <f aca="false">N522-O522</f>
        <v>12992.8051750685</v>
      </c>
    </row>
    <row r="523" customFormat="false" ht="15" hidden="false" customHeight="false" outlineLevel="0" collapsed="false">
      <c r="A523" s="2" t="s">
        <v>119</v>
      </c>
      <c r="B523" s="2" t="n">
        <v>6</v>
      </c>
      <c r="C523" s="2" t="s">
        <v>70</v>
      </c>
      <c r="D523" s="2" t="s">
        <v>42</v>
      </c>
      <c r="E523" s="2" t="str">
        <f aca="false">INDEX(Products!$B$2:$B$13,MATCH(D523,Products!$A$2:$A$13,0))</f>
        <v>Hydroprocessing</v>
      </c>
      <c r="F523" s="15" t="n">
        <v>2.7</v>
      </c>
      <c r="G523" s="16" t="n">
        <f aca="false">IF(A523="2025",INDEX(Products!$C$2:$C$13,MATCH(D523,Products!$A$2:$A$13,0)),INDEX(Products!$E$2:$E$13,MATCH(D523,Products!$A$2:$A$13,0)))</f>
        <v>13072.5</v>
      </c>
      <c r="H523" s="13" t="n">
        <f aca="false">IF(A523="2025",INDEX(Customers!$D$2:$D$41,MATCH(C523,Customers!$A$2:$A$41,0)),INDEX(Customers!$F$2:$F$41,MATCH(C523,Customers!$A$2:$A$41,0)))</f>
        <v>0.067</v>
      </c>
      <c r="I523" s="16" t="n">
        <f aca="false">F523*G523</f>
        <v>35295.75</v>
      </c>
      <c r="J523" s="16" t="n">
        <f aca="false">I523*(1-H523)</f>
        <v>32930.93475</v>
      </c>
      <c r="K523" s="16" t="n">
        <f aca="false">J523*INDEX(Customers!$G$2:$G$41,MATCH(C523,Customers!$A$2:$A$41,0))</f>
        <v>658.618695</v>
      </c>
      <c r="L523" s="16" t="n">
        <f aca="false">F523*INDEX(Customers!$H$2:$H$41,MATCH(C523,Customers!$A$2:$A$41,0))</f>
        <v>675</v>
      </c>
      <c r="M523" s="16" t="n">
        <f aca="false">J523*INDEX(Customers!$I$2:$I$41,MATCH(C523,Customers!$A$2:$A$41,0))/365*Assumptions!$B$6</f>
        <v>216.53217369863</v>
      </c>
      <c r="N523" s="16" t="n">
        <f aca="false">J523-K523-L523-M523</f>
        <v>31380.7838813014</v>
      </c>
      <c r="O523" s="16" t="n">
        <f aca="false">F523*IF(A523="2025",INDEX(Products!$D$2:$D$13,MATCH(D523,Products!$A$2:$A$13,0)),INDEX(Products!$F$2:$F$13,MATCH(D523,Products!$A$2:$A$13,0)))</f>
        <v>21636.18</v>
      </c>
      <c r="P523" s="16" t="n">
        <f aca="false">N523-O523</f>
        <v>9744.60388130137</v>
      </c>
    </row>
    <row r="524" customFormat="false" ht="15" hidden="false" customHeight="false" outlineLevel="0" collapsed="false">
      <c r="A524" s="2" t="s">
        <v>119</v>
      </c>
      <c r="B524" s="2" t="n">
        <v>7</v>
      </c>
      <c r="C524" s="2" t="s">
        <v>70</v>
      </c>
      <c r="D524" s="2" t="s">
        <v>42</v>
      </c>
      <c r="E524" s="2" t="str">
        <f aca="false">INDEX(Products!$B$2:$B$13,MATCH(D524,Products!$A$2:$A$13,0))</f>
        <v>Hydroprocessing</v>
      </c>
      <c r="F524" s="15" t="n">
        <v>3.8</v>
      </c>
      <c r="G524" s="16" t="n">
        <f aca="false">IF(A524="2025",INDEX(Products!$C$2:$C$13,MATCH(D524,Products!$A$2:$A$13,0)),INDEX(Products!$E$2:$E$13,MATCH(D524,Products!$A$2:$A$13,0)))</f>
        <v>13072.5</v>
      </c>
      <c r="H524" s="13" t="n">
        <f aca="false">IF(A524="2025",INDEX(Customers!$D$2:$D$41,MATCH(C524,Customers!$A$2:$A$41,0)),INDEX(Customers!$F$2:$F$41,MATCH(C524,Customers!$A$2:$A$41,0)))</f>
        <v>0.067</v>
      </c>
      <c r="I524" s="16" t="n">
        <f aca="false">F524*G524</f>
        <v>49675.5</v>
      </c>
      <c r="J524" s="16" t="n">
        <f aca="false">I524*(1-H524)</f>
        <v>46347.2415</v>
      </c>
      <c r="K524" s="16" t="n">
        <f aca="false">J524*INDEX(Customers!$G$2:$G$41,MATCH(C524,Customers!$A$2:$A$41,0))</f>
        <v>926.94483</v>
      </c>
      <c r="L524" s="16" t="n">
        <f aca="false">F524*INDEX(Customers!$H$2:$H$41,MATCH(C524,Customers!$A$2:$A$41,0))</f>
        <v>950</v>
      </c>
      <c r="M524" s="16" t="n">
        <f aca="false">J524*INDEX(Customers!$I$2:$I$41,MATCH(C524,Customers!$A$2:$A$41,0))/365*Assumptions!$B$6</f>
        <v>304.748985205479</v>
      </c>
      <c r="N524" s="16" t="n">
        <f aca="false">J524-K524-L524-M524</f>
        <v>44165.5476847945</v>
      </c>
      <c r="O524" s="16" t="n">
        <f aca="false">F524*IF(A524="2025",INDEX(Products!$D$2:$D$13,MATCH(D524,Products!$A$2:$A$13,0)),INDEX(Products!$F$2:$F$13,MATCH(D524,Products!$A$2:$A$13,0)))</f>
        <v>30450.92</v>
      </c>
      <c r="P524" s="16" t="n">
        <f aca="false">N524-O524</f>
        <v>13714.6276847945</v>
      </c>
    </row>
    <row r="525" customFormat="false" ht="15" hidden="false" customHeight="false" outlineLevel="0" collapsed="false">
      <c r="A525" s="2" t="s">
        <v>119</v>
      </c>
      <c r="B525" s="2" t="n">
        <v>8</v>
      </c>
      <c r="C525" s="2" t="s">
        <v>70</v>
      </c>
      <c r="D525" s="2" t="s">
        <v>42</v>
      </c>
      <c r="E525" s="2" t="str">
        <f aca="false">INDEX(Products!$B$2:$B$13,MATCH(D525,Products!$A$2:$A$13,0))</f>
        <v>Hydroprocessing</v>
      </c>
      <c r="F525" s="15" t="n">
        <v>2.3</v>
      </c>
      <c r="G525" s="16" t="n">
        <f aca="false">IF(A525="2025",INDEX(Products!$C$2:$C$13,MATCH(D525,Products!$A$2:$A$13,0)),INDEX(Products!$E$2:$E$13,MATCH(D525,Products!$A$2:$A$13,0)))</f>
        <v>13072.5</v>
      </c>
      <c r="H525" s="13" t="n">
        <f aca="false">IF(A525="2025",INDEX(Customers!$D$2:$D$41,MATCH(C525,Customers!$A$2:$A$41,0)),INDEX(Customers!$F$2:$F$41,MATCH(C525,Customers!$A$2:$A$41,0)))</f>
        <v>0.067</v>
      </c>
      <c r="I525" s="16" t="n">
        <f aca="false">F525*G525</f>
        <v>30066.75</v>
      </c>
      <c r="J525" s="16" t="n">
        <f aca="false">I525*(1-H525)</f>
        <v>28052.27775</v>
      </c>
      <c r="K525" s="16" t="n">
        <f aca="false">J525*INDEX(Customers!$G$2:$G$41,MATCH(C525,Customers!$A$2:$A$41,0))</f>
        <v>561.045555</v>
      </c>
      <c r="L525" s="16" t="n">
        <f aca="false">F525*INDEX(Customers!$H$2:$H$41,MATCH(C525,Customers!$A$2:$A$41,0))</f>
        <v>575</v>
      </c>
      <c r="M525" s="16" t="n">
        <f aca="false">J525*INDEX(Customers!$I$2:$I$41,MATCH(C525,Customers!$A$2:$A$41,0))/365*Assumptions!$B$6</f>
        <v>184.453333150685</v>
      </c>
      <c r="N525" s="16" t="n">
        <f aca="false">J525-K525-L525-M525</f>
        <v>26731.7788618493</v>
      </c>
      <c r="O525" s="16" t="n">
        <f aca="false">F525*IF(A525="2025",INDEX(Products!$D$2:$D$13,MATCH(D525,Products!$A$2:$A$13,0)),INDEX(Products!$F$2:$F$13,MATCH(D525,Products!$A$2:$A$13,0)))</f>
        <v>18430.82</v>
      </c>
      <c r="P525" s="16" t="n">
        <f aca="false">N525-O525</f>
        <v>8300.95886184931</v>
      </c>
    </row>
    <row r="526" customFormat="false" ht="15" hidden="false" customHeight="false" outlineLevel="0" collapsed="false">
      <c r="A526" s="2" t="s">
        <v>119</v>
      </c>
      <c r="B526" s="2" t="n">
        <v>9</v>
      </c>
      <c r="C526" s="2" t="s">
        <v>70</v>
      </c>
      <c r="D526" s="2" t="s">
        <v>42</v>
      </c>
      <c r="E526" s="2" t="str">
        <f aca="false">INDEX(Products!$B$2:$B$13,MATCH(D526,Products!$A$2:$A$13,0))</f>
        <v>Hydroprocessing</v>
      </c>
      <c r="F526" s="15" t="n">
        <v>2.5</v>
      </c>
      <c r="G526" s="16" t="n">
        <f aca="false">IF(A526="2025",INDEX(Products!$C$2:$C$13,MATCH(D526,Products!$A$2:$A$13,0)),INDEX(Products!$E$2:$E$13,MATCH(D526,Products!$A$2:$A$13,0)))</f>
        <v>13072.5</v>
      </c>
      <c r="H526" s="13" t="n">
        <f aca="false">IF(A526="2025",INDEX(Customers!$D$2:$D$41,MATCH(C526,Customers!$A$2:$A$41,0)),INDEX(Customers!$F$2:$F$41,MATCH(C526,Customers!$A$2:$A$41,0)))</f>
        <v>0.067</v>
      </c>
      <c r="I526" s="16" t="n">
        <f aca="false">F526*G526</f>
        <v>32681.25</v>
      </c>
      <c r="J526" s="16" t="n">
        <f aca="false">I526*(1-H526)</f>
        <v>30491.60625</v>
      </c>
      <c r="K526" s="16" t="n">
        <f aca="false">J526*INDEX(Customers!$G$2:$G$41,MATCH(C526,Customers!$A$2:$A$41,0))</f>
        <v>609.832125</v>
      </c>
      <c r="L526" s="16" t="n">
        <f aca="false">F526*INDEX(Customers!$H$2:$H$41,MATCH(C526,Customers!$A$2:$A$41,0))</f>
        <v>625</v>
      </c>
      <c r="M526" s="16" t="n">
        <f aca="false">J526*INDEX(Customers!$I$2:$I$41,MATCH(C526,Customers!$A$2:$A$41,0))/365*Assumptions!$B$6</f>
        <v>200.492753424658</v>
      </c>
      <c r="N526" s="16" t="n">
        <f aca="false">J526-K526-L526-M526</f>
        <v>29056.2813715753</v>
      </c>
      <c r="O526" s="16" t="n">
        <f aca="false">F526*IF(A526="2025",INDEX(Products!$D$2:$D$13,MATCH(D526,Products!$A$2:$A$13,0)),INDEX(Products!$F$2:$F$13,MATCH(D526,Products!$A$2:$A$13,0)))</f>
        <v>20033.5</v>
      </c>
      <c r="P526" s="16" t="n">
        <f aca="false">N526-O526</f>
        <v>9022.78137157534</v>
      </c>
    </row>
    <row r="527" customFormat="false" ht="15" hidden="false" customHeight="false" outlineLevel="0" collapsed="false">
      <c r="A527" s="2" t="s">
        <v>119</v>
      </c>
      <c r="B527" s="2" t="n">
        <v>10</v>
      </c>
      <c r="C527" s="2" t="s">
        <v>70</v>
      </c>
      <c r="D527" s="2" t="s">
        <v>42</v>
      </c>
      <c r="E527" s="2" t="str">
        <f aca="false">INDEX(Products!$B$2:$B$13,MATCH(D527,Products!$A$2:$A$13,0))</f>
        <v>Hydroprocessing</v>
      </c>
      <c r="F527" s="15" t="n">
        <v>3.4</v>
      </c>
      <c r="G527" s="16" t="n">
        <f aca="false">IF(A527="2025",INDEX(Products!$C$2:$C$13,MATCH(D527,Products!$A$2:$A$13,0)),INDEX(Products!$E$2:$E$13,MATCH(D527,Products!$A$2:$A$13,0)))</f>
        <v>13072.5</v>
      </c>
      <c r="H527" s="13" t="n">
        <f aca="false">IF(A527="2025",INDEX(Customers!$D$2:$D$41,MATCH(C527,Customers!$A$2:$A$41,0)),INDEX(Customers!$F$2:$F$41,MATCH(C527,Customers!$A$2:$A$41,0)))</f>
        <v>0.067</v>
      </c>
      <c r="I527" s="16" t="n">
        <f aca="false">F527*G527</f>
        <v>44446.5</v>
      </c>
      <c r="J527" s="16" t="n">
        <f aca="false">I527*(1-H527)</f>
        <v>41468.5845</v>
      </c>
      <c r="K527" s="16" t="n">
        <f aca="false">J527*INDEX(Customers!$G$2:$G$41,MATCH(C527,Customers!$A$2:$A$41,0))</f>
        <v>829.37169</v>
      </c>
      <c r="L527" s="16" t="n">
        <f aca="false">F527*INDEX(Customers!$H$2:$H$41,MATCH(C527,Customers!$A$2:$A$41,0))</f>
        <v>850</v>
      </c>
      <c r="M527" s="16" t="n">
        <f aca="false">J527*INDEX(Customers!$I$2:$I$41,MATCH(C527,Customers!$A$2:$A$41,0))/365*Assumptions!$B$6</f>
        <v>272.670144657534</v>
      </c>
      <c r="N527" s="16" t="n">
        <f aca="false">J527-K527-L527-M527</f>
        <v>39516.5426653425</v>
      </c>
      <c r="O527" s="16" t="n">
        <f aca="false">F527*IF(A527="2025",INDEX(Products!$D$2:$D$13,MATCH(D527,Products!$A$2:$A$13,0)),INDEX(Products!$F$2:$F$13,MATCH(D527,Products!$A$2:$A$13,0)))</f>
        <v>27245.56</v>
      </c>
      <c r="P527" s="16" t="n">
        <f aca="false">N527-O527</f>
        <v>12270.9826653425</v>
      </c>
    </row>
    <row r="528" customFormat="false" ht="15" hidden="false" customHeight="false" outlineLevel="0" collapsed="false">
      <c r="A528" s="2" t="s">
        <v>119</v>
      </c>
      <c r="B528" s="2" t="n">
        <v>11</v>
      </c>
      <c r="C528" s="2" t="s">
        <v>70</v>
      </c>
      <c r="D528" s="2" t="s">
        <v>42</v>
      </c>
      <c r="E528" s="2" t="str">
        <f aca="false">INDEX(Products!$B$2:$B$13,MATCH(D528,Products!$A$2:$A$13,0))</f>
        <v>Hydroprocessing</v>
      </c>
      <c r="F528" s="15" t="n">
        <v>2.7</v>
      </c>
      <c r="G528" s="16" t="n">
        <f aca="false">IF(A528="2025",INDEX(Products!$C$2:$C$13,MATCH(D528,Products!$A$2:$A$13,0)),INDEX(Products!$E$2:$E$13,MATCH(D528,Products!$A$2:$A$13,0)))</f>
        <v>13072.5</v>
      </c>
      <c r="H528" s="13" t="n">
        <f aca="false">IF(A528="2025",INDEX(Customers!$D$2:$D$41,MATCH(C528,Customers!$A$2:$A$41,0)),INDEX(Customers!$F$2:$F$41,MATCH(C528,Customers!$A$2:$A$41,0)))</f>
        <v>0.067</v>
      </c>
      <c r="I528" s="16" t="n">
        <f aca="false">F528*G528</f>
        <v>35295.75</v>
      </c>
      <c r="J528" s="16" t="n">
        <f aca="false">I528*(1-H528)</f>
        <v>32930.93475</v>
      </c>
      <c r="K528" s="16" t="n">
        <f aca="false">J528*INDEX(Customers!$G$2:$G$41,MATCH(C528,Customers!$A$2:$A$41,0))</f>
        <v>658.618695</v>
      </c>
      <c r="L528" s="16" t="n">
        <f aca="false">F528*INDEX(Customers!$H$2:$H$41,MATCH(C528,Customers!$A$2:$A$41,0))</f>
        <v>675</v>
      </c>
      <c r="M528" s="16" t="n">
        <f aca="false">J528*INDEX(Customers!$I$2:$I$41,MATCH(C528,Customers!$A$2:$A$41,0))/365*Assumptions!$B$6</f>
        <v>216.53217369863</v>
      </c>
      <c r="N528" s="16" t="n">
        <f aca="false">J528-K528-L528-M528</f>
        <v>31380.7838813014</v>
      </c>
      <c r="O528" s="16" t="n">
        <f aca="false">F528*IF(A528="2025",INDEX(Products!$D$2:$D$13,MATCH(D528,Products!$A$2:$A$13,0)),INDEX(Products!$F$2:$F$13,MATCH(D528,Products!$A$2:$A$13,0)))</f>
        <v>21636.18</v>
      </c>
      <c r="P528" s="16" t="n">
        <f aca="false">N528-O528</f>
        <v>9744.60388130137</v>
      </c>
    </row>
    <row r="529" customFormat="false" ht="15" hidden="false" customHeight="false" outlineLevel="0" collapsed="false">
      <c r="A529" s="2" t="s">
        <v>119</v>
      </c>
      <c r="B529" s="2" t="n">
        <v>12</v>
      </c>
      <c r="C529" s="2" t="s">
        <v>70</v>
      </c>
      <c r="D529" s="2" t="s">
        <v>42</v>
      </c>
      <c r="E529" s="2" t="str">
        <f aca="false">INDEX(Products!$B$2:$B$13,MATCH(D529,Products!$A$2:$A$13,0))</f>
        <v>Hydroprocessing</v>
      </c>
      <c r="F529" s="15" t="n">
        <v>2.8</v>
      </c>
      <c r="G529" s="16" t="n">
        <f aca="false">IF(A529="2025",INDEX(Products!$C$2:$C$13,MATCH(D529,Products!$A$2:$A$13,0)),INDEX(Products!$E$2:$E$13,MATCH(D529,Products!$A$2:$A$13,0)))</f>
        <v>13072.5</v>
      </c>
      <c r="H529" s="13" t="n">
        <f aca="false">IF(A529="2025",INDEX(Customers!$D$2:$D$41,MATCH(C529,Customers!$A$2:$A$41,0)),INDEX(Customers!$F$2:$F$41,MATCH(C529,Customers!$A$2:$A$41,0)))</f>
        <v>0.067</v>
      </c>
      <c r="I529" s="16" t="n">
        <f aca="false">F529*G529</f>
        <v>36603</v>
      </c>
      <c r="J529" s="16" t="n">
        <f aca="false">I529*(1-H529)</f>
        <v>34150.599</v>
      </c>
      <c r="K529" s="16" t="n">
        <f aca="false">J529*INDEX(Customers!$G$2:$G$41,MATCH(C529,Customers!$A$2:$A$41,0))</f>
        <v>683.01198</v>
      </c>
      <c r="L529" s="16" t="n">
        <f aca="false">F529*INDEX(Customers!$H$2:$H$41,MATCH(C529,Customers!$A$2:$A$41,0))</f>
        <v>700</v>
      </c>
      <c r="M529" s="16" t="n">
        <f aca="false">J529*INDEX(Customers!$I$2:$I$41,MATCH(C529,Customers!$A$2:$A$41,0))/365*Assumptions!$B$6</f>
        <v>224.551883835616</v>
      </c>
      <c r="N529" s="16" t="n">
        <f aca="false">J529-K529-L529-M529</f>
        <v>32543.0351361644</v>
      </c>
      <c r="O529" s="16" t="n">
        <f aca="false">F529*IF(A529="2025",INDEX(Products!$D$2:$D$13,MATCH(D529,Products!$A$2:$A$13,0)),INDEX(Products!$F$2:$F$13,MATCH(D529,Products!$A$2:$A$13,0)))</f>
        <v>22437.52</v>
      </c>
      <c r="P529" s="16" t="n">
        <f aca="false">N529-O529</f>
        <v>10105.5151361644</v>
      </c>
    </row>
    <row r="530" customFormat="false" ht="15" hidden="false" customHeight="false" outlineLevel="0" collapsed="false">
      <c r="A530" s="2" t="s">
        <v>118</v>
      </c>
      <c r="B530" s="2" t="n">
        <v>1</v>
      </c>
      <c r="C530" s="2" t="s">
        <v>70</v>
      </c>
      <c r="D530" s="2" t="s">
        <v>41</v>
      </c>
      <c r="E530" s="2" t="str">
        <f aca="false">INDEX(Products!$B$2:$B$13,MATCH(D530,Products!$A$2:$A$13,0))</f>
        <v>Hydroprocessing</v>
      </c>
      <c r="F530" s="15" t="n">
        <v>2.4</v>
      </c>
      <c r="G530" s="16" t="n">
        <f aca="false">IF(A530="2025",INDEX(Products!$C$2:$C$13,MATCH(D530,Products!$A$2:$A$13,0)),INDEX(Products!$E$2:$E$13,MATCH(D530,Products!$A$2:$A$13,0)))</f>
        <v>14770</v>
      </c>
      <c r="H530" s="13" t="n">
        <f aca="false">IF(A530="2025",INDEX(Customers!$D$2:$D$41,MATCH(C530,Customers!$A$2:$A$41,0)),INDEX(Customers!$F$2:$F$41,MATCH(C530,Customers!$A$2:$A$41,0)))</f>
        <v>0.067</v>
      </c>
      <c r="I530" s="16" t="n">
        <f aca="false">F530*G530</f>
        <v>35448</v>
      </c>
      <c r="J530" s="16" t="n">
        <f aca="false">I530*(1-H530)</f>
        <v>33072.984</v>
      </c>
      <c r="K530" s="16" t="n">
        <f aca="false">J530*INDEX(Customers!$G$2:$G$41,MATCH(C530,Customers!$A$2:$A$41,0))</f>
        <v>661.45968</v>
      </c>
      <c r="L530" s="16" t="n">
        <f aca="false">F530*INDEX(Customers!$H$2:$H$41,MATCH(C530,Customers!$A$2:$A$41,0))</f>
        <v>600</v>
      </c>
      <c r="M530" s="16" t="n">
        <f aca="false">J530*INDEX(Customers!$I$2:$I$41,MATCH(C530,Customers!$A$2:$A$41,0))/365*Assumptions!$B$6</f>
        <v>217.466196164384</v>
      </c>
      <c r="N530" s="16" t="n">
        <f aca="false">J530-K530-L530-M530</f>
        <v>31594.0581238356</v>
      </c>
      <c r="O530" s="16" t="n">
        <f aca="false">F530*IF(A530="2025",INDEX(Products!$D$2:$D$13,MATCH(D530,Products!$A$2:$A$13,0)),INDEX(Products!$F$2:$F$13,MATCH(D530,Products!$A$2:$A$13,0)))</f>
        <v>22752</v>
      </c>
      <c r="P530" s="16" t="n">
        <f aca="false">N530-O530</f>
        <v>8842.05812383562</v>
      </c>
    </row>
    <row r="531" customFormat="false" ht="15" hidden="false" customHeight="false" outlineLevel="0" collapsed="false">
      <c r="A531" s="2" t="s">
        <v>118</v>
      </c>
      <c r="B531" s="2" t="n">
        <v>2</v>
      </c>
      <c r="C531" s="2" t="s">
        <v>70</v>
      </c>
      <c r="D531" s="2" t="s">
        <v>41</v>
      </c>
      <c r="E531" s="2" t="str">
        <f aca="false">INDEX(Products!$B$2:$B$13,MATCH(D531,Products!$A$2:$A$13,0))</f>
        <v>Hydroprocessing</v>
      </c>
      <c r="F531" s="15" t="n">
        <v>2.4</v>
      </c>
      <c r="G531" s="16" t="n">
        <f aca="false">IF(A531="2025",INDEX(Products!$C$2:$C$13,MATCH(D531,Products!$A$2:$A$13,0)),INDEX(Products!$E$2:$E$13,MATCH(D531,Products!$A$2:$A$13,0)))</f>
        <v>14770</v>
      </c>
      <c r="H531" s="13" t="n">
        <f aca="false">IF(A531="2025",INDEX(Customers!$D$2:$D$41,MATCH(C531,Customers!$A$2:$A$41,0)),INDEX(Customers!$F$2:$F$41,MATCH(C531,Customers!$A$2:$A$41,0)))</f>
        <v>0.067</v>
      </c>
      <c r="I531" s="16" t="n">
        <f aca="false">F531*G531</f>
        <v>35448</v>
      </c>
      <c r="J531" s="16" t="n">
        <f aca="false">I531*(1-H531)</f>
        <v>33072.984</v>
      </c>
      <c r="K531" s="16" t="n">
        <f aca="false">J531*INDEX(Customers!$G$2:$G$41,MATCH(C531,Customers!$A$2:$A$41,0))</f>
        <v>661.45968</v>
      </c>
      <c r="L531" s="16" t="n">
        <f aca="false">F531*INDEX(Customers!$H$2:$H$41,MATCH(C531,Customers!$A$2:$A$41,0))</f>
        <v>600</v>
      </c>
      <c r="M531" s="16" t="n">
        <f aca="false">J531*INDEX(Customers!$I$2:$I$41,MATCH(C531,Customers!$A$2:$A$41,0))/365*Assumptions!$B$6</f>
        <v>217.466196164384</v>
      </c>
      <c r="N531" s="16" t="n">
        <f aca="false">J531-K531-L531-M531</f>
        <v>31594.0581238356</v>
      </c>
      <c r="O531" s="16" t="n">
        <f aca="false">F531*IF(A531="2025",INDEX(Products!$D$2:$D$13,MATCH(D531,Products!$A$2:$A$13,0)),INDEX(Products!$F$2:$F$13,MATCH(D531,Products!$A$2:$A$13,0)))</f>
        <v>22752</v>
      </c>
      <c r="P531" s="16" t="n">
        <f aca="false">N531-O531</f>
        <v>8842.05812383562</v>
      </c>
    </row>
    <row r="532" customFormat="false" ht="15" hidden="false" customHeight="false" outlineLevel="0" collapsed="false">
      <c r="A532" s="2" t="s">
        <v>118</v>
      </c>
      <c r="B532" s="2" t="n">
        <v>3</v>
      </c>
      <c r="C532" s="2" t="s">
        <v>70</v>
      </c>
      <c r="D532" s="2" t="s">
        <v>41</v>
      </c>
      <c r="E532" s="2" t="str">
        <f aca="false">INDEX(Products!$B$2:$B$13,MATCH(D532,Products!$A$2:$A$13,0))</f>
        <v>Hydroprocessing</v>
      </c>
      <c r="F532" s="15" t="n">
        <v>3.6</v>
      </c>
      <c r="G532" s="16" t="n">
        <f aca="false">IF(A532="2025",INDEX(Products!$C$2:$C$13,MATCH(D532,Products!$A$2:$A$13,0)),INDEX(Products!$E$2:$E$13,MATCH(D532,Products!$A$2:$A$13,0)))</f>
        <v>14770</v>
      </c>
      <c r="H532" s="13" t="n">
        <f aca="false">IF(A532="2025",INDEX(Customers!$D$2:$D$41,MATCH(C532,Customers!$A$2:$A$41,0)),INDEX(Customers!$F$2:$F$41,MATCH(C532,Customers!$A$2:$A$41,0)))</f>
        <v>0.067</v>
      </c>
      <c r="I532" s="16" t="n">
        <f aca="false">F532*G532</f>
        <v>53172</v>
      </c>
      <c r="J532" s="16" t="n">
        <f aca="false">I532*(1-H532)</f>
        <v>49609.476</v>
      </c>
      <c r="K532" s="16" t="n">
        <f aca="false">J532*INDEX(Customers!$G$2:$G$41,MATCH(C532,Customers!$A$2:$A$41,0))</f>
        <v>992.18952</v>
      </c>
      <c r="L532" s="16" t="n">
        <f aca="false">F532*INDEX(Customers!$H$2:$H$41,MATCH(C532,Customers!$A$2:$A$41,0))</f>
        <v>900</v>
      </c>
      <c r="M532" s="16" t="n">
        <f aca="false">J532*INDEX(Customers!$I$2:$I$41,MATCH(C532,Customers!$A$2:$A$41,0))/365*Assumptions!$B$6</f>
        <v>326.199294246575</v>
      </c>
      <c r="N532" s="16" t="n">
        <f aca="false">J532-K532-L532-M532</f>
        <v>47391.0871857534</v>
      </c>
      <c r="O532" s="16" t="n">
        <f aca="false">F532*IF(A532="2025",INDEX(Products!$D$2:$D$13,MATCH(D532,Products!$A$2:$A$13,0)),INDEX(Products!$F$2:$F$13,MATCH(D532,Products!$A$2:$A$13,0)))</f>
        <v>34128</v>
      </c>
      <c r="P532" s="16" t="n">
        <f aca="false">N532-O532</f>
        <v>13263.0871857534</v>
      </c>
    </row>
    <row r="533" customFormat="false" ht="15" hidden="false" customHeight="false" outlineLevel="0" collapsed="false">
      <c r="A533" s="2" t="s">
        <v>118</v>
      </c>
      <c r="B533" s="2" t="n">
        <v>4</v>
      </c>
      <c r="C533" s="2" t="s">
        <v>70</v>
      </c>
      <c r="D533" s="2" t="s">
        <v>41</v>
      </c>
      <c r="E533" s="2" t="str">
        <f aca="false">INDEX(Products!$B$2:$B$13,MATCH(D533,Products!$A$2:$A$13,0))</f>
        <v>Hydroprocessing</v>
      </c>
      <c r="F533" s="15" t="n">
        <v>3.1</v>
      </c>
      <c r="G533" s="16" t="n">
        <f aca="false">IF(A533="2025",INDEX(Products!$C$2:$C$13,MATCH(D533,Products!$A$2:$A$13,0)),INDEX(Products!$E$2:$E$13,MATCH(D533,Products!$A$2:$A$13,0)))</f>
        <v>14770</v>
      </c>
      <c r="H533" s="13" t="n">
        <f aca="false">IF(A533="2025",INDEX(Customers!$D$2:$D$41,MATCH(C533,Customers!$A$2:$A$41,0)),INDEX(Customers!$F$2:$F$41,MATCH(C533,Customers!$A$2:$A$41,0)))</f>
        <v>0.067</v>
      </c>
      <c r="I533" s="16" t="n">
        <f aca="false">F533*G533</f>
        <v>45787</v>
      </c>
      <c r="J533" s="16" t="n">
        <f aca="false">I533*(1-H533)</f>
        <v>42719.271</v>
      </c>
      <c r="K533" s="16" t="n">
        <f aca="false">J533*INDEX(Customers!$G$2:$G$41,MATCH(C533,Customers!$A$2:$A$41,0))</f>
        <v>854.38542</v>
      </c>
      <c r="L533" s="16" t="n">
        <f aca="false">F533*INDEX(Customers!$H$2:$H$41,MATCH(C533,Customers!$A$2:$A$41,0))</f>
        <v>775</v>
      </c>
      <c r="M533" s="16" t="n">
        <f aca="false">J533*INDEX(Customers!$I$2:$I$41,MATCH(C533,Customers!$A$2:$A$41,0))/365*Assumptions!$B$6</f>
        <v>280.893836712329</v>
      </c>
      <c r="N533" s="16" t="n">
        <f aca="false">J533-K533-L533-M533</f>
        <v>40808.9917432877</v>
      </c>
      <c r="O533" s="16" t="n">
        <f aca="false">F533*IF(A533="2025",INDEX(Products!$D$2:$D$13,MATCH(D533,Products!$A$2:$A$13,0)),INDEX(Products!$F$2:$F$13,MATCH(D533,Products!$A$2:$A$13,0)))</f>
        <v>29388</v>
      </c>
      <c r="P533" s="16" t="n">
        <f aca="false">N533-O533</f>
        <v>11420.9917432877</v>
      </c>
    </row>
    <row r="534" customFormat="false" ht="15" hidden="false" customHeight="false" outlineLevel="0" collapsed="false">
      <c r="A534" s="2" t="s">
        <v>118</v>
      </c>
      <c r="B534" s="2" t="n">
        <v>5</v>
      </c>
      <c r="C534" s="2" t="s">
        <v>70</v>
      </c>
      <c r="D534" s="2" t="s">
        <v>41</v>
      </c>
      <c r="E534" s="2" t="str">
        <f aca="false">INDEX(Products!$B$2:$B$13,MATCH(D534,Products!$A$2:$A$13,0))</f>
        <v>Hydroprocessing</v>
      </c>
      <c r="F534" s="15" t="n">
        <v>3.5</v>
      </c>
      <c r="G534" s="16" t="n">
        <f aca="false">IF(A534="2025",INDEX(Products!$C$2:$C$13,MATCH(D534,Products!$A$2:$A$13,0)),INDEX(Products!$E$2:$E$13,MATCH(D534,Products!$A$2:$A$13,0)))</f>
        <v>14770</v>
      </c>
      <c r="H534" s="13" t="n">
        <f aca="false">IF(A534="2025",INDEX(Customers!$D$2:$D$41,MATCH(C534,Customers!$A$2:$A$41,0)),INDEX(Customers!$F$2:$F$41,MATCH(C534,Customers!$A$2:$A$41,0)))</f>
        <v>0.067</v>
      </c>
      <c r="I534" s="16" t="n">
        <f aca="false">F534*G534</f>
        <v>51695</v>
      </c>
      <c r="J534" s="16" t="n">
        <f aca="false">I534*(1-H534)</f>
        <v>48231.435</v>
      </c>
      <c r="K534" s="16" t="n">
        <f aca="false">J534*INDEX(Customers!$G$2:$G$41,MATCH(C534,Customers!$A$2:$A$41,0))</f>
        <v>964.6287</v>
      </c>
      <c r="L534" s="16" t="n">
        <f aca="false">F534*INDEX(Customers!$H$2:$H$41,MATCH(C534,Customers!$A$2:$A$41,0))</f>
        <v>875</v>
      </c>
      <c r="M534" s="16" t="n">
        <f aca="false">J534*INDEX(Customers!$I$2:$I$41,MATCH(C534,Customers!$A$2:$A$41,0))/365*Assumptions!$B$6</f>
        <v>317.138202739726</v>
      </c>
      <c r="N534" s="16" t="n">
        <f aca="false">J534-K534-L534-M534</f>
        <v>46074.6680972603</v>
      </c>
      <c r="O534" s="16" t="n">
        <f aca="false">F534*IF(A534="2025",INDEX(Products!$D$2:$D$13,MATCH(D534,Products!$A$2:$A$13,0)),INDEX(Products!$F$2:$F$13,MATCH(D534,Products!$A$2:$A$13,0)))</f>
        <v>33180</v>
      </c>
      <c r="P534" s="16" t="n">
        <f aca="false">N534-O534</f>
        <v>12894.6680972603</v>
      </c>
    </row>
    <row r="535" customFormat="false" ht="15" hidden="false" customHeight="false" outlineLevel="0" collapsed="false">
      <c r="A535" s="2" t="s">
        <v>118</v>
      </c>
      <c r="B535" s="2" t="n">
        <v>6</v>
      </c>
      <c r="C535" s="2" t="s">
        <v>70</v>
      </c>
      <c r="D535" s="2" t="s">
        <v>41</v>
      </c>
      <c r="E535" s="2" t="str">
        <f aca="false">INDEX(Products!$B$2:$B$13,MATCH(D535,Products!$A$2:$A$13,0))</f>
        <v>Hydroprocessing</v>
      </c>
      <c r="F535" s="15" t="n">
        <v>2.7</v>
      </c>
      <c r="G535" s="16" t="n">
        <f aca="false">IF(A535="2025",INDEX(Products!$C$2:$C$13,MATCH(D535,Products!$A$2:$A$13,0)),INDEX(Products!$E$2:$E$13,MATCH(D535,Products!$A$2:$A$13,0)))</f>
        <v>14770</v>
      </c>
      <c r="H535" s="13" t="n">
        <f aca="false">IF(A535="2025",INDEX(Customers!$D$2:$D$41,MATCH(C535,Customers!$A$2:$A$41,0)),INDEX(Customers!$F$2:$F$41,MATCH(C535,Customers!$A$2:$A$41,0)))</f>
        <v>0.067</v>
      </c>
      <c r="I535" s="16" t="n">
        <f aca="false">F535*G535</f>
        <v>39879</v>
      </c>
      <c r="J535" s="16" t="n">
        <f aca="false">I535*(1-H535)</f>
        <v>37207.107</v>
      </c>
      <c r="K535" s="16" t="n">
        <f aca="false">J535*INDEX(Customers!$G$2:$G$41,MATCH(C535,Customers!$A$2:$A$41,0))</f>
        <v>744.14214</v>
      </c>
      <c r="L535" s="16" t="n">
        <f aca="false">F535*INDEX(Customers!$H$2:$H$41,MATCH(C535,Customers!$A$2:$A$41,0))</f>
        <v>675</v>
      </c>
      <c r="M535" s="16" t="n">
        <f aca="false">J535*INDEX(Customers!$I$2:$I$41,MATCH(C535,Customers!$A$2:$A$41,0))/365*Assumptions!$B$6</f>
        <v>244.649470684932</v>
      </c>
      <c r="N535" s="16" t="n">
        <f aca="false">J535-K535-L535-M535</f>
        <v>35543.3153893151</v>
      </c>
      <c r="O535" s="16" t="n">
        <f aca="false">F535*IF(A535="2025",INDEX(Products!$D$2:$D$13,MATCH(D535,Products!$A$2:$A$13,0)),INDEX(Products!$F$2:$F$13,MATCH(D535,Products!$A$2:$A$13,0)))</f>
        <v>25596</v>
      </c>
      <c r="P535" s="16" t="n">
        <f aca="false">N535-O535</f>
        <v>9947.31538931507</v>
      </c>
    </row>
    <row r="536" customFormat="false" ht="15" hidden="false" customHeight="false" outlineLevel="0" collapsed="false">
      <c r="A536" s="2" t="s">
        <v>118</v>
      </c>
      <c r="B536" s="2" t="n">
        <v>7</v>
      </c>
      <c r="C536" s="2" t="s">
        <v>70</v>
      </c>
      <c r="D536" s="2" t="s">
        <v>41</v>
      </c>
      <c r="E536" s="2" t="str">
        <f aca="false">INDEX(Products!$B$2:$B$13,MATCH(D536,Products!$A$2:$A$13,0))</f>
        <v>Hydroprocessing</v>
      </c>
      <c r="F536" s="15" t="n">
        <v>3</v>
      </c>
      <c r="G536" s="16" t="n">
        <f aca="false">IF(A536="2025",INDEX(Products!$C$2:$C$13,MATCH(D536,Products!$A$2:$A$13,0)),INDEX(Products!$E$2:$E$13,MATCH(D536,Products!$A$2:$A$13,0)))</f>
        <v>14770</v>
      </c>
      <c r="H536" s="13" t="n">
        <f aca="false">IF(A536="2025",INDEX(Customers!$D$2:$D$41,MATCH(C536,Customers!$A$2:$A$41,0)),INDEX(Customers!$F$2:$F$41,MATCH(C536,Customers!$A$2:$A$41,0)))</f>
        <v>0.067</v>
      </c>
      <c r="I536" s="16" t="n">
        <f aca="false">F536*G536</f>
        <v>44310</v>
      </c>
      <c r="J536" s="16" t="n">
        <f aca="false">I536*(1-H536)</f>
        <v>41341.23</v>
      </c>
      <c r="K536" s="16" t="n">
        <f aca="false">J536*INDEX(Customers!$G$2:$G$41,MATCH(C536,Customers!$A$2:$A$41,0))</f>
        <v>826.8246</v>
      </c>
      <c r="L536" s="16" t="n">
        <f aca="false">F536*INDEX(Customers!$H$2:$H$41,MATCH(C536,Customers!$A$2:$A$41,0))</f>
        <v>750</v>
      </c>
      <c r="M536" s="16" t="n">
        <f aca="false">J536*INDEX(Customers!$I$2:$I$41,MATCH(C536,Customers!$A$2:$A$41,0))/365*Assumptions!$B$6</f>
        <v>271.832745205479</v>
      </c>
      <c r="N536" s="16" t="n">
        <f aca="false">J536-K536-L536-M536</f>
        <v>39492.5726547945</v>
      </c>
      <c r="O536" s="16" t="n">
        <f aca="false">F536*IF(A536="2025",INDEX(Products!$D$2:$D$13,MATCH(D536,Products!$A$2:$A$13,0)),INDEX(Products!$F$2:$F$13,MATCH(D536,Products!$A$2:$A$13,0)))</f>
        <v>28440</v>
      </c>
      <c r="P536" s="16" t="n">
        <f aca="false">N536-O536</f>
        <v>11052.5726547945</v>
      </c>
    </row>
    <row r="537" customFormat="false" ht="15" hidden="false" customHeight="false" outlineLevel="0" collapsed="false">
      <c r="A537" s="2" t="s">
        <v>118</v>
      </c>
      <c r="B537" s="2" t="n">
        <v>8</v>
      </c>
      <c r="C537" s="2" t="s">
        <v>70</v>
      </c>
      <c r="D537" s="2" t="s">
        <v>41</v>
      </c>
      <c r="E537" s="2" t="str">
        <f aca="false">INDEX(Products!$B$2:$B$13,MATCH(D537,Products!$A$2:$A$13,0))</f>
        <v>Hydroprocessing</v>
      </c>
      <c r="F537" s="15" t="n">
        <v>3.7</v>
      </c>
      <c r="G537" s="16" t="n">
        <f aca="false">IF(A537="2025",INDEX(Products!$C$2:$C$13,MATCH(D537,Products!$A$2:$A$13,0)),INDEX(Products!$E$2:$E$13,MATCH(D537,Products!$A$2:$A$13,0)))</f>
        <v>14770</v>
      </c>
      <c r="H537" s="13" t="n">
        <f aca="false">IF(A537="2025",INDEX(Customers!$D$2:$D$41,MATCH(C537,Customers!$A$2:$A$41,0)),INDEX(Customers!$F$2:$F$41,MATCH(C537,Customers!$A$2:$A$41,0)))</f>
        <v>0.067</v>
      </c>
      <c r="I537" s="16" t="n">
        <f aca="false">F537*G537</f>
        <v>54649</v>
      </c>
      <c r="J537" s="16" t="n">
        <f aca="false">I537*(1-H537)</f>
        <v>50987.517</v>
      </c>
      <c r="K537" s="16" t="n">
        <f aca="false">J537*INDEX(Customers!$G$2:$G$41,MATCH(C537,Customers!$A$2:$A$41,0))</f>
        <v>1019.75034</v>
      </c>
      <c r="L537" s="16" t="n">
        <f aca="false">F537*INDEX(Customers!$H$2:$H$41,MATCH(C537,Customers!$A$2:$A$41,0))</f>
        <v>925</v>
      </c>
      <c r="M537" s="16" t="n">
        <f aca="false">J537*INDEX(Customers!$I$2:$I$41,MATCH(C537,Customers!$A$2:$A$41,0))/365*Assumptions!$B$6</f>
        <v>335.260385753425</v>
      </c>
      <c r="N537" s="16" t="n">
        <f aca="false">J537-K537-L537-M537</f>
        <v>48707.5062742466</v>
      </c>
      <c r="O537" s="16" t="n">
        <f aca="false">F537*IF(A537="2025",INDEX(Products!$D$2:$D$13,MATCH(D537,Products!$A$2:$A$13,0)),INDEX(Products!$F$2:$F$13,MATCH(D537,Products!$A$2:$A$13,0)))</f>
        <v>35076</v>
      </c>
      <c r="P537" s="16" t="n">
        <f aca="false">N537-O537</f>
        <v>13631.5062742466</v>
      </c>
    </row>
    <row r="538" customFormat="false" ht="15" hidden="false" customHeight="false" outlineLevel="0" collapsed="false">
      <c r="A538" s="2" t="s">
        <v>118</v>
      </c>
      <c r="B538" s="2" t="n">
        <v>9</v>
      </c>
      <c r="C538" s="2" t="s">
        <v>70</v>
      </c>
      <c r="D538" s="2" t="s">
        <v>41</v>
      </c>
      <c r="E538" s="2" t="str">
        <f aca="false">INDEX(Products!$B$2:$B$13,MATCH(D538,Products!$A$2:$A$13,0))</f>
        <v>Hydroprocessing</v>
      </c>
      <c r="F538" s="15" t="n">
        <v>3.7</v>
      </c>
      <c r="G538" s="16" t="n">
        <f aca="false">IF(A538="2025",INDEX(Products!$C$2:$C$13,MATCH(D538,Products!$A$2:$A$13,0)),INDEX(Products!$E$2:$E$13,MATCH(D538,Products!$A$2:$A$13,0)))</f>
        <v>14770</v>
      </c>
      <c r="H538" s="13" t="n">
        <f aca="false">IF(A538="2025",INDEX(Customers!$D$2:$D$41,MATCH(C538,Customers!$A$2:$A$41,0)),INDEX(Customers!$F$2:$F$41,MATCH(C538,Customers!$A$2:$A$41,0)))</f>
        <v>0.067</v>
      </c>
      <c r="I538" s="16" t="n">
        <f aca="false">F538*G538</f>
        <v>54649</v>
      </c>
      <c r="J538" s="16" t="n">
        <f aca="false">I538*(1-H538)</f>
        <v>50987.517</v>
      </c>
      <c r="K538" s="16" t="n">
        <f aca="false">J538*INDEX(Customers!$G$2:$G$41,MATCH(C538,Customers!$A$2:$A$41,0))</f>
        <v>1019.75034</v>
      </c>
      <c r="L538" s="16" t="n">
        <f aca="false">F538*INDEX(Customers!$H$2:$H$41,MATCH(C538,Customers!$A$2:$A$41,0))</f>
        <v>925</v>
      </c>
      <c r="M538" s="16" t="n">
        <f aca="false">J538*INDEX(Customers!$I$2:$I$41,MATCH(C538,Customers!$A$2:$A$41,0))/365*Assumptions!$B$6</f>
        <v>335.260385753425</v>
      </c>
      <c r="N538" s="16" t="n">
        <f aca="false">J538-K538-L538-M538</f>
        <v>48707.5062742466</v>
      </c>
      <c r="O538" s="16" t="n">
        <f aca="false">F538*IF(A538="2025",INDEX(Products!$D$2:$D$13,MATCH(D538,Products!$A$2:$A$13,0)),INDEX(Products!$F$2:$F$13,MATCH(D538,Products!$A$2:$A$13,0)))</f>
        <v>35076</v>
      </c>
      <c r="P538" s="16" t="n">
        <f aca="false">N538-O538</f>
        <v>13631.5062742466</v>
      </c>
    </row>
    <row r="539" customFormat="false" ht="15" hidden="false" customHeight="false" outlineLevel="0" collapsed="false">
      <c r="A539" s="2" t="s">
        <v>118</v>
      </c>
      <c r="B539" s="2" t="n">
        <v>10</v>
      </c>
      <c r="C539" s="2" t="s">
        <v>70</v>
      </c>
      <c r="D539" s="2" t="s">
        <v>41</v>
      </c>
      <c r="E539" s="2" t="str">
        <f aca="false">INDEX(Products!$B$2:$B$13,MATCH(D539,Products!$A$2:$A$13,0))</f>
        <v>Hydroprocessing</v>
      </c>
      <c r="F539" s="15" t="n">
        <v>3.1</v>
      </c>
      <c r="G539" s="16" t="n">
        <f aca="false">IF(A539="2025",INDEX(Products!$C$2:$C$13,MATCH(D539,Products!$A$2:$A$13,0)),INDEX(Products!$E$2:$E$13,MATCH(D539,Products!$A$2:$A$13,0)))</f>
        <v>14770</v>
      </c>
      <c r="H539" s="13" t="n">
        <f aca="false">IF(A539="2025",INDEX(Customers!$D$2:$D$41,MATCH(C539,Customers!$A$2:$A$41,0)),INDEX(Customers!$F$2:$F$41,MATCH(C539,Customers!$A$2:$A$41,0)))</f>
        <v>0.067</v>
      </c>
      <c r="I539" s="16" t="n">
        <f aca="false">F539*G539</f>
        <v>45787</v>
      </c>
      <c r="J539" s="16" t="n">
        <f aca="false">I539*(1-H539)</f>
        <v>42719.271</v>
      </c>
      <c r="K539" s="16" t="n">
        <f aca="false">J539*INDEX(Customers!$G$2:$G$41,MATCH(C539,Customers!$A$2:$A$41,0))</f>
        <v>854.38542</v>
      </c>
      <c r="L539" s="16" t="n">
        <f aca="false">F539*INDEX(Customers!$H$2:$H$41,MATCH(C539,Customers!$A$2:$A$41,0))</f>
        <v>775</v>
      </c>
      <c r="M539" s="16" t="n">
        <f aca="false">J539*INDEX(Customers!$I$2:$I$41,MATCH(C539,Customers!$A$2:$A$41,0))/365*Assumptions!$B$6</f>
        <v>280.893836712329</v>
      </c>
      <c r="N539" s="16" t="n">
        <f aca="false">J539-K539-L539-M539</f>
        <v>40808.9917432877</v>
      </c>
      <c r="O539" s="16" t="n">
        <f aca="false">F539*IF(A539="2025",INDEX(Products!$D$2:$D$13,MATCH(D539,Products!$A$2:$A$13,0)),INDEX(Products!$F$2:$F$13,MATCH(D539,Products!$A$2:$A$13,0)))</f>
        <v>29388</v>
      </c>
      <c r="P539" s="16" t="n">
        <f aca="false">N539-O539</f>
        <v>11420.9917432877</v>
      </c>
    </row>
    <row r="540" customFormat="false" ht="15" hidden="false" customHeight="false" outlineLevel="0" collapsed="false">
      <c r="A540" s="2" t="s">
        <v>118</v>
      </c>
      <c r="B540" s="2" t="n">
        <v>11</v>
      </c>
      <c r="C540" s="2" t="s">
        <v>70</v>
      </c>
      <c r="D540" s="2" t="s">
        <v>41</v>
      </c>
      <c r="E540" s="2" t="str">
        <f aca="false">INDEX(Products!$B$2:$B$13,MATCH(D540,Products!$A$2:$A$13,0))</f>
        <v>Hydroprocessing</v>
      </c>
      <c r="F540" s="15" t="n">
        <v>3.3</v>
      </c>
      <c r="G540" s="16" t="n">
        <f aca="false">IF(A540="2025",INDEX(Products!$C$2:$C$13,MATCH(D540,Products!$A$2:$A$13,0)),INDEX(Products!$E$2:$E$13,MATCH(D540,Products!$A$2:$A$13,0)))</f>
        <v>14770</v>
      </c>
      <c r="H540" s="13" t="n">
        <f aca="false">IF(A540="2025",INDEX(Customers!$D$2:$D$41,MATCH(C540,Customers!$A$2:$A$41,0)),INDEX(Customers!$F$2:$F$41,MATCH(C540,Customers!$A$2:$A$41,0)))</f>
        <v>0.067</v>
      </c>
      <c r="I540" s="16" t="n">
        <f aca="false">F540*G540</f>
        <v>48741</v>
      </c>
      <c r="J540" s="16" t="n">
        <f aca="false">I540*(1-H540)</f>
        <v>45475.353</v>
      </c>
      <c r="K540" s="16" t="n">
        <f aca="false">J540*INDEX(Customers!$G$2:$G$41,MATCH(C540,Customers!$A$2:$A$41,0))</f>
        <v>909.50706</v>
      </c>
      <c r="L540" s="16" t="n">
        <f aca="false">F540*INDEX(Customers!$H$2:$H$41,MATCH(C540,Customers!$A$2:$A$41,0))</f>
        <v>825</v>
      </c>
      <c r="M540" s="16" t="n">
        <f aca="false">J540*INDEX(Customers!$I$2:$I$41,MATCH(C540,Customers!$A$2:$A$41,0))/365*Assumptions!$B$6</f>
        <v>299.016019726027</v>
      </c>
      <c r="N540" s="16" t="n">
        <f aca="false">J540-K540-L540-M540</f>
        <v>43441.829920274</v>
      </c>
      <c r="O540" s="16" t="n">
        <f aca="false">F540*IF(A540="2025",INDEX(Products!$D$2:$D$13,MATCH(D540,Products!$A$2:$A$13,0)),INDEX(Products!$F$2:$F$13,MATCH(D540,Products!$A$2:$A$13,0)))</f>
        <v>31284</v>
      </c>
      <c r="P540" s="16" t="n">
        <f aca="false">N540-O540</f>
        <v>12157.829920274</v>
      </c>
    </row>
    <row r="541" customFormat="false" ht="15" hidden="false" customHeight="false" outlineLevel="0" collapsed="false">
      <c r="A541" s="2" t="s">
        <v>118</v>
      </c>
      <c r="B541" s="2" t="n">
        <v>12</v>
      </c>
      <c r="C541" s="2" t="s">
        <v>70</v>
      </c>
      <c r="D541" s="2" t="s">
        <v>41</v>
      </c>
      <c r="E541" s="2" t="str">
        <f aca="false">INDEX(Products!$B$2:$B$13,MATCH(D541,Products!$A$2:$A$13,0))</f>
        <v>Hydroprocessing</v>
      </c>
      <c r="F541" s="15" t="n">
        <v>2.2</v>
      </c>
      <c r="G541" s="16" t="n">
        <f aca="false">IF(A541="2025",INDEX(Products!$C$2:$C$13,MATCH(D541,Products!$A$2:$A$13,0)),INDEX(Products!$E$2:$E$13,MATCH(D541,Products!$A$2:$A$13,0)))</f>
        <v>14770</v>
      </c>
      <c r="H541" s="13" t="n">
        <f aca="false">IF(A541="2025",INDEX(Customers!$D$2:$D$41,MATCH(C541,Customers!$A$2:$A$41,0)),INDEX(Customers!$F$2:$F$41,MATCH(C541,Customers!$A$2:$A$41,0)))</f>
        <v>0.067</v>
      </c>
      <c r="I541" s="16" t="n">
        <f aca="false">F541*G541</f>
        <v>32494</v>
      </c>
      <c r="J541" s="16" t="n">
        <f aca="false">I541*(1-H541)</f>
        <v>30316.902</v>
      </c>
      <c r="K541" s="16" t="n">
        <f aca="false">J541*INDEX(Customers!$G$2:$G$41,MATCH(C541,Customers!$A$2:$A$41,0))</f>
        <v>606.33804</v>
      </c>
      <c r="L541" s="16" t="n">
        <f aca="false">F541*INDEX(Customers!$H$2:$H$41,MATCH(C541,Customers!$A$2:$A$41,0))</f>
        <v>550</v>
      </c>
      <c r="M541" s="16" t="n">
        <f aca="false">J541*INDEX(Customers!$I$2:$I$41,MATCH(C541,Customers!$A$2:$A$41,0))/365*Assumptions!$B$6</f>
        <v>199.344013150685</v>
      </c>
      <c r="N541" s="16" t="n">
        <f aca="false">J541-K541-L541-M541</f>
        <v>28961.2199468493</v>
      </c>
      <c r="O541" s="16" t="n">
        <f aca="false">F541*IF(A541="2025",INDEX(Products!$D$2:$D$13,MATCH(D541,Products!$A$2:$A$13,0)),INDEX(Products!$F$2:$F$13,MATCH(D541,Products!$A$2:$A$13,0)))</f>
        <v>20856</v>
      </c>
      <c r="P541" s="16" t="n">
        <f aca="false">N541-O541</f>
        <v>8105.21994684932</v>
      </c>
    </row>
    <row r="542" customFormat="false" ht="15" hidden="false" customHeight="false" outlineLevel="0" collapsed="false">
      <c r="A542" s="2" t="s">
        <v>119</v>
      </c>
      <c r="B542" s="2" t="n">
        <v>1</v>
      </c>
      <c r="C542" s="2" t="s">
        <v>70</v>
      </c>
      <c r="D542" s="2" t="s">
        <v>41</v>
      </c>
      <c r="E542" s="2" t="str">
        <f aca="false">INDEX(Products!$B$2:$B$13,MATCH(D542,Products!$A$2:$A$13,0))</f>
        <v>Hydroprocessing</v>
      </c>
      <c r="F542" s="15" t="n">
        <v>2.4</v>
      </c>
      <c r="G542" s="16" t="n">
        <f aca="false">IF(A542="2025",INDEX(Products!$C$2:$C$13,MATCH(D542,Products!$A$2:$A$13,0)),INDEX(Products!$E$2:$E$13,MATCH(D542,Products!$A$2:$A$13,0)))</f>
        <v>15508.5</v>
      </c>
      <c r="H542" s="13" t="n">
        <f aca="false">IF(A542="2025",INDEX(Customers!$D$2:$D$41,MATCH(C542,Customers!$A$2:$A$41,0)),INDEX(Customers!$F$2:$F$41,MATCH(C542,Customers!$A$2:$A$41,0)))</f>
        <v>0.067</v>
      </c>
      <c r="I542" s="16" t="n">
        <f aca="false">F542*G542</f>
        <v>37220.4</v>
      </c>
      <c r="J542" s="16" t="n">
        <f aca="false">I542*(1-H542)</f>
        <v>34726.6332</v>
      </c>
      <c r="K542" s="16" t="n">
        <f aca="false">J542*INDEX(Customers!$G$2:$G$41,MATCH(C542,Customers!$A$2:$A$41,0))</f>
        <v>694.532664</v>
      </c>
      <c r="L542" s="16" t="n">
        <f aca="false">F542*INDEX(Customers!$H$2:$H$41,MATCH(C542,Customers!$A$2:$A$41,0))</f>
        <v>600</v>
      </c>
      <c r="M542" s="16" t="n">
        <f aca="false">J542*INDEX(Customers!$I$2:$I$41,MATCH(C542,Customers!$A$2:$A$41,0))/365*Assumptions!$B$6</f>
        <v>228.339505972603</v>
      </c>
      <c r="N542" s="16" t="n">
        <f aca="false">J542-K542-L542-M542</f>
        <v>33203.7610300274</v>
      </c>
      <c r="O542" s="16" t="n">
        <f aca="false">F542*IF(A542="2025",INDEX(Products!$D$2:$D$13,MATCH(D542,Products!$A$2:$A$13,0)),INDEX(Products!$F$2:$F$13,MATCH(D542,Products!$A$2:$A$13,0)))</f>
        <v>23434.56</v>
      </c>
      <c r="P542" s="16" t="n">
        <f aca="false">N542-O542</f>
        <v>9769.20103002741</v>
      </c>
    </row>
    <row r="543" customFormat="false" ht="15" hidden="false" customHeight="false" outlineLevel="0" collapsed="false">
      <c r="A543" s="2" t="s">
        <v>119</v>
      </c>
      <c r="B543" s="2" t="n">
        <v>2</v>
      </c>
      <c r="C543" s="2" t="s">
        <v>70</v>
      </c>
      <c r="D543" s="2" t="s">
        <v>41</v>
      </c>
      <c r="E543" s="2" t="str">
        <f aca="false">INDEX(Products!$B$2:$B$13,MATCH(D543,Products!$A$2:$A$13,0))</f>
        <v>Hydroprocessing</v>
      </c>
      <c r="F543" s="15" t="n">
        <v>2.7</v>
      </c>
      <c r="G543" s="16" t="n">
        <f aca="false">IF(A543="2025",INDEX(Products!$C$2:$C$13,MATCH(D543,Products!$A$2:$A$13,0)),INDEX(Products!$E$2:$E$13,MATCH(D543,Products!$A$2:$A$13,0)))</f>
        <v>15508.5</v>
      </c>
      <c r="H543" s="13" t="n">
        <f aca="false">IF(A543="2025",INDEX(Customers!$D$2:$D$41,MATCH(C543,Customers!$A$2:$A$41,0)),INDEX(Customers!$F$2:$F$41,MATCH(C543,Customers!$A$2:$A$41,0)))</f>
        <v>0.067</v>
      </c>
      <c r="I543" s="16" t="n">
        <f aca="false">F543*G543</f>
        <v>41872.95</v>
      </c>
      <c r="J543" s="16" t="n">
        <f aca="false">I543*(1-H543)</f>
        <v>39067.46235</v>
      </c>
      <c r="K543" s="16" t="n">
        <f aca="false">J543*INDEX(Customers!$G$2:$G$41,MATCH(C543,Customers!$A$2:$A$41,0))</f>
        <v>781.349247</v>
      </c>
      <c r="L543" s="16" t="n">
        <f aca="false">F543*INDEX(Customers!$H$2:$H$41,MATCH(C543,Customers!$A$2:$A$41,0))</f>
        <v>675</v>
      </c>
      <c r="M543" s="16" t="n">
        <f aca="false">J543*INDEX(Customers!$I$2:$I$41,MATCH(C543,Customers!$A$2:$A$41,0))/365*Assumptions!$B$6</f>
        <v>256.881944219178</v>
      </c>
      <c r="N543" s="16" t="n">
        <f aca="false">J543-K543-L543-M543</f>
        <v>37354.2311587808</v>
      </c>
      <c r="O543" s="16" t="n">
        <f aca="false">F543*IF(A543="2025",INDEX(Products!$D$2:$D$13,MATCH(D543,Products!$A$2:$A$13,0)),INDEX(Products!$F$2:$F$13,MATCH(D543,Products!$A$2:$A$13,0)))</f>
        <v>26363.88</v>
      </c>
      <c r="P543" s="16" t="n">
        <f aca="false">N543-O543</f>
        <v>10990.3511587808</v>
      </c>
    </row>
    <row r="544" customFormat="false" ht="15" hidden="false" customHeight="false" outlineLevel="0" collapsed="false">
      <c r="A544" s="2" t="s">
        <v>119</v>
      </c>
      <c r="B544" s="2" t="n">
        <v>3</v>
      </c>
      <c r="C544" s="2" t="s">
        <v>70</v>
      </c>
      <c r="D544" s="2" t="s">
        <v>41</v>
      </c>
      <c r="E544" s="2" t="str">
        <f aca="false">INDEX(Products!$B$2:$B$13,MATCH(D544,Products!$A$2:$A$13,0))</f>
        <v>Hydroprocessing</v>
      </c>
      <c r="F544" s="15" t="n">
        <v>2.5</v>
      </c>
      <c r="G544" s="16" t="n">
        <f aca="false">IF(A544="2025",INDEX(Products!$C$2:$C$13,MATCH(D544,Products!$A$2:$A$13,0)),INDEX(Products!$E$2:$E$13,MATCH(D544,Products!$A$2:$A$13,0)))</f>
        <v>15508.5</v>
      </c>
      <c r="H544" s="13" t="n">
        <f aca="false">IF(A544="2025",INDEX(Customers!$D$2:$D$41,MATCH(C544,Customers!$A$2:$A$41,0)),INDEX(Customers!$F$2:$F$41,MATCH(C544,Customers!$A$2:$A$41,0)))</f>
        <v>0.067</v>
      </c>
      <c r="I544" s="16" t="n">
        <f aca="false">F544*G544</f>
        <v>38771.25</v>
      </c>
      <c r="J544" s="16" t="n">
        <f aca="false">I544*(1-H544)</f>
        <v>36173.57625</v>
      </c>
      <c r="K544" s="16" t="n">
        <f aca="false">J544*INDEX(Customers!$G$2:$G$41,MATCH(C544,Customers!$A$2:$A$41,0))</f>
        <v>723.471525</v>
      </c>
      <c r="L544" s="16" t="n">
        <f aca="false">F544*INDEX(Customers!$H$2:$H$41,MATCH(C544,Customers!$A$2:$A$41,0))</f>
        <v>625</v>
      </c>
      <c r="M544" s="16" t="n">
        <f aca="false">J544*INDEX(Customers!$I$2:$I$41,MATCH(C544,Customers!$A$2:$A$41,0))/365*Assumptions!$B$6</f>
        <v>237.853652054795</v>
      </c>
      <c r="N544" s="16" t="n">
        <f aca="false">J544-K544-L544-M544</f>
        <v>34587.2510729452</v>
      </c>
      <c r="O544" s="16" t="n">
        <f aca="false">F544*IF(A544="2025",INDEX(Products!$D$2:$D$13,MATCH(D544,Products!$A$2:$A$13,0)),INDEX(Products!$F$2:$F$13,MATCH(D544,Products!$A$2:$A$13,0)))</f>
        <v>24411</v>
      </c>
      <c r="P544" s="16" t="n">
        <f aca="false">N544-O544</f>
        <v>10176.2510729452</v>
      </c>
    </row>
    <row r="545" customFormat="false" ht="15" hidden="false" customHeight="false" outlineLevel="0" collapsed="false">
      <c r="A545" s="2" t="s">
        <v>119</v>
      </c>
      <c r="B545" s="2" t="n">
        <v>4</v>
      </c>
      <c r="C545" s="2" t="s">
        <v>70</v>
      </c>
      <c r="D545" s="2" t="s">
        <v>41</v>
      </c>
      <c r="E545" s="2" t="str">
        <f aca="false">INDEX(Products!$B$2:$B$13,MATCH(D545,Products!$A$2:$A$13,0))</f>
        <v>Hydroprocessing</v>
      </c>
      <c r="F545" s="15" t="n">
        <v>2.3</v>
      </c>
      <c r="G545" s="16" t="n">
        <f aca="false">IF(A545="2025",INDEX(Products!$C$2:$C$13,MATCH(D545,Products!$A$2:$A$13,0)),INDEX(Products!$E$2:$E$13,MATCH(D545,Products!$A$2:$A$13,0)))</f>
        <v>15508.5</v>
      </c>
      <c r="H545" s="13" t="n">
        <f aca="false">IF(A545="2025",INDEX(Customers!$D$2:$D$41,MATCH(C545,Customers!$A$2:$A$41,0)),INDEX(Customers!$F$2:$F$41,MATCH(C545,Customers!$A$2:$A$41,0)))</f>
        <v>0.067</v>
      </c>
      <c r="I545" s="16" t="n">
        <f aca="false">F545*G545</f>
        <v>35669.55</v>
      </c>
      <c r="J545" s="16" t="n">
        <f aca="false">I545*(1-H545)</f>
        <v>33279.69015</v>
      </c>
      <c r="K545" s="16" t="n">
        <f aca="false">J545*INDEX(Customers!$G$2:$G$41,MATCH(C545,Customers!$A$2:$A$41,0))</f>
        <v>665.593803</v>
      </c>
      <c r="L545" s="16" t="n">
        <f aca="false">F545*INDEX(Customers!$H$2:$H$41,MATCH(C545,Customers!$A$2:$A$41,0))</f>
        <v>575</v>
      </c>
      <c r="M545" s="16" t="n">
        <f aca="false">J545*INDEX(Customers!$I$2:$I$41,MATCH(C545,Customers!$A$2:$A$41,0))/365*Assumptions!$B$6</f>
        <v>218.825359890411</v>
      </c>
      <c r="N545" s="16" t="n">
        <f aca="false">J545-K545-L545-M545</f>
        <v>31820.2709871096</v>
      </c>
      <c r="O545" s="16" t="n">
        <f aca="false">F545*IF(A545="2025",INDEX(Products!$D$2:$D$13,MATCH(D545,Products!$A$2:$A$13,0)),INDEX(Products!$F$2:$F$13,MATCH(D545,Products!$A$2:$A$13,0)))</f>
        <v>22458.12</v>
      </c>
      <c r="P545" s="16" t="n">
        <f aca="false">N545-O545</f>
        <v>9362.15098710958</v>
      </c>
    </row>
    <row r="546" customFormat="false" ht="15" hidden="false" customHeight="false" outlineLevel="0" collapsed="false">
      <c r="A546" s="2" t="s">
        <v>119</v>
      </c>
      <c r="B546" s="2" t="n">
        <v>5</v>
      </c>
      <c r="C546" s="2" t="s">
        <v>70</v>
      </c>
      <c r="D546" s="2" t="s">
        <v>41</v>
      </c>
      <c r="E546" s="2" t="str">
        <f aca="false">INDEX(Products!$B$2:$B$13,MATCH(D546,Products!$A$2:$A$13,0))</f>
        <v>Hydroprocessing</v>
      </c>
      <c r="F546" s="15" t="n">
        <v>3</v>
      </c>
      <c r="G546" s="16" t="n">
        <f aca="false">IF(A546="2025",INDEX(Products!$C$2:$C$13,MATCH(D546,Products!$A$2:$A$13,0)),INDEX(Products!$E$2:$E$13,MATCH(D546,Products!$A$2:$A$13,0)))</f>
        <v>15508.5</v>
      </c>
      <c r="H546" s="13" t="n">
        <f aca="false">IF(A546="2025",INDEX(Customers!$D$2:$D$41,MATCH(C546,Customers!$A$2:$A$41,0)),INDEX(Customers!$F$2:$F$41,MATCH(C546,Customers!$A$2:$A$41,0)))</f>
        <v>0.067</v>
      </c>
      <c r="I546" s="16" t="n">
        <f aca="false">F546*G546</f>
        <v>46525.5</v>
      </c>
      <c r="J546" s="16" t="n">
        <f aca="false">I546*(1-H546)</f>
        <v>43408.2915</v>
      </c>
      <c r="K546" s="16" t="n">
        <f aca="false">J546*INDEX(Customers!$G$2:$G$41,MATCH(C546,Customers!$A$2:$A$41,0))</f>
        <v>868.16583</v>
      </c>
      <c r="L546" s="16" t="n">
        <f aca="false">F546*INDEX(Customers!$H$2:$H$41,MATCH(C546,Customers!$A$2:$A$41,0))</f>
        <v>750</v>
      </c>
      <c r="M546" s="16" t="n">
        <f aca="false">J546*INDEX(Customers!$I$2:$I$41,MATCH(C546,Customers!$A$2:$A$41,0))/365*Assumptions!$B$6</f>
        <v>285.424382465753</v>
      </c>
      <c r="N546" s="16" t="n">
        <f aca="false">J546-K546-L546-M546</f>
        <v>41504.7012875343</v>
      </c>
      <c r="O546" s="16" t="n">
        <f aca="false">F546*IF(A546="2025",INDEX(Products!$D$2:$D$13,MATCH(D546,Products!$A$2:$A$13,0)),INDEX(Products!$F$2:$F$13,MATCH(D546,Products!$A$2:$A$13,0)))</f>
        <v>29293.2</v>
      </c>
      <c r="P546" s="16" t="n">
        <f aca="false">N546-O546</f>
        <v>12211.5012875343</v>
      </c>
    </row>
    <row r="547" customFormat="false" ht="15" hidden="false" customHeight="false" outlineLevel="0" collapsed="false">
      <c r="A547" s="2" t="s">
        <v>119</v>
      </c>
      <c r="B547" s="2" t="n">
        <v>6</v>
      </c>
      <c r="C547" s="2" t="s">
        <v>70</v>
      </c>
      <c r="D547" s="2" t="s">
        <v>41</v>
      </c>
      <c r="E547" s="2" t="str">
        <f aca="false">INDEX(Products!$B$2:$B$13,MATCH(D547,Products!$A$2:$A$13,0))</f>
        <v>Hydroprocessing</v>
      </c>
      <c r="F547" s="15" t="n">
        <v>2.2</v>
      </c>
      <c r="G547" s="16" t="n">
        <f aca="false">IF(A547="2025",INDEX(Products!$C$2:$C$13,MATCH(D547,Products!$A$2:$A$13,0)),INDEX(Products!$E$2:$E$13,MATCH(D547,Products!$A$2:$A$13,0)))</f>
        <v>15508.5</v>
      </c>
      <c r="H547" s="13" t="n">
        <f aca="false">IF(A547="2025",INDEX(Customers!$D$2:$D$41,MATCH(C547,Customers!$A$2:$A$41,0)),INDEX(Customers!$F$2:$F$41,MATCH(C547,Customers!$A$2:$A$41,0)))</f>
        <v>0.067</v>
      </c>
      <c r="I547" s="16" t="n">
        <f aca="false">F547*G547</f>
        <v>34118.7</v>
      </c>
      <c r="J547" s="16" t="n">
        <f aca="false">I547*(1-H547)</f>
        <v>31832.7471</v>
      </c>
      <c r="K547" s="16" t="n">
        <f aca="false">J547*INDEX(Customers!$G$2:$G$41,MATCH(C547,Customers!$A$2:$A$41,0))</f>
        <v>636.654942</v>
      </c>
      <c r="L547" s="16" t="n">
        <f aca="false">F547*INDEX(Customers!$H$2:$H$41,MATCH(C547,Customers!$A$2:$A$41,0))</f>
        <v>550</v>
      </c>
      <c r="M547" s="16" t="n">
        <f aca="false">J547*INDEX(Customers!$I$2:$I$41,MATCH(C547,Customers!$A$2:$A$41,0))/365*Assumptions!$B$6</f>
        <v>209.311213808219</v>
      </c>
      <c r="N547" s="16" t="n">
        <f aca="false">J547-K547-L547-M547</f>
        <v>30436.7809441918</v>
      </c>
      <c r="O547" s="16" t="n">
        <f aca="false">F547*IF(A547="2025",INDEX(Products!$D$2:$D$13,MATCH(D547,Products!$A$2:$A$13,0)),INDEX(Products!$F$2:$F$13,MATCH(D547,Products!$A$2:$A$13,0)))</f>
        <v>21481.68</v>
      </c>
      <c r="P547" s="16" t="n">
        <f aca="false">N547-O547</f>
        <v>8955.10094419179</v>
      </c>
    </row>
    <row r="548" customFormat="false" ht="15" hidden="false" customHeight="false" outlineLevel="0" collapsed="false">
      <c r="A548" s="2" t="s">
        <v>119</v>
      </c>
      <c r="B548" s="2" t="n">
        <v>7</v>
      </c>
      <c r="C548" s="2" t="s">
        <v>70</v>
      </c>
      <c r="D548" s="2" t="s">
        <v>41</v>
      </c>
      <c r="E548" s="2" t="str">
        <f aca="false">INDEX(Products!$B$2:$B$13,MATCH(D548,Products!$A$2:$A$13,0))</f>
        <v>Hydroprocessing</v>
      </c>
      <c r="F548" s="15" t="n">
        <v>3.3</v>
      </c>
      <c r="G548" s="16" t="n">
        <f aca="false">IF(A548="2025",INDEX(Products!$C$2:$C$13,MATCH(D548,Products!$A$2:$A$13,0)),INDEX(Products!$E$2:$E$13,MATCH(D548,Products!$A$2:$A$13,0)))</f>
        <v>15508.5</v>
      </c>
      <c r="H548" s="13" t="n">
        <f aca="false">IF(A548="2025",INDEX(Customers!$D$2:$D$41,MATCH(C548,Customers!$A$2:$A$41,0)),INDEX(Customers!$F$2:$F$41,MATCH(C548,Customers!$A$2:$A$41,0)))</f>
        <v>0.067</v>
      </c>
      <c r="I548" s="16" t="n">
        <f aca="false">F548*G548</f>
        <v>51178.05</v>
      </c>
      <c r="J548" s="16" t="n">
        <f aca="false">I548*(1-H548)</f>
        <v>47749.12065</v>
      </c>
      <c r="K548" s="16" t="n">
        <f aca="false">J548*INDEX(Customers!$G$2:$G$41,MATCH(C548,Customers!$A$2:$A$41,0))</f>
        <v>954.982413</v>
      </c>
      <c r="L548" s="16" t="n">
        <f aca="false">F548*INDEX(Customers!$H$2:$H$41,MATCH(C548,Customers!$A$2:$A$41,0))</f>
        <v>825</v>
      </c>
      <c r="M548" s="16" t="n">
        <f aca="false">J548*INDEX(Customers!$I$2:$I$41,MATCH(C548,Customers!$A$2:$A$41,0))/365*Assumptions!$B$6</f>
        <v>313.966820712329</v>
      </c>
      <c r="N548" s="16" t="n">
        <f aca="false">J548-K548-L548-M548</f>
        <v>45655.1714162877</v>
      </c>
      <c r="O548" s="16" t="n">
        <f aca="false">F548*IF(A548="2025",INDEX(Products!$D$2:$D$13,MATCH(D548,Products!$A$2:$A$13,0)),INDEX(Products!$F$2:$F$13,MATCH(D548,Products!$A$2:$A$13,0)))</f>
        <v>32222.52</v>
      </c>
      <c r="P548" s="16" t="n">
        <f aca="false">N548-O548</f>
        <v>13432.6514162877</v>
      </c>
    </row>
    <row r="549" customFormat="false" ht="15" hidden="false" customHeight="false" outlineLevel="0" collapsed="false">
      <c r="A549" s="2" t="s">
        <v>119</v>
      </c>
      <c r="B549" s="2" t="n">
        <v>8</v>
      </c>
      <c r="C549" s="2" t="s">
        <v>70</v>
      </c>
      <c r="D549" s="2" t="s">
        <v>41</v>
      </c>
      <c r="E549" s="2" t="str">
        <f aca="false">INDEX(Products!$B$2:$B$13,MATCH(D549,Products!$A$2:$A$13,0))</f>
        <v>Hydroprocessing</v>
      </c>
      <c r="F549" s="15" t="n">
        <v>2.2</v>
      </c>
      <c r="G549" s="16" t="n">
        <f aca="false">IF(A549="2025",INDEX(Products!$C$2:$C$13,MATCH(D549,Products!$A$2:$A$13,0)),INDEX(Products!$E$2:$E$13,MATCH(D549,Products!$A$2:$A$13,0)))</f>
        <v>15508.5</v>
      </c>
      <c r="H549" s="13" t="n">
        <f aca="false">IF(A549="2025",INDEX(Customers!$D$2:$D$41,MATCH(C549,Customers!$A$2:$A$41,0)),INDEX(Customers!$F$2:$F$41,MATCH(C549,Customers!$A$2:$A$41,0)))</f>
        <v>0.067</v>
      </c>
      <c r="I549" s="16" t="n">
        <f aca="false">F549*G549</f>
        <v>34118.7</v>
      </c>
      <c r="J549" s="16" t="n">
        <f aca="false">I549*(1-H549)</f>
        <v>31832.7471</v>
      </c>
      <c r="K549" s="16" t="n">
        <f aca="false">J549*INDEX(Customers!$G$2:$G$41,MATCH(C549,Customers!$A$2:$A$41,0))</f>
        <v>636.654942</v>
      </c>
      <c r="L549" s="16" t="n">
        <f aca="false">F549*INDEX(Customers!$H$2:$H$41,MATCH(C549,Customers!$A$2:$A$41,0))</f>
        <v>550</v>
      </c>
      <c r="M549" s="16" t="n">
        <f aca="false">J549*INDEX(Customers!$I$2:$I$41,MATCH(C549,Customers!$A$2:$A$41,0))/365*Assumptions!$B$6</f>
        <v>209.311213808219</v>
      </c>
      <c r="N549" s="16" t="n">
        <f aca="false">J549-K549-L549-M549</f>
        <v>30436.7809441918</v>
      </c>
      <c r="O549" s="16" t="n">
        <f aca="false">F549*IF(A549="2025",INDEX(Products!$D$2:$D$13,MATCH(D549,Products!$A$2:$A$13,0)),INDEX(Products!$F$2:$F$13,MATCH(D549,Products!$A$2:$A$13,0)))</f>
        <v>21481.68</v>
      </c>
      <c r="P549" s="16" t="n">
        <f aca="false">N549-O549</f>
        <v>8955.10094419179</v>
      </c>
    </row>
    <row r="550" customFormat="false" ht="15" hidden="false" customHeight="false" outlineLevel="0" collapsed="false">
      <c r="A550" s="2" t="s">
        <v>119</v>
      </c>
      <c r="B550" s="2" t="n">
        <v>9</v>
      </c>
      <c r="C550" s="2" t="s">
        <v>70</v>
      </c>
      <c r="D550" s="2" t="s">
        <v>41</v>
      </c>
      <c r="E550" s="2" t="str">
        <f aca="false">INDEX(Products!$B$2:$B$13,MATCH(D550,Products!$A$2:$A$13,0))</f>
        <v>Hydroprocessing</v>
      </c>
      <c r="F550" s="15" t="n">
        <v>3</v>
      </c>
      <c r="G550" s="16" t="n">
        <f aca="false">IF(A550="2025",INDEX(Products!$C$2:$C$13,MATCH(D550,Products!$A$2:$A$13,0)),INDEX(Products!$E$2:$E$13,MATCH(D550,Products!$A$2:$A$13,0)))</f>
        <v>15508.5</v>
      </c>
      <c r="H550" s="13" t="n">
        <f aca="false">IF(A550="2025",INDEX(Customers!$D$2:$D$41,MATCH(C550,Customers!$A$2:$A$41,0)),INDEX(Customers!$F$2:$F$41,MATCH(C550,Customers!$A$2:$A$41,0)))</f>
        <v>0.067</v>
      </c>
      <c r="I550" s="16" t="n">
        <f aca="false">F550*G550</f>
        <v>46525.5</v>
      </c>
      <c r="J550" s="16" t="n">
        <f aca="false">I550*(1-H550)</f>
        <v>43408.2915</v>
      </c>
      <c r="K550" s="16" t="n">
        <f aca="false">J550*INDEX(Customers!$G$2:$G$41,MATCH(C550,Customers!$A$2:$A$41,0))</f>
        <v>868.16583</v>
      </c>
      <c r="L550" s="16" t="n">
        <f aca="false">F550*INDEX(Customers!$H$2:$H$41,MATCH(C550,Customers!$A$2:$A$41,0))</f>
        <v>750</v>
      </c>
      <c r="M550" s="16" t="n">
        <f aca="false">J550*INDEX(Customers!$I$2:$I$41,MATCH(C550,Customers!$A$2:$A$41,0))/365*Assumptions!$B$6</f>
        <v>285.424382465753</v>
      </c>
      <c r="N550" s="16" t="n">
        <f aca="false">J550-K550-L550-M550</f>
        <v>41504.7012875343</v>
      </c>
      <c r="O550" s="16" t="n">
        <f aca="false">F550*IF(A550="2025",INDEX(Products!$D$2:$D$13,MATCH(D550,Products!$A$2:$A$13,0)),INDEX(Products!$F$2:$F$13,MATCH(D550,Products!$A$2:$A$13,0)))</f>
        <v>29293.2</v>
      </c>
      <c r="P550" s="16" t="n">
        <f aca="false">N550-O550</f>
        <v>12211.5012875343</v>
      </c>
    </row>
    <row r="551" customFormat="false" ht="15" hidden="false" customHeight="false" outlineLevel="0" collapsed="false">
      <c r="A551" s="2" t="s">
        <v>119</v>
      </c>
      <c r="B551" s="2" t="n">
        <v>10</v>
      </c>
      <c r="C551" s="2" t="s">
        <v>70</v>
      </c>
      <c r="D551" s="2" t="s">
        <v>41</v>
      </c>
      <c r="E551" s="2" t="str">
        <f aca="false">INDEX(Products!$B$2:$B$13,MATCH(D551,Products!$A$2:$A$13,0))</f>
        <v>Hydroprocessing</v>
      </c>
      <c r="F551" s="15" t="n">
        <v>2.6</v>
      </c>
      <c r="G551" s="16" t="n">
        <f aca="false">IF(A551="2025",INDEX(Products!$C$2:$C$13,MATCH(D551,Products!$A$2:$A$13,0)),INDEX(Products!$E$2:$E$13,MATCH(D551,Products!$A$2:$A$13,0)))</f>
        <v>15508.5</v>
      </c>
      <c r="H551" s="13" t="n">
        <f aca="false">IF(A551="2025",INDEX(Customers!$D$2:$D$41,MATCH(C551,Customers!$A$2:$A$41,0)),INDEX(Customers!$F$2:$F$41,MATCH(C551,Customers!$A$2:$A$41,0)))</f>
        <v>0.067</v>
      </c>
      <c r="I551" s="16" t="n">
        <f aca="false">F551*G551</f>
        <v>40322.1</v>
      </c>
      <c r="J551" s="16" t="n">
        <f aca="false">I551*(1-H551)</f>
        <v>37620.5193</v>
      </c>
      <c r="K551" s="16" t="n">
        <f aca="false">J551*INDEX(Customers!$G$2:$G$41,MATCH(C551,Customers!$A$2:$A$41,0))</f>
        <v>752.410386</v>
      </c>
      <c r="L551" s="16" t="n">
        <f aca="false">F551*INDEX(Customers!$H$2:$H$41,MATCH(C551,Customers!$A$2:$A$41,0))</f>
        <v>650</v>
      </c>
      <c r="M551" s="16" t="n">
        <f aca="false">J551*INDEX(Customers!$I$2:$I$41,MATCH(C551,Customers!$A$2:$A$41,0))/365*Assumptions!$B$6</f>
        <v>247.367798136986</v>
      </c>
      <c r="N551" s="16" t="n">
        <f aca="false">J551-K551-L551-M551</f>
        <v>35970.741115863</v>
      </c>
      <c r="O551" s="16" t="n">
        <f aca="false">F551*IF(A551="2025",INDEX(Products!$D$2:$D$13,MATCH(D551,Products!$A$2:$A$13,0)),INDEX(Products!$F$2:$F$13,MATCH(D551,Products!$A$2:$A$13,0)))</f>
        <v>25387.44</v>
      </c>
      <c r="P551" s="16" t="n">
        <f aca="false">N551-O551</f>
        <v>10583.301115863</v>
      </c>
    </row>
    <row r="552" customFormat="false" ht="15" hidden="false" customHeight="false" outlineLevel="0" collapsed="false">
      <c r="A552" s="2" t="s">
        <v>119</v>
      </c>
      <c r="B552" s="2" t="n">
        <v>11</v>
      </c>
      <c r="C552" s="2" t="s">
        <v>70</v>
      </c>
      <c r="D552" s="2" t="s">
        <v>41</v>
      </c>
      <c r="E552" s="2" t="str">
        <f aca="false">INDEX(Products!$B$2:$B$13,MATCH(D552,Products!$A$2:$A$13,0))</f>
        <v>Hydroprocessing</v>
      </c>
      <c r="F552" s="15" t="n">
        <v>3</v>
      </c>
      <c r="G552" s="16" t="n">
        <f aca="false">IF(A552="2025",INDEX(Products!$C$2:$C$13,MATCH(D552,Products!$A$2:$A$13,0)),INDEX(Products!$E$2:$E$13,MATCH(D552,Products!$A$2:$A$13,0)))</f>
        <v>15508.5</v>
      </c>
      <c r="H552" s="13" t="n">
        <f aca="false">IF(A552="2025",INDEX(Customers!$D$2:$D$41,MATCH(C552,Customers!$A$2:$A$41,0)),INDEX(Customers!$F$2:$F$41,MATCH(C552,Customers!$A$2:$A$41,0)))</f>
        <v>0.067</v>
      </c>
      <c r="I552" s="16" t="n">
        <f aca="false">F552*G552</f>
        <v>46525.5</v>
      </c>
      <c r="J552" s="16" t="n">
        <f aca="false">I552*(1-H552)</f>
        <v>43408.2915</v>
      </c>
      <c r="K552" s="16" t="n">
        <f aca="false">J552*INDEX(Customers!$G$2:$G$41,MATCH(C552,Customers!$A$2:$A$41,0))</f>
        <v>868.16583</v>
      </c>
      <c r="L552" s="16" t="n">
        <f aca="false">F552*INDEX(Customers!$H$2:$H$41,MATCH(C552,Customers!$A$2:$A$41,0))</f>
        <v>750</v>
      </c>
      <c r="M552" s="16" t="n">
        <f aca="false">J552*INDEX(Customers!$I$2:$I$41,MATCH(C552,Customers!$A$2:$A$41,0))/365*Assumptions!$B$6</f>
        <v>285.424382465753</v>
      </c>
      <c r="N552" s="16" t="n">
        <f aca="false">J552-K552-L552-M552</f>
        <v>41504.7012875343</v>
      </c>
      <c r="O552" s="16" t="n">
        <f aca="false">F552*IF(A552="2025",INDEX(Products!$D$2:$D$13,MATCH(D552,Products!$A$2:$A$13,0)),INDEX(Products!$F$2:$F$13,MATCH(D552,Products!$A$2:$A$13,0)))</f>
        <v>29293.2</v>
      </c>
      <c r="P552" s="16" t="n">
        <f aca="false">N552-O552</f>
        <v>12211.5012875343</v>
      </c>
    </row>
    <row r="553" customFormat="false" ht="15" hidden="false" customHeight="false" outlineLevel="0" collapsed="false">
      <c r="A553" s="2" t="s">
        <v>119</v>
      </c>
      <c r="B553" s="2" t="n">
        <v>12</v>
      </c>
      <c r="C553" s="2" t="s">
        <v>70</v>
      </c>
      <c r="D553" s="2" t="s">
        <v>41</v>
      </c>
      <c r="E553" s="2" t="str">
        <f aca="false">INDEX(Products!$B$2:$B$13,MATCH(D553,Products!$A$2:$A$13,0))</f>
        <v>Hydroprocessing</v>
      </c>
      <c r="F553" s="15" t="n">
        <v>2.5</v>
      </c>
      <c r="G553" s="16" t="n">
        <f aca="false">IF(A553="2025",INDEX(Products!$C$2:$C$13,MATCH(D553,Products!$A$2:$A$13,0)),INDEX(Products!$E$2:$E$13,MATCH(D553,Products!$A$2:$A$13,0)))</f>
        <v>15508.5</v>
      </c>
      <c r="H553" s="13" t="n">
        <f aca="false">IF(A553="2025",INDEX(Customers!$D$2:$D$41,MATCH(C553,Customers!$A$2:$A$41,0)),INDEX(Customers!$F$2:$F$41,MATCH(C553,Customers!$A$2:$A$41,0)))</f>
        <v>0.067</v>
      </c>
      <c r="I553" s="16" t="n">
        <f aca="false">F553*G553</f>
        <v>38771.25</v>
      </c>
      <c r="J553" s="16" t="n">
        <f aca="false">I553*(1-H553)</f>
        <v>36173.57625</v>
      </c>
      <c r="K553" s="16" t="n">
        <f aca="false">J553*INDEX(Customers!$G$2:$G$41,MATCH(C553,Customers!$A$2:$A$41,0))</f>
        <v>723.471525</v>
      </c>
      <c r="L553" s="16" t="n">
        <f aca="false">F553*INDEX(Customers!$H$2:$H$41,MATCH(C553,Customers!$A$2:$A$41,0))</f>
        <v>625</v>
      </c>
      <c r="M553" s="16" t="n">
        <f aca="false">J553*INDEX(Customers!$I$2:$I$41,MATCH(C553,Customers!$A$2:$A$41,0))/365*Assumptions!$B$6</f>
        <v>237.853652054795</v>
      </c>
      <c r="N553" s="16" t="n">
        <f aca="false">J553-K553-L553-M553</f>
        <v>34587.2510729452</v>
      </c>
      <c r="O553" s="16" t="n">
        <f aca="false">F553*IF(A553="2025",INDEX(Products!$D$2:$D$13,MATCH(D553,Products!$A$2:$A$13,0)),INDEX(Products!$F$2:$F$13,MATCH(D553,Products!$A$2:$A$13,0)))</f>
        <v>24411</v>
      </c>
      <c r="P553" s="16" t="n">
        <f aca="false">N553-O553</f>
        <v>10176.2510729452</v>
      </c>
    </row>
    <row r="554" customFormat="false" ht="15" hidden="false" customHeight="false" outlineLevel="0" collapsed="false">
      <c r="A554" s="2" t="s">
        <v>118</v>
      </c>
      <c r="B554" s="2" t="n">
        <v>1</v>
      </c>
      <c r="C554" s="2" t="s">
        <v>71</v>
      </c>
      <c r="D554" s="2" t="s">
        <v>34</v>
      </c>
      <c r="E554" s="2" t="str">
        <f aca="false">INDEX(Products!$B$2:$B$13,MATCH(D554,Products!$A$2:$A$13,0))</f>
        <v>FCC</v>
      </c>
      <c r="F554" s="15" t="n">
        <v>16.7</v>
      </c>
      <c r="G554" s="16" t="n">
        <f aca="false">IF(A554="2025",INDEX(Products!$C$2:$C$13,MATCH(D554,Products!$A$2:$A$13,0)),INDEX(Products!$E$2:$E$13,MATCH(D554,Products!$A$2:$A$13,0)))</f>
        <v>3270</v>
      </c>
      <c r="H554" s="13" t="n">
        <f aca="false">IF(A554="2025",INDEX(Customers!$D$2:$D$41,MATCH(C554,Customers!$A$2:$A$41,0)),INDEX(Customers!$F$2:$F$41,MATCH(C554,Customers!$A$2:$A$41,0)))</f>
        <v>0.048</v>
      </c>
      <c r="I554" s="16" t="n">
        <f aca="false">F554*G554</f>
        <v>54609</v>
      </c>
      <c r="J554" s="16" t="n">
        <f aca="false">I554*(1-H554)</f>
        <v>51987.768</v>
      </c>
      <c r="K554" s="16" t="n">
        <f aca="false">J554*INDEX(Customers!$G$2:$G$41,MATCH(C554,Customers!$A$2:$A$41,0))</f>
        <v>1559.63304</v>
      </c>
      <c r="L554" s="16" t="n">
        <f aca="false">F554*INDEX(Customers!$H$2:$H$41,MATCH(C554,Customers!$A$2:$A$41,0))</f>
        <v>6513</v>
      </c>
      <c r="M554" s="16" t="n">
        <f aca="false">J554*INDEX(Customers!$I$2:$I$41,MATCH(C554,Customers!$A$2:$A$41,0))/365*Assumptions!$B$6</f>
        <v>341.837378630137</v>
      </c>
      <c r="N554" s="16" t="n">
        <f aca="false">J554-K554-L554-M554</f>
        <v>43573.2975813699</v>
      </c>
      <c r="O554" s="16" t="n">
        <f aca="false">F554*IF(A554="2025",INDEX(Products!$D$2:$D$13,MATCH(D554,Products!$A$2:$A$13,0)),INDEX(Products!$F$2:$F$13,MATCH(D554,Products!$A$2:$A$13,0)))</f>
        <v>36573</v>
      </c>
      <c r="P554" s="16" t="n">
        <f aca="false">N554-O554</f>
        <v>7000.29758136986</v>
      </c>
    </row>
    <row r="555" customFormat="false" ht="15" hidden="false" customHeight="false" outlineLevel="0" collapsed="false">
      <c r="A555" s="2" t="s">
        <v>118</v>
      </c>
      <c r="B555" s="2" t="n">
        <v>2</v>
      </c>
      <c r="C555" s="2" t="s">
        <v>71</v>
      </c>
      <c r="D555" s="2" t="s">
        <v>34</v>
      </c>
      <c r="E555" s="2" t="str">
        <f aca="false">INDEX(Products!$B$2:$B$13,MATCH(D555,Products!$A$2:$A$13,0))</f>
        <v>FCC</v>
      </c>
      <c r="F555" s="15" t="n">
        <v>14.5</v>
      </c>
      <c r="G555" s="16" t="n">
        <f aca="false">IF(A555="2025",INDEX(Products!$C$2:$C$13,MATCH(D555,Products!$A$2:$A$13,0)),INDEX(Products!$E$2:$E$13,MATCH(D555,Products!$A$2:$A$13,0)))</f>
        <v>3270</v>
      </c>
      <c r="H555" s="13" t="n">
        <f aca="false">IF(A555="2025",INDEX(Customers!$D$2:$D$41,MATCH(C555,Customers!$A$2:$A$41,0)),INDEX(Customers!$F$2:$F$41,MATCH(C555,Customers!$A$2:$A$41,0)))</f>
        <v>0.048</v>
      </c>
      <c r="I555" s="16" t="n">
        <f aca="false">F555*G555</f>
        <v>47415</v>
      </c>
      <c r="J555" s="16" t="n">
        <f aca="false">I555*(1-H555)</f>
        <v>45139.08</v>
      </c>
      <c r="K555" s="16" t="n">
        <f aca="false">J555*INDEX(Customers!$G$2:$G$41,MATCH(C555,Customers!$A$2:$A$41,0))</f>
        <v>1354.1724</v>
      </c>
      <c r="L555" s="16" t="n">
        <f aca="false">F555*INDEX(Customers!$H$2:$H$41,MATCH(C555,Customers!$A$2:$A$41,0))</f>
        <v>5655</v>
      </c>
      <c r="M555" s="16" t="n">
        <f aca="false">J555*INDEX(Customers!$I$2:$I$41,MATCH(C555,Customers!$A$2:$A$41,0))/365*Assumptions!$B$6</f>
        <v>296.804909589041</v>
      </c>
      <c r="N555" s="16" t="n">
        <f aca="false">J555-K555-L555-M555</f>
        <v>37833.102690411</v>
      </c>
      <c r="O555" s="16" t="n">
        <f aca="false">F555*IF(A555="2025",INDEX(Products!$D$2:$D$13,MATCH(D555,Products!$A$2:$A$13,0)),INDEX(Products!$F$2:$F$13,MATCH(D555,Products!$A$2:$A$13,0)))</f>
        <v>31755</v>
      </c>
      <c r="P555" s="16" t="n">
        <f aca="false">N555-O555</f>
        <v>6078.10269041095</v>
      </c>
    </row>
    <row r="556" customFormat="false" ht="15" hidden="false" customHeight="false" outlineLevel="0" collapsed="false">
      <c r="A556" s="2" t="s">
        <v>118</v>
      </c>
      <c r="B556" s="2" t="n">
        <v>3</v>
      </c>
      <c r="C556" s="2" t="s">
        <v>71</v>
      </c>
      <c r="D556" s="2" t="s">
        <v>34</v>
      </c>
      <c r="E556" s="2" t="str">
        <f aca="false">INDEX(Products!$B$2:$B$13,MATCH(D556,Products!$A$2:$A$13,0))</f>
        <v>FCC</v>
      </c>
      <c r="F556" s="15" t="n">
        <v>9.3</v>
      </c>
      <c r="G556" s="16" t="n">
        <f aca="false">IF(A556="2025",INDEX(Products!$C$2:$C$13,MATCH(D556,Products!$A$2:$A$13,0)),INDEX(Products!$E$2:$E$13,MATCH(D556,Products!$A$2:$A$13,0)))</f>
        <v>3270</v>
      </c>
      <c r="H556" s="13" t="n">
        <f aca="false">IF(A556="2025",INDEX(Customers!$D$2:$D$41,MATCH(C556,Customers!$A$2:$A$41,0)),INDEX(Customers!$F$2:$F$41,MATCH(C556,Customers!$A$2:$A$41,0)))</f>
        <v>0.048</v>
      </c>
      <c r="I556" s="16" t="n">
        <f aca="false">F556*G556</f>
        <v>30411</v>
      </c>
      <c r="J556" s="16" t="n">
        <f aca="false">I556*(1-H556)</f>
        <v>28951.272</v>
      </c>
      <c r="K556" s="16" t="n">
        <f aca="false">J556*INDEX(Customers!$G$2:$G$41,MATCH(C556,Customers!$A$2:$A$41,0))</f>
        <v>868.53816</v>
      </c>
      <c r="L556" s="16" t="n">
        <f aca="false">F556*INDEX(Customers!$H$2:$H$41,MATCH(C556,Customers!$A$2:$A$41,0))</f>
        <v>3627</v>
      </c>
      <c r="M556" s="16" t="n">
        <f aca="false">J556*INDEX(Customers!$I$2:$I$41,MATCH(C556,Customers!$A$2:$A$41,0))/365*Assumptions!$B$6</f>
        <v>190.364528219178</v>
      </c>
      <c r="N556" s="16" t="n">
        <f aca="false">J556-K556-L556-M556</f>
        <v>24265.3693117808</v>
      </c>
      <c r="O556" s="16" t="n">
        <f aca="false">F556*IF(A556="2025",INDEX(Products!$D$2:$D$13,MATCH(D556,Products!$A$2:$A$13,0)),INDEX(Products!$F$2:$F$13,MATCH(D556,Products!$A$2:$A$13,0)))</f>
        <v>20367</v>
      </c>
      <c r="P556" s="16" t="n">
        <f aca="false">N556-O556</f>
        <v>3898.36931178082</v>
      </c>
    </row>
    <row r="557" customFormat="false" ht="15" hidden="false" customHeight="false" outlineLevel="0" collapsed="false">
      <c r="A557" s="2" t="s">
        <v>118</v>
      </c>
      <c r="B557" s="2" t="n">
        <v>4</v>
      </c>
      <c r="C557" s="2" t="s">
        <v>71</v>
      </c>
      <c r="D557" s="2" t="s">
        <v>34</v>
      </c>
      <c r="E557" s="2" t="str">
        <f aca="false">INDEX(Products!$B$2:$B$13,MATCH(D557,Products!$A$2:$A$13,0))</f>
        <v>FCC</v>
      </c>
      <c r="F557" s="15" t="n">
        <v>9.4</v>
      </c>
      <c r="G557" s="16" t="n">
        <f aca="false">IF(A557="2025",INDEX(Products!$C$2:$C$13,MATCH(D557,Products!$A$2:$A$13,0)),INDEX(Products!$E$2:$E$13,MATCH(D557,Products!$A$2:$A$13,0)))</f>
        <v>3270</v>
      </c>
      <c r="H557" s="13" t="n">
        <f aca="false">IF(A557="2025",INDEX(Customers!$D$2:$D$41,MATCH(C557,Customers!$A$2:$A$41,0)),INDEX(Customers!$F$2:$F$41,MATCH(C557,Customers!$A$2:$A$41,0)))</f>
        <v>0.048</v>
      </c>
      <c r="I557" s="16" t="n">
        <f aca="false">F557*G557</f>
        <v>30738</v>
      </c>
      <c r="J557" s="16" t="n">
        <f aca="false">I557*(1-H557)</f>
        <v>29262.576</v>
      </c>
      <c r="K557" s="16" t="n">
        <f aca="false">J557*INDEX(Customers!$G$2:$G$41,MATCH(C557,Customers!$A$2:$A$41,0))</f>
        <v>877.87728</v>
      </c>
      <c r="L557" s="16" t="n">
        <f aca="false">F557*INDEX(Customers!$H$2:$H$41,MATCH(C557,Customers!$A$2:$A$41,0))</f>
        <v>3666</v>
      </c>
      <c r="M557" s="16" t="n">
        <f aca="false">J557*INDEX(Customers!$I$2:$I$41,MATCH(C557,Customers!$A$2:$A$41,0))/365*Assumptions!$B$6</f>
        <v>192.411458630137</v>
      </c>
      <c r="N557" s="16" t="n">
        <f aca="false">J557-K557-L557-M557</f>
        <v>24526.2872613699</v>
      </c>
      <c r="O557" s="16" t="n">
        <f aca="false">F557*IF(A557="2025",INDEX(Products!$D$2:$D$13,MATCH(D557,Products!$A$2:$A$13,0)),INDEX(Products!$F$2:$F$13,MATCH(D557,Products!$A$2:$A$13,0)))</f>
        <v>20586</v>
      </c>
      <c r="P557" s="16" t="n">
        <f aca="false">N557-O557</f>
        <v>3940.28726136986</v>
      </c>
    </row>
    <row r="558" customFormat="false" ht="15" hidden="false" customHeight="false" outlineLevel="0" collapsed="false">
      <c r="A558" s="2" t="s">
        <v>118</v>
      </c>
      <c r="B558" s="2" t="n">
        <v>5</v>
      </c>
      <c r="C558" s="2" t="s">
        <v>71</v>
      </c>
      <c r="D558" s="2" t="s">
        <v>34</v>
      </c>
      <c r="E558" s="2" t="str">
        <f aca="false">INDEX(Products!$B$2:$B$13,MATCH(D558,Products!$A$2:$A$13,0))</f>
        <v>FCC</v>
      </c>
      <c r="F558" s="15" t="n">
        <v>10.8</v>
      </c>
      <c r="G558" s="16" t="n">
        <f aca="false">IF(A558="2025",INDEX(Products!$C$2:$C$13,MATCH(D558,Products!$A$2:$A$13,0)),INDEX(Products!$E$2:$E$13,MATCH(D558,Products!$A$2:$A$13,0)))</f>
        <v>3270</v>
      </c>
      <c r="H558" s="13" t="n">
        <f aca="false">IF(A558="2025",INDEX(Customers!$D$2:$D$41,MATCH(C558,Customers!$A$2:$A$41,0)),INDEX(Customers!$F$2:$F$41,MATCH(C558,Customers!$A$2:$A$41,0)))</f>
        <v>0.048</v>
      </c>
      <c r="I558" s="16" t="n">
        <f aca="false">F558*G558</f>
        <v>35316</v>
      </c>
      <c r="J558" s="16" t="n">
        <f aca="false">I558*(1-H558)</f>
        <v>33620.832</v>
      </c>
      <c r="K558" s="16" t="n">
        <f aca="false">J558*INDEX(Customers!$G$2:$G$41,MATCH(C558,Customers!$A$2:$A$41,0))</f>
        <v>1008.62496</v>
      </c>
      <c r="L558" s="16" t="n">
        <f aca="false">F558*INDEX(Customers!$H$2:$H$41,MATCH(C558,Customers!$A$2:$A$41,0))</f>
        <v>4212</v>
      </c>
      <c r="M558" s="16" t="n">
        <f aca="false">J558*INDEX(Customers!$I$2:$I$41,MATCH(C558,Customers!$A$2:$A$41,0))/365*Assumptions!$B$6</f>
        <v>221.068484383562</v>
      </c>
      <c r="N558" s="16" t="n">
        <f aca="false">J558-K558-L558-M558</f>
        <v>28179.1385556164</v>
      </c>
      <c r="O558" s="16" t="n">
        <f aca="false">F558*IF(A558="2025",INDEX(Products!$D$2:$D$13,MATCH(D558,Products!$A$2:$A$13,0)),INDEX(Products!$F$2:$F$13,MATCH(D558,Products!$A$2:$A$13,0)))</f>
        <v>23652</v>
      </c>
      <c r="P558" s="16" t="n">
        <f aca="false">N558-O558</f>
        <v>4527.13855561643</v>
      </c>
    </row>
    <row r="559" customFormat="false" ht="15" hidden="false" customHeight="false" outlineLevel="0" collapsed="false">
      <c r="A559" s="2" t="s">
        <v>118</v>
      </c>
      <c r="B559" s="2" t="n">
        <v>6</v>
      </c>
      <c r="C559" s="2" t="s">
        <v>71</v>
      </c>
      <c r="D559" s="2" t="s">
        <v>34</v>
      </c>
      <c r="E559" s="2" t="str">
        <f aca="false">INDEX(Products!$B$2:$B$13,MATCH(D559,Products!$A$2:$A$13,0))</f>
        <v>FCC</v>
      </c>
      <c r="F559" s="15" t="n">
        <v>11.9</v>
      </c>
      <c r="G559" s="16" t="n">
        <f aca="false">IF(A559="2025",INDEX(Products!$C$2:$C$13,MATCH(D559,Products!$A$2:$A$13,0)),INDEX(Products!$E$2:$E$13,MATCH(D559,Products!$A$2:$A$13,0)))</f>
        <v>3270</v>
      </c>
      <c r="H559" s="13" t="n">
        <f aca="false">IF(A559="2025",INDEX(Customers!$D$2:$D$41,MATCH(C559,Customers!$A$2:$A$41,0)),INDEX(Customers!$F$2:$F$41,MATCH(C559,Customers!$A$2:$A$41,0)))</f>
        <v>0.048</v>
      </c>
      <c r="I559" s="16" t="n">
        <f aca="false">F559*G559</f>
        <v>38913</v>
      </c>
      <c r="J559" s="16" t="n">
        <f aca="false">I559*(1-H559)</f>
        <v>37045.176</v>
      </c>
      <c r="K559" s="16" t="n">
        <f aca="false">J559*INDEX(Customers!$G$2:$G$41,MATCH(C559,Customers!$A$2:$A$41,0))</f>
        <v>1111.35528</v>
      </c>
      <c r="L559" s="16" t="n">
        <f aca="false">F559*INDEX(Customers!$H$2:$H$41,MATCH(C559,Customers!$A$2:$A$41,0))</f>
        <v>4641</v>
      </c>
      <c r="M559" s="16" t="n">
        <f aca="false">J559*INDEX(Customers!$I$2:$I$41,MATCH(C559,Customers!$A$2:$A$41,0))/365*Assumptions!$B$6</f>
        <v>243.58471890411</v>
      </c>
      <c r="N559" s="16" t="n">
        <f aca="false">J559-K559-L559-M559</f>
        <v>31049.2360010959</v>
      </c>
      <c r="O559" s="16" t="n">
        <f aca="false">F559*IF(A559="2025",INDEX(Products!$D$2:$D$13,MATCH(D559,Products!$A$2:$A$13,0)),INDEX(Products!$F$2:$F$13,MATCH(D559,Products!$A$2:$A$13,0)))</f>
        <v>26061</v>
      </c>
      <c r="P559" s="16" t="n">
        <f aca="false">N559-O559</f>
        <v>4988.23600109589</v>
      </c>
    </row>
    <row r="560" customFormat="false" ht="15" hidden="false" customHeight="false" outlineLevel="0" collapsed="false">
      <c r="A560" s="2" t="s">
        <v>118</v>
      </c>
      <c r="B560" s="2" t="n">
        <v>7</v>
      </c>
      <c r="C560" s="2" t="s">
        <v>71</v>
      </c>
      <c r="D560" s="2" t="s">
        <v>34</v>
      </c>
      <c r="E560" s="2" t="str">
        <f aca="false">INDEX(Products!$B$2:$B$13,MATCH(D560,Products!$A$2:$A$13,0))</f>
        <v>FCC</v>
      </c>
      <c r="F560" s="15" t="n">
        <v>10.4</v>
      </c>
      <c r="G560" s="16" t="n">
        <f aca="false">IF(A560="2025",INDEX(Products!$C$2:$C$13,MATCH(D560,Products!$A$2:$A$13,0)),INDEX(Products!$E$2:$E$13,MATCH(D560,Products!$A$2:$A$13,0)))</f>
        <v>3270</v>
      </c>
      <c r="H560" s="13" t="n">
        <f aca="false">IF(A560="2025",INDEX(Customers!$D$2:$D$41,MATCH(C560,Customers!$A$2:$A$41,0)),INDEX(Customers!$F$2:$F$41,MATCH(C560,Customers!$A$2:$A$41,0)))</f>
        <v>0.048</v>
      </c>
      <c r="I560" s="16" t="n">
        <f aca="false">F560*G560</f>
        <v>34008</v>
      </c>
      <c r="J560" s="16" t="n">
        <f aca="false">I560*(1-H560)</f>
        <v>32375.616</v>
      </c>
      <c r="K560" s="16" t="n">
        <f aca="false">J560*INDEX(Customers!$G$2:$G$41,MATCH(C560,Customers!$A$2:$A$41,0))</f>
        <v>971.26848</v>
      </c>
      <c r="L560" s="16" t="n">
        <f aca="false">F560*INDEX(Customers!$H$2:$H$41,MATCH(C560,Customers!$A$2:$A$41,0))</f>
        <v>4056</v>
      </c>
      <c r="M560" s="16" t="n">
        <f aca="false">J560*INDEX(Customers!$I$2:$I$41,MATCH(C560,Customers!$A$2:$A$41,0))/365*Assumptions!$B$6</f>
        <v>212.880762739726</v>
      </c>
      <c r="N560" s="16" t="n">
        <f aca="false">J560-K560-L560-M560</f>
        <v>27135.4667572603</v>
      </c>
      <c r="O560" s="16" t="n">
        <f aca="false">F560*IF(A560="2025",INDEX(Products!$D$2:$D$13,MATCH(D560,Products!$A$2:$A$13,0)),INDEX(Products!$F$2:$F$13,MATCH(D560,Products!$A$2:$A$13,0)))</f>
        <v>22776</v>
      </c>
      <c r="P560" s="16" t="n">
        <f aca="false">N560-O560</f>
        <v>4359.46675726027</v>
      </c>
    </row>
    <row r="561" customFormat="false" ht="15" hidden="false" customHeight="false" outlineLevel="0" collapsed="false">
      <c r="A561" s="2" t="s">
        <v>118</v>
      </c>
      <c r="B561" s="2" t="n">
        <v>8</v>
      </c>
      <c r="C561" s="2" t="s">
        <v>71</v>
      </c>
      <c r="D561" s="2" t="s">
        <v>34</v>
      </c>
      <c r="E561" s="2" t="str">
        <f aca="false">INDEX(Products!$B$2:$B$13,MATCH(D561,Products!$A$2:$A$13,0))</f>
        <v>FCC</v>
      </c>
      <c r="F561" s="15" t="n">
        <v>16.6</v>
      </c>
      <c r="G561" s="16" t="n">
        <f aca="false">IF(A561="2025",INDEX(Products!$C$2:$C$13,MATCH(D561,Products!$A$2:$A$13,0)),INDEX(Products!$E$2:$E$13,MATCH(D561,Products!$A$2:$A$13,0)))</f>
        <v>3270</v>
      </c>
      <c r="H561" s="13" t="n">
        <f aca="false">IF(A561="2025",INDEX(Customers!$D$2:$D$41,MATCH(C561,Customers!$A$2:$A$41,0)),INDEX(Customers!$F$2:$F$41,MATCH(C561,Customers!$A$2:$A$41,0)))</f>
        <v>0.048</v>
      </c>
      <c r="I561" s="16" t="n">
        <f aca="false">F561*G561</f>
        <v>54282</v>
      </c>
      <c r="J561" s="16" t="n">
        <f aca="false">I561*(1-H561)</f>
        <v>51676.464</v>
      </c>
      <c r="K561" s="16" t="n">
        <f aca="false">J561*INDEX(Customers!$G$2:$G$41,MATCH(C561,Customers!$A$2:$A$41,0))</f>
        <v>1550.29392</v>
      </c>
      <c r="L561" s="16" t="n">
        <f aca="false">F561*INDEX(Customers!$H$2:$H$41,MATCH(C561,Customers!$A$2:$A$41,0))</f>
        <v>6474</v>
      </c>
      <c r="M561" s="16" t="n">
        <f aca="false">J561*INDEX(Customers!$I$2:$I$41,MATCH(C561,Customers!$A$2:$A$41,0))/365*Assumptions!$B$6</f>
        <v>339.790448219178</v>
      </c>
      <c r="N561" s="16" t="n">
        <f aca="false">J561-K561-L561-M561</f>
        <v>43312.3796317808</v>
      </c>
      <c r="O561" s="16" t="n">
        <f aca="false">F561*IF(A561="2025",INDEX(Products!$D$2:$D$13,MATCH(D561,Products!$A$2:$A$13,0)),INDEX(Products!$F$2:$F$13,MATCH(D561,Products!$A$2:$A$13,0)))</f>
        <v>36354</v>
      </c>
      <c r="P561" s="16" t="n">
        <f aca="false">N561-O561</f>
        <v>6958.37963178083</v>
      </c>
    </row>
    <row r="562" customFormat="false" ht="15" hidden="false" customHeight="false" outlineLevel="0" collapsed="false">
      <c r="A562" s="2" t="s">
        <v>118</v>
      </c>
      <c r="B562" s="2" t="n">
        <v>9</v>
      </c>
      <c r="C562" s="2" t="s">
        <v>71</v>
      </c>
      <c r="D562" s="2" t="s">
        <v>34</v>
      </c>
      <c r="E562" s="2" t="str">
        <f aca="false">INDEX(Products!$B$2:$B$13,MATCH(D562,Products!$A$2:$A$13,0))</f>
        <v>FCC</v>
      </c>
      <c r="F562" s="15" t="n">
        <v>11.2</v>
      </c>
      <c r="G562" s="16" t="n">
        <f aca="false">IF(A562="2025",INDEX(Products!$C$2:$C$13,MATCH(D562,Products!$A$2:$A$13,0)),INDEX(Products!$E$2:$E$13,MATCH(D562,Products!$A$2:$A$13,0)))</f>
        <v>3270</v>
      </c>
      <c r="H562" s="13" t="n">
        <f aca="false">IF(A562="2025",INDEX(Customers!$D$2:$D$41,MATCH(C562,Customers!$A$2:$A$41,0)),INDEX(Customers!$F$2:$F$41,MATCH(C562,Customers!$A$2:$A$41,0)))</f>
        <v>0.048</v>
      </c>
      <c r="I562" s="16" t="n">
        <f aca="false">F562*G562</f>
        <v>36624</v>
      </c>
      <c r="J562" s="16" t="n">
        <f aca="false">I562*(1-H562)</f>
        <v>34866.048</v>
      </c>
      <c r="K562" s="16" t="n">
        <f aca="false">J562*INDEX(Customers!$G$2:$G$41,MATCH(C562,Customers!$A$2:$A$41,0))</f>
        <v>1045.98144</v>
      </c>
      <c r="L562" s="16" t="n">
        <f aca="false">F562*INDEX(Customers!$H$2:$H$41,MATCH(C562,Customers!$A$2:$A$41,0))</f>
        <v>4368</v>
      </c>
      <c r="M562" s="16" t="n">
        <f aca="false">J562*INDEX(Customers!$I$2:$I$41,MATCH(C562,Customers!$A$2:$A$41,0))/365*Assumptions!$B$6</f>
        <v>229.256206027397</v>
      </c>
      <c r="N562" s="16" t="n">
        <f aca="false">J562-K562-L562-M562</f>
        <v>29222.8103539726</v>
      </c>
      <c r="O562" s="16" t="n">
        <f aca="false">F562*IF(A562="2025",INDEX(Products!$D$2:$D$13,MATCH(D562,Products!$A$2:$A$13,0)),INDEX(Products!$F$2:$F$13,MATCH(D562,Products!$A$2:$A$13,0)))</f>
        <v>24528</v>
      </c>
      <c r="P562" s="16" t="n">
        <f aca="false">N562-O562</f>
        <v>4694.8103539726</v>
      </c>
    </row>
    <row r="563" customFormat="false" ht="15" hidden="false" customHeight="false" outlineLevel="0" collapsed="false">
      <c r="A563" s="2" t="s">
        <v>118</v>
      </c>
      <c r="B563" s="2" t="n">
        <v>10</v>
      </c>
      <c r="C563" s="2" t="s">
        <v>71</v>
      </c>
      <c r="D563" s="2" t="s">
        <v>34</v>
      </c>
      <c r="E563" s="2" t="str">
        <f aca="false">INDEX(Products!$B$2:$B$13,MATCH(D563,Products!$A$2:$A$13,0))</f>
        <v>FCC</v>
      </c>
      <c r="F563" s="15" t="n">
        <v>12.7</v>
      </c>
      <c r="G563" s="16" t="n">
        <f aca="false">IF(A563="2025",INDEX(Products!$C$2:$C$13,MATCH(D563,Products!$A$2:$A$13,0)),INDEX(Products!$E$2:$E$13,MATCH(D563,Products!$A$2:$A$13,0)))</f>
        <v>3270</v>
      </c>
      <c r="H563" s="13" t="n">
        <f aca="false">IF(A563="2025",INDEX(Customers!$D$2:$D$41,MATCH(C563,Customers!$A$2:$A$41,0)),INDEX(Customers!$F$2:$F$41,MATCH(C563,Customers!$A$2:$A$41,0)))</f>
        <v>0.048</v>
      </c>
      <c r="I563" s="16" t="n">
        <f aca="false">F563*G563</f>
        <v>41529</v>
      </c>
      <c r="J563" s="16" t="n">
        <f aca="false">I563*(1-H563)</f>
        <v>39535.608</v>
      </c>
      <c r="K563" s="16" t="n">
        <f aca="false">J563*INDEX(Customers!$G$2:$G$41,MATCH(C563,Customers!$A$2:$A$41,0))</f>
        <v>1186.06824</v>
      </c>
      <c r="L563" s="16" t="n">
        <f aca="false">F563*INDEX(Customers!$H$2:$H$41,MATCH(C563,Customers!$A$2:$A$41,0))</f>
        <v>4953</v>
      </c>
      <c r="M563" s="16" t="n">
        <f aca="false">J563*INDEX(Customers!$I$2:$I$41,MATCH(C563,Customers!$A$2:$A$41,0))/365*Assumptions!$B$6</f>
        <v>259.960162191781</v>
      </c>
      <c r="N563" s="16" t="n">
        <f aca="false">J563-K563-L563-M563</f>
        <v>33136.5795978082</v>
      </c>
      <c r="O563" s="16" t="n">
        <f aca="false">F563*IF(A563="2025",INDEX(Products!$D$2:$D$13,MATCH(D563,Products!$A$2:$A$13,0)),INDEX(Products!$F$2:$F$13,MATCH(D563,Products!$A$2:$A$13,0)))</f>
        <v>27813</v>
      </c>
      <c r="P563" s="16" t="n">
        <f aca="false">N563-O563</f>
        <v>5323.57959780822</v>
      </c>
    </row>
    <row r="564" customFormat="false" ht="15" hidden="false" customHeight="false" outlineLevel="0" collapsed="false">
      <c r="A564" s="2" t="s">
        <v>118</v>
      </c>
      <c r="B564" s="2" t="n">
        <v>11</v>
      </c>
      <c r="C564" s="2" t="s">
        <v>71</v>
      </c>
      <c r="D564" s="2" t="s">
        <v>34</v>
      </c>
      <c r="E564" s="2" t="str">
        <f aca="false">INDEX(Products!$B$2:$B$13,MATCH(D564,Products!$A$2:$A$13,0))</f>
        <v>FCC</v>
      </c>
      <c r="F564" s="15" t="n">
        <v>10.2</v>
      </c>
      <c r="G564" s="16" t="n">
        <f aca="false">IF(A564="2025",INDEX(Products!$C$2:$C$13,MATCH(D564,Products!$A$2:$A$13,0)),INDEX(Products!$E$2:$E$13,MATCH(D564,Products!$A$2:$A$13,0)))</f>
        <v>3270</v>
      </c>
      <c r="H564" s="13" t="n">
        <f aca="false">IF(A564="2025",INDEX(Customers!$D$2:$D$41,MATCH(C564,Customers!$A$2:$A$41,0)),INDEX(Customers!$F$2:$F$41,MATCH(C564,Customers!$A$2:$A$41,0)))</f>
        <v>0.048</v>
      </c>
      <c r="I564" s="16" t="n">
        <f aca="false">F564*G564</f>
        <v>33354</v>
      </c>
      <c r="J564" s="16" t="n">
        <f aca="false">I564*(1-H564)</f>
        <v>31753.008</v>
      </c>
      <c r="K564" s="16" t="n">
        <f aca="false">J564*INDEX(Customers!$G$2:$G$41,MATCH(C564,Customers!$A$2:$A$41,0))</f>
        <v>952.59024</v>
      </c>
      <c r="L564" s="16" t="n">
        <f aca="false">F564*INDEX(Customers!$H$2:$H$41,MATCH(C564,Customers!$A$2:$A$41,0))</f>
        <v>3978</v>
      </c>
      <c r="M564" s="16" t="n">
        <f aca="false">J564*INDEX(Customers!$I$2:$I$41,MATCH(C564,Customers!$A$2:$A$41,0))/365*Assumptions!$B$6</f>
        <v>208.786901917808</v>
      </c>
      <c r="N564" s="16" t="n">
        <f aca="false">J564-K564-L564-M564</f>
        <v>26613.6308580822</v>
      </c>
      <c r="O564" s="16" t="n">
        <f aca="false">F564*IF(A564="2025",INDEX(Products!$D$2:$D$13,MATCH(D564,Products!$A$2:$A$13,0)),INDEX(Products!$F$2:$F$13,MATCH(D564,Products!$A$2:$A$13,0)))</f>
        <v>22338</v>
      </c>
      <c r="P564" s="16" t="n">
        <f aca="false">N564-O564</f>
        <v>4275.63085808219</v>
      </c>
    </row>
    <row r="565" customFormat="false" ht="15" hidden="false" customHeight="false" outlineLevel="0" collapsed="false">
      <c r="A565" s="2" t="s">
        <v>118</v>
      </c>
      <c r="B565" s="2" t="n">
        <v>12</v>
      </c>
      <c r="C565" s="2" t="s">
        <v>71</v>
      </c>
      <c r="D565" s="2" t="s">
        <v>34</v>
      </c>
      <c r="E565" s="2" t="str">
        <f aca="false">INDEX(Products!$B$2:$B$13,MATCH(D565,Products!$A$2:$A$13,0))</f>
        <v>FCC</v>
      </c>
      <c r="F565" s="15" t="n">
        <v>11.5</v>
      </c>
      <c r="G565" s="16" t="n">
        <f aca="false">IF(A565="2025",INDEX(Products!$C$2:$C$13,MATCH(D565,Products!$A$2:$A$13,0)),INDEX(Products!$E$2:$E$13,MATCH(D565,Products!$A$2:$A$13,0)))</f>
        <v>3270</v>
      </c>
      <c r="H565" s="13" t="n">
        <f aca="false">IF(A565="2025",INDEX(Customers!$D$2:$D$41,MATCH(C565,Customers!$A$2:$A$41,0)),INDEX(Customers!$F$2:$F$41,MATCH(C565,Customers!$A$2:$A$41,0)))</f>
        <v>0.048</v>
      </c>
      <c r="I565" s="16" t="n">
        <f aca="false">F565*G565</f>
        <v>37605</v>
      </c>
      <c r="J565" s="16" t="n">
        <f aca="false">I565*(1-H565)</f>
        <v>35799.96</v>
      </c>
      <c r="K565" s="16" t="n">
        <f aca="false">J565*INDEX(Customers!$G$2:$G$41,MATCH(C565,Customers!$A$2:$A$41,0))</f>
        <v>1073.9988</v>
      </c>
      <c r="L565" s="16" t="n">
        <f aca="false">F565*INDEX(Customers!$H$2:$H$41,MATCH(C565,Customers!$A$2:$A$41,0))</f>
        <v>4485</v>
      </c>
      <c r="M565" s="16" t="n">
        <f aca="false">J565*INDEX(Customers!$I$2:$I$41,MATCH(C565,Customers!$A$2:$A$41,0))/365*Assumptions!$B$6</f>
        <v>235.396997260274</v>
      </c>
      <c r="N565" s="16" t="n">
        <f aca="false">J565-K565-L565-M565</f>
        <v>30005.5642027397</v>
      </c>
      <c r="O565" s="16" t="n">
        <f aca="false">F565*IF(A565="2025",INDEX(Products!$D$2:$D$13,MATCH(D565,Products!$A$2:$A$13,0)),INDEX(Products!$F$2:$F$13,MATCH(D565,Products!$A$2:$A$13,0)))</f>
        <v>25185</v>
      </c>
      <c r="P565" s="16" t="n">
        <f aca="false">N565-O565</f>
        <v>4820.56420273972</v>
      </c>
    </row>
    <row r="566" customFormat="false" ht="15" hidden="false" customHeight="false" outlineLevel="0" collapsed="false">
      <c r="A566" s="2" t="s">
        <v>119</v>
      </c>
      <c r="B566" s="2" t="n">
        <v>1</v>
      </c>
      <c r="C566" s="2" t="s">
        <v>71</v>
      </c>
      <c r="D566" s="2" t="s">
        <v>34</v>
      </c>
      <c r="E566" s="2" t="str">
        <f aca="false">INDEX(Products!$B$2:$B$13,MATCH(D566,Products!$A$2:$A$13,0))</f>
        <v>FCC</v>
      </c>
      <c r="F566" s="15" t="n">
        <v>12.7</v>
      </c>
      <c r="G566" s="16" t="n">
        <f aca="false">IF(A566="2025",INDEX(Products!$C$2:$C$13,MATCH(D566,Products!$A$2:$A$13,0)),INDEX(Products!$E$2:$E$13,MATCH(D566,Products!$A$2:$A$13,0)))</f>
        <v>3433.5</v>
      </c>
      <c r="H566" s="13" t="n">
        <f aca="false">IF(A566="2025",INDEX(Customers!$D$2:$D$41,MATCH(C566,Customers!$A$2:$A$41,0)),INDEX(Customers!$F$2:$F$41,MATCH(C566,Customers!$A$2:$A$41,0)))</f>
        <v>0.048</v>
      </c>
      <c r="I566" s="16" t="n">
        <f aca="false">F566*G566</f>
        <v>43605.45</v>
      </c>
      <c r="J566" s="16" t="n">
        <f aca="false">I566*(1-H566)</f>
        <v>41512.3884</v>
      </c>
      <c r="K566" s="16" t="n">
        <f aca="false">J566*INDEX(Customers!$G$2:$G$41,MATCH(C566,Customers!$A$2:$A$41,0))</f>
        <v>1245.371652</v>
      </c>
      <c r="L566" s="16" t="n">
        <f aca="false">F566*INDEX(Customers!$H$2:$H$41,MATCH(C566,Customers!$A$2:$A$41,0))</f>
        <v>4953</v>
      </c>
      <c r="M566" s="16" t="n">
        <f aca="false">J566*INDEX(Customers!$I$2:$I$41,MATCH(C566,Customers!$A$2:$A$41,0))/365*Assumptions!$B$6</f>
        <v>272.95817030137</v>
      </c>
      <c r="N566" s="16" t="n">
        <f aca="false">J566-K566-L566-M566</f>
        <v>35041.0585776986</v>
      </c>
      <c r="O566" s="16" t="n">
        <f aca="false">F566*IF(A566="2025",INDEX(Products!$D$2:$D$13,MATCH(D566,Products!$A$2:$A$13,0)),INDEX(Products!$F$2:$F$13,MATCH(D566,Products!$A$2:$A$13,0)))</f>
        <v>28647.39</v>
      </c>
      <c r="P566" s="16" t="n">
        <f aca="false">N566-O566</f>
        <v>6393.66857769862</v>
      </c>
    </row>
    <row r="567" customFormat="false" ht="15" hidden="false" customHeight="false" outlineLevel="0" collapsed="false">
      <c r="A567" s="2" t="s">
        <v>119</v>
      </c>
      <c r="B567" s="2" t="n">
        <v>2</v>
      </c>
      <c r="C567" s="2" t="s">
        <v>71</v>
      </c>
      <c r="D567" s="2" t="s">
        <v>34</v>
      </c>
      <c r="E567" s="2" t="str">
        <f aca="false">INDEX(Products!$B$2:$B$13,MATCH(D567,Products!$A$2:$A$13,0))</f>
        <v>FCC</v>
      </c>
      <c r="F567" s="15" t="n">
        <v>11.8</v>
      </c>
      <c r="G567" s="16" t="n">
        <f aca="false">IF(A567="2025",INDEX(Products!$C$2:$C$13,MATCH(D567,Products!$A$2:$A$13,0)),INDEX(Products!$E$2:$E$13,MATCH(D567,Products!$A$2:$A$13,0)))</f>
        <v>3433.5</v>
      </c>
      <c r="H567" s="13" t="n">
        <f aca="false">IF(A567="2025",INDEX(Customers!$D$2:$D$41,MATCH(C567,Customers!$A$2:$A$41,0)),INDEX(Customers!$F$2:$F$41,MATCH(C567,Customers!$A$2:$A$41,0)))</f>
        <v>0.048</v>
      </c>
      <c r="I567" s="16" t="n">
        <f aca="false">F567*G567</f>
        <v>40515.3</v>
      </c>
      <c r="J567" s="16" t="n">
        <f aca="false">I567*(1-H567)</f>
        <v>38570.5656</v>
      </c>
      <c r="K567" s="16" t="n">
        <f aca="false">J567*INDEX(Customers!$G$2:$G$41,MATCH(C567,Customers!$A$2:$A$41,0))</f>
        <v>1157.116968</v>
      </c>
      <c r="L567" s="16" t="n">
        <f aca="false">F567*INDEX(Customers!$H$2:$H$41,MATCH(C567,Customers!$A$2:$A$41,0))</f>
        <v>4602</v>
      </c>
      <c r="M567" s="16" t="n">
        <f aca="false">J567*INDEX(Customers!$I$2:$I$41,MATCH(C567,Customers!$A$2:$A$41,0))/365*Assumptions!$B$6</f>
        <v>253.614677917808</v>
      </c>
      <c r="N567" s="16" t="n">
        <f aca="false">J567-K567-L567-M567</f>
        <v>32557.8339540822</v>
      </c>
      <c r="O567" s="16" t="n">
        <f aca="false">F567*IF(A567="2025",INDEX(Products!$D$2:$D$13,MATCH(D567,Products!$A$2:$A$13,0)),INDEX(Products!$F$2:$F$13,MATCH(D567,Products!$A$2:$A$13,0)))</f>
        <v>26617.26</v>
      </c>
      <c r="P567" s="16" t="n">
        <f aca="false">N567-O567</f>
        <v>5940.57395408219</v>
      </c>
    </row>
    <row r="568" customFormat="false" ht="15" hidden="false" customHeight="false" outlineLevel="0" collapsed="false">
      <c r="A568" s="2" t="s">
        <v>119</v>
      </c>
      <c r="B568" s="2" t="n">
        <v>3</v>
      </c>
      <c r="C568" s="2" t="s">
        <v>71</v>
      </c>
      <c r="D568" s="2" t="s">
        <v>34</v>
      </c>
      <c r="E568" s="2" t="str">
        <f aca="false">INDEX(Products!$B$2:$B$13,MATCH(D568,Products!$A$2:$A$13,0))</f>
        <v>FCC</v>
      </c>
      <c r="F568" s="15" t="n">
        <v>9.3</v>
      </c>
      <c r="G568" s="16" t="n">
        <f aca="false">IF(A568="2025",INDEX(Products!$C$2:$C$13,MATCH(D568,Products!$A$2:$A$13,0)),INDEX(Products!$E$2:$E$13,MATCH(D568,Products!$A$2:$A$13,0)))</f>
        <v>3433.5</v>
      </c>
      <c r="H568" s="13" t="n">
        <f aca="false">IF(A568="2025",INDEX(Customers!$D$2:$D$41,MATCH(C568,Customers!$A$2:$A$41,0)),INDEX(Customers!$F$2:$F$41,MATCH(C568,Customers!$A$2:$A$41,0)))</f>
        <v>0.048</v>
      </c>
      <c r="I568" s="16" t="n">
        <f aca="false">F568*G568</f>
        <v>31931.55</v>
      </c>
      <c r="J568" s="16" t="n">
        <f aca="false">I568*(1-H568)</f>
        <v>30398.8356</v>
      </c>
      <c r="K568" s="16" t="n">
        <f aca="false">J568*INDEX(Customers!$G$2:$G$41,MATCH(C568,Customers!$A$2:$A$41,0))</f>
        <v>911.965068</v>
      </c>
      <c r="L568" s="16" t="n">
        <f aca="false">F568*INDEX(Customers!$H$2:$H$41,MATCH(C568,Customers!$A$2:$A$41,0))</f>
        <v>3627</v>
      </c>
      <c r="M568" s="16" t="n">
        <f aca="false">J568*INDEX(Customers!$I$2:$I$41,MATCH(C568,Customers!$A$2:$A$41,0))/365*Assumptions!$B$6</f>
        <v>199.882754630137</v>
      </c>
      <c r="N568" s="16" t="n">
        <f aca="false">J568-K568-L568-M568</f>
        <v>25659.9877773699</v>
      </c>
      <c r="O568" s="16" t="n">
        <f aca="false">F568*IF(A568="2025",INDEX(Products!$D$2:$D$13,MATCH(D568,Products!$A$2:$A$13,0)),INDEX(Products!$F$2:$F$13,MATCH(D568,Products!$A$2:$A$13,0)))</f>
        <v>20978.01</v>
      </c>
      <c r="P568" s="16" t="n">
        <f aca="false">N568-O568</f>
        <v>4681.97777736986</v>
      </c>
    </row>
    <row r="569" customFormat="false" ht="15" hidden="false" customHeight="false" outlineLevel="0" collapsed="false">
      <c r="A569" s="2" t="s">
        <v>119</v>
      </c>
      <c r="B569" s="2" t="n">
        <v>4</v>
      </c>
      <c r="C569" s="2" t="s">
        <v>71</v>
      </c>
      <c r="D569" s="2" t="s">
        <v>34</v>
      </c>
      <c r="E569" s="2" t="str">
        <f aca="false">INDEX(Products!$B$2:$B$13,MATCH(D569,Products!$A$2:$A$13,0))</f>
        <v>FCC</v>
      </c>
      <c r="F569" s="15" t="n">
        <v>14.2</v>
      </c>
      <c r="G569" s="16" t="n">
        <f aca="false">IF(A569="2025",INDEX(Products!$C$2:$C$13,MATCH(D569,Products!$A$2:$A$13,0)),INDEX(Products!$E$2:$E$13,MATCH(D569,Products!$A$2:$A$13,0)))</f>
        <v>3433.5</v>
      </c>
      <c r="H569" s="13" t="n">
        <f aca="false">IF(A569="2025",INDEX(Customers!$D$2:$D$41,MATCH(C569,Customers!$A$2:$A$41,0)),INDEX(Customers!$F$2:$F$41,MATCH(C569,Customers!$A$2:$A$41,0)))</f>
        <v>0.048</v>
      </c>
      <c r="I569" s="16" t="n">
        <f aca="false">F569*G569</f>
        <v>48755.7</v>
      </c>
      <c r="J569" s="16" t="n">
        <f aca="false">I569*(1-H569)</f>
        <v>46415.4264</v>
      </c>
      <c r="K569" s="16" t="n">
        <f aca="false">J569*INDEX(Customers!$G$2:$G$41,MATCH(C569,Customers!$A$2:$A$41,0))</f>
        <v>1392.462792</v>
      </c>
      <c r="L569" s="16" t="n">
        <f aca="false">F569*INDEX(Customers!$H$2:$H$41,MATCH(C569,Customers!$A$2:$A$41,0))</f>
        <v>5538</v>
      </c>
      <c r="M569" s="16" t="n">
        <f aca="false">J569*INDEX(Customers!$I$2:$I$41,MATCH(C569,Customers!$A$2:$A$41,0))/365*Assumptions!$B$6</f>
        <v>305.197324273973</v>
      </c>
      <c r="N569" s="16" t="n">
        <f aca="false">J569-K569-L569-M569</f>
        <v>39179.766283726</v>
      </c>
      <c r="O569" s="16" t="n">
        <f aca="false">F569*IF(A569="2025",INDEX(Products!$D$2:$D$13,MATCH(D569,Products!$A$2:$A$13,0)),INDEX(Products!$F$2:$F$13,MATCH(D569,Products!$A$2:$A$13,0)))</f>
        <v>32030.94</v>
      </c>
      <c r="P569" s="16" t="n">
        <f aca="false">N569-O569</f>
        <v>7148.82628372603</v>
      </c>
    </row>
    <row r="570" customFormat="false" ht="15" hidden="false" customHeight="false" outlineLevel="0" collapsed="false">
      <c r="A570" s="2" t="s">
        <v>119</v>
      </c>
      <c r="B570" s="2" t="n">
        <v>5</v>
      </c>
      <c r="C570" s="2" t="s">
        <v>71</v>
      </c>
      <c r="D570" s="2" t="s">
        <v>34</v>
      </c>
      <c r="E570" s="2" t="str">
        <f aca="false">INDEX(Products!$B$2:$B$13,MATCH(D570,Products!$A$2:$A$13,0))</f>
        <v>FCC</v>
      </c>
      <c r="F570" s="15" t="n">
        <v>15.8</v>
      </c>
      <c r="G570" s="16" t="n">
        <f aca="false">IF(A570="2025",INDEX(Products!$C$2:$C$13,MATCH(D570,Products!$A$2:$A$13,0)),INDEX(Products!$E$2:$E$13,MATCH(D570,Products!$A$2:$A$13,0)))</f>
        <v>3433.5</v>
      </c>
      <c r="H570" s="13" t="n">
        <f aca="false">IF(A570="2025",INDEX(Customers!$D$2:$D$41,MATCH(C570,Customers!$A$2:$A$41,0)),INDEX(Customers!$F$2:$F$41,MATCH(C570,Customers!$A$2:$A$41,0)))</f>
        <v>0.048</v>
      </c>
      <c r="I570" s="16" t="n">
        <f aca="false">F570*G570</f>
        <v>54249.3</v>
      </c>
      <c r="J570" s="16" t="n">
        <f aca="false">I570*(1-H570)</f>
        <v>51645.3336</v>
      </c>
      <c r="K570" s="16" t="n">
        <f aca="false">J570*INDEX(Customers!$G$2:$G$41,MATCH(C570,Customers!$A$2:$A$41,0))</f>
        <v>1549.360008</v>
      </c>
      <c r="L570" s="16" t="n">
        <f aca="false">F570*INDEX(Customers!$H$2:$H$41,MATCH(C570,Customers!$A$2:$A$41,0))</f>
        <v>6162</v>
      </c>
      <c r="M570" s="16" t="n">
        <f aca="false">J570*INDEX(Customers!$I$2:$I$41,MATCH(C570,Customers!$A$2:$A$41,0))/365*Assumptions!$B$6</f>
        <v>339.585755178082</v>
      </c>
      <c r="N570" s="16" t="n">
        <f aca="false">J570-K570-L570-M570</f>
        <v>43594.3878368219</v>
      </c>
      <c r="O570" s="16" t="n">
        <f aca="false">F570*IF(A570="2025",INDEX(Products!$D$2:$D$13,MATCH(D570,Products!$A$2:$A$13,0)),INDEX(Products!$F$2:$F$13,MATCH(D570,Products!$A$2:$A$13,0)))</f>
        <v>35640.06</v>
      </c>
      <c r="P570" s="16" t="n">
        <f aca="false">N570-O570</f>
        <v>7954.32783682191</v>
      </c>
    </row>
    <row r="571" customFormat="false" ht="15" hidden="false" customHeight="false" outlineLevel="0" collapsed="false">
      <c r="A571" s="2" t="s">
        <v>119</v>
      </c>
      <c r="B571" s="2" t="n">
        <v>6</v>
      </c>
      <c r="C571" s="2" t="s">
        <v>71</v>
      </c>
      <c r="D571" s="2" t="s">
        <v>34</v>
      </c>
      <c r="E571" s="2" t="str">
        <f aca="false">INDEX(Products!$B$2:$B$13,MATCH(D571,Products!$A$2:$A$13,0))</f>
        <v>FCC</v>
      </c>
      <c r="F571" s="15" t="n">
        <v>10.4</v>
      </c>
      <c r="G571" s="16" t="n">
        <f aca="false">IF(A571="2025",INDEX(Products!$C$2:$C$13,MATCH(D571,Products!$A$2:$A$13,0)),INDEX(Products!$E$2:$E$13,MATCH(D571,Products!$A$2:$A$13,0)))</f>
        <v>3433.5</v>
      </c>
      <c r="H571" s="13" t="n">
        <f aca="false">IF(A571="2025",INDEX(Customers!$D$2:$D$41,MATCH(C571,Customers!$A$2:$A$41,0)),INDEX(Customers!$F$2:$F$41,MATCH(C571,Customers!$A$2:$A$41,0)))</f>
        <v>0.048</v>
      </c>
      <c r="I571" s="16" t="n">
        <f aca="false">F571*G571</f>
        <v>35708.4</v>
      </c>
      <c r="J571" s="16" t="n">
        <f aca="false">I571*(1-H571)</f>
        <v>33994.3968</v>
      </c>
      <c r="K571" s="16" t="n">
        <f aca="false">J571*INDEX(Customers!$G$2:$G$41,MATCH(C571,Customers!$A$2:$A$41,0))</f>
        <v>1019.831904</v>
      </c>
      <c r="L571" s="16" t="n">
        <f aca="false">F571*INDEX(Customers!$H$2:$H$41,MATCH(C571,Customers!$A$2:$A$41,0))</f>
        <v>4056</v>
      </c>
      <c r="M571" s="16" t="n">
        <f aca="false">J571*INDEX(Customers!$I$2:$I$41,MATCH(C571,Customers!$A$2:$A$41,0))/365*Assumptions!$B$6</f>
        <v>223.524800876712</v>
      </c>
      <c r="N571" s="16" t="n">
        <f aca="false">J571-K571-L571-M571</f>
        <v>28695.0400951233</v>
      </c>
      <c r="O571" s="16" t="n">
        <f aca="false">F571*IF(A571="2025",INDEX(Products!$D$2:$D$13,MATCH(D571,Products!$A$2:$A$13,0)),INDEX(Products!$F$2:$F$13,MATCH(D571,Products!$A$2:$A$13,0)))</f>
        <v>23459.28</v>
      </c>
      <c r="P571" s="16" t="n">
        <f aca="false">N571-O571</f>
        <v>5235.76009512329</v>
      </c>
    </row>
    <row r="572" customFormat="false" ht="15" hidden="false" customHeight="false" outlineLevel="0" collapsed="false">
      <c r="A572" s="2" t="s">
        <v>119</v>
      </c>
      <c r="B572" s="2" t="n">
        <v>7</v>
      </c>
      <c r="C572" s="2" t="s">
        <v>71</v>
      </c>
      <c r="D572" s="2" t="s">
        <v>34</v>
      </c>
      <c r="E572" s="2" t="str">
        <f aca="false">INDEX(Products!$B$2:$B$13,MATCH(D572,Products!$A$2:$A$13,0))</f>
        <v>FCC</v>
      </c>
      <c r="F572" s="15" t="n">
        <v>10.3</v>
      </c>
      <c r="G572" s="16" t="n">
        <f aca="false">IF(A572="2025",INDEX(Products!$C$2:$C$13,MATCH(D572,Products!$A$2:$A$13,0)),INDEX(Products!$E$2:$E$13,MATCH(D572,Products!$A$2:$A$13,0)))</f>
        <v>3433.5</v>
      </c>
      <c r="H572" s="13" t="n">
        <f aca="false">IF(A572="2025",INDEX(Customers!$D$2:$D$41,MATCH(C572,Customers!$A$2:$A$41,0)),INDEX(Customers!$F$2:$F$41,MATCH(C572,Customers!$A$2:$A$41,0)))</f>
        <v>0.048</v>
      </c>
      <c r="I572" s="16" t="n">
        <f aca="false">F572*G572</f>
        <v>35365.05</v>
      </c>
      <c r="J572" s="16" t="n">
        <f aca="false">I572*(1-H572)</f>
        <v>33667.5276</v>
      </c>
      <c r="K572" s="16" t="n">
        <f aca="false">J572*INDEX(Customers!$G$2:$G$41,MATCH(C572,Customers!$A$2:$A$41,0))</f>
        <v>1010.025828</v>
      </c>
      <c r="L572" s="16" t="n">
        <f aca="false">F572*INDEX(Customers!$H$2:$H$41,MATCH(C572,Customers!$A$2:$A$41,0))</f>
        <v>4017</v>
      </c>
      <c r="M572" s="16" t="n">
        <f aca="false">J572*INDEX(Customers!$I$2:$I$41,MATCH(C572,Customers!$A$2:$A$41,0))/365*Assumptions!$B$6</f>
        <v>221.375523945205</v>
      </c>
      <c r="N572" s="16" t="n">
        <f aca="false">J572-K572-L572-M572</f>
        <v>28419.1262480548</v>
      </c>
      <c r="O572" s="16" t="n">
        <f aca="false">F572*IF(A572="2025",INDEX(Products!$D$2:$D$13,MATCH(D572,Products!$A$2:$A$13,0)),INDEX(Products!$F$2:$F$13,MATCH(D572,Products!$A$2:$A$13,0)))</f>
        <v>23233.71</v>
      </c>
      <c r="P572" s="16" t="n">
        <f aca="false">N572-O572</f>
        <v>5185.41624805479</v>
      </c>
    </row>
    <row r="573" customFormat="false" ht="15" hidden="false" customHeight="false" outlineLevel="0" collapsed="false">
      <c r="A573" s="2" t="s">
        <v>119</v>
      </c>
      <c r="B573" s="2" t="n">
        <v>8</v>
      </c>
      <c r="C573" s="2" t="s">
        <v>71</v>
      </c>
      <c r="D573" s="2" t="s">
        <v>34</v>
      </c>
      <c r="E573" s="2" t="str">
        <f aca="false">INDEX(Products!$B$2:$B$13,MATCH(D573,Products!$A$2:$A$13,0))</f>
        <v>FCC</v>
      </c>
      <c r="F573" s="15" t="n">
        <v>14.3</v>
      </c>
      <c r="G573" s="16" t="n">
        <f aca="false">IF(A573="2025",INDEX(Products!$C$2:$C$13,MATCH(D573,Products!$A$2:$A$13,0)),INDEX(Products!$E$2:$E$13,MATCH(D573,Products!$A$2:$A$13,0)))</f>
        <v>3433.5</v>
      </c>
      <c r="H573" s="13" t="n">
        <f aca="false">IF(A573="2025",INDEX(Customers!$D$2:$D$41,MATCH(C573,Customers!$A$2:$A$41,0)),INDEX(Customers!$F$2:$F$41,MATCH(C573,Customers!$A$2:$A$41,0)))</f>
        <v>0.048</v>
      </c>
      <c r="I573" s="16" t="n">
        <f aca="false">F573*G573</f>
        <v>49099.05</v>
      </c>
      <c r="J573" s="16" t="n">
        <f aca="false">I573*(1-H573)</f>
        <v>46742.2956</v>
      </c>
      <c r="K573" s="16" t="n">
        <f aca="false">J573*INDEX(Customers!$G$2:$G$41,MATCH(C573,Customers!$A$2:$A$41,0))</f>
        <v>1402.268868</v>
      </c>
      <c r="L573" s="16" t="n">
        <f aca="false">F573*INDEX(Customers!$H$2:$H$41,MATCH(C573,Customers!$A$2:$A$41,0))</f>
        <v>5577</v>
      </c>
      <c r="M573" s="16" t="n">
        <f aca="false">J573*INDEX(Customers!$I$2:$I$41,MATCH(C573,Customers!$A$2:$A$41,0))/365*Assumptions!$B$6</f>
        <v>307.34660120548</v>
      </c>
      <c r="N573" s="16" t="n">
        <f aca="false">J573-K573-L573-M573</f>
        <v>39455.6801307945</v>
      </c>
      <c r="O573" s="16" t="n">
        <f aca="false">F573*IF(A573="2025",INDEX(Products!$D$2:$D$13,MATCH(D573,Products!$A$2:$A$13,0)),INDEX(Products!$F$2:$F$13,MATCH(D573,Products!$A$2:$A$13,0)))</f>
        <v>32256.51</v>
      </c>
      <c r="P573" s="16" t="n">
        <f aca="false">N573-O573</f>
        <v>7199.17013079452</v>
      </c>
    </row>
    <row r="574" customFormat="false" ht="15" hidden="false" customHeight="false" outlineLevel="0" collapsed="false">
      <c r="A574" s="2" t="s">
        <v>119</v>
      </c>
      <c r="B574" s="2" t="n">
        <v>9</v>
      </c>
      <c r="C574" s="2" t="s">
        <v>71</v>
      </c>
      <c r="D574" s="2" t="s">
        <v>34</v>
      </c>
      <c r="E574" s="2" t="str">
        <f aca="false">INDEX(Products!$B$2:$B$13,MATCH(D574,Products!$A$2:$A$13,0))</f>
        <v>FCC</v>
      </c>
      <c r="F574" s="15" t="n">
        <v>12</v>
      </c>
      <c r="G574" s="16" t="n">
        <f aca="false">IF(A574="2025",INDEX(Products!$C$2:$C$13,MATCH(D574,Products!$A$2:$A$13,0)),INDEX(Products!$E$2:$E$13,MATCH(D574,Products!$A$2:$A$13,0)))</f>
        <v>3433.5</v>
      </c>
      <c r="H574" s="13" t="n">
        <f aca="false">IF(A574="2025",INDEX(Customers!$D$2:$D$41,MATCH(C574,Customers!$A$2:$A$41,0)),INDEX(Customers!$F$2:$F$41,MATCH(C574,Customers!$A$2:$A$41,0)))</f>
        <v>0.048</v>
      </c>
      <c r="I574" s="16" t="n">
        <f aca="false">F574*G574</f>
        <v>41202</v>
      </c>
      <c r="J574" s="16" t="n">
        <f aca="false">I574*(1-H574)</f>
        <v>39224.304</v>
      </c>
      <c r="K574" s="16" t="n">
        <f aca="false">J574*INDEX(Customers!$G$2:$G$41,MATCH(C574,Customers!$A$2:$A$41,0))</f>
        <v>1176.72912</v>
      </c>
      <c r="L574" s="16" t="n">
        <f aca="false">F574*INDEX(Customers!$H$2:$H$41,MATCH(C574,Customers!$A$2:$A$41,0))</f>
        <v>4680</v>
      </c>
      <c r="M574" s="16" t="n">
        <f aca="false">J574*INDEX(Customers!$I$2:$I$41,MATCH(C574,Customers!$A$2:$A$41,0))/365*Assumptions!$B$6</f>
        <v>257.913231780822</v>
      </c>
      <c r="N574" s="16" t="n">
        <f aca="false">J574-K574-L574-M574</f>
        <v>33109.6616482192</v>
      </c>
      <c r="O574" s="16" t="n">
        <f aca="false">F574*IF(A574="2025",INDEX(Products!$D$2:$D$13,MATCH(D574,Products!$A$2:$A$13,0)),INDEX(Products!$F$2:$F$13,MATCH(D574,Products!$A$2:$A$13,0)))</f>
        <v>27068.4</v>
      </c>
      <c r="P574" s="16" t="n">
        <f aca="false">N574-O574</f>
        <v>6041.26164821917</v>
      </c>
    </row>
    <row r="575" customFormat="false" ht="15" hidden="false" customHeight="false" outlineLevel="0" collapsed="false">
      <c r="A575" s="2" t="s">
        <v>119</v>
      </c>
      <c r="B575" s="2" t="n">
        <v>10</v>
      </c>
      <c r="C575" s="2" t="s">
        <v>71</v>
      </c>
      <c r="D575" s="2" t="s">
        <v>34</v>
      </c>
      <c r="E575" s="2" t="str">
        <f aca="false">INDEX(Products!$B$2:$B$13,MATCH(D575,Products!$A$2:$A$13,0))</f>
        <v>FCC</v>
      </c>
      <c r="F575" s="15" t="n">
        <v>9</v>
      </c>
      <c r="G575" s="16" t="n">
        <f aca="false">IF(A575="2025",INDEX(Products!$C$2:$C$13,MATCH(D575,Products!$A$2:$A$13,0)),INDEX(Products!$E$2:$E$13,MATCH(D575,Products!$A$2:$A$13,0)))</f>
        <v>3433.5</v>
      </c>
      <c r="H575" s="13" t="n">
        <f aca="false">IF(A575="2025",INDEX(Customers!$D$2:$D$41,MATCH(C575,Customers!$A$2:$A$41,0)),INDEX(Customers!$F$2:$F$41,MATCH(C575,Customers!$A$2:$A$41,0)))</f>
        <v>0.048</v>
      </c>
      <c r="I575" s="16" t="n">
        <f aca="false">F575*G575</f>
        <v>30901.5</v>
      </c>
      <c r="J575" s="16" t="n">
        <f aca="false">I575*(1-H575)</f>
        <v>29418.228</v>
      </c>
      <c r="K575" s="16" t="n">
        <f aca="false">J575*INDEX(Customers!$G$2:$G$41,MATCH(C575,Customers!$A$2:$A$41,0))</f>
        <v>882.54684</v>
      </c>
      <c r="L575" s="16" t="n">
        <f aca="false">F575*INDEX(Customers!$H$2:$H$41,MATCH(C575,Customers!$A$2:$A$41,0))</f>
        <v>3510</v>
      </c>
      <c r="M575" s="16" t="n">
        <f aca="false">J575*INDEX(Customers!$I$2:$I$41,MATCH(C575,Customers!$A$2:$A$41,0))/365*Assumptions!$B$6</f>
        <v>193.434923835616</v>
      </c>
      <c r="N575" s="16" t="n">
        <f aca="false">J575-K575-L575-M575</f>
        <v>24832.2462361644</v>
      </c>
      <c r="O575" s="16" t="n">
        <f aca="false">F575*IF(A575="2025",INDEX(Products!$D$2:$D$13,MATCH(D575,Products!$A$2:$A$13,0)),INDEX(Products!$F$2:$F$13,MATCH(D575,Products!$A$2:$A$13,0)))</f>
        <v>20301.3</v>
      </c>
      <c r="P575" s="16" t="n">
        <f aca="false">N575-O575</f>
        <v>4530.94623616438</v>
      </c>
    </row>
    <row r="576" customFormat="false" ht="15" hidden="false" customHeight="false" outlineLevel="0" collapsed="false">
      <c r="A576" s="2" t="s">
        <v>119</v>
      </c>
      <c r="B576" s="2" t="n">
        <v>11</v>
      </c>
      <c r="C576" s="2" t="s">
        <v>71</v>
      </c>
      <c r="D576" s="2" t="s">
        <v>34</v>
      </c>
      <c r="E576" s="2" t="str">
        <f aca="false">INDEX(Products!$B$2:$B$13,MATCH(D576,Products!$A$2:$A$13,0))</f>
        <v>FCC</v>
      </c>
      <c r="F576" s="15" t="n">
        <v>9</v>
      </c>
      <c r="G576" s="16" t="n">
        <f aca="false">IF(A576="2025",INDEX(Products!$C$2:$C$13,MATCH(D576,Products!$A$2:$A$13,0)),INDEX(Products!$E$2:$E$13,MATCH(D576,Products!$A$2:$A$13,0)))</f>
        <v>3433.5</v>
      </c>
      <c r="H576" s="13" t="n">
        <f aca="false">IF(A576="2025",INDEX(Customers!$D$2:$D$41,MATCH(C576,Customers!$A$2:$A$41,0)),INDEX(Customers!$F$2:$F$41,MATCH(C576,Customers!$A$2:$A$41,0)))</f>
        <v>0.048</v>
      </c>
      <c r="I576" s="16" t="n">
        <f aca="false">F576*G576</f>
        <v>30901.5</v>
      </c>
      <c r="J576" s="16" t="n">
        <f aca="false">I576*(1-H576)</f>
        <v>29418.228</v>
      </c>
      <c r="K576" s="16" t="n">
        <f aca="false">J576*INDEX(Customers!$G$2:$G$41,MATCH(C576,Customers!$A$2:$A$41,0))</f>
        <v>882.54684</v>
      </c>
      <c r="L576" s="16" t="n">
        <f aca="false">F576*INDEX(Customers!$H$2:$H$41,MATCH(C576,Customers!$A$2:$A$41,0))</f>
        <v>3510</v>
      </c>
      <c r="M576" s="16" t="n">
        <f aca="false">J576*INDEX(Customers!$I$2:$I$41,MATCH(C576,Customers!$A$2:$A$41,0))/365*Assumptions!$B$6</f>
        <v>193.434923835616</v>
      </c>
      <c r="N576" s="16" t="n">
        <f aca="false">J576-K576-L576-M576</f>
        <v>24832.2462361644</v>
      </c>
      <c r="O576" s="16" t="n">
        <f aca="false">F576*IF(A576="2025",INDEX(Products!$D$2:$D$13,MATCH(D576,Products!$A$2:$A$13,0)),INDEX(Products!$F$2:$F$13,MATCH(D576,Products!$A$2:$A$13,0)))</f>
        <v>20301.3</v>
      </c>
      <c r="P576" s="16" t="n">
        <f aca="false">N576-O576</f>
        <v>4530.94623616438</v>
      </c>
    </row>
    <row r="577" customFormat="false" ht="15" hidden="false" customHeight="false" outlineLevel="0" collapsed="false">
      <c r="A577" s="2" t="s">
        <v>119</v>
      </c>
      <c r="B577" s="2" t="n">
        <v>12</v>
      </c>
      <c r="C577" s="2" t="s">
        <v>71</v>
      </c>
      <c r="D577" s="2" t="s">
        <v>34</v>
      </c>
      <c r="E577" s="2" t="str">
        <f aca="false">INDEX(Products!$B$2:$B$13,MATCH(D577,Products!$A$2:$A$13,0))</f>
        <v>FCC</v>
      </c>
      <c r="F577" s="15" t="n">
        <v>15.9</v>
      </c>
      <c r="G577" s="16" t="n">
        <f aca="false">IF(A577="2025",INDEX(Products!$C$2:$C$13,MATCH(D577,Products!$A$2:$A$13,0)),INDEX(Products!$E$2:$E$13,MATCH(D577,Products!$A$2:$A$13,0)))</f>
        <v>3433.5</v>
      </c>
      <c r="H577" s="13" t="n">
        <f aca="false">IF(A577="2025",INDEX(Customers!$D$2:$D$41,MATCH(C577,Customers!$A$2:$A$41,0)),INDEX(Customers!$F$2:$F$41,MATCH(C577,Customers!$A$2:$A$41,0)))</f>
        <v>0.048</v>
      </c>
      <c r="I577" s="16" t="n">
        <f aca="false">F577*G577</f>
        <v>54592.65</v>
      </c>
      <c r="J577" s="16" t="n">
        <f aca="false">I577*(1-H577)</f>
        <v>51972.2028</v>
      </c>
      <c r="K577" s="16" t="n">
        <f aca="false">J577*INDEX(Customers!$G$2:$G$41,MATCH(C577,Customers!$A$2:$A$41,0))</f>
        <v>1559.166084</v>
      </c>
      <c r="L577" s="16" t="n">
        <f aca="false">F577*INDEX(Customers!$H$2:$H$41,MATCH(C577,Customers!$A$2:$A$41,0))</f>
        <v>6201</v>
      </c>
      <c r="M577" s="16" t="n">
        <f aca="false">J577*INDEX(Customers!$I$2:$I$41,MATCH(C577,Customers!$A$2:$A$41,0))/365*Assumptions!$B$6</f>
        <v>341.735032109589</v>
      </c>
      <c r="N577" s="16" t="n">
        <f aca="false">J577-K577-L577-M577</f>
        <v>43870.3016838904</v>
      </c>
      <c r="O577" s="16" t="n">
        <f aca="false">F577*IF(A577="2025",INDEX(Products!$D$2:$D$13,MATCH(D577,Products!$A$2:$A$13,0)),INDEX(Products!$F$2:$F$13,MATCH(D577,Products!$A$2:$A$13,0)))</f>
        <v>35865.63</v>
      </c>
      <c r="P577" s="16" t="n">
        <f aca="false">N577-O577</f>
        <v>8004.67168389041</v>
      </c>
    </row>
    <row r="578" customFormat="false" ht="15" hidden="false" customHeight="false" outlineLevel="0" collapsed="false">
      <c r="A578" s="2" t="s">
        <v>118</v>
      </c>
      <c r="B578" s="2" t="n">
        <v>1</v>
      </c>
      <c r="C578" s="2" t="s">
        <v>71</v>
      </c>
      <c r="D578" s="2" t="s">
        <v>41</v>
      </c>
      <c r="E578" s="2" t="str">
        <f aca="false">INDEX(Products!$B$2:$B$13,MATCH(D578,Products!$A$2:$A$13,0))</f>
        <v>Hydroprocessing</v>
      </c>
      <c r="F578" s="15" t="n">
        <v>6</v>
      </c>
      <c r="G578" s="16" t="n">
        <f aca="false">IF(A578="2025",INDEX(Products!$C$2:$C$13,MATCH(D578,Products!$A$2:$A$13,0)),INDEX(Products!$E$2:$E$13,MATCH(D578,Products!$A$2:$A$13,0)))</f>
        <v>14770</v>
      </c>
      <c r="H578" s="13" t="n">
        <f aca="false">IF(A578="2025",INDEX(Customers!$D$2:$D$41,MATCH(C578,Customers!$A$2:$A$41,0)),INDEX(Customers!$F$2:$F$41,MATCH(C578,Customers!$A$2:$A$41,0)))</f>
        <v>0.048</v>
      </c>
      <c r="I578" s="16" t="n">
        <f aca="false">F578*G578</f>
        <v>88620</v>
      </c>
      <c r="J578" s="16" t="n">
        <f aca="false">I578*(1-H578)</f>
        <v>84366.24</v>
      </c>
      <c r="K578" s="16" t="n">
        <f aca="false">J578*INDEX(Customers!$G$2:$G$41,MATCH(C578,Customers!$A$2:$A$41,0))</f>
        <v>2530.9872</v>
      </c>
      <c r="L578" s="16" t="n">
        <f aca="false">F578*INDEX(Customers!$H$2:$H$41,MATCH(C578,Customers!$A$2:$A$41,0))</f>
        <v>2340</v>
      </c>
      <c r="M578" s="16" t="n">
        <f aca="false">J578*INDEX(Customers!$I$2:$I$41,MATCH(C578,Customers!$A$2:$A$41,0))/365*Assumptions!$B$6</f>
        <v>554.736920547945</v>
      </c>
      <c r="N578" s="16" t="n">
        <f aca="false">J578-K578-L578-M578</f>
        <v>78940.515879452</v>
      </c>
      <c r="O578" s="16" t="n">
        <f aca="false">F578*IF(A578="2025",INDEX(Products!$D$2:$D$13,MATCH(D578,Products!$A$2:$A$13,0)),INDEX(Products!$F$2:$F$13,MATCH(D578,Products!$A$2:$A$13,0)))</f>
        <v>56880</v>
      </c>
      <c r="P578" s="16" t="n">
        <f aca="false">N578-O578</f>
        <v>22060.515879452</v>
      </c>
    </row>
    <row r="579" customFormat="false" ht="15" hidden="false" customHeight="false" outlineLevel="0" collapsed="false">
      <c r="A579" s="2" t="s">
        <v>118</v>
      </c>
      <c r="B579" s="2" t="n">
        <v>2</v>
      </c>
      <c r="C579" s="2" t="s">
        <v>71</v>
      </c>
      <c r="D579" s="2" t="s">
        <v>41</v>
      </c>
      <c r="E579" s="2" t="str">
        <f aca="false">INDEX(Products!$B$2:$B$13,MATCH(D579,Products!$A$2:$A$13,0))</f>
        <v>Hydroprocessing</v>
      </c>
      <c r="F579" s="15" t="n">
        <v>5.3</v>
      </c>
      <c r="G579" s="16" t="n">
        <f aca="false">IF(A579="2025",INDEX(Products!$C$2:$C$13,MATCH(D579,Products!$A$2:$A$13,0)),INDEX(Products!$E$2:$E$13,MATCH(D579,Products!$A$2:$A$13,0)))</f>
        <v>14770</v>
      </c>
      <c r="H579" s="13" t="n">
        <f aca="false">IF(A579="2025",INDEX(Customers!$D$2:$D$41,MATCH(C579,Customers!$A$2:$A$41,0)),INDEX(Customers!$F$2:$F$41,MATCH(C579,Customers!$A$2:$A$41,0)))</f>
        <v>0.048</v>
      </c>
      <c r="I579" s="16" t="n">
        <f aca="false">F579*G579</f>
        <v>78281</v>
      </c>
      <c r="J579" s="16" t="n">
        <f aca="false">I579*(1-H579)</f>
        <v>74523.512</v>
      </c>
      <c r="K579" s="16" t="n">
        <f aca="false">J579*INDEX(Customers!$G$2:$G$41,MATCH(C579,Customers!$A$2:$A$41,0))</f>
        <v>2235.70536</v>
      </c>
      <c r="L579" s="16" t="n">
        <f aca="false">F579*INDEX(Customers!$H$2:$H$41,MATCH(C579,Customers!$A$2:$A$41,0))</f>
        <v>2067</v>
      </c>
      <c r="M579" s="16" t="n">
        <f aca="false">J579*INDEX(Customers!$I$2:$I$41,MATCH(C579,Customers!$A$2:$A$41,0))/365*Assumptions!$B$6</f>
        <v>490.017613150685</v>
      </c>
      <c r="N579" s="16" t="n">
        <f aca="false">J579-K579-L579-M579</f>
        <v>69730.7890268493</v>
      </c>
      <c r="O579" s="16" t="n">
        <f aca="false">F579*IF(A579="2025",INDEX(Products!$D$2:$D$13,MATCH(D579,Products!$A$2:$A$13,0)),INDEX(Products!$F$2:$F$13,MATCH(D579,Products!$A$2:$A$13,0)))</f>
        <v>50244</v>
      </c>
      <c r="P579" s="16" t="n">
        <f aca="false">N579-O579</f>
        <v>19486.7890268493</v>
      </c>
    </row>
    <row r="580" customFormat="false" ht="15" hidden="false" customHeight="false" outlineLevel="0" collapsed="false">
      <c r="A580" s="2" t="s">
        <v>118</v>
      </c>
      <c r="B580" s="2" t="n">
        <v>3</v>
      </c>
      <c r="C580" s="2" t="s">
        <v>71</v>
      </c>
      <c r="D580" s="2" t="s">
        <v>41</v>
      </c>
      <c r="E580" s="2" t="str">
        <f aca="false">INDEX(Products!$B$2:$B$13,MATCH(D580,Products!$A$2:$A$13,0))</f>
        <v>Hydroprocessing</v>
      </c>
      <c r="F580" s="15" t="n">
        <v>4.2</v>
      </c>
      <c r="G580" s="16" t="n">
        <f aca="false">IF(A580="2025",INDEX(Products!$C$2:$C$13,MATCH(D580,Products!$A$2:$A$13,0)),INDEX(Products!$E$2:$E$13,MATCH(D580,Products!$A$2:$A$13,0)))</f>
        <v>14770</v>
      </c>
      <c r="H580" s="13" t="n">
        <f aca="false">IF(A580="2025",INDEX(Customers!$D$2:$D$41,MATCH(C580,Customers!$A$2:$A$41,0)),INDEX(Customers!$F$2:$F$41,MATCH(C580,Customers!$A$2:$A$41,0)))</f>
        <v>0.048</v>
      </c>
      <c r="I580" s="16" t="n">
        <f aca="false">F580*G580</f>
        <v>62034</v>
      </c>
      <c r="J580" s="16" t="n">
        <f aca="false">I580*(1-H580)</f>
        <v>59056.368</v>
      </c>
      <c r="K580" s="16" t="n">
        <f aca="false">J580*INDEX(Customers!$G$2:$G$41,MATCH(C580,Customers!$A$2:$A$41,0))</f>
        <v>1771.69104</v>
      </c>
      <c r="L580" s="16" t="n">
        <f aca="false">F580*INDEX(Customers!$H$2:$H$41,MATCH(C580,Customers!$A$2:$A$41,0))</f>
        <v>1638</v>
      </c>
      <c r="M580" s="16" t="n">
        <f aca="false">J580*INDEX(Customers!$I$2:$I$41,MATCH(C580,Customers!$A$2:$A$41,0))/365*Assumptions!$B$6</f>
        <v>388.315844383562</v>
      </c>
      <c r="N580" s="16" t="n">
        <f aca="false">J580-K580-L580-M580</f>
        <v>55258.3611156164</v>
      </c>
      <c r="O580" s="16" t="n">
        <f aca="false">F580*IF(A580="2025",INDEX(Products!$D$2:$D$13,MATCH(D580,Products!$A$2:$A$13,0)),INDEX(Products!$F$2:$F$13,MATCH(D580,Products!$A$2:$A$13,0)))</f>
        <v>39816</v>
      </c>
      <c r="P580" s="16" t="n">
        <f aca="false">N580-O580</f>
        <v>15442.3611156164</v>
      </c>
    </row>
    <row r="581" customFormat="false" ht="15" hidden="false" customHeight="false" outlineLevel="0" collapsed="false">
      <c r="A581" s="2" t="s">
        <v>118</v>
      </c>
      <c r="B581" s="2" t="n">
        <v>4</v>
      </c>
      <c r="C581" s="2" t="s">
        <v>71</v>
      </c>
      <c r="D581" s="2" t="s">
        <v>41</v>
      </c>
      <c r="E581" s="2" t="str">
        <f aca="false">INDEX(Products!$B$2:$B$13,MATCH(D581,Products!$A$2:$A$13,0))</f>
        <v>Hydroprocessing</v>
      </c>
      <c r="F581" s="15" t="n">
        <v>6.6</v>
      </c>
      <c r="G581" s="16" t="n">
        <f aca="false">IF(A581="2025",INDEX(Products!$C$2:$C$13,MATCH(D581,Products!$A$2:$A$13,0)),INDEX(Products!$E$2:$E$13,MATCH(D581,Products!$A$2:$A$13,0)))</f>
        <v>14770</v>
      </c>
      <c r="H581" s="13" t="n">
        <f aca="false">IF(A581="2025",INDEX(Customers!$D$2:$D$41,MATCH(C581,Customers!$A$2:$A$41,0)),INDEX(Customers!$F$2:$F$41,MATCH(C581,Customers!$A$2:$A$41,0)))</f>
        <v>0.048</v>
      </c>
      <c r="I581" s="16" t="n">
        <f aca="false">F581*G581</f>
        <v>97482</v>
      </c>
      <c r="J581" s="16" t="n">
        <f aca="false">I581*(1-H581)</f>
        <v>92802.864</v>
      </c>
      <c r="K581" s="16" t="n">
        <f aca="false">J581*INDEX(Customers!$G$2:$G$41,MATCH(C581,Customers!$A$2:$A$41,0))</f>
        <v>2784.08592</v>
      </c>
      <c r="L581" s="16" t="n">
        <f aca="false">F581*INDEX(Customers!$H$2:$H$41,MATCH(C581,Customers!$A$2:$A$41,0))</f>
        <v>2574</v>
      </c>
      <c r="M581" s="16" t="n">
        <f aca="false">J581*INDEX(Customers!$I$2:$I$41,MATCH(C581,Customers!$A$2:$A$41,0))/365*Assumptions!$B$6</f>
        <v>610.21061260274</v>
      </c>
      <c r="N581" s="16" t="n">
        <f aca="false">J581-K581-L581-M581</f>
        <v>86834.5674673973</v>
      </c>
      <c r="O581" s="16" t="n">
        <f aca="false">F581*IF(A581="2025",INDEX(Products!$D$2:$D$13,MATCH(D581,Products!$A$2:$A$13,0)),INDEX(Products!$F$2:$F$13,MATCH(D581,Products!$A$2:$A$13,0)))</f>
        <v>62568</v>
      </c>
      <c r="P581" s="16" t="n">
        <f aca="false">N581-O581</f>
        <v>24266.5674673973</v>
      </c>
    </row>
    <row r="582" customFormat="false" ht="15" hidden="false" customHeight="false" outlineLevel="0" collapsed="false">
      <c r="A582" s="2" t="s">
        <v>118</v>
      </c>
      <c r="B582" s="2" t="n">
        <v>5</v>
      </c>
      <c r="C582" s="2" t="s">
        <v>71</v>
      </c>
      <c r="D582" s="2" t="s">
        <v>41</v>
      </c>
      <c r="E582" s="2" t="str">
        <f aca="false">INDEX(Products!$B$2:$B$13,MATCH(D582,Products!$A$2:$A$13,0))</f>
        <v>Hydroprocessing</v>
      </c>
      <c r="F582" s="15" t="n">
        <v>4.9</v>
      </c>
      <c r="G582" s="16" t="n">
        <f aca="false">IF(A582="2025",INDEX(Products!$C$2:$C$13,MATCH(D582,Products!$A$2:$A$13,0)),INDEX(Products!$E$2:$E$13,MATCH(D582,Products!$A$2:$A$13,0)))</f>
        <v>14770</v>
      </c>
      <c r="H582" s="13" t="n">
        <f aca="false">IF(A582="2025",INDEX(Customers!$D$2:$D$41,MATCH(C582,Customers!$A$2:$A$41,0)),INDEX(Customers!$F$2:$F$41,MATCH(C582,Customers!$A$2:$A$41,0)))</f>
        <v>0.048</v>
      </c>
      <c r="I582" s="16" t="n">
        <f aca="false">F582*G582</f>
        <v>72373</v>
      </c>
      <c r="J582" s="16" t="n">
        <f aca="false">I582*(1-H582)</f>
        <v>68899.096</v>
      </c>
      <c r="K582" s="16" t="n">
        <f aca="false">J582*INDEX(Customers!$G$2:$G$41,MATCH(C582,Customers!$A$2:$A$41,0))</f>
        <v>2066.97288</v>
      </c>
      <c r="L582" s="16" t="n">
        <f aca="false">F582*INDEX(Customers!$H$2:$H$41,MATCH(C582,Customers!$A$2:$A$41,0))</f>
        <v>1911</v>
      </c>
      <c r="M582" s="16" t="n">
        <f aca="false">J582*INDEX(Customers!$I$2:$I$41,MATCH(C582,Customers!$A$2:$A$41,0))/365*Assumptions!$B$6</f>
        <v>453.035151780822</v>
      </c>
      <c r="N582" s="16" t="n">
        <f aca="false">J582-K582-L582-M582</f>
        <v>64468.0879682192</v>
      </c>
      <c r="O582" s="16" t="n">
        <f aca="false">F582*IF(A582="2025",INDEX(Products!$D$2:$D$13,MATCH(D582,Products!$A$2:$A$13,0)),INDEX(Products!$F$2:$F$13,MATCH(D582,Products!$A$2:$A$13,0)))</f>
        <v>46452</v>
      </c>
      <c r="P582" s="16" t="n">
        <f aca="false">N582-O582</f>
        <v>18016.0879682192</v>
      </c>
    </row>
    <row r="583" customFormat="false" ht="15" hidden="false" customHeight="false" outlineLevel="0" collapsed="false">
      <c r="A583" s="2" t="s">
        <v>118</v>
      </c>
      <c r="B583" s="2" t="n">
        <v>6</v>
      </c>
      <c r="C583" s="2" t="s">
        <v>71</v>
      </c>
      <c r="D583" s="2" t="s">
        <v>41</v>
      </c>
      <c r="E583" s="2" t="str">
        <f aca="false">INDEX(Products!$B$2:$B$13,MATCH(D583,Products!$A$2:$A$13,0))</f>
        <v>Hydroprocessing</v>
      </c>
      <c r="F583" s="15" t="n">
        <v>4.7</v>
      </c>
      <c r="G583" s="16" t="n">
        <f aca="false">IF(A583="2025",INDEX(Products!$C$2:$C$13,MATCH(D583,Products!$A$2:$A$13,0)),INDEX(Products!$E$2:$E$13,MATCH(D583,Products!$A$2:$A$13,0)))</f>
        <v>14770</v>
      </c>
      <c r="H583" s="13" t="n">
        <f aca="false">IF(A583="2025",INDEX(Customers!$D$2:$D$41,MATCH(C583,Customers!$A$2:$A$41,0)),INDEX(Customers!$F$2:$F$41,MATCH(C583,Customers!$A$2:$A$41,0)))</f>
        <v>0.048</v>
      </c>
      <c r="I583" s="16" t="n">
        <f aca="false">F583*G583</f>
        <v>69419</v>
      </c>
      <c r="J583" s="16" t="n">
        <f aca="false">I583*(1-H583)</f>
        <v>66086.888</v>
      </c>
      <c r="K583" s="16" t="n">
        <f aca="false">J583*INDEX(Customers!$G$2:$G$41,MATCH(C583,Customers!$A$2:$A$41,0))</f>
        <v>1982.60664</v>
      </c>
      <c r="L583" s="16" t="n">
        <f aca="false">F583*INDEX(Customers!$H$2:$H$41,MATCH(C583,Customers!$A$2:$A$41,0))</f>
        <v>1833</v>
      </c>
      <c r="M583" s="16" t="n">
        <f aca="false">J583*INDEX(Customers!$I$2:$I$41,MATCH(C583,Customers!$A$2:$A$41,0))/365*Assumptions!$B$6</f>
        <v>434.54392109589</v>
      </c>
      <c r="N583" s="16" t="n">
        <f aca="false">J583-K583-L583-M583</f>
        <v>61836.7374389041</v>
      </c>
      <c r="O583" s="16" t="n">
        <f aca="false">F583*IF(A583="2025",INDEX(Products!$D$2:$D$13,MATCH(D583,Products!$A$2:$A$13,0)),INDEX(Products!$F$2:$F$13,MATCH(D583,Products!$A$2:$A$13,0)))</f>
        <v>44556</v>
      </c>
      <c r="P583" s="16" t="n">
        <f aca="false">N583-O583</f>
        <v>17280.7374389041</v>
      </c>
    </row>
    <row r="584" customFormat="false" ht="15" hidden="false" customHeight="false" outlineLevel="0" collapsed="false">
      <c r="A584" s="2" t="s">
        <v>118</v>
      </c>
      <c r="B584" s="2" t="n">
        <v>7</v>
      </c>
      <c r="C584" s="2" t="s">
        <v>71</v>
      </c>
      <c r="D584" s="2" t="s">
        <v>41</v>
      </c>
      <c r="E584" s="2" t="str">
        <f aca="false">INDEX(Products!$B$2:$B$13,MATCH(D584,Products!$A$2:$A$13,0))</f>
        <v>Hydroprocessing</v>
      </c>
      <c r="F584" s="15" t="n">
        <v>6.2</v>
      </c>
      <c r="G584" s="16" t="n">
        <f aca="false">IF(A584="2025",INDEX(Products!$C$2:$C$13,MATCH(D584,Products!$A$2:$A$13,0)),INDEX(Products!$E$2:$E$13,MATCH(D584,Products!$A$2:$A$13,0)))</f>
        <v>14770</v>
      </c>
      <c r="H584" s="13" t="n">
        <f aca="false">IF(A584="2025",INDEX(Customers!$D$2:$D$41,MATCH(C584,Customers!$A$2:$A$41,0)),INDEX(Customers!$F$2:$F$41,MATCH(C584,Customers!$A$2:$A$41,0)))</f>
        <v>0.048</v>
      </c>
      <c r="I584" s="16" t="n">
        <f aca="false">F584*G584</f>
        <v>91574</v>
      </c>
      <c r="J584" s="16" t="n">
        <f aca="false">I584*(1-H584)</f>
        <v>87178.448</v>
      </c>
      <c r="K584" s="16" t="n">
        <f aca="false">J584*INDEX(Customers!$G$2:$G$41,MATCH(C584,Customers!$A$2:$A$41,0))</f>
        <v>2615.35344</v>
      </c>
      <c r="L584" s="16" t="n">
        <f aca="false">F584*INDEX(Customers!$H$2:$H$41,MATCH(C584,Customers!$A$2:$A$41,0))</f>
        <v>2418</v>
      </c>
      <c r="M584" s="16" t="n">
        <f aca="false">J584*INDEX(Customers!$I$2:$I$41,MATCH(C584,Customers!$A$2:$A$41,0))/365*Assumptions!$B$6</f>
        <v>573.228151232877</v>
      </c>
      <c r="N584" s="16" t="n">
        <f aca="false">J584-K584-L584-M584</f>
        <v>81571.8664087671</v>
      </c>
      <c r="O584" s="16" t="n">
        <f aca="false">F584*IF(A584="2025",INDEX(Products!$D$2:$D$13,MATCH(D584,Products!$A$2:$A$13,0)),INDEX(Products!$F$2:$F$13,MATCH(D584,Products!$A$2:$A$13,0)))</f>
        <v>58776</v>
      </c>
      <c r="P584" s="16" t="n">
        <f aca="false">N584-O584</f>
        <v>22795.8664087671</v>
      </c>
    </row>
    <row r="585" customFormat="false" ht="15" hidden="false" customHeight="false" outlineLevel="0" collapsed="false">
      <c r="A585" s="2" t="s">
        <v>118</v>
      </c>
      <c r="B585" s="2" t="n">
        <v>8</v>
      </c>
      <c r="C585" s="2" t="s">
        <v>71</v>
      </c>
      <c r="D585" s="2" t="s">
        <v>41</v>
      </c>
      <c r="E585" s="2" t="str">
        <f aca="false">INDEX(Products!$B$2:$B$13,MATCH(D585,Products!$A$2:$A$13,0))</f>
        <v>Hydroprocessing</v>
      </c>
      <c r="F585" s="15" t="n">
        <v>6.3</v>
      </c>
      <c r="G585" s="16" t="n">
        <f aca="false">IF(A585="2025",INDEX(Products!$C$2:$C$13,MATCH(D585,Products!$A$2:$A$13,0)),INDEX(Products!$E$2:$E$13,MATCH(D585,Products!$A$2:$A$13,0)))</f>
        <v>14770</v>
      </c>
      <c r="H585" s="13" t="n">
        <f aca="false">IF(A585="2025",INDEX(Customers!$D$2:$D$41,MATCH(C585,Customers!$A$2:$A$41,0)),INDEX(Customers!$F$2:$F$41,MATCH(C585,Customers!$A$2:$A$41,0)))</f>
        <v>0.048</v>
      </c>
      <c r="I585" s="16" t="n">
        <f aca="false">F585*G585</f>
        <v>93051</v>
      </c>
      <c r="J585" s="16" t="n">
        <f aca="false">I585*(1-H585)</f>
        <v>88584.552</v>
      </c>
      <c r="K585" s="16" t="n">
        <f aca="false">J585*INDEX(Customers!$G$2:$G$41,MATCH(C585,Customers!$A$2:$A$41,0))</f>
        <v>2657.53656</v>
      </c>
      <c r="L585" s="16" t="n">
        <f aca="false">F585*INDEX(Customers!$H$2:$H$41,MATCH(C585,Customers!$A$2:$A$41,0))</f>
        <v>2457</v>
      </c>
      <c r="M585" s="16" t="n">
        <f aca="false">J585*INDEX(Customers!$I$2:$I$41,MATCH(C585,Customers!$A$2:$A$41,0))/365*Assumptions!$B$6</f>
        <v>582.473766575342</v>
      </c>
      <c r="N585" s="16" t="n">
        <f aca="false">J585-K585-L585-M585</f>
        <v>82887.5416734247</v>
      </c>
      <c r="O585" s="16" t="n">
        <f aca="false">F585*IF(A585="2025",INDEX(Products!$D$2:$D$13,MATCH(D585,Products!$A$2:$A$13,0)),INDEX(Products!$F$2:$F$13,MATCH(D585,Products!$A$2:$A$13,0)))</f>
        <v>59724</v>
      </c>
      <c r="P585" s="16" t="n">
        <f aca="false">N585-O585</f>
        <v>23163.5416734247</v>
      </c>
    </row>
    <row r="586" customFormat="false" ht="15" hidden="false" customHeight="false" outlineLevel="0" collapsed="false">
      <c r="A586" s="2" t="s">
        <v>118</v>
      </c>
      <c r="B586" s="2" t="n">
        <v>9</v>
      </c>
      <c r="C586" s="2" t="s">
        <v>71</v>
      </c>
      <c r="D586" s="2" t="s">
        <v>41</v>
      </c>
      <c r="E586" s="2" t="str">
        <f aca="false">INDEX(Products!$B$2:$B$13,MATCH(D586,Products!$A$2:$A$13,0))</f>
        <v>Hydroprocessing</v>
      </c>
      <c r="F586" s="15" t="n">
        <v>3.8</v>
      </c>
      <c r="G586" s="16" t="n">
        <f aca="false">IF(A586="2025",INDEX(Products!$C$2:$C$13,MATCH(D586,Products!$A$2:$A$13,0)),INDEX(Products!$E$2:$E$13,MATCH(D586,Products!$A$2:$A$13,0)))</f>
        <v>14770</v>
      </c>
      <c r="H586" s="13" t="n">
        <f aca="false">IF(A586="2025",INDEX(Customers!$D$2:$D$41,MATCH(C586,Customers!$A$2:$A$41,0)),INDEX(Customers!$F$2:$F$41,MATCH(C586,Customers!$A$2:$A$41,0)))</f>
        <v>0.048</v>
      </c>
      <c r="I586" s="16" t="n">
        <f aca="false">F586*G586</f>
        <v>56126</v>
      </c>
      <c r="J586" s="16" t="n">
        <f aca="false">I586*(1-H586)</f>
        <v>53431.952</v>
      </c>
      <c r="K586" s="16" t="n">
        <f aca="false">J586*INDEX(Customers!$G$2:$G$41,MATCH(C586,Customers!$A$2:$A$41,0))</f>
        <v>1602.95856</v>
      </c>
      <c r="L586" s="16" t="n">
        <f aca="false">F586*INDEX(Customers!$H$2:$H$41,MATCH(C586,Customers!$A$2:$A$41,0))</f>
        <v>1482</v>
      </c>
      <c r="M586" s="16" t="n">
        <f aca="false">J586*INDEX(Customers!$I$2:$I$41,MATCH(C586,Customers!$A$2:$A$41,0))/365*Assumptions!$B$6</f>
        <v>351.333383013699</v>
      </c>
      <c r="N586" s="16" t="n">
        <f aca="false">J586-K586-L586-M586</f>
        <v>49995.6600569863</v>
      </c>
      <c r="O586" s="16" t="n">
        <f aca="false">F586*IF(A586="2025",INDEX(Products!$D$2:$D$13,MATCH(D586,Products!$A$2:$A$13,0)),INDEX(Products!$F$2:$F$13,MATCH(D586,Products!$A$2:$A$13,0)))</f>
        <v>36024</v>
      </c>
      <c r="P586" s="16" t="n">
        <f aca="false">N586-O586</f>
        <v>13971.6600569863</v>
      </c>
    </row>
    <row r="587" customFormat="false" ht="15" hidden="false" customHeight="false" outlineLevel="0" collapsed="false">
      <c r="A587" s="2" t="s">
        <v>118</v>
      </c>
      <c r="B587" s="2" t="n">
        <v>10</v>
      </c>
      <c r="C587" s="2" t="s">
        <v>71</v>
      </c>
      <c r="D587" s="2" t="s">
        <v>41</v>
      </c>
      <c r="E587" s="2" t="str">
        <f aca="false">INDEX(Products!$B$2:$B$13,MATCH(D587,Products!$A$2:$A$13,0))</f>
        <v>Hydroprocessing</v>
      </c>
      <c r="F587" s="15" t="n">
        <v>5.4</v>
      </c>
      <c r="G587" s="16" t="n">
        <f aca="false">IF(A587="2025",INDEX(Products!$C$2:$C$13,MATCH(D587,Products!$A$2:$A$13,0)),INDEX(Products!$E$2:$E$13,MATCH(D587,Products!$A$2:$A$13,0)))</f>
        <v>14770</v>
      </c>
      <c r="H587" s="13" t="n">
        <f aca="false">IF(A587="2025",INDEX(Customers!$D$2:$D$41,MATCH(C587,Customers!$A$2:$A$41,0)),INDEX(Customers!$F$2:$F$41,MATCH(C587,Customers!$A$2:$A$41,0)))</f>
        <v>0.048</v>
      </c>
      <c r="I587" s="16" t="n">
        <f aca="false">F587*G587</f>
        <v>79758</v>
      </c>
      <c r="J587" s="16" t="n">
        <f aca="false">I587*(1-H587)</f>
        <v>75929.616</v>
      </c>
      <c r="K587" s="16" t="n">
        <f aca="false">J587*INDEX(Customers!$G$2:$G$41,MATCH(C587,Customers!$A$2:$A$41,0))</f>
        <v>2277.88848</v>
      </c>
      <c r="L587" s="16" t="n">
        <f aca="false">F587*INDEX(Customers!$H$2:$H$41,MATCH(C587,Customers!$A$2:$A$41,0))</f>
        <v>2106</v>
      </c>
      <c r="M587" s="16" t="n">
        <f aca="false">J587*INDEX(Customers!$I$2:$I$41,MATCH(C587,Customers!$A$2:$A$41,0))/365*Assumptions!$B$6</f>
        <v>499.263228493151</v>
      </c>
      <c r="N587" s="16" t="n">
        <f aca="false">J587-K587-L587-M587</f>
        <v>71046.4642915069</v>
      </c>
      <c r="O587" s="16" t="n">
        <f aca="false">F587*IF(A587="2025",INDEX(Products!$D$2:$D$13,MATCH(D587,Products!$A$2:$A$13,0)),INDEX(Products!$F$2:$F$13,MATCH(D587,Products!$A$2:$A$13,0)))</f>
        <v>51192</v>
      </c>
      <c r="P587" s="16" t="n">
        <f aca="false">N587-O587</f>
        <v>19854.4642915069</v>
      </c>
    </row>
    <row r="588" customFormat="false" ht="15" hidden="false" customHeight="false" outlineLevel="0" collapsed="false">
      <c r="A588" s="2" t="s">
        <v>118</v>
      </c>
      <c r="B588" s="2" t="n">
        <v>11</v>
      </c>
      <c r="C588" s="2" t="s">
        <v>71</v>
      </c>
      <c r="D588" s="2" t="s">
        <v>41</v>
      </c>
      <c r="E588" s="2" t="str">
        <f aca="false">INDEX(Products!$B$2:$B$13,MATCH(D588,Products!$A$2:$A$13,0))</f>
        <v>Hydroprocessing</v>
      </c>
      <c r="F588" s="15" t="n">
        <v>4.8</v>
      </c>
      <c r="G588" s="16" t="n">
        <f aca="false">IF(A588="2025",INDEX(Products!$C$2:$C$13,MATCH(D588,Products!$A$2:$A$13,0)),INDEX(Products!$E$2:$E$13,MATCH(D588,Products!$A$2:$A$13,0)))</f>
        <v>14770</v>
      </c>
      <c r="H588" s="13" t="n">
        <f aca="false">IF(A588="2025",INDEX(Customers!$D$2:$D$41,MATCH(C588,Customers!$A$2:$A$41,0)),INDEX(Customers!$F$2:$F$41,MATCH(C588,Customers!$A$2:$A$41,0)))</f>
        <v>0.048</v>
      </c>
      <c r="I588" s="16" t="n">
        <f aca="false">F588*G588</f>
        <v>70896</v>
      </c>
      <c r="J588" s="16" t="n">
        <f aca="false">I588*(1-H588)</f>
        <v>67492.992</v>
      </c>
      <c r="K588" s="16" t="n">
        <f aca="false">J588*INDEX(Customers!$G$2:$G$41,MATCH(C588,Customers!$A$2:$A$41,0))</f>
        <v>2024.78976</v>
      </c>
      <c r="L588" s="16" t="n">
        <f aca="false">F588*INDEX(Customers!$H$2:$H$41,MATCH(C588,Customers!$A$2:$A$41,0))</f>
        <v>1872</v>
      </c>
      <c r="M588" s="16" t="n">
        <f aca="false">J588*INDEX(Customers!$I$2:$I$41,MATCH(C588,Customers!$A$2:$A$41,0))/365*Assumptions!$B$6</f>
        <v>443.789536438356</v>
      </c>
      <c r="N588" s="16" t="n">
        <f aca="false">J588-K588-L588-M588</f>
        <v>63152.4127035616</v>
      </c>
      <c r="O588" s="16" t="n">
        <f aca="false">F588*IF(A588="2025",INDEX(Products!$D$2:$D$13,MATCH(D588,Products!$A$2:$A$13,0)),INDEX(Products!$F$2:$F$13,MATCH(D588,Products!$A$2:$A$13,0)))</f>
        <v>45504</v>
      </c>
      <c r="P588" s="16" t="n">
        <f aca="false">N588-O588</f>
        <v>17648.4127035616</v>
      </c>
    </row>
    <row r="589" customFormat="false" ht="15" hidden="false" customHeight="false" outlineLevel="0" collapsed="false">
      <c r="A589" s="2" t="s">
        <v>118</v>
      </c>
      <c r="B589" s="2" t="n">
        <v>12</v>
      </c>
      <c r="C589" s="2" t="s">
        <v>71</v>
      </c>
      <c r="D589" s="2" t="s">
        <v>41</v>
      </c>
      <c r="E589" s="2" t="str">
        <f aca="false">INDEX(Products!$B$2:$B$13,MATCH(D589,Products!$A$2:$A$13,0))</f>
        <v>Hydroprocessing</v>
      </c>
      <c r="F589" s="15" t="n">
        <v>6.8</v>
      </c>
      <c r="G589" s="16" t="n">
        <f aca="false">IF(A589="2025",INDEX(Products!$C$2:$C$13,MATCH(D589,Products!$A$2:$A$13,0)),INDEX(Products!$E$2:$E$13,MATCH(D589,Products!$A$2:$A$13,0)))</f>
        <v>14770</v>
      </c>
      <c r="H589" s="13" t="n">
        <f aca="false">IF(A589="2025",INDEX(Customers!$D$2:$D$41,MATCH(C589,Customers!$A$2:$A$41,0)),INDEX(Customers!$F$2:$F$41,MATCH(C589,Customers!$A$2:$A$41,0)))</f>
        <v>0.048</v>
      </c>
      <c r="I589" s="16" t="n">
        <f aca="false">F589*G589</f>
        <v>100436</v>
      </c>
      <c r="J589" s="16" t="n">
        <f aca="false">I589*(1-H589)</f>
        <v>95615.072</v>
      </c>
      <c r="K589" s="16" t="n">
        <f aca="false">J589*INDEX(Customers!$G$2:$G$41,MATCH(C589,Customers!$A$2:$A$41,0))</f>
        <v>2868.45216</v>
      </c>
      <c r="L589" s="16" t="n">
        <f aca="false">F589*INDEX(Customers!$H$2:$H$41,MATCH(C589,Customers!$A$2:$A$41,0))</f>
        <v>2652</v>
      </c>
      <c r="M589" s="16" t="n">
        <f aca="false">J589*INDEX(Customers!$I$2:$I$41,MATCH(C589,Customers!$A$2:$A$41,0))/365*Assumptions!$B$6</f>
        <v>628.701843287671</v>
      </c>
      <c r="N589" s="16" t="n">
        <f aca="false">J589-K589-L589-M589</f>
        <v>89465.9179967123</v>
      </c>
      <c r="O589" s="16" t="n">
        <f aca="false">F589*IF(A589="2025",INDEX(Products!$D$2:$D$13,MATCH(D589,Products!$A$2:$A$13,0)),INDEX(Products!$F$2:$F$13,MATCH(D589,Products!$A$2:$A$13,0)))</f>
        <v>64464</v>
      </c>
      <c r="P589" s="16" t="n">
        <f aca="false">N589-O589</f>
        <v>25001.9179967123</v>
      </c>
    </row>
    <row r="590" customFormat="false" ht="15" hidden="false" customHeight="false" outlineLevel="0" collapsed="false">
      <c r="A590" s="2" t="s">
        <v>119</v>
      </c>
      <c r="B590" s="2" t="n">
        <v>1</v>
      </c>
      <c r="C590" s="2" t="s">
        <v>71</v>
      </c>
      <c r="D590" s="2" t="s">
        <v>41</v>
      </c>
      <c r="E590" s="2" t="str">
        <f aca="false">INDEX(Products!$B$2:$B$13,MATCH(D590,Products!$A$2:$A$13,0))</f>
        <v>Hydroprocessing</v>
      </c>
      <c r="F590" s="15" t="n">
        <v>4.4</v>
      </c>
      <c r="G590" s="16" t="n">
        <f aca="false">IF(A590="2025",INDEX(Products!$C$2:$C$13,MATCH(D590,Products!$A$2:$A$13,0)),INDEX(Products!$E$2:$E$13,MATCH(D590,Products!$A$2:$A$13,0)))</f>
        <v>15508.5</v>
      </c>
      <c r="H590" s="13" t="n">
        <f aca="false">IF(A590="2025",INDEX(Customers!$D$2:$D$41,MATCH(C590,Customers!$A$2:$A$41,0)),INDEX(Customers!$F$2:$F$41,MATCH(C590,Customers!$A$2:$A$41,0)))</f>
        <v>0.048</v>
      </c>
      <c r="I590" s="16" t="n">
        <f aca="false">F590*G590</f>
        <v>68237.4</v>
      </c>
      <c r="J590" s="16" t="n">
        <f aca="false">I590*(1-H590)</f>
        <v>64962.0048</v>
      </c>
      <c r="K590" s="16" t="n">
        <f aca="false">J590*INDEX(Customers!$G$2:$G$41,MATCH(C590,Customers!$A$2:$A$41,0))</f>
        <v>1948.860144</v>
      </c>
      <c r="L590" s="16" t="n">
        <f aca="false">F590*INDEX(Customers!$H$2:$H$41,MATCH(C590,Customers!$A$2:$A$41,0))</f>
        <v>1716</v>
      </c>
      <c r="M590" s="16" t="n">
        <f aca="false">J590*INDEX(Customers!$I$2:$I$41,MATCH(C590,Customers!$A$2:$A$41,0))/365*Assumptions!$B$6</f>
        <v>427.147428821918</v>
      </c>
      <c r="N590" s="16" t="n">
        <f aca="false">J590-K590-L590-M590</f>
        <v>60869.9972271781</v>
      </c>
      <c r="O590" s="16" t="n">
        <f aca="false">F590*IF(A590="2025",INDEX(Products!$D$2:$D$13,MATCH(D590,Products!$A$2:$A$13,0)),INDEX(Products!$F$2:$F$13,MATCH(D590,Products!$A$2:$A$13,0)))</f>
        <v>42963.36</v>
      </c>
      <c r="P590" s="16" t="n">
        <f aca="false">N590-O590</f>
        <v>17906.6372271781</v>
      </c>
    </row>
    <row r="591" customFormat="false" ht="15" hidden="false" customHeight="false" outlineLevel="0" collapsed="false">
      <c r="A591" s="2" t="s">
        <v>119</v>
      </c>
      <c r="B591" s="2" t="n">
        <v>2</v>
      </c>
      <c r="C591" s="2" t="s">
        <v>71</v>
      </c>
      <c r="D591" s="2" t="s">
        <v>41</v>
      </c>
      <c r="E591" s="2" t="str">
        <f aca="false">INDEX(Products!$B$2:$B$13,MATCH(D591,Products!$A$2:$A$13,0))</f>
        <v>Hydroprocessing</v>
      </c>
      <c r="F591" s="15" t="n">
        <v>4.4</v>
      </c>
      <c r="G591" s="16" t="n">
        <f aca="false">IF(A591="2025",INDEX(Products!$C$2:$C$13,MATCH(D591,Products!$A$2:$A$13,0)),INDEX(Products!$E$2:$E$13,MATCH(D591,Products!$A$2:$A$13,0)))</f>
        <v>15508.5</v>
      </c>
      <c r="H591" s="13" t="n">
        <f aca="false">IF(A591="2025",INDEX(Customers!$D$2:$D$41,MATCH(C591,Customers!$A$2:$A$41,0)),INDEX(Customers!$F$2:$F$41,MATCH(C591,Customers!$A$2:$A$41,0)))</f>
        <v>0.048</v>
      </c>
      <c r="I591" s="16" t="n">
        <f aca="false">F591*G591</f>
        <v>68237.4</v>
      </c>
      <c r="J591" s="16" t="n">
        <f aca="false">I591*(1-H591)</f>
        <v>64962.0048</v>
      </c>
      <c r="K591" s="16" t="n">
        <f aca="false">J591*INDEX(Customers!$G$2:$G$41,MATCH(C591,Customers!$A$2:$A$41,0))</f>
        <v>1948.860144</v>
      </c>
      <c r="L591" s="16" t="n">
        <f aca="false">F591*INDEX(Customers!$H$2:$H$41,MATCH(C591,Customers!$A$2:$A$41,0))</f>
        <v>1716</v>
      </c>
      <c r="M591" s="16" t="n">
        <f aca="false">J591*INDEX(Customers!$I$2:$I$41,MATCH(C591,Customers!$A$2:$A$41,0))/365*Assumptions!$B$6</f>
        <v>427.147428821918</v>
      </c>
      <c r="N591" s="16" t="n">
        <f aca="false">J591-K591-L591-M591</f>
        <v>60869.9972271781</v>
      </c>
      <c r="O591" s="16" t="n">
        <f aca="false">F591*IF(A591="2025",INDEX(Products!$D$2:$D$13,MATCH(D591,Products!$A$2:$A$13,0)),INDEX(Products!$F$2:$F$13,MATCH(D591,Products!$A$2:$A$13,0)))</f>
        <v>42963.36</v>
      </c>
      <c r="P591" s="16" t="n">
        <f aca="false">N591-O591</f>
        <v>17906.6372271781</v>
      </c>
    </row>
    <row r="592" customFormat="false" ht="15" hidden="false" customHeight="false" outlineLevel="0" collapsed="false">
      <c r="A592" s="2" t="s">
        <v>119</v>
      </c>
      <c r="B592" s="2" t="n">
        <v>3</v>
      </c>
      <c r="C592" s="2" t="s">
        <v>71</v>
      </c>
      <c r="D592" s="2" t="s">
        <v>41</v>
      </c>
      <c r="E592" s="2" t="str">
        <f aca="false">INDEX(Products!$B$2:$B$13,MATCH(D592,Products!$A$2:$A$13,0))</f>
        <v>Hydroprocessing</v>
      </c>
      <c r="F592" s="15" t="n">
        <v>5.5</v>
      </c>
      <c r="G592" s="16" t="n">
        <f aca="false">IF(A592="2025",INDEX(Products!$C$2:$C$13,MATCH(D592,Products!$A$2:$A$13,0)),INDEX(Products!$E$2:$E$13,MATCH(D592,Products!$A$2:$A$13,0)))</f>
        <v>15508.5</v>
      </c>
      <c r="H592" s="13" t="n">
        <f aca="false">IF(A592="2025",INDEX(Customers!$D$2:$D$41,MATCH(C592,Customers!$A$2:$A$41,0)),INDEX(Customers!$F$2:$F$41,MATCH(C592,Customers!$A$2:$A$41,0)))</f>
        <v>0.048</v>
      </c>
      <c r="I592" s="16" t="n">
        <f aca="false">F592*G592</f>
        <v>85296.75</v>
      </c>
      <c r="J592" s="16" t="n">
        <f aca="false">I592*(1-H592)</f>
        <v>81202.506</v>
      </c>
      <c r="K592" s="16" t="n">
        <f aca="false">J592*INDEX(Customers!$G$2:$G$41,MATCH(C592,Customers!$A$2:$A$41,0))</f>
        <v>2436.07518</v>
      </c>
      <c r="L592" s="16" t="n">
        <f aca="false">F592*INDEX(Customers!$H$2:$H$41,MATCH(C592,Customers!$A$2:$A$41,0))</f>
        <v>2145</v>
      </c>
      <c r="M592" s="16" t="n">
        <f aca="false">J592*INDEX(Customers!$I$2:$I$41,MATCH(C592,Customers!$A$2:$A$41,0))/365*Assumptions!$B$6</f>
        <v>533.934286027397</v>
      </c>
      <c r="N592" s="16" t="n">
        <f aca="false">J592-K592-L592-M592</f>
        <v>76087.4965339726</v>
      </c>
      <c r="O592" s="16" t="n">
        <f aca="false">F592*IF(A592="2025",INDEX(Products!$D$2:$D$13,MATCH(D592,Products!$A$2:$A$13,0)),INDEX(Products!$F$2:$F$13,MATCH(D592,Products!$A$2:$A$13,0)))</f>
        <v>53704.2</v>
      </c>
      <c r="P592" s="16" t="n">
        <f aca="false">N592-O592</f>
        <v>22383.2965339726</v>
      </c>
    </row>
    <row r="593" customFormat="false" ht="15" hidden="false" customHeight="false" outlineLevel="0" collapsed="false">
      <c r="A593" s="2" t="s">
        <v>119</v>
      </c>
      <c r="B593" s="2" t="n">
        <v>4</v>
      </c>
      <c r="C593" s="2" t="s">
        <v>71</v>
      </c>
      <c r="D593" s="2" t="s">
        <v>41</v>
      </c>
      <c r="E593" s="2" t="str">
        <f aca="false">INDEX(Products!$B$2:$B$13,MATCH(D593,Products!$A$2:$A$13,0))</f>
        <v>Hydroprocessing</v>
      </c>
      <c r="F593" s="15" t="n">
        <v>6.2</v>
      </c>
      <c r="G593" s="16" t="n">
        <f aca="false">IF(A593="2025",INDEX(Products!$C$2:$C$13,MATCH(D593,Products!$A$2:$A$13,0)),INDEX(Products!$E$2:$E$13,MATCH(D593,Products!$A$2:$A$13,0)))</f>
        <v>15508.5</v>
      </c>
      <c r="H593" s="13" t="n">
        <f aca="false">IF(A593="2025",INDEX(Customers!$D$2:$D$41,MATCH(C593,Customers!$A$2:$A$41,0)),INDEX(Customers!$F$2:$F$41,MATCH(C593,Customers!$A$2:$A$41,0)))</f>
        <v>0.048</v>
      </c>
      <c r="I593" s="16" t="n">
        <f aca="false">F593*G593</f>
        <v>96152.7</v>
      </c>
      <c r="J593" s="16" t="n">
        <f aca="false">I593*(1-H593)</f>
        <v>91537.3704</v>
      </c>
      <c r="K593" s="16" t="n">
        <f aca="false">J593*INDEX(Customers!$G$2:$G$41,MATCH(C593,Customers!$A$2:$A$41,0))</f>
        <v>2746.121112</v>
      </c>
      <c r="L593" s="16" t="n">
        <f aca="false">F593*INDEX(Customers!$H$2:$H$41,MATCH(C593,Customers!$A$2:$A$41,0))</f>
        <v>2418</v>
      </c>
      <c r="M593" s="16" t="n">
        <f aca="false">J593*INDEX(Customers!$I$2:$I$41,MATCH(C593,Customers!$A$2:$A$41,0))/365*Assumptions!$B$6</f>
        <v>601.889558794521</v>
      </c>
      <c r="N593" s="16" t="n">
        <f aca="false">J593-K593-L593-M593</f>
        <v>85771.3597292055</v>
      </c>
      <c r="O593" s="16" t="n">
        <f aca="false">F593*IF(A593="2025",INDEX(Products!$D$2:$D$13,MATCH(D593,Products!$A$2:$A$13,0)),INDEX(Products!$F$2:$F$13,MATCH(D593,Products!$A$2:$A$13,0)))</f>
        <v>60539.28</v>
      </c>
      <c r="P593" s="16" t="n">
        <f aca="false">N593-O593</f>
        <v>25232.0797292055</v>
      </c>
    </row>
    <row r="594" customFormat="false" ht="15" hidden="false" customHeight="false" outlineLevel="0" collapsed="false">
      <c r="A594" s="2" t="s">
        <v>119</v>
      </c>
      <c r="B594" s="2" t="n">
        <v>5</v>
      </c>
      <c r="C594" s="2" t="s">
        <v>71</v>
      </c>
      <c r="D594" s="2" t="s">
        <v>41</v>
      </c>
      <c r="E594" s="2" t="str">
        <f aca="false">INDEX(Products!$B$2:$B$13,MATCH(D594,Products!$A$2:$A$13,0))</f>
        <v>Hydroprocessing</v>
      </c>
      <c r="F594" s="15" t="n">
        <v>5.4</v>
      </c>
      <c r="G594" s="16" t="n">
        <f aca="false">IF(A594="2025",INDEX(Products!$C$2:$C$13,MATCH(D594,Products!$A$2:$A$13,0)),INDEX(Products!$E$2:$E$13,MATCH(D594,Products!$A$2:$A$13,0)))</f>
        <v>15508.5</v>
      </c>
      <c r="H594" s="13" t="n">
        <f aca="false">IF(A594="2025",INDEX(Customers!$D$2:$D$41,MATCH(C594,Customers!$A$2:$A$41,0)),INDEX(Customers!$F$2:$F$41,MATCH(C594,Customers!$A$2:$A$41,0)))</f>
        <v>0.048</v>
      </c>
      <c r="I594" s="16" t="n">
        <f aca="false">F594*G594</f>
        <v>83745.9</v>
      </c>
      <c r="J594" s="16" t="n">
        <f aca="false">I594*(1-H594)</f>
        <v>79726.0968</v>
      </c>
      <c r="K594" s="16" t="n">
        <f aca="false">J594*INDEX(Customers!$G$2:$G$41,MATCH(C594,Customers!$A$2:$A$41,0))</f>
        <v>2391.782904</v>
      </c>
      <c r="L594" s="16" t="n">
        <f aca="false">F594*INDEX(Customers!$H$2:$H$41,MATCH(C594,Customers!$A$2:$A$41,0))</f>
        <v>2106</v>
      </c>
      <c r="M594" s="16" t="n">
        <f aca="false">J594*INDEX(Customers!$I$2:$I$41,MATCH(C594,Customers!$A$2:$A$41,0))/365*Assumptions!$B$6</f>
        <v>524.226389917808</v>
      </c>
      <c r="N594" s="16" t="n">
        <f aca="false">J594-K594-L594-M594</f>
        <v>74704.0875060822</v>
      </c>
      <c r="O594" s="16" t="n">
        <f aca="false">F594*IF(A594="2025",INDEX(Products!$D$2:$D$13,MATCH(D594,Products!$A$2:$A$13,0)),INDEX(Products!$F$2:$F$13,MATCH(D594,Products!$A$2:$A$13,0)))</f>
        <v>52727.76</v>
      </c>
      <c r="P594" s="16" t="n">
        <f aca="false">N594-O594</f>
        <v>21976.3275060822</v>
      </c>
    </row>
    <row r="595" customFormat="false" ht="15" hidden="false" customHeight="false" outlineLevel="0" collapsed="false">
      <c r="A595" s="2" t="s">
        <v>119</v>
      </c>
      <c r="B595" s="2" t="n">
        <v>6</v>
      </c>
      <c r="C595" s="2" t="s">
        <v>71</v>
      </c>
      <c r="D595" s="2" t="s">
        <v>41</v>
      </c>
      <c r="E595" s="2" t="str">
        <f aca="false">INDEX(Products!$B$2:$B$13,MATCH(D595,Products!$A$2:$A$13,0))</f>
        <v>Hydroprocessing</v>
      </c>
      <c r="F595" s="15" t="n">
        <v>5.2</v>
      </c>
      <c r="G595" s="16" t="n">
        <f aca="false">IF(A595="2025",INDEX(Products!$C$2:$C$13,MATCH(D595,Products!$A$2:$A$13,0)),INDEX(Products!$E$2:$E$13,MATCH(D595,Products!$A$2:$A$13,0)))</f>
        <v>15508.5</v>
      </c>
      <c r="H595" s="13" t="n">
        <f aca="false">IF(A595="2025",INDEX(Customers!$D$2:$D$41,MATCH(C595,Customers!$A$2:$A$41,0)),INDEX(Customers!$F$2:$F$41,MATCH(C595,Customers!$A$2:$A$41,0)))</f>
        <v>0.048</v>
      </c>
      <c r="I595" s="16" t="n">
        <f aca="false">F595*G595</f>
        <v>80644.2</v>
      </c>
      <c r="J595" s="16" t="n">
        <f aca="false">I595*(1-H595)</f>
        <v>76773.2784</v>
      </c>
      <c r="K595" s="16" t="n">
        <f aca="false">J595*INDEX(Customers!$G$2:$G$41,MATCH(C595,Customers!$A$2:$A$41,0))</f>
        <v>2303.198352</v>
      </c>
      <c r="L595" s="16" t="n">
        <f aca="false">F595*INDEX(Customers!$H$2:$H$41,MATCH(C595,Customers!$A$2:$A$41,0))</f>
        <v>2028</v>
      </c>
      <c r="M595" s="16" t="n">
        <f aca="false">J595*INDEX(Customers!$I$2:$I$41,MATCH(C595,Customers!$A$2:$A$41,0))/365*Assumptions!$B$6</f>
        <v>504.81059769863</v>
      </c>
      <c r="N595" s="16" t="n">
        <f aca="false">J595-K595-L595-M595</f>
        <v>71937.2694503014</v>
      </c>
      <c r="O595" s="16" t="n">
        <f aca="false">F595*IF(A595="2025",INDEX(Products!$D$2:$D$13,MATCH(D595,Products!$A$2:$A$13,0)),INDEX(Products!$F$2:$F$13,MATCH(D595,Products!$A$2:$A$13,0)))</f>
        <v>50774.88</v>
      </c>
      <c r="P595" s="16" t="n">
        <f aca="false">N595-O595</f>
        <v>21162.3894503014</v>
      </c>
    </row>
    <row r="596" customFormat="false" ht="15" hidden="false" customHeight="false" outlineLevel="0" collapsed="false">
      <c r="A596" s="2" t="s">
        <v>119</v>
      </c>
      <c r="B596" s="2" t="n">
        <v>7</v>
      </c>
      <c r="C596" s="2" t="s">
        <v>71</v>
      </c>
      <c r="D596" s="2" t="s">
        <v>41</v>
      </c>
      <c r="E596" s="2" t="str">
        <f aca="false">INDEX(Products!$B$2:$B$13,MATCH(D596,Products!$A$2:$A$13,0))</f>
        <v>Hydroprocessing</v>
      </c>
      <c r="F596" s="15" t="n">
        <v>3.9</v>
      </c>
      <c r="G596" s="16" t="n">
        <f aca="false">IF(A596="2025",INDEX(Products!$C$2:$C$13,MATCH(D596,Products!$A$2:$A$13,0)),INDEX(Products!$E$2:$E$13,MATCH(D596,Products!$A$2:$A$13,0)))</f>
        <v>15508.5</v>
      </c>
      <c r="H596" s="13" t="n">
        <f aca="false">IF(A596="2025",INDEX(Customers!$D$2:$D$41,MATCH(C596,Customers!$A$2:$A$41,0)),INDEX(Customers!$F$2:$F$41,MATCH(C596,Customers!$A$2:$A$41,0)))</f>
        <v>0.048</v>
      </c>
      <c r="I596" s="16" t="n">
        <f aca="false">F596*G596</f>
        <v>60483.15</v>
      </c>
      <c r="J596" s="16" t="n">
        <f aca="false">I596*(1-H596)</f>
        <v>57579.9588</v>
      </c>
      <c r="K596" s="16" t="n">
        <f aca="false">J596*INDEX(Customers!$G$2:$G$41,MATCH(C596,Customers!$A$2:$A$41,0))</f>
        <v>1727.398764</v>
      </c>
      <c r="L596" s="16" t="n">
        <f aca="false">F596*INDEX(Customers!$H$2:$H$41,MATCH(C596,Customers!$A$2:$A$41,0))</f>
        <v>1521</v>
      </c>
      <c r="M596" s="16" t="n">
        <f aca="false">J596*INDEX(Customers!$I$2:$I$41,MATCH(C596,Customers!$A$2:$A$41,0))/365*Assumptions!$B$6</f>
        <v>378.607948273973</v>
      </c>
      <c r="N596" s="16" t="n">
        <f aca="false">J596-K596-L596-M596</f>
        <v>53952.952087726</v>
      </c>
      <c r="O596" s="16" t="n">
        <f aca="false">F596*IF(A596="2025",INDEX(Products!$D$2:$D$13,MATCH(D596,Products!$A$2:$A$13,0)),INDEX(Products!$F$2:$F$13,MATCH(D596,Products!$A$2:$A$13,0)))</f>
        <v>38081.16</v>
      </c>
      <c r="P596" s="16" t="n">
        <f aca="false">N596-O596</f>
        <v>15871.792087726</v>
      </c>
    </row>
    <row r="597" customFormat="false" ht="15" hidden="false" customHeight="false" outlineLevel="0" collapsed="false">
      <c r="A597" s="2" t="s">
        <v>119</v>
      </c>
      <c r="B597" s="2" t="n">
        <v>8</v>
      </c>
      <c r="C597" s="2" t="s">
        <v>71</v>
      </c>
      <c r="D597" s="2" t="s">
        <v>41</v>
      </c>
      <c r="E597" s="2" t="str">
        <f aca="false">INDEX(Products!$B$2:$B$13,MATCH(D597,Products!$A$2:$A$13,0))</f>
        <v>Hydroprocessing</v>
      </c>
      <c r="F597" s="15" t="n">
        <v>4.3</v>
      </c>
      <c r="G597" s="16" t="n">
        <f aca="false">IF(A597="2025",INDEX(Products!$C$2:$C$13,MATCH(D597,Products!$A$2:$A$13,0)),INDEX(Products!$E$2:$E$13,MATCH(D597,Products!$A$2:$A$13,0)))</f>
        <v>15508.5</v>
      </c>
      <c r="H597" s="13" t="n">
        <f aca="false">IF(A597="2025",INDEX(Customers!$D$2:$D$41,MATCH(C597,Customers!$A$2:$A$41,0)),INDEX(Customers!$F$2:$F$41,MATCH(C597,Customers!$A$2:$A$41,0)))</f>
        <v>0.048</v>
      </c>
      <c r="I597" s="16" t="n">
        <f aca="false">F597*G597</f>
        <v>66686.55</v>
      </c>
      <c r="J597" s="16" t="n">
        <f aca="false">I597*(1-H597)</f>
        <v>63485.5956</v>
      </c>
      <c r="K597" s="16" t="n">
        <f aca="false">J597*INDEX(Customers!$G$2:$G$41,MATCH(C597,Customers!$A$2:$A$41,0))</f>
        <v>1904.567868</v>
      </c>
      <c r="L597" s="16" t="n">
        <f aca="false">F597*INDEX(Customers!$H$2:$H$41,MATCH(C597,Customers!$A$2:$A$41,0))</f>
        <v>1677</v>
      </c>
      <c r="M597" s="16" t="n">
        <f aca="false">J597*INDEX(Customers!$I$2:$I$41,MATCH(C597,Customers!$A$2:$A$41,0))/365*Assumptions!$B$6</f>
        <v>417.439532712329</v>
      </c>
      <c r="N597" s="16" t="n">
        <f aca="false">J597-K597-L597-M597</f>
        <v>59486.5881992877</v>
      </c>
      <c r="O597" s="16" t="n">
        <f aca="false">F597*IF(A597="2025",INDEX(Products!$D$2:$D$13,MATCH(D597,Products!$A$2:$A$13,0)),INDEX(Products!$F$2:$F$13,MATCH(D597,Products!$A$2:$A$13,0)))</f>
        <v>41986.92</v>
      </c>
      <c r="P597" s="16" t="n">
        <f aca="false">N597-O597</f>
        <v>17499.6681992877</v>
      </c>
    </row>
    <row r="598" customFormat="false" ht="15" hidden="false" customHeight="false" outlineLevel="0" collapsed="false">
      <c r="A598" s="2" t="s">
        <v>119</v>
      </c>
      <c r="B598" s="2" t="n">
        <v>9</v>
      </c>
      <c r="C598" s="2" t="s">
        <v>71</v>
      </c>
      <c r="D598" s="2" t="s">
        <v>41</v>
      </c>
      <c r="E598" s="2" t="str">
        <f aca="false">INDEX(Products!$B$2:$B$13,MATCH(D598,Products!$A$2:$A$13,0))</f>
        <v>Hydroprocessing</v>
      </c>
      <c r="F598" s="15" t="n">
        <v>5.9</v>
      </c>
      <c r="G598" s="16" t="n">
        <f aca="false">IF(A598="2025",INDEX(Products!$C$2:$C$13,MATCH(D598,Products!$A$2:$A$13,0)),INDEX(Products!$E$2:$E$13,MATCH(D598,Products!$A$2:$A$13,0)))</f>
        <v>15508.5</v>
      </c>
      <c r="H598" s="13" t="n">
        <f aca="false">IF(A598="2025",INDEX(Customers!$D$2:$D$41,MATCH(C598,Customers!$A$2:$A$41,0)),INDEX(Customers!$F$2:$F$41,MATCH(C598,Customers!$A$2:$A$41,0)))</f>
        <v>0.048</v>
      </c>
      <c r="I598" s="16" t="n">
        <f aca="false">F598*G598</f>
        <v>91500.15</v>
      </c>
      <c r="J598" s="16" t="n">
        <f aca="false">I598*(1-H598)</f>
        <v>87108.1428</v>
      </c>
      <c r="K598" s="16" t="n">
        <f aca="false">J598*INDEX(Customers!$G$2:$G$41,MATCH(C598,Customers!$A$2:$A$41,0))</f>
        <v>2613.244284</v>
      </c>
      <c r="L598" s="16" t="n">
        <f aca="false">F598*INDEX(Customers!$H$2:$H$41,MATCH(C598,Customers!$A$2:$A$41,0))</f>
        <v>2301</v>
      </c>
      <c r="M598" s="16" t="n">
        <f aca="false">J598*INDEX(Customers!$I$2:$I$41,MATCH(C598,Customers!$A$2:$A$41,0))/365*Assumptions!$B$6</f>
        <v>572.765870465753</v>
      </c>
      <c r="N598" s="16" t="n">
        <f aca="false">J598-K598-L598-M598</f>
        <v>81621.1326455343</v>
      </c>
      <c r="O598" s="16" t="n">
        <f aca="false">F598*IF(A598="2025",INDEX(Products!$D$2:$D$13,MATCH(D598,Products!$A$2:$A$13,0)),INDEX(Products!$F$2:$F$13,MATCH(D598,Products!$A$2:$A$13,0)))</f>
        <v>57609.96</v>
      </c>
      <c r="P598" s="16" t="n">
        <f aca="false">N598-O598</f>
        <v>24011.1726455343</v>
      </c>
    </row>
    <row r="599" customFormat="false" ht="15" hidden="false" customHeight="false" outlineLevel="0" collapsed="false">
      <c r="A599" s="2" t="s">
        <v>119</v>
      </c>
      <c r="B599" s="2" t="n">
        <v>10</v>
      </c>
      <c r="C599" s="2" t="s">
        <v>71</v>
      </c>
      <c r="D599" s="2" t="s">
        <v>41</v>
      </c>
      <c r="E599" s="2" t="str">
        <f aca="false">INDEX(Products!$B$2:$B$13,MATCH(D599,Products!$A$2:$A$13,0))</f>
        <v>Hydroprocessing</v>
      </c>
      <c r="F599" s="15" t="n">
        <v>3.9</v>
      </c>
      <c r="G599" s="16" t="n">
        <f aca="false">IF(A599="2025",INDEX(Products!$C$2:$C$13,MATCH(D599,Products!$A$2:$A$13,0)),INDEX(Products!$E$2:$E$13,MATCH(D599,Products!$A$2:$A$13,0)))</f>
        <v>15508.5</v>
      </c>
      <c r="H599" s="13" t="n">
        <f aca="false">IF(A599="2025",INDEX(Customers!$D$2:$D$41,MATCH(C599,Customers!$A$2:$A$41,0)),INDEX(Customers!$F$2:$F$41,MATCH(C599,Customers!$A$2:$A$41,0)))</f>
        <v>0.048</v>
      </c>
      <c r="I599" s="16" t="n">
        <f aca="false">F599*G599</f>
        <v>60483.15</v>
      </c>
      <c r="J599" s="16" t="n">
        <f aca="false">I599*(1-H599)</f>
        <v>57579.9588</v>
      </c>
      <c r="K599" s="16" t="n">
        <f aca="false">J599*INDEX(Customers!$G$2:$G$41,MATCH(C599,Customers!$A$2:$A$41,0))</f>
        <v>1727.398764</v>
      </c>
      <c r="L599" s="16" t="n">
        <f aca="false">F599*INDEX(Customers!$H$2:$H$41,MATCH(C599,Customers!$A$2:$A$41,0))</f>
        <v>1521</v>
      </c>
      <c r="M599" s="16" t="n">
        <f aca="false">J599*INDEX(Customers!$I$2:$I$41,MATCH(C599,Customers!$A$2:$A$41,0))/365*Assumptions!$B$6</f>
        <v>378.607948273973</v>
      </c>
      <c r="N599" s="16" t="n">
        <f aca="false">J599-K599-L599-M599</f>
        <v>53952.952087726</v>
      </c>
      <c r="O599" s="16" t="n">
        <f aca="false">F599*IF(A599="2025",INDEX(Products!$D$2:$D$13,MATCH(D599,Products!$A$2:$A$13,0)),INDEX(Products!$F$2:$F$13,MATCH(D599,Products!$A$2:$A$13,0)))</f>
        <v>38081.16</v>
      </c>
      <c r="P599" s="16" t="n">
        <f aca="false">N599-O599</f>
        <v>15871.792087726</v>
      </c>
    </row>
    <row r="600" customFormat="false" ht="15" hidden="false" customHeight="false" outlineLevel="0" collapsed="false">
      <c r="A600" s="2" t="s">
        <v>119</v>
      </c>
      <c r="B600" s="2" t="n">
        <v>11</v>
      </c>
      <c r="C600" s="2" t="s">
        <v>71</v>
      </c>
      <c r="D600" s="2" t="s">
        <v>41</v>
      </c>
      <c r="E600" s="2" t="str">
        <f aca="false">INDEX(Products!$B$2:$B$13,MATCH(D600,Products!$A$2:$A$13,0))</f>
        <v>Hydroprocessing</v>
      </c>
      <c r="F600" s="15" t="n">
        <v>6.3</v>
      </c>
      <c r="G600" s="16" t="n">
        <f aca="false">IF(A600="2025",INDEX(Products!$C$2:$C$13,MATCH(D600,Products!$A$2:$A$13,0)),INDEX(Products!$E$2:$E$13,MATCH(D600,Products!$A$2:$A$13,0)))</f>
        <v>15508.5</v>
      </c>
      <c r="H600" s="13" t="n">
        <f aca="false">IF(A600="2025",INDEX(Customers!$D$2:$D$41,MATCH(C600,Customers!$A$2:$A$41,0)),INDEX(Customers!$F$2:$F$41,MATCH(C600,Customers!$A$2:$A$41,0)))</f>
        <v>0.048</v>
      </c>
      <c r="I600" s="16" t="n">
        <f aca="false">F600*G600</f>
        <v>97703.55</v>
      </c>
      <c r="J600" s="16" t="n">
        <f aca="false">I600*(1-H600)</f>
        <v>93013.7796</v>
      </c>
      <c r="K600" s="16" t="n">
        <f aca="false">J600*INDEX(Customers!$G$2:$G$41,MATCH(C600,Customers!$A$2:$A$41,0))</f>
        <v>2790.413388</v>
      </c>
      <c r="L600" s="16" t="n">
        <f aca="false">F600*INDEX(Customers!$H$2:$H$41,MATCH(C600,Customers!$A$2:$A$41,0))</f>
        <v>2457</v>
      </c>
      <c r="M600" s="16" t="n">
        <f aca="false">J600*INDEX(Customers!$I$2:$I$41,MATCH(C600,Customers!$A$2:$A$41,0))/365*Assumptions!$B$6</f>
        <v>611.59745490411</v>
      </c>
      <c r="N600" s="16" t="n">
        <f aca="false">J600-K600-L600-M600</f>
        <v>87154.7687570959</v>
      </c>
      <c r="O600" s="16" t="n">
        <f aca="false">F600*IF(A600="2025",INDEX(Products!$D$2:$D$13,MATCH(D600,Products!$A$2:$A$13,0)),INDEX(Products!$F$2:$F$13,MATCH(D600,Products!$A$2:$A$13,0)))</f>
        <v>61515.72</v>
      </c>
      <c r="P600" s="16" t="n">
        <f aca="false">N600-O600</f>
        <v>25639.0487570959</v>
      </c>
    </row>
    <row r="601" customFormat="false" ht="15" hidden="false" customHeight="false" outlineLevel="0" collapsed="false">
      <c r="A601" s="2" t="s">
        <v>119</v>
      </c>
      <c r="B601" s="2" t="n">
        <v>12</v>
      </c>
      <c r="C601" s="2" t="s">
        <v>71</v>
      </c>
      <c r="D601" s="2" t="s">
        <v>41</v>
      </c>
      <c r="E601" s="2" t="str">
        <f aca="false">INDEX(Products!$B$2:$B$13,MATCH(D601,Products!$A$2:$A$13,0))</f>
        <v>Hydroprocessing</v>
      </c>
      <c r="F601" s="15" t="n">
        <v>6.3</v>
      </c>
      <c r="G601" s="16" t="n">
        <f aca="false">IF(A601="2025",INDEX(Products!$C$2:$C$13,MATCH(D601,Products!$A$2:$A$13,0)),INDEX(Products!$E$2:$E$13,MATCH(D601,Products!$A$2:$A$13,0)))</f>
        <v>15508.5</v>
      </c>
      <c r="H601" s="13" t="n">
        <f aca="false">IF(A601="2025",INDEX(Customers!$D$2:$D$41,MATCH(C601,Customers!$A$2:$A$41,0)),INDEX(Customers!$F$2:$F$41,MATCH(C601,Customers!$A$2:$A$41,0)))</f>
        <v>0.048</v>
      </c>
      <c r="I601" s="16" t="n">
        <f aca="false">F601*G601</f>
        <v>97703.55</v>
      </c>
      <c r="J601" s="16" t="n">
        <f aca="false">I601*(1-H601)</f>
        <v>93013.7796</v>
      </c>
      <c r="K601" s="16" t="n">
        <f aca="false">J601*INDEX(Customers!$G$2:$G$41,MATCH(C601,Customers!$A$2:$A$41,0))</f>
        <v>2790.413388</v>
      </c>
      <c r="L601" s="16" t="n">
        <f aca="false">F601*INDEX(Customers!$H$2:$H$41,MATCH(C601,Customers!$A$2:$A$41,0))</f>
        <v>2457</v>
      </c>
      <c r="M601" s="16" t="n">
        <f aca="false">J601*INDEX(Customers!$I$2:$I$41,MATCH(C601,Customers!$A$2:$A$41,0))/365*Assumptions!$B$6</f>
        <v>611.59745490411</v>
      </c>
      <c r="N601" s="16" t="n">
        <f aca="false">J601-K601-L601-M601</f>
        <v>87154.7687570959</v>
      </c>
      <c r="O601" s="16" t="n">
        <f aca="false">F601*IF(A601="2025",INDEX(Products!$D$2:$D$13,MATCH(D601,Products!$A$2:$A$13,0)),INDEX(Products!$F$2:$F$13,MATCH(D601,Products!$A$2:$A$13,0)))</f>
        <v>61515.72</v>
      </c>
      <c r="P601" s="16" t="n">
        <f aca="false">N601-O601</f>
        <v>25639.0487570959</v>
      </c>
    </row>
    <row r="602" customFormat="false" ht="15" hidden="false" customHeight="false" outlineLevel="0" collapsed="false">
      <c r="A602" s="2" t="s">
        <v>118</v>
      </c>
      <c r="B602" s="2" t="n">
        <v>1</v>
      </c>
      <c r="C602" s="2" t="s">
        <v>71</v>
      </c>
      <c r="D602" s="2" t="s">
        <v>47</v>
      </c>
      <c r="E602" s="2" t="str">
        <f aca="false">INDEX(Products!$B$2:$B$13,MATCH(D602,Products!$A$2:$A$13,0))</f>
        <v>Specialty</v>
      </c>
      <c r="F602" s="15" t="n">
        <v>3.7</v>
      </c>
      <c r="G602" s="16" t="n">
        <f aca="false">IF(A602="2025",INDEX(Products!$C$2:$C$13,MATCH(D602,Products!$A$2:$A$13,0)),INDEX(Products!$E$2:$E$13,MATCH(D602,Products!$A$2:$A$13,0)))</f>
        <v>30520</v>
      </c>
      <c r="H602" s="13" t="n">
        <f aca="false">IF(A602="2025",INDEX(Customers!$D$2:$D$41,MATCH(C602,Customers!$A$2:$A$41,0)),INDEX(Customers!$F$2:$F$41,MATCH(C602,Customers!$A$2:$A$41,0)))</f>
        <v>0.048</v>
      </c>
      <c r="I602" s="16" t="n">
        <f aca="false">F602*G602</f>
        <v>112924</v>
      </c>
      <c r="J602" s="16" t="n">
        <f aca="false">I602*(1-H602)</f>
        <v>107503.648</v>
      </c>
      <c r="K602" s="16" t="n">
        <f aca="false">J602*INDEX(Customers!$G$2:$G$41,MATCH(C602,Customers!$A$2:$A$41,0))</f>
        <v>3225.10944</v>
      </c>
      <c r="L602" s="16" t="n">
        <f aca="false">F602*INDEX(Customers!$H$2:$H$41,MATCH(C602,Customers!$A$2:$A$41,0))</f>
        <v>1443</v>
      </c>
      <c r="M602" s="16" t="n">
        <f aca="false">J602*INDEX(Customers!$I$2:$I$41,MATCH(C602,Customers!$A$2:$A$41,0))/365*Assumptions!$B$6</f>
        <v>706.873301917808</v>
      </c>
      <c r="N602" s="16" t="n">
        <f aca="false">J602-K602-L602-M602</f>
        <v>102128.665258082</v>
      </c>
      <c r="O602" s="16" t="n">
        <f aca="false">F602*IF(A602="2025",INDEX(Products!$D$2:$D$13,MATCH(D602,Products!$A$2:$A$13,0)),INDEX(Products!$F$2:$F$13,MATCH(D602,Products!$A$2:$A$13,0)))</f>
        <v>57128</v>
      </c>
      <c r="P602" s="16" t="n">
        <f aca="false">N602-O602</f>
        <v>45000.6652580822</v>
      </c>
    </row>
    <row r="603" customFormat="false" ht="15" hidden="false" customHeight="false" outlineLevel="0" collapsed="false">
      <c r="A603" s="2" t="s">
        <v>118</v>
      </c>
      <c r="B603" s="2" t="n">
        <v>2</v>
      </c>
      <c r="C603" s="2" t="s">
        <v>71</v>
      </c>
      <c r="D603" s="2" t="s">
        <v>47</v>
      </c>
      <c r="E603" s="2" t="str">
        <f aca="false">INDEX(Products!$B$2:$B$13,MATCH(D603,Products!$A$2:$A$13,0))</f>
        <v>Specialty</v>
      </c>
      <c r="F603" s="15" t="n">
        <v>3</v>
      </c>
      <c r="G603" s="16" t="n">
        <f aca="false">IF(A603="2025",INDEX(Products!$C$2:$C$13,MATCH(D603,Products!$A$2:$A$13,0)),INDEX(Products!$E$2:$E$13,MATCH(D603,Products!$A$2:$A$13,0)))</f>
        <v>30520</v>
      </c>
      <c r="H603" s="13" t="n">
        <f aca="false">IF(A603="2025",INDEX(Customers!$D$2:$D$41,MATCH(C603,Customers!$A$2:$A$41,0)),INDEX(Customers!$F$2:$F$41,MATCH(C603,Customers!$A$2:$A$41,0)))</f>
        <v>0.048</v>
      </c>
      <c r="I603" s="16" t="n">
        <f aca="false">F603*G603</f>
        <v>91560</v>
      </c>
      <c r="J603" s="16" t="n">
        <f aca="false">I603*(1-H603)</f>
        <v>87165.12</v>
      </c>
      <c r="K603" s="16" t="n">
        <f aca="false">J603*INDEX(Customers!$G$2:$G$41,MATCH(C603,Customers!$A$2:$A$41,0))</f>
        <v>2614.9536</v>
      </c>
      <c r="L603" s="16" t="n">
        <f aca="false">F603*INDEX(Customers!$H$2:$H$41,MATCH(C603,Customers!$A$2:$A$41,0))</f>
        <v>1170</v>
      </c>
      <c r="M603" s="16" t="n">
        <f aca="false">J603*INDEX(Customers!$I$2:$I$41,MATCH(C603,Customers!$A$2:$A$41,0))/365*Assumptions!$B$6</f>
        <v>573.140515068493</v>
      </c>
      <c r="N603" s="16" t="n">
        <f aca="false">J603-K603-L603-M603</f>
        <v>82807.0258849315</v>
      </c>
      <c r="O603" s="16" t="n">
        <f aca="false">F603*IF(A603="2025",INDEX(Products!$D$2:$D$13,MATCH(D603,Products!$A$2:$A$13,0)),INDEX(Products!$F$2:$F$13,MATCH(D603,Products!$A$2:$A$13,0)))</f>
        <v>46320</v>
      </c>
      <c r="P603" s="16" t="n">
        <f aca="false">N603-O603</f>
        <v>36487.0258849315</v>
      </c>
    </row>
    <row r="604" customFormat="false" ht="15" hidden="false" customHeight="false" outlineLevel="0" collapsed="false">
      <c r="A604" s="2" t="s">
        <v>118</v>
      </c>
      <c r="B604" s="2" t="n">
        <v>3</v>
      </c>
      <c r="C604" s="2" t="s">
        <v>71</v>
      </c>
      <c r="D604" s="2" t="s">
        <v>47</v>
      </c>
      <c r="E604" s="2" t="str">
        <f aca="false">INDEX(Products!$B$2:$B$13,MATCH(D604,Products!$A$2:$A$13,0))</f>
        <v>Specialty</v>
      </c>
      <c r="F604" s="15" t="n">
        <v>4.3</v>
      </c>
      <c r="G604" s="16" t="n">
        <f aca="false">IF(A604="2025",INDEX(Products!$C$2:$C$13,MATCH(D604,Products!$A$2:$A$13,0)),INDEX(Products!$E$2:$E$13,MATCH(D604,Products!$A$2:$A$13,0)))</f>
        <v>30520</v>
      </c>
      <c r="H604" s="13" t="n">
        <f aca="false">IF(A604="2025",INDEX(Customers!$D$2:$D$41,MATCH(C604,Customers!$A$2:$A$41,0)),INDEX(Customers!$F$2:$F$41,MATCH(C604,Customers!$A$2:$A$41,0)))</f>
        <v>0.048</v>
      </c>
      <c r="I604" s="16" t="n">
        <f aca="false">F604*G604</f>
        <v>131236</v>
      </c>
      <c r="J604" s="16" t="n">
        <f aca="false">I604*(1-H604)</f>
        <v>124936.672</v>
      </c>
      <c r="K604" s="16" t="n">
        <f aca="false">J604*INDEX(Customers!$G$2:$G$41,MATCH(C604,Customers!$A$2:$A$41,0))</f>
        <v>3748.10016</v>
      </c>
      <c r="L604" s="16" t="n">
        <f aca="false">F604*INDEX(Customers!$H$2:$H$41,MATCH(C604,Customers!$A$2:$A$41,0))</f>
        <v>1677</v>
      </c>
      <c r="M604" s="16" t="n">
        <f aca="false">J604*INDEX(Customers!$I$2:$I$41,MATCH(C604,Customers!$A$2:$A$41,0))/365*Assumptions!$B$6</f>
        <v>821.501404931507</v>
      </c>
      <c r="N604" s="16" t="n">
        <f aca="false">J604-K604-L604-M604</f>
        <v>118690.070435068</v>
      </c>
      <c r="O604" s="16" t="n">
        <f aca="false">F604*IF(A604="2025",INDEX(Products!$D$2:$D$13,MATCH(D604,Products!$A$2:$A$13,0)),INDEX(Products!$F$2:$F$13,MATCH(D604,Products!$A$2:$A$13,0)))</f>
        <v>66392</v>
      </c>
      <c r="P604" s="16" t="n">
        <f aca="false">N604-O604</f>
        <v>52298.0704350685</v>
      </c>
    </row>
    <row r="605" customFormat="false" ht="15" hidden="false" customHeight="false" outlineLevel="0" collapsed="false">
      <c r="A605" s="2" t="s">
        <v>118</v>
      </c>
      <c r="B605" s="2" t="n">
        <v>4</v>
      </c>
      <c r="C605" s="2" t="s">
        <v>71</v>
      </c>
      <c r="D605" s="2" t="s">
        <v>47</v>
      </c>
      <c r="E605" s="2" t="str">
        <f aca="false">INDEX(Products!$B$2:$B$13,MATCH(D605,Products!$A$2:$A$13,0))</f>
        <v>Specialty</v>
      </c>
      <c r="F605" s="15" t="n">
        <v>4</v>
      </c>
      <c r="G605" s="16" t="n">
        <f aca="false">IF(A605="2025",INDEX(Products!$C$2:$C$13,MATCH(D605,Products!$A$2:$A$13,0)),INDEX(Products!$E$2:$E$13,MATCH(D605,Products!$A$2:$A$13,0)))</f>
        <v>30520</v>
      </c>
      <c r="H605" s="13" t="n">
        <f aca="false">IF(A605="2025",INDEX(Customers!$D$2:$D$41,MATCH(C605,Customers!$A$2:$A$41,0)),INDEX(Customers!$F$2:$F$41,MATCH(C605,Customers!$A$2:$A$41,0)))</f>
        <v>0.048</v>
      </c>
      <c r="I605" s="16" t="n">
        <f aca="false">F605*G605</f>
        <v>122080</v>
      </c>
      <c r="J605" s="16" t="n">
        <f aca="false">I605*(1-H605)</f>
        <v>116220.16</v>
      </c>
      <c r="K605" s="16" t="n">
        <f aca="false">J605*INDEX(Customers!$G$2:$G$41,MATCH(C605,Customers!$A$2:$A$41,0))</f>
        <v>3486.6048</v>
      </c>
      <c r="L605" s="16" t="n">
        <f aca="false">F605*INDEX(Customers!$H$2:$H$41,MATCH(C605,Customers!$A$2:$A$41,0))</f>
        <v>1560</v>
      </c>
      <c r="M605" s="16" t="n">
        <f aca="false">J605*INDEX(Customers!$I$2:$I$41,MATCH(C605,Customers!$A$2:$A$41,0))/365*Assumptions!$B$6</f>
        <v>764.187353424658</v>
      </c>
      <c r="N605" s="16" t="n">
        <f aca="false">J605-K605-L605-M605</f>
        <v>110409.367846575</v>
      </c>
      <c r="O605" s="16" t="n">
        <f aca="false">F605*IF(A605="2025",INDEX(Products!$D$2:$D$13,MATCH(D605,Products!$A$2:$A$13,0)),INDEX(Products!$F$2:$F$13,MATCH(D605,Products!$A$2:$A$13,0)))</f>
        <v>61760</v>
      </c>
      <c r="P605" s="16" t="n">
        <f aca="false">N605-O605</f>
        <v>48649.3678465753</v>
      </c>
    </row>
    <row r="606" customFormat="false" ht="15" hidden="false" customHeight="false" outlineLevel="0" collapsed="false">
      <c r="A606" s="2" t="s">
        <v>118</v>
      </c>
      <c r="B606" s="2" t="n">
        <v>5</v>
      </c>
      <c r="C606" s="2" t="s">
        <v>71</v>
      </c>
      <c r="D606" s="2" t="s">
        <v>47</v>
      </c>
      <c r="E606" s="2" t="str">
        <f aca="false">INDEX(Products!$B$2:$B$13,MATCH(D606,Products!$A$2:$A$13,0))</f>
        <v>Specialty</v>
      </c>
      <c r="F606" s="15" t="n">
        <v>3.9</v>
      </c>
      <c r="G606" s="16" t="n">
        <f aca="false">IF(A606="2025",INDEX(Products!$C$2:$C$13,MATCH(D606,Products!$A$2:$A$13,0)),INDEX(Products!$E$2:$E$13,MATCH(D606,Products!$A$2:$A$13,0)))</f>
        <v>30520</v>
      </c>
      <c r="H606" s="13" t="n">
        <f aca="false">IF(A606="2025",INDEX(Customers!$D$2:$D$41,MATCH(C606,Customers!$A$2:$A$41,0)),INDEX(Customers!$F$2:$F$41,MATCH(C606,Customers!$A$2:$A$41,0)))</f>
        <v>0.048</v>
      </c>
      <c r="I606" s="16" t="n">
        <f aca="false">F606*G606</f>
        <v>119028</v>
      </c>
      <c r="J606" s="16" t="n">
        <f aca="false">I606*(1-H606)</f>
        <v>113314.656</v>
      </c>
      <c r="K606" s="16" t="n">
        <f aca="false">J606*INDEX(Customers!$G$2:$G$41,MATCH(C606,Customers!$A$2:$A$41,0))</f>
        <v>3399.43968</v>
      </c>
      <c r="L606" s="16" t="n">
        <f aca="false">F606*INDEX(Customers!$H$2:$H$41,MATCH(C606,Customers!$A$2:$A$41,0))</f>
        <v>1521</v>
      </c>
      <c r="M606" s="16" t="n">
        <f aca="false">J606*INDEX(Customers!$I$2:$I$41,MATCH(C606,Customers!$A$2:$A$41,0))/365*Assumptions!$B$6</f>
        <v>745.082669589041</v>
      </c>
      <c r="N606" s="16" t="n">
        <f aca="false">J606-K606-L606-M606</f>
        <v>107649.133650411</v>
      </c>
      <c r="O606" s="16" t="n">
        <f aca="false">F606*IF(A606="2025",INDEX(Products!$D$2:$D$13,MATCH(D606,Products!$A$2:$A$13,0)),INDEX(Products!$F$2:$F$13,MATCH(D606,Products!$A$2:$A$13,0)))</f>
        <v>60216</v>
      </c>
      <c r="P606" s="16" t="n">
        <f aca="false">N606-O606</f>
        <v>47433.133650411</v>
      </c>
    </row>
    <row r="607" customFormat="false" ht="15" hidden="false" customHeight="false" outlineLevel="0" collapsed="false">
      <c r="A607" s="2" t="s">
        <v>118</v>
      </c>
      <c r="B607" s="2" t="n">
        <v>6</v>
      </c>
      <c r="C607" s="2" t="s">
        <v>71</v>
      </c>
      <c r="D607" s="2" t="s">
        <v>47</v>
      </c>
      <c r="E607" s="2" t="str">
        <f aca="false">INDEX(Products!$B$2:$B$13,MATCH(D607,Products!$A$2:$A$13,0))</f>
        <v>Specialty</v>
      </c>
      <c r="F607" s="15" t="n">
        <v>2.7</v>
      </c>
      <c r="G607" s="16" t="n">
        <f aca="false">IF(A607="2025",INDEX(Products!$C$2:$C$13,MATCH(D607,Products!$A$2:$A$13,0)),INDEX(Products!$E$2:$E$13,MATCH(D607,Products!$A$2:$A$13,0)))</f>
        <v>30520</v>
      </c>
      <c r="H607" s="13" t="n">
        <f aca="false">IF(A607="2025",INDEX(Customers!$D$2:$D$41,MATCH(C607,Customers!$A$2:$A$41,0)),INDEX(Customers!$F$2:$F$41,MATCH(C607,Customers!$A$2:$A$41,0)))</f>
        <v>0.048</v>
      </c>
      <c r="I607" s="16" t="n">
        <f aca="false">F607*G607</f>
        <v>82404</v>
      </c>
      <c r="J607" s="16" t="n">
        <f aca="false">I607*(1-H607)</f>
        <v>78448.608</v>
      </c>
      <c r="K607" s="16" t="n">
        <f aca="false">J607*INDEX(Customers!$G$2:$G$41,MATCH(C607,Customers!$A$2:$A$41,0))</f>
        <v>2353.45824</v>
      </c>
      <c r="L607" s="16" t="n">
        <f aca="false">F607*INDEX(Customers!$H$2:$H$41,MATCH(C607,Customers!$A$2:$A$41,0))</f>
        <v>1053</v>
      </c>
      <c r="M607" s="16" t="n">
        <f aca="false">J607*INDEX(Customers!$I$2:$I$41,MATCH(C607,Customers!$A$2:$A$41,0))/365*Assumptions!$B$6</f>
        <v>515.826463561644</v>
      </c>
      <c r="N607" s="16" t="n">
        <f aca="false">J607-K607-L607-M607</f>
        <v>74526.3232964384</v>
      </c>
      <c r="O607" s="16" t="n">
        <f aca="false">F607*IF(A607="2025",INDEX(Products!$D$2:$D$13,MATCH(D607,Products!$A$2:$A$13,0)),INDEX(Products!$F$2:$F$13,MATCH(D607,Products!$A$2:$A$13,0)))</f>
        <v>41688</v>
      </c>
      <c r="P607" s="16" t="n">
        <f aca="false">N607-O607</f>
        <v>32838.3232964384</v>
      </c>
    </row>
    <row r="608" customFormat="false" ht="15" hidden="false" customHeight="false" outlineLevel="0" collapsed="false">
      <c r="A608" s="2" t="s">
        <v>118</v>
      </c>
      <c r="B608" s="2" t="n">
        <v>7</v>
      </c>
      <c r="C608" s="2" t="s">
        <v>71</v>
      </c>
      <c r="D608" s="2" t="s">
        <v>47</v>
      </c>
      <c r="E608" s="2" t="str">
        <f aca="false">INDEX(Products!$B$2:$B$13,MATCH(D608,Products!$A$2:$A$13,0))</f>
        <v>Specialty</v>
      </c>
      <c r="F608" s="15" t="n">
        <v>3.6</v>
      </c>
      <c r="G608" s="16" t="n">
        <f aca="false">IF(A608="2025",INDEX(Products!$C$2:$C$13,MATCH(D608,Products!$A$2:$A$13,0)),INDEX(Products!$E$2:$E$13,MATCH(D608,Products!$A$2:$A$13,0)))</f>
        <v>30520</v>
      </c>
      <c r="H608" s="13" t="n">
        <f aca="false">IF(A608="2025",INDEX(Customers!$D$2:$D$41,MATCH(C608,Customers!$A$2:$A$41,0)),INDEX(Customers!$F$2:$F$41,MATCH(C608,Customers!$A$2:$A$41,0)))</f>
        <v>0.048</v>
      </c>
      <c r="I608" s="16" t="n">
        <f aca="false">F608*G608</f>
        <v>109872</v>
      </c>
      <c r="J608" s="16" t="n">
        <f aca="false">I608*(1-H608)</f>
        <v>104598.144</v>
      </c>
      <c r="K608" s="16" t="n">
        <f aca="false">J608*INDEX(Customers!$G$2:$G$41,MATCH(C608,Customers!$A$2:$A$41,0))</f>
        <v>3137.94432</v>
      </c>
      <c r="L608" s="16" t="n">
        <f aca="false">F608*INDEX(Customers!$H$2:$H$41,MATCH(C608,Customers!$A$2:$A$41,0))</f>
        <v>1404</v>
      </c>
      <c r="M608" s="16" t="n">
        <f aca="false">J608*INDEX(Customers!$I$2:$I$41,MATCH(C608,Customers!$A$2:$A$41,0))/365*Assumptions!$B$6</f>
        <v>687.768618082192</v>
      </c>
      <c r="N608" s="16" t="n">
        <f aca="false">J608-K608-L608-M608</f>
        <v>99368.4310619178</v>
      </c>
      <c r="O608" s="16" t="n">
        <f aca="false">F608*IF(A608="2025",INDEX(Products!$D$2:$D$13,MATCH(D608,Products!$A$2:$A$13,0)),INDEX(Products!$F$2:$F$13,MATCH(D608,Products!$A$2:$A$13,0)))</f>
        <v>55584</v>
      </c>
      <c r="P608" s="16" t="n">
        <f aca="false">N608-O608</f>
        <v>43784.4310619178</v>
      </c>
    </row>
    <row r="609" customFormat="false" ht="15" hidden="false" customHeight="false" outlineLevel="0" collapsed="false">
      <c r="A609" s="2" t="s">
        <v>118</v>
      </c>
      <c r="B609" s="2" t="n">
        <v>8</v>
      </c>
      <c r="C609" s="2" t="s">
        <v>71</v>
      </c>
      <c r="D609" s="2" t="s">
        <v>47</v>
      </c>
      <c r="E609" s="2" t="str">
        <f aca="false">INDEX(Products!$B$2:$B$13,MATCH(D609,Products!$A$2:$A$13,0))</f>
        <v>Specialty</v>
      </c>
      <c r="F609" s="15" t="n">
        <v>4.1</v>
      </c>
      <c r="G609" s="16" t="n">
        <f aca="false">IF(A609="2025",INDEX(Products!$C$2:$C$13,MATCH(D609,Products!$A$2:$A$13,0)),INDEX(Products!$E$2:$E$13,MATCH(D609,Products!$A$2:$A$13,0)))</f>
        <v>30520</v>
      </c>
      <c r="H609" s="13" t="n">
        <f aca="false">IF(A609="2025",INDEX(Customers!$D$2:$D$41,MATCH(C609,Customers!$A$2:$A$41,0)),INDEX(Customers!$F$2:$F$41,MATCH(C609,Customers!$A$2:$A$41,0)))</f>
        <v>0.048</v>
      </c>
      <c r="I609" s="16" t="n">
        <f aca="false">F609*G609</f>
        <v>125132</v>
      </c>
      <c r="J609" s="16" t="n">
        <f aca="false">I609*(1-H609)</f>
        <v>119125.664</v>
      </c>
      <c r="K609" s="16" t="n">
        <f aca="false">J609*INDEX(Customers!$G$2:$G$41,MATCH(C609,Customers!$A$2:$A$41,0))</f>
        <v>3573.76992</v>
      </c>
      <c r="L609" s="16" t="n">
        <f aca="false">F609*INDEX(Customers!$H$2:$H$41,MATCH(C609,Customers!$A$2:$A$41,0))</f>
        <v>1599</v>
      </c>
      <c r="M609" s="16" t="n">
        <f aca="false">J609*INDEX(Customers!$I$2:$I$41,MATCH(C609,Customers!$A$2:$A$41,0))/365*Assumptions!$B$6</f>
        <v>783.292037260274</v>
      </c>
      <c r="N609" s="16" t="n">
        <f aca="false">J609-K609-L609-M609</f>
        <v>113169.60204274</v>
      </c>
      <c r="O609" s="16" t="n">
        <f aca="false">F609*IF(A609="2025",INDEX(Products!$D$2:$D$13,MATCH(D609,Products!$A$2:$A$13,0)),INDEX(Products!$F$2:$F$13,MATCH(D609,Products!$A$2:$A$13,0)))</f>
        <v>63304</v>
      </c>
      <c r="P609" s="16" t="n">
        <f aca="false">N609-O609</f>
        <v>49865.6020427397</v>
      </c>
    </row>
    <row r="610" customFormat="false" ht="15" hidden="false" customHeight="false" outlineLevel="0" collapsed="false">
      <c r="A610" s="2" t="s">
        <v>118</v>
      </c>
      <c r="B610" s="2" t="n">
        <v>9</v>
      </c>
      <c r="C610" s="2" t="s">
        <v>71</v>
      </c>
      <c r="D610" s="2" t="s">
        <v>47</v>
      </c>
      <c r="E610" s="2" t="str">
        <f aca="false">INDEX(Products!$B$2:$B$13,MATCH(D610,Products!$A$2:$A$13,0))</f>
        <v>Specialty</v>
      </c>
      <c r="F610" s="15" t="n">
        <v>2.9</v>
      </c>
      <c r="G610" s="16" t="n">
        <f aca="false">IF(A610="2025",INDEX(Products!$C$2:$C$13,MATCH(D610,Products!$A$2:$A$13,0)),INDEX(Products!$E$2:$E$13,MATCH(D610,Products!$A$2:$A$13,0)))</f>
        <v>30520</v>
      </c>
      <c r="H610" s="13" t="n">
        <f aca="false">IF(A610="2025",INDEX(Customers!$D$2:$D$41,MATCH(C610,Customers!$A$2:$A$41,0)),INDEX(Customers!$F$2:$F$41,MATCH(C610,Customers!$A$2:$A$41,0)))</f>
        <v>0.048</v>
      </c>
      <c r="I610" s="16" t="n">
        <f aca="false">F610*G610</f>
        <v>88508</v>
      </c>
      <c r="J610" s="16" t="n">
        <f aca="false">I610*(1-H610)</f>
        <v>84259.616</v>
      </c>
      <c r="K610" s="16" t="n">
        <f aca="false">J610*INDEX(Customers!$G$2:$G$41,MATCH(C610,Customers!$A$2:$A$41,0))</f>
        <v>2527.78848</v>
      </c>
      <c r="L610" s="16" t="n">
        <f aca="false">F610*INDEX(Customers!$H$2:$H$41,MATCH(C610,Customers!$A$2:$A$41,0))</f>
        <v>1131</v>
      </c>
      <c r="M610" s="16" t="n">
        <f aca="false">J610*INDEX(Customers!$I$2:$I$41,MATCH(C610,Customers!$A$2:$A$41,0))/365*Assumptions!$B$6</f>
        <v>554.035831232877</v>
      </c>
      <c r="N610" s="16" t="n">
        <f aca="false">J610-K610-L610-M610</f>
        <v>80046.7916887671</v>
      </c>
      <c r="O610" s="16" t="n">
        <f aca="false">F610*IF(A610="2025",INDEX(Products!$D$2:$D$13,MATCH(D610,Products!$A$2:$A$13,0)),INDEX(Products!$F$2:$F$13,MATCH(D610,Products!$A$2:$A$13,0)))</f>
        <v>44776</v>
      </c>
      <c r="P610" s="16" t="n">
        <f aca="false">N610-O610</f>
        <v>35270.7916887671</v>
      </c>
    </row>
    <row r="611" customFormat="false" ht="15" hidden="false" customHeight="false" outlineLevel="0" collapsed="false">
      <c r="A611" s="2" t="s">
        <v>118</v>
      </c>
      <c r="B611" s="2" t="n">
        <v>10</v>
      </c>
      <c r="C611" s="2" t="s">
        <v>71</v>
      </c>
      <c r="D611" s="2" t="s">
        <v>47</v>
      </c>
      <c r="E611" s="2" t="str">
        <f aca="false">INDEX(Products!$B$2:$B$13,MATCH(D611,Products!$A$2:$A$13,0))</f>
        <v>Specialty</v>
      </c>
      <c r="F611" s="15" t="n">
        <v>2.9</v>
      </c>
      <c r="G611" s="16" t="n">
        <f aca="false">IF(A611="2025",INDEX(Products!$C$2:$C$13,MATCH(D611,Products!$A$2:$A$13,0)),INDEX(Products!$E$2:$E$13,MATCH(D611,Products!$A$2:$A$13,0)))</f>
        <v>30520</v>
      </c>
      <c r="H611" s="13" t="n">
        <f aca="false">IF(A611="2025",INDEX(Customers!$D$2:$D$41,MATCH(C611,Customers!$A$2:$A$41,0)),INDEX(Customers!$F$2:$F$41,MATCH(C611,Customers!$A$2:$A$41,0)))</f>
        <v>0.048</v>
      </c>
      <c r="I611" s="16" t="n">
        <f aca="false">F611*G611</f>
        <v>88508</v>
      </c>
      <c r="J611" s="16" t="n">
        <f aca="false">I611*(1-H611)</f>
        <v>84259.616</v>
      </c>
      <c r="K611" s="16" t="n">
        <f aca="false">J611*INDEX(Customers!$G$2:$G$41,MATCH(C611,Customers!$A$2:$A$41,0))</f>
        <v>2527.78848</v>
      </c>
      <c r="L611" s="16" t="n">
        <f aca="false">F611*INDEX(Customers!$H$2:$H$41,MATCH(C611,Customers!$A$2:$A$41,0))</f>
        <v>1131</v>
      </c>
      <c r="M611" s="16" t="n">
        <f aca="false">J611*INDEX(Customers!$I$2:$I$41,MATCH(C611,Customers!$A$2:$A$41,0))/365*Assumptions!$B$6</f>
        <v>554.035831232877</v>
      </c>
      <c r="N611" s="16" t="n">
        <f aca="false">J611-K611-L611-M611</f>
        <v>80046.7916887671</v>
      </c>
      <c r="O611" s="16" t="n">
        <f aca="false">F611*IF(A611="2025",INDEX(Products!$D$2:$D$13,MATCH(D611,Products!$A$2:$A$13,0)),INDEX(Products!$F$2:$F$13,MATCH(D611,Products!$A$2:$A$13,0)))</f>
        <v>44776</v>
      </c>
      <c r="P611" s="16" t="n">
        <f aca="false">N611-O611</f>
        <v>35270.7916887671</v>
      </c>
    </row>
    <row r="612" customFormat="false" ht="15" hidden="false" customHeight="false" outlineLevel="0" collapsed="false">
      <c r="A612" s="2" t="s">
        <v>118</v>
      </c>
      <c r="B612" s="2" t="n">
        <v>11</v>
      </c>
      <c r="C612" s="2" t="s">
        <v>71</v>
      </c>
      <c r="D612" s="2" t="s">
        <v>47</v>
      </c>
      <c r="E612" s="2" t="str">
        <f aca="false">INDEX(Products!$B$2:$B$13,MATCH(D612,Products!$A$2:$A$13,0))</f>
        <v>Specialty</v>
      </c>
      <c r="F612" s="15" t="n">
        <v>3.3</v>
      </c>
      <c r="G612" s="16" t="n">
        <f aca="false">IF(A612="2025",INDEX(Products!$C$2:$C$13,MATCH(D612,Products!$A$2:$A$13,0)),INDEX(Products!$E$2:$E$13,MATCH(D612,Products!$A$2:$A$13,0)))</f>
        <v>30520</v>
      </c>
      <c r="H612" s="13" t="n">
        <f aca="false">IF(A612="2025",INDEX(Customers!$D$2:$D$41,MATCH(C612,Customers!$A$2:$A$41,0)),INDEX(Customers!$F$2:$F$41,MATCH(C612,Customers!$A$2:$A$41,0)))</f>
        <v>0.048</v>
      </c>
      <c r="I612" s="16" t="n">
        <f aca="false">F612*G612</f>
        <v>100716</v>
      </c>
      <c r="J612" s="16" t="n">
        <f aca="false">I612*(1-H612)</f>
        <v>95881.632</v>
      </c>
      <c r="K612" s="16" t="n">
        <f aca="false">J612*INDEX(Customers!$G$2:$G$41,MATCH(C612,Customers!$A$2:$A$41,0))</f>
        <v>2876.44896</v>
      </c>
      <c r="L612" s="16" t="n">
        <f aca="false">F612*INDEX(Customers!$H$2:$H$41,MATCH(C612,Customers!$A$2:$A$41,0))</f>
        <v>1287</v>
      </c>
      <c r="M612" s="16" t="n">
        <f aca="false">J612*INDEX(Customers!$I$2:$I$41,MATCH(C612,Customers!$A$2:$A$41,0))/365*Assumptions!$B$6</f>
        <v>630.454566575343</v>
      </c>
      <c r="N612" s="16" t="n">
        <f aca="false">J612-K612-L612-M612</f>
        <v>91087.7284734247</v>
      </c>
      <c r="O612" s="16" t="n">
        <f aca="false">F612*IF(A612="2025",INDEX(Products!$D$2:$D$13,MATCH(D612,Products!$A$2:$A$13,0)),INDEX(Products!$F$2:$F$13,MATCH(D612,Products!$A$2:$A$13,0)))</f>
        <v>50952</v>
      </c>
      <c r="P612" s="16" t="n">
        <f aca="false">N612-O612</f>
        <v>40135.7284734247</v>
      </c>
    </row>
    <row r="613" customFormat="false" ht="15" hidden="false" customHeight="false" outlineLevel="0" collapsed="false">
      <c r="A613" s="2" t="s">
        <v>118</v>
      </c>
      <c r="B613" s="2" t="n">
        <v>12</v>
      </c>
      <c r="C613" s="2" t="s">
        <v>71</v>
      </c>
      <c r="D613" s="2" t="s">
        <v>47</v>
      </c>
      <c r="E613" s="2" t="str">
        <f aca="false">INDEX(Products!$B$2:$B$13,MATCH(D613,Products!$A$2:$A$13,0))</f>
        <v>Specialty</v>
      </c>
      <c r="F613" s="15" t="n">
        <v>4</v>
      </c>
      <c r="G613" s="16" t="n">
        <f aca="false">IF(A613="2025",INDEX(Products!$C$2:$C$13,MATCH(D613,Products!$A$2:$A$13,0)),INDEX(Products!$E$2:$E$13,MATCH(D613,Products!$A$2:$A$13,0)))</f>
        <v>30520</v>
      </c>
      <c r="H613" s="13" t="n">
        <f aca="false">IF(A613="2025",INDEX(Customers!$D$2:$D$41,MATCH(C613,Customers!$A$2:$A$41,0)),INDEX(Customers!$F$2:$F$41,MATCH(C613,Customers!$A$2:$A$41,0)))</f>
        <v>0.048</v>
      </c>
      <c r="I613" s="16" t="n">
        <f aca="false">F613*G613</f>
        <v>122080</v>
      </c>
      <c r="J613" s="16" t="n">
        <f aca="false">I613*(1-H613)</f>
        <v>116220.16</v>
      </c>
      <c r="K613" s="16" t="n">
        <f aca="false">J613*INDEX(Customers!$G$2:$G$41,MATCH(C613,Customers!$A$2:$A$41,0))</f>
        <v>3486.6048</v>
      </c>
      <c r="L613" s="16" t="n">
        <f aca="false">F613*INDEX(Customers!$H$2:$H$41,MATCH(C613,Customers!$A$2:$A$41,0))</f>
        <v>1560</v>
      </c>
      <c r="M613" s="16" t="n">
        <f aca="false">J613*INDEX(Customers!$I$2:$I$41,MATCH(C613,Customers!$A$2:$A$41,0))/365*Assumptions!$B$6</f>
        <v>764.187353424658</v>
      </c>
      <c r="N613" s="16" t="n">
        <f aca="false">J613-K613-L613-M613</f>
        <v>110409.367846575</v>
      </c>
      <c r="O613" s="16" t="n">
        <f aca="false">F613*IF(A613="2025",INDEX(Products!$D$2:$D$13,MATCH(D613,Products!$A$2:$A$13,0)),INDEX(Products!$F$2:$F$13,MATCH(D613,Products!$A$2:$A$13,0)))</f>
        <v>61760</v>
      </c>
      <c r="P613" s="16" t="n">
        <f aca="false">N613-O613</f>
        <v>48649.3678465753</v>
      </c>
    </row>
    <row r="614" customFormat="false" ht="15" hidden="false" customHeight="false" outlineLevel="0" collapsed="false">
      <c r="A614" s="2" t="s">
        <v>119</v>
      </c>
      <c r="B614" s="2" t="n">
        <v>1</v>
      </c>
      <c r="C614" s="2" t="s">
        <v>71</v>
      </c>
      <c r="D614" s="2" t="s">
        <v>47</v>
      </c>
      <c r="E614" s="2" t="str">
        <f aca="false">INDEX(Products!$B$2:$B$13,MATCH(D614,Products!$A$2:$A$13,0))</f>
        <v>Specialty</v>
      </c>
      <c r="F614" s="15" t="n">
        <v>2.8</v>
      </c>
      <c r="G614" s="16" t="n">
        <f aca="false">IF(A614="2025",INDEX(Products!$C$2:$C$13,MATCH(D614,Products!$A$2:$A$13,0)),INDEX(Products!$E$2:$E$13,MATCH(D614,Products!$A$2:$A$13,0)))</f>
        <v>32046</v>
      </c>
      <c r="H614" s="13" t="n">
        <f aca="false">IF(A614="2025",INDEX(Customers!$D$2:$D$41,MATCH(C614,Customers!$A$2:$A$41,0)),INDEX(Customers!$F$2:$F$41,MATCH(C614,Customers!$A$2:$A$41,0)))</f>
        <v>0.048</v>
      </c>
      <c r="I614" s="16" t="n">
        <f aca="false">F614*G614</f>
        <v>89728.8</v>
      </c>
      <c r="J614" s="16" t="n">
        <f aca="false">I614*(1-H614)</f>
        <v>85421.8176</v>
      </c>
      <c r="K614" s="16" t="n">
        <f aca="false">J614*INDEX(Customers!$G$2:$G$41,MATCH(C614,Customers!$A$2:$A$41,0))</f>
        <v>2562.654528</v>
      </c>
      <c r="L614" s="16" t="n">
        <f aca="false">F614*INDEX(Customers!$H$2:$H$41,MATCH(C614,Customers!$A$2:$A$41,0))</f>
        <v>1092</v>
      </c>
      <c r="M614" s="16" t="n">
        <f aca="false">J614*INDEX(Customers!$I$2:$I$41,MATCH(C614,Customers!$A$2:$A$41,0))/365*Assumptions!$B$6</f>
        <v>561.677704767123</v>
      </c>
      <c r="N614" s="16" t="n">
        <f aca="false">J614-K614-L614-M614</f>
        <v>81205.4853672329</v>
      </c>
      <c r="O614" s="16" t="n">
        <f aca="false">F614*IF(A614="2025",INDEX(Products!$D$2:$D$13,MATCH(D614,Products!$A$2:$A$13,0)),INDEX(Products!$F$2:$F$13,MATCH(D614,Products!$A$2:$A$13,0)))</f>
        <v>44528.96</v>
      </c>
      <c r="P614" s="16" t="n">
        <f aca="false">N614-O614</f>
        <v>36676.5253672329</v>
      </c>
    </row>
    <row r="615" customFormat="false" ht="15" hidden="false" customHeight="false" outlineLevel="0" collapsed="false">
      <c r="A615" s="2" t="s">
        <v>119</v>
      </c>
      <c r="B615" s="2" t="n">
        <v>2</v>
      </c>
      <c r="C615" s="2" t="s">
        <v>71</v>
      </c>
      <c r="D615" s="2" t="s">
        <v>47</v>
      </c>
      <c r="E615" s="2" t="str">
        <f aca="false">INDEX(Products!$B$2:$B$13,MATCH(D615,Products!$A$2:$A$13,0))</f>
        <v>Specialty</v>
      </c>
      <c r="F615" s="15" t="n">
        <v>4.2</v>
      </c>
      <c r="G615" s="16" t="n">
        <f aca="false">IF(A615="2025",INDEX(Products!$C$2:$C$13,MATCH(D615,Products!$A$2:$A$13,0)),INDEX(Products!$E$2:$E$13,MATCH(D615,Products!$A$2:$A$13,0)))</f>
        <v>32046</v>
      </c>
      <c r="H615" s="13" t="n">
        <f aca="false">IF(A615="2025",INDEX(Customers!$D$2:$D$41,MATCH(C615,Customers!$A$2:$A$41,0)),INDEX(Customers!$F$2:$F$41,MATCH(C615,Customers!$A$2:$A$41,0)))</f>
        <v>0.048</v>
      </c>
      <c r="I615" s="16" t="n">
        <f aca="false">F615*G615</f>
        <v>134593.2</v>
      </c>
      <c r="J615" s="16" t="n">
        <f aca="false">I615*(1-H615)</f>
        <v>128132.7264</v>
      </c>
      <c r="K615" s="16" t="n">
        <f aca="false">J615*INDEX(Customers!$G$2:$G$41,MATCH(C615,Customers!$A$2:$A$41,0))</f>
        <v>3843.981792</v>
      </c>
      <c r="L615" s="16" t="n">
        <f aca="false">F615*INDEX(Customers!$H$2:$H$41,MATCH(C615,Customers!$A$2:$A$41,0))</f>
        <v>1638</v>
      </c>
      <c r="M615" s="16" t="n">
        <f aca="false">J615*INDEX(Customers!$I$2:$I$41,MATCH(C615,Customers!$A$2:$A$41,0))/365*Assumptions!$B$6</f>
        <v>842.516557150685</v>
      </c>
      <c r="N615" s="16" t="n">
        <f aca="false">J615-K615-L615-M615</f>
        <v>121808.228050849</v>
      </c>
      <c r="O615" s="16" t="n">
        <f aca="false">F615*IF(A615="2025",INDEX(Products!$D$2:$D$13,MATCH(D615,Products!$A$2:$A$13,0)),INDEX(Products!$F$2:$F$13,MATCH(D615,Products!$A$2:$A$13,0)))</f>
        <v>66793.44</v>
      </c>
      <c r="P615" s="16" t="n">
        <f aca="false">N615-O615</f>
        <v>55014.7880508493</v>
      </c>
    </row>
    <row r="616" customFormat="false" ht="15" hidden="false" customHeight="false" outlineLevel="0" collapsed="false">
      <c r="A616" s="2" t="s">
        <v>119</v>
      </c>
      <c r="B616" s="2" t="n">
        <v>3</v>
      </c>
      <c r="C616" s="2" t="s">
        <v>71</v>
      </c>
      <c r="D616" s="2" t="s">
        <v>47</v>
      </c>
      <c r="E616" s="2" t="str">
        <f aca="false">INDEX(Products!$B$2:$B$13,MATCH(D616,Products!$A$2:$A$13,0))</f>
        <v>Specialty</v>
      </c>
      <c r="F616" s="15" t="n">
        <v>3.9</v>
      </c>
      <c r="G616" s="16" t="n">
        <f aca="false">IF(A616="2025",INDEX(Products!$C$2:$C$13,MATCH(D616,Products!$A$2:$A$13,0)),INDEX(Products!$E$2:$E$13,MATCH(D616,Products!$A$2:$A$13,0)))</f>
        <v>32046</v>
      </c>
      <c r="H616" s="13" t="n">
        <f aca="false">IF(A616="2025",INDEX(Customers!$D$2:$D$41,MATCH(C616,Customers!$A$2:$A$41,0)),INDEX(Customers!$F$2:$F$41,MATCH(C616,Customers!$A$2:$A$41,0)))</f>
        <v>0.048</v>
      </c>
      <c r="I616" s="16" t="n">
        <f aca="false">F616*G616</f>
        <v>124979.4</v>
      </c>
      <c r="J616" s="16" t="n">
        <f aca="false">I616*(1-H616)</f>
        <v>118980.3888</v>
      </c>
      <c r="K616" s="16" t="n">
        <f aca="false">J616*INDEX(Customers!$G$2:$G$41,MATCH(C616,Customers!$A$2:$A$41,0))</f>
        <v>3569.411664</v>
      </c>
      <c r="L616" s="16" t="n">
        <f aca="false">F616*INDEX(Customers!$H$2:$H$41,MATCH(C616,Customers!$A$2:$A$41,0))</f>
        <v>1521</v>
      </c>
      <c r="M616" s="16" t="n">
        <f aca="false">J616*INDEX(Customers!$I$2:$I$41,MATCH(C616,Customers!$A$2:$A$41,0))/365*Assumptions!$B$6</f>
        <v>782.336803068493</v>
      </c>
      <c r="N616" s="16" t="n">
        <f aca="false">J616-K616-L616-M616</f>
        <v>113107.640332931</v>
      </c>
      <c r="O616" s="16" t="n">
        <f aca="false">F616*IF(A616="2025",INDEX(Products!$D$2:$D$13,MATCH(D616,Products!$A$2:$A$13,0)),INDEX(Products!$F$2:$F$13,MATCH(D616,Products!$A$2:$A$13,0)))</f>
        <v>62022.48</v>
      </c>
      <c r="P616" s="16" t="n">
        <f aca="false">N616-O616</f>
        <v>51085.1603329315</v>
      </c>
    </row>
    <row r="617" customFormat="false" ht="15" hidden="false" customHeight="false" outlineLevel="0" collapsed="false">
      <c r="A617" s="2" t="s">
        <v>119</v>
      </c>
      <c r="B617" s="2" t="n">
        <v>4</v>
      </c>
      <c r="C617" s="2" t="s">
        <v>71</v>
      </c>
      <c r="D617" s="2" t="s">
        <v>47</v>
      </c>
      <c r="E617" s="2" t="str">
        <f aca="false">INDEX(Products!$B$2:$B$13,MATCH(D617,Products!$A$2:$A$13,0))</f>
        <v>Specialty</v>
      </c>
      <c r="F617" s="15" t="n">
        <v>4.2</v>
      </c>
      <c r="G617" s="16" t="n">
        <f aca="false">IF(A617="2025",INDEX(Products!$C$2:$C$13,MATCH(D617,Products!$A$2:$A$13,0)),INDEX(Products!$E$2:$E$13,MATCH(D617,Products!$A$2:$A$13,0)))</f>
        <v>32046</v>
      </c>
      <c r="H617" s="13" t="n">
        <f aca="false">IF(A617="2025",INDEX(Customers!$D$2:$D$41,MATCH(C617,Customers!$A$2:$A$41,0)),INDEX(Customers!$F$2:$F$41,MATCH(C617,Customers!$A$2:$A$41,0)))</f>
        <v>0.048</v>
      </c>
      <c r="I617" s="16" t="n">
        <f aca="false">F617*G617</f>
        <v>134593.2</v>
      </c>
      <c r="J617" s="16" t="n">
        <f aca="false">I617*(1-H617)</f>
        <v>128132.7264</v>
      </c>
      <c r="K617" s="16" t="n">
        <f aca="false">J617*INDEX(Customers!$G$2:$G$41,MATCH(C617,Customers!$A$2:$A$41,0))</f>
        <v>3843.981792</v>
      </c>
      <c r="L617" s="16" t="n">
        <f aca="false">F617*INDEX(Customers!$H$2:$H$41,MATCH(C617,Customers!$A$2:$A$41,0))</f>
        <v>1638</v>
      </c>
      <c r="M617" s="16" t="n">
        <f aca="false">J617*INDEX(Customers!$I$2:$I$41,MATCH(C617,Customers!$A$2:$A$41,0))/365*Assumptions!$B$6</f>
        <v>842.516557150685</v>
      </c>
      <c r="N617" s="16" t="n">
        <f aca="false">J617-K617-L617-M617</f>
        <v>121808.228050849</v>
      </c>
      <c r="O617" s="16" t="n">
        <f aca="false">F617*IF(A617="2025",INDEX(Products!$D$2:$D$13,MATCH(D617,Products!$A$2:$A$13,0)),INDEX(Products!$F$2:$F$13,MATCH(D617,Products!$A$2:$A$13,0)))</f>
        <v>66793.44</v>
      </c>
      <c r="P617" s="16" t="n">
        <f aca="false">N617-O617</f>
        <v>55014.7880508493</v>
      </c>
    </row>
    <row r="618" customFormat="false" ht="15" hidden="false" customHeight="false" outlineLevel="0" collapsed="false">
      <c r="A618" s="2" t="s">
        <v>119</v>
      </c>
      <c r="B618" s="2" t="n">
        <v>5</v>
      </c>
      <c r="C618" s="2" t="s">
        <v>71</v>
      </c>
      <c r="D618" s="2" t="s">
        <v>47</v>
      </c>
      <c r="E618" s="2" t="str">
        <f aca="false">INDEX(Products!$B$2:$B$13,MATCH(D618,Products!$A$2:$A$13,0))</f>
        <v>Specialty</v>
      </c>
      <c r="F618" s="15" t="n">
        <v>3</v>
      </c>
      <c r="G618" s="16" t="n">
        <f aca="false">IF(A618="2025",INDEX(Products!$C$2:$C$13,MATCH(D618,Products!$A$2:$A$13,0)),INDEX(Products!$E$2:$E$13,MATCH(D618,Products!$A$2:$A$13,0)))</f>
        <v>32046</v>
      </c>
      <c r="H618" s="13" t="n">
        <f aca="false">IF(A618="2025",INDEX(Customers!$D$2:$D$41,MATCH(C618,Customers!$A$2:$A$41,0)),INDEX(Customers!$F$2:$F$41,MATCH(C618,Customers!$A$2:$A$41,0)))</f>
        <v>0.048</v>
      </c>
      <c r="I618" s="16" t="n">
        <f aca="false">F618*G618</f>
        <v>96138</v>
      </c>
      <c r="J618" s="16" t="n">
        <f aca="false">I618*(1-H618)</f>
        <v>91523.376</v>
      </c>
      <c r="K618" s="16" t="n">
        <f aca="false">J618*INDEX(Customers!$G$2:$G$41,MATCH(C618,Customers!$A$2:$A$41,0))</f>
        <v>2745.70128</v>
      </c>
      <c r="L618" s="16" t="n">
        <f aca="false">F618*INDEX(Customers!$H$2:$H$41,MATCH(C618,Customers!$A$2:$A$41,0))</f>
        <v>1170</v>
      </c>
      <c r="M618" s="16" t="n">
        <f aca="false">J618*INDEX(Customers!$I$2:$I$41,MATCH(C618,Customers!$A$2:$A$41,0))/365*Assumptions!$B$6</f>
        <v>601.797540821918</v>
      </c>
      <c r="N618" s="16" t="n">
        <f aca="false">J618-K618-L618-M618</f>
        <v>87005.8771791781</v>
      </c>
      <c r="O618" s="16" t="n">
        <f aca="false">F618*IF(A618="2025",INDEX(Products!$D$2:$D$13,MATCH(D618,Products!$A$2:$A$13,0)),INDEX(Products!$F$2:$F$13,MATCH(D618,Products!$A$2:$A$13,0)))</f>
        <v>47709.6</v>
      </c>
      <c r="P618" s="16" t="n">
        <f aca="false">N618-O618</f>
        <v>39296.2771791781</v>
      </c>
    </row>
    <row r="619" customFormat="false" ht="15" hidden="false" customHeight="false" outlineLevel="0" collapsed="false">
      <c r="A619" s="2" t="s">
        <v>119</v>
      </c>
      <c r="B619" s="2" t="n">
        <v>6</v>
      </c>
      <c r="C619" s="2" t="s">
        <v>71</v>
      </c>
      <c r="D619" s="2" t="s">
        <v>47</v>
      </c>
      <c r="E619" s="2" t="str">
        <f aca="false">INDEX(Products!$B$2:$B$13,MATCH(D619,Products!$A$2:$A$13,0))</f>
        <v>Specialty</v>
      </c>
      <c r="F619" s="15" t="n">
        <v>4.8</v>
      </c>
      <c r="G619" s="16" t="n">
        <f aca="false">IF(A619="2025",INDEX(Products!$C$2:$C$13,MATCH(D619,Products!$A$2:$A$13,0)),INDEX(Products!$E$2:$E$13,MATCH(D619,Products!$A$2:$A$13,0)))</f>
        <v>32046</v>
      </c>
      <c r="H619" s="13" t="n">
        <f aca="false">IF(A619="2025",INDEX(Customers!$D$2:$D$41,MATCH(C619,Customers!$A$2:$A$41,0)),INDEX(Customers!$F$2:$F$41,MATCH(C619,Customers!$A$2:$A$41,0)))</f>
        <v>0.048</v>
      </c>
      <c r="I619" s="16" t="n">
        <f aca="false">F619*G619</f>
        <v>153820.8</v>
      </c>
      <c r="J619" s="16" t="n">
        <f aca="false">I619*(1-H619)</f>
        <v>146437.4016</v>
      </c>
      <c r="K619" s="16" t="n">
        <f aca="false">J619*INDEX(Customers!$G$2:$G$41,MATCH(C619,Customers!$A$2:$A$41,0))</f>
        <v>4393.122048</v>
      </c>
      <c r="L619" s="16" t="n">
        <f aca="false">F619*INDEX(Customers!$H$2:$H$41,MATCH(C619,Customers!$A$2:$A$41,0))</f>
        <v>1872</v>
      </c>
      <c r="M619" s="16" t="n">
        <f aca="false">J619*INDEX(Customers!$I$2:$I$41,MATCH(C619,Customers!$A$2:$A$41,0))/365*Assumptions!$B$6</f>
        <v>962.876065315068</v>
      </c>
      <c r="N619" s="16" t="n">
        <f aca="false">J619-K619-L619-M619</f>
        <v>139209.403486685</v>
      </c>
      <c r="O619" s="16" t="n">
        <f aca="false">F619*IF(A619="2025",INDEX(Products!$D$2:$D$13,MATCH(D619,Products!$A$2:$A$13,0)),INDEX(Products!$F$2:$F$13,MATCH(D619,Products!$A$2:$A$13,0)))</f>
        <v>76335.36</v>
      </c>
      <c r="P619" s="16" t="n">
        <f aca="false">N619-O619</f>
        <v>62874.0434866849</v>
      </c>
    </row>
    <row r="620" customFormat="false" ht="15" hidden="false" customHeight="false" outlineLevel="0" collapsed="false">
      <c r="A620" s="2" t="s">
        <v>119</v>
      </c>
      <c r="B620" s="2" t="n">
        <v>7</v>
      </c>
      <c r="C620" s="2" t="s">
        <v>71</v>
      </c>
      <c r="D620" s="2" t="s">
        <v>47</v>
      </c>
      <c r="E620" s="2" t="str">
        <f aca="false">INDEX(Products!$B$2:$B$13,MATCH(D620,Products!$A$2:$A$13,0))</f>
        <v>Specialty</v>
      </c>
      <c r="F620" s="15" t="n">
        <v>3</v>
      </c>
      <c r="G620" s="16" t="n">
        <f aca="false">IF(A620="2025",INDEX(Products!$C$2:$C$13,MATCH(D620,Products!$A$2:$A$13,0)),INDEX(Products!$E$2:$E$13,MATCH(D620,Products!$A$2:$A$13,0)))</f>
        <v>32046</v>
      </c>
      <c r="H620" s="13" t="n">
        <f aca="false">IF(A620="2025",INDEX(Customers!$D$2:$D$41,MATCH(C620,Customers!$A$2:$A$41,0)),INDEX(Customers!$F$2:$F$41,MATCH(C620,Customers!$A$2:$A$41,0)))</f>
        <v>0.048</v>
      </c>
      <c r="I620" s="16" t="n">
        <f aca="false">F620*G620</f>
        <v>96138</v>
      </c>
      <c r="J620" s="16" t="n">
        <f aca="false">I620*(1-H620)</f>
        <v>91523.376</v>
      </c>
      <c r="K620" s="16" t="n">
        <f aca="false">J620*INDEX(Customers!$G$2:$G$41,MATCH(C620,Customers!$A$2:$A$41,0))</f>
        <v>2745.70128</v>
      </c>
      <c r="L620" s="16" t="n">
        <f aca="false">F620*INDEX(Customers!$H$2:$H$41,MATCH(C620,Customers!$A$2:$A$41,0))</f>
        <v>1170</v>
      </c>
      <c r="M620" s="16" t="n">
        <f aca="false">J620*INDEX(Customers!$I$2:$I$41,MATCH(C620,Customers!$A$2:$A$41,0))/365*Assumptions!$B$6</f>
        <v>601.797540821918</v>
      </c>
      <c r="N620" s="16" t="n">
        <f aca="false">J620-K620-L620-M620</f>
        <v>87005.8771791781</v>
      </c>
      <c r="O620" s="16" t="n">
        <f aca="false">F620*IF(A620="2025",INDEX(Products!$D$2:$D$13,MATCH(D620,Products!$A$2:$A$13,0)),INDEX(Products!$F$2:$F$13,MATCH(D620,Products!$A$2:$A$13,0)))</f>
        <v>47709.6</v>
      </c>
      <c r="P620" s="16" t="n">
        <f aca="false">N620-O620</f>
        <v>39296.2771791781</v>
      </c>
    </row>
    <row r="621" customFormat="false" ht="15" hidden="false" customHeight="false" outlineLevel="0" collapsed="false">
      <c r="A621" s="2" t="s">
        <v>119</v>
      </c>
      <c r="B621" s="2" t="n">
        <v>8</v>
      </c>
      <c r="C621" s="2" t="s">
        <v>71</v>
      </c>
      <c r="D621" s="2" t="s">
        <v>47</v>
      </c>
      <c r="E621" s="2" t="str">
        <f aca="false">INDEX(Products!$B$2:$B$13,MATCH(D621,Products!$A$2:$A$13,0))</f>
        <v>Specialty</v>
      </c>
      <c r="F621" s="15" t="n">
        <v>4.5</v>
      </c>
      <c r="G621" s="16" t="n">
        <f aca="false">IF(A621="2025",INDEX(Products!$C$2:$C$13,MATCH(D621,Products!$A$2:$A$13,0)),INDEX(Products!$E$2:$E$13,MATCH(D621,Products!$A$2:$A$13,0)))</f>
        <v>32046</v>
      </c>
      <c r="H621" s="13" t="n">
        <f aca="false">IF(A621="2025",INDEX(Customers!$D$2:$D$41,MATCH(C621,Customers!$A$2:$A$41,0)),INDEX(Customers!$F$2:$F$41,MATCH(C621,Customers!$A$2:$A$41,0)))</f>
        <v>0.048</v>
      </c>
      <c r="I621" s="16" t="n">
        <f aca="false">F621*G621</f>
        <v>144207</v>
      </c>
      <c r="J621" s="16" t="n">
        <f aca="false">I621*(1-H621)</f>
        <v>137285.064</v>
      </c>
      <c r="K621" s="16" t="n">
        <f aca="false">J621*INDEX(Customers!$G$2:$G$41,MATCH(C621,Customers!$A$2:$A$41,0))</f>
        <v>4118.55192</v>
      </c>
      <c r="L621" s="16" t="n">
        <f aca="false">F621*INDEX(Customers!$H$2:$H$41,MATCH(C621,Customers!$A$2:$A$41,0))</f>
        <v>1755</v>
      </c>
      <c r="M621" s="16" t="n">
        <f aca="false">J621*INDEX(Customers!$I$2:$I$41,MATCH(C621,Customers!$A$2:$A$41,0))/365*Assumptions!$B$6</f>
        <v>902.696311232877</v>
      </c>
      <c r="N621" s="16" t="n">
        <f aca="false">J621-K621-L621-M621</f>
        <v>130508.815768767</v>
      </c>
      <c r="O621" s="16" t="n">
        <f aca="false">F621*IF(A621="2025",INDEX(Products!$D$2:$D$13,MATCH(D621,Products!$A$2:$A$13,0)),INDEX(Products!$F$2:$F$13,MATCH(D621,Products!$A$2:$A$13,0)))</f>
        <v>71564.4</v>
      </c>
      <c r="P621" s="16" t="n">
        <f aca="false">N621-O621</f>
        <v>58944.4157687671</v>
      </c>
    </row>
    <row r="622" customFormat="false" ht="15" hidden="false" customHeight="false" outlineLevel="0" collapsed="false">
      <c r="A622" s="2" t="s">
        <v>119</v>
      </c>
      <c r="B622" s="2" t="n">
        <v>9</v>
      </c>
      <c r="C622" s="2" t="s">
        <v>71</v>
      </c>
      <c r="D622" s="2" t="s">
        <v>47</v>
      </c>
      <c r="E622" s="2" t="str">
        <f aca="false">INDEX(Products!$B$2:$B$13,MATCH(D622,Products!$A$2:$A$13,0))</f>
        <v>Specialty</v>
      </c>
      <c r="F622" s="15" t="n">
        <v>2.6</v>
      </c>
      <c r="G622" s="16" t="n">
        <f aca="false">IF(A622="2025",INDEX(Products!$C$2:$C$13,MATCH(D622,Products!$A$2:$A$13,0)),INDEX(Products!$E$2:$E$13,MATCH(D622,Products!$A$2:$A$13,0)))</f>
        <v>32046</v>
      </c>
      <c r="H622" s="13" t="n">
        <f aca="false">IF(A622="2025",INDEX(Customers!$D$2:$D$41,MATCH(C622,Customers!$A$2:$A$41,0)),INDEX(Customers!$F$2:$F$41,MATCH(C622,Customers!$A$2:$A$41,0)))</f>
        <v>0.048</v>
      </c>
      <c r="I622" s="16" t="n">
        <f aca="false">F622*G622</f>
        <v>83319.6</v>
      </c>
      <c r="J622" s="16" t="n">
        <f aca="false">I622*(1-H622)</f>
        <v>79320.2592</v>
      </c>
      <c r="K622" s="16" t="n">
        <f aca="false">J622*INDEX(Customers!$G$2:$G$41,MATCH(C622,Customers!$A$2:$A$41,0))</f>
        <v>2379.607776</v>
      </c>
      <c r="L622" s="16" t="n">
        <f aca="false">F622*INDEX(Customers!$H$2:$H$41,MATCH(C622,Customers!$A$2:$A$41,0))</f>
        <v>1014</v>
      </c>
      <c r="M622" s="16" t="n">
        <f aca="false">J622*INDEX(Customers!$I$2:$I$41,MATCH(C622,Customers!$A$2:$A$41,0))/365*Assumptions!$B$6</f>
        <v>521.557868712329</v>
      </c>
      <c r="N622" s="16" t="n">
        <f aca="false">J622-K622-L622-M622</f>
        <v>75405.0935552877</v>
      </c>
      <c r="O622" s="16" t="n">
        <f aca="false">F622*IF(A622="2025",INDEX(Products!$D$2:$D$13,MATCH(D622,Products!$A$2:$A$13,0)),INDEX(Products!$F$2:$F$13,MATCH(D622,Products!$A$2:$A$13,0)))</f>
        <v>41348.32</v>
      </c>
      <c r="P622" s="16" t="n">
        <f aca="false">N622-O622</f>
        <v>34056.7735552877</v>
      </c>
    </row>
    <row r="623" customFormat="false" ht="15" hidden="false" customHeight="false" outlineLevel="0" collapsed="false">
      <c r="A623" s="2" t="s">
        <v>119</v>
      </c>
      <c r="B623" s="2" t="n">
        <v>10</v>
      </c>
      <c r="C623" s="2" t="s">
        <v>71</v>
      </c>
      <c r="D623" s="2" t="s">
        <v>47</v>
      </c>
      <c r="E623" s="2" t="str">
        <f aca="false">INDEX(Products!$B$2:$B$13,MATCH(D623,Products!$A$2:$A$13,0))</f>
        <v>Specialty</v>
      </c>
      <c r="F623" s="15" t="n">
        <v>4.2</v>
      </c>
      <c r="G623" s="16" t="n">
        <f aca="false">IF(A623="2025",INDEX(Products!$C$2:$C$13,MATCH(D623,Products!$A$2:$A$13,0)),INDEX(Products!$E$2:$E$13,MATCH(D623,Products!$A$2:$A$13,0)))</f>
        <v>32046</v>
      </c>
      <c r="H623" s="13" t="n">
        <f aca="false">IF(A623="2025",INDEX(Customers!$D$2:$D$41,MATCH(C623,Customers!$A$2:$A$41,0)),INDEX(Customers!$F$2:$F$41,MATCH(C623,Customers!$A$2:$A$41,0)))</f>
        <v>0.048</v>
      </c>
      <c r="I623" s="16" t="n">
        <f aca="false">F623*G623</f>
        <v>134593.2</v>
      </c>
      <c r="J623" s="16" t="n">
        <f aca="false">I623*(1-H623)</f>
        <v>128132.7264</v>
      </c>
      <c r="K623" s="16" t="n">
        <f aca="false">J623*INDEX(Customers!$G$2:$G$41,MATCH(C623,Customers!$A$2:$A$41,0))</f>
        <v>3843.981792</v>
      </c>
      <c r="L623" s="16" t="n">
        <f aca="false">F623*INDEX(Customers!$H$2:$H$41,MATCH(C623,Customers!$A$2:$A$41,0))</f>
        <v>1638</v>
      </c>
      <c r="M623" s="16" t="n">
        <f aca="false">J623*INDEX(Customers!$I$2:$I$41,MATCH(C623,Customers!$A$2:$A$41,0))/365*Assumptions!$B$6</f>
        <v>842.516557150685</v>
      </c>
      <c r="N623" s="16" t="n">
        <f aca="false">J623-K623-L623-M623</f>
        <v>121808.228050849</v>
      </c>
      <c r="O623" s="16" t="n">
        <f aca="false">F623*IF(A623="2025",INDEX(Products!$D$2:$D$13,MATCH(D623,Products!$A$2:$A$13,0)),INDEX(Products!$F$2:$F$13,MATCH(D623,Products!$A$2:$A$13,0)))</f>
        <v>66793.44</v>
      </c>
      <c r="P623" s="16" t="n">
        <f aca="false">N623-O623</f>
        <v>55014.7880508493</v>
      </c>
    </row>
    <row r="624" customFormat="false" ht="15" hidden="false" customHeight="false" outlineLevel="0" collapsed="false">
      <c r="A624" s="2" t="s">
        <v>119</v>
      </c>
      <c r="B624" s="2" t="n">
        <v>11</v>
      </c>
      <c r="C624" s="2" t="s">
        <v>71</v>
      </c>
      <c r="D624" s="2" t="s">
        <v>47</v>
      </c>
      <c r="E624" s="2" t="str">
        <f aca="false">INDEX(Products!$B$2:$B$13,MATCH(D624,Products!$A$2:$A$13,0))</f>
        <v>Specialty</v>
      </c>
      <c r="F624" s="15" t="n">
        <v>3.3</v>
      </c>
      <c r="G624" s="16" t="n">
        <f aca="false">IF(A624="2025",INDEX(Products!$C$2:$C$13,MATCH(D624,Products!$A$2:$A$13,0)),INDEX(Products!$E$2:$E$13,MATCH(D624,Products!$A$2:$A$13,0)))</f>
        <v>32046</v>
      </c>
      <c r="H624" s="13" t="n">
        <f aca="false">IF(A624="2025",INDEX(Customers!$D$2:$D$41,MATCH(C624,Customers!$A$2:$A$41,0)),INDEX(Customers!$F$2:$F$41,MATCH(C624,Customers!$A$2:$A$41,0)))</f>
        <v>0.048</v>
      </c>
      <c r="I624" s="16" t="n">
        <f aca="false">F624*G624</f>
        <v>105751.8</v>
      </c>
      <c r="J624" s="16" t="n">
        <f aca="false">I624*(1-H624)</f>
        <v>100675.7136</v>
      </c>
      <c r="K624" s="16" t="n">
        <f aca="false">J624*INDEX(Customers!$G$2:$G$41,MATCH(C624,Customers!$A$2:$A$41,0))</f>
        <v>3020.271408</v>
      </c>
      <c r="L624" s="16" t="n">
        <f aca="false">F624*INDEX(Customers!$H$2:$H$41,MATCH(C624,Customers!$A$2:$A$41,0))</f>
        <v>1287</v>
      </c>
      <c r="M624" s="16" t="n">
        <f aca="false">J624*INDEX(Customers!$I$2:$I$41,MATCH(C624,Customers!$A$2:$A$41,0))/365*Assumptions!$B$6</f>
        <v>661.97729490411</v>
      </c>
      <c r="N624" s="16" t="n">
        <f aca="false">J624-K624-L624-M624</f>
        <v>95706.4648970959</v>
      </c>
      <c r="O624" s="16" t="n">
        <f aca="false">F624*IF(A624="2025",INDEX(Products!$D$2:$D$13,MATCH(D624,Products!$A$2:$A$13,0)),INDEX(Products!$F$2:$F$13,MATCH(D624,Products!$A$2:$A$13,0)))</f>
        <v>52480.56</v>
      </c>
      <c r="P624" s="16" t="n">
        <f aca="false">N624-O624</f>
        <v>43225.9048970959</v>
      </c>
    </row>
    <row r="625" customFormat="false" ht="15" hidden="false" customHeight="false" outlineLevel="0" collapsed="false">
      <c r="A625" s="2" t="s">
        <v>119</v>
      </c>
      <c r="B625" s="2" t="n">
        <v>12</v>
      </c>
      <c r="C625" s="2" t="s">
        <v>71</v>
      </c>
      <c r="D625" s="2" t="s">
        <v>47</v>
      </c>
      <c r="E625" s="2" t="str">
        <f aca="false">INDEX(Products!$B$2:$B$13,MATCH(D625,Products!$A$2:$A$13,0))</f>
        <v>Specialty</v>
      </c>
      <c r="F625" s="15" t="n">
        <v>3.5</v>
      </c>
      <c r="G625" s="16" t="n">
        <f aca="false">IF(A625="2025",INDEX(Products!$C$2:$C$13,MATCH(D625,Products!$A$2:$A$13,0)),INDEX(Products!$E$2:$E$13,MATCH(D625,Products!$A$2:$A$13,0)))</f>
        <v>32046</v>
      </c>
      <c r="H625" s="13" t="n">
        <f aca="false">IF(A625="2025",INDEX(Customers!$D$2:$D$41,MATCH(C625,Customers!$A$2:$A$41,0)),INDEX(Customers!$F$2:$F$41,MATCH(C625,Customers!$A$2:$A$41,0)))</f>
        <v>0.048</v>
      </c>
      <c r="I625" s="16" t="n">
        <f aca="false">F625*G625</f>
        <v>112161</v>
      </c>
      <c r="J625" s="16" t="n">
        <f aca="false">I625*(1-H625)</f>
        <v>106777.272</v>
      </c>
      <c r="K625" s="16" t="n">
        <f aca="false">J625*INDEX(Customers!$G$2:$G$41,MATCH(C625,Customers!$A$2:$A$41,0))</f>
        <v>3203.31816</v>
      </c>
      <c r="L625" s="16" t="n">
        <f aca="false">F625*INDEX(Customers!$H$2:$H$41,MATCH(C625,Customers!$A$2:$A$41,0))</f>
        <v>1365</v>
      </c>
      <c r="M625" s="16" t="n">
        <f aca="false">J625*INDEX(Customers!$I$2:$I$41,MATCH(C625,Customers!$A$2:$A$41,0))/365*Assumptions!$B$6</f>
        <v>702.097130958904</v>
      </c>
      <c r="N625" s="16" t="n">
        <f aca="false">J625-K625-L625-M625</f>
        <v>101506.856709041</v>
      </c>
      <c r="O625" s="16" t="n">
        <f aca="false">F625*IF(A625="2025",INDEX(Products!$D$2:$D$13,MATCH(D625,Products!$A$2:$A$13,0)),INDEX(Products!$F$2:$F$13,MATCH(D625,Products!$A$2:$A$13,0)))</f>
        <v>55661.2</v>
      </c>
      <c r="P625" s="16" t="n">
        <f aca="false">N625-O625</f>
        <v>45845.6567090411</v>
      </c>
    </row>
    <row r="626" customFormat="false" ht="15" hidden="false" customHeight="false" outlineLevel="0" collapsed="false">
      <c r="A626" s="2" t="s">
        <v>118</v>
      </c>
      <c r="B626" s="2" t="n">
        <v>1</v>
      </c>
      <c r="C626" s="2" t="s">
        <v>72</v>
      </c>
      <c r="D626" s="2" t="s">
        <v>48</v>
      </c>
      <c r="E626" s="2" t="str">
        <f aca="false">INDEX(Products!$B$2:$B$13,MATCH(D626,Products!$A$2:$A$13,0))</f>
        <v>Specialty</v>
      </c>
      <c r="F626" s="15" t="n">
        <v>2.3</v>
      </c>
      <c r="G626" s="16" t="n">
        <f aca="false">IF(A626="2025",INDEX(Products!$C$2:$C$13,MATCH(D626,Products!$A$2:$A$13,0)),INDEX(Products!$E$2:$E$13,MATCH(D626,Products!$A$2:$A$13,0)))</f>
        <v>33260</v>
      </c>
      <c r="H626" s="13" t="n">
        <f aca="false">IF(A626="2025",INDEX(Customers!$D$2:$D$41,MATCH(C626,Customers!$A$2:$A$41,0)),INDEX(Customers!$F$2:$F$41,MATCH(C626,Customers!$A$2:$A$41,0)))</f>
        <v>0.047</v>
      </c>
      <c r="I626" s="16" t="n">
        <f aca="false">F626*G626</f>
        <v>76498</v>
      </c>
      <c r="J626" s="16" t="n">
        <f aca="false">I626*(1-H626)</f>
        <v>72902.594</v>
      </c>
      <c r="K626" s="16" t="n">
        <f aca="false">J626*INDEX(Customers!$G$2:$G$41,MATCH(C626,Customers!$A$2:$A$41,0))</f>
        <v>3645.1297</v>
      </c>
      <c r="L626" s="16" t="n">
        <f aca="false">F626*INDEX(Customers!$H$2:$H$41,MATCH(C626,Customers!$A$2:$A$41,0))</f>
        <v>368</v>
      </c>
      <c r="M626" s="16" t="n">
        <f aca="false">J626*INDEX(Customers!$I$2:$I$41,MATCH(C626,Customers!$A$2:$A$41,0))/365*Assumptions!$B$6</f>
        <v>958.719044383562</v>
      </c>
      <c r="N626" s="16" t="n">
        <f aca="false">J626-K626-L626-M626</f>
        <v>67930.7452556164</v>
      </c>
      <c r="O626" s="16" t="n">
        <f aca="false">F626*IF(A626="2025",INDEX(Products!$D$2:$D$13,MATCH(D626,Products!$A$2:$A$13,0)),INDEX(Products!$F$2:$F$13,MATCH(D626,Products!$A$2:$A$13,0)))</f>
        <v>34546</v>
      </c>
      <c r="P626" s="16" t="n">
        <f aca="false">N626-O626</f>
        <v>33384.7452556164</v>
      </c>
    </row>
    <row r="627" customFormat="false" ht="15" hidden="false" customHeight="false" outlineLevel="0" collapsed="false">
      <c r="A627" s="2" t="s">
        <v>118</v>
      </c>
      <c r="B627" s="2" t="n">
        <v>2</v>
      </c>
      <c r="C627" s="2" t="s">
        <v>72</v>
      </c>
      <c r="D627" s="2" t="s">
        <v>48</v>
      </c>
      <c r="E627" s="2" t="str">
        <f aca="false">INDEX(Products!$B$2:$B$13,MATCH(D627,Products!$A$2:$A$13,0))</f>
        <v>Specialty</v>
      </c>
      <c r="F627" s="15" t="n">
        <v>2.4</v>
      </c>
      <c r="G627" s="16" t="n">
        <f aca="false">IF(A627="2025",INDEX(Products!$C$2:$C$13,MATCH(D627,Products!$A$2:$A$13,0)),INDEX(Products!$E$2:$E$13,MATCH(D627,Products!$A$2:$A$13,0)))</f>
        <v>33260</v>
      </c>
      <c r="H627" s="13" t="n">
        <f aca="false">IF(A627="2025",INDEX(Customers!$D$2:$D$41,MATCH(C627,Customers!$A$2:$A$41,0)),INDEX(Customers!$F$2:$F$41,MATCH(C627,Customers!$A$2:$A$41,0)))</f>
        <v>0.047</v>
      </c>
      <c r="I627" s="16" t="n">
        <f aca="false">F627*G627</f>
        <v>79824</v>
      </c>
      <c r="J627" s="16" t="n">
        <f aca="false">I627*(1-H627)</f>
        <v>76072.272</v>
      </c>
      <c r="K627" s="16" t="n">
        <f aca="false">J627*INDEX(Customers!$G$2:$G$41,MATCH(C627,Customers!$A$2:$A$41,0))</f>
        <v>3803.6136</v>
      </c>
      <c r="L627" s="16" t="n">
        <f aca="false">F627*INDEX(Customers!$H$2:$H$41,MATCH(C627,Customers!$A$2:$A$41,0))</f>
        <v>384</v>
      </c>
      <c r="M627" s="16" t="n">
        <f aca="false">J627*INDEX(Customers!$I$2:$I$41,MATCH(C627,Customers!$A$2:$A$41,0))/365*Assumptions!$B$6</f>
        <v>1000.40248109589</v>
      </c>
      <c r="N627" s="16" t="n">
        <f aca="false">J627-K627-L627-M627</f>
        <v>70884.2559189041</v>
      </c>
      <c r="O627" s="16" t="n">
        <f aca="false">F627*IF(A627="2025",INDEX(Products!$D$2:$D$13,MATCH(D627,Products!$A$2:$A$13,0)),INDEX(Products!$F$2:$F$13,MATCH(D627,Products!$A$2:$A$13,0)))</f>
        <v>36048</v>
      </c>
      <c r="P627" s="16" t="n">
        <f aca="false">N627-O627</f>
        <v>34836.2559189041</v>
      </c>
    </row>
    <row r="628" customFormat="false" ht="15" hidden="false" customHeight="false" outlineLevel="0" collapsed="false">
      <c r="A628" s="2" t="s">
        <v>118</v>
      </c>
      <c r="B628" s="2" t="n">
        <v>3</v>
      </c>
      <c r="C628" s="2" t="s">
        <v>72</v>
      </c>
      <c r="D628" s="2" t="s">
        <v>48</v>
      </c>
      <c r="E628" s="2" t="str">
        <f aca="false">INDEX(Products!$B$2:$B$13,MATCH(D628,Products!$A$2:$A$13,0))</f>
        <v>Specialty</v>
      </c>
      <c r="F628" s="15" t="n">
        <v>1.6</v>
      </c>
      <c r="G628" s="16" t="n">
        <f aca="false">IF(A628="2025",INDEX(Products!$C$2:$C$13,MATCH(D628,Products!$A$2:$A$13,0)),INDEX(Products!$E$2:$E$13,MATCH(D628,Products!$A$2:$A$13,0)))</f>
        <v>33260</v>
      </c>
      <c r="H628" s="13" t="n">
        <f aca="false">IF(A628="2025",INDEX(Customers!$D$2:$D$41,MATCH(C628,Customers!$A$2:$A$41,0)),INDEX(Customers!$F$2:$F$41,MATCH(C628,Customers!$A$2:$A$41,0)))</f>
        <v>0.047</v>
      </c>
      <c r="I628" s="16" t="n">
        <f aca="false">F628*G628</f>
        <v>53216</v>
      </c>
      <c r="J628" s="16" t="n">
        <f aca="false">I628*(1-H628)</f>
        <v>50714.848</v>
      </c>
      <c r="K628" s="16" t="n">
        <f aca="false">J628*INDEX(Customers!$G$2:$G$41,MATCH(C628,Customers!$A$2:$A$41,0))</f>
        <v>2535.7424</v>
      </c>
      <c r="L628" s="16" t="n">
        <f aca="false">F628*INDEX(Customers!$H$2:$H$41,MATCH(C628,Customers!$A$2:$A$41,0))</f>
        <v>256</v>
      </c>
      <c r="M628" s="16" t="n">
        <f aca="false">J628*INDEX(Customers!$I$2:$I$41,MATCH(C628,Customers!$A$2:$A$41,0))/365*Assumptions!$B$6</f>
        <v>666.93498739726</v>
      </c>
      <c r="N628" s="16" t="n">
        <f aca="false">J628-K628-L628-M628</f>
        <v>47256.1706126027</v>
      </c>
      <c r="O628" s="16" t="n">
        <f aca="false">F628*IF(A628="2025",INDEX(Products!$D$2:$D$13,MATCH(D628,Products!$A$2:$A$13,0)),INDEX(Products!$F$2:$F$13,MATCH(D628,Products!$A$2:$A$13,0)))</f>
        <v>24032</v>
      </c>
      <c r="P628" s="16" t="n">
        <f aca="false">N628-O628</f>
        <v>23224.1706126027</v>
      </c>
    </row>
    <row r="629" customFormat="false" ht="15" hidden="false" customHeight="false" outlineLevel="0" collapsed="false">
      <c r="A629" s="2" t="s">
        <v>118</v>
      </c>
      <c r="B629" s="2" t="n">
        <v>4</v>
      </c>
      <c r="C629" s="2" t="s">
        <v>72</v>
      </c>
      <c r="D629" s="2" t="s">
        <v>48</v>
      </c>
      <c r="E629" s="2" t="str">
        <f aca="false">INDEX(Products!$B$2:$B$13,MATCH(D629,Products!$A$2:$A$13,0))</f>
        <v>Specialty</v>
      </c>
      <c r="F629" s="15" t="n">
        <v>2.5</v>
      </c>
      <c r="G629" s="16" t="n">
        <f aca="false">IF(A629="2025",INDEX(Products!$C$2:$C$13,MATCH(D629,Products!$A$2:$A$13,0)),INDEX(Products!$E$2:$E$13,MATCH(D629,Products!$A$2:$A$13,0)))</f>
        <v>33260</v>
      </c>
      <c r="H629" s="13" t="n">
        <f aca="false">IF(A629="2025",INDEX(Customers!$D$2:$D$41,MATCH(C629,Customers!$A$2:$A$41,0)),INDEX(Customers!$F$2:$F$41,MATCH(C629,Customers!$A$2:$A$41,0)))</f>
        <v>0.047</v>
      </c>
      <c r="I629" s="16" t="n">
        <f aca="false">F629*G629</f>
        <v>83150</v>
      </c>
      <c r="J629" s="16" t="n">
        <f aca="false">I629*(1-H629)</f>
        <v>79241.95</v>
      </c>
      <c r="K629" s="16" t="n">
        <f aca="false">J629*INDEX(Customers!$G$2:$G$41,MATCH(C629,Customers!$A$2:$A$41,0))</f>
        <v>3962.0975</v>
      </c>
      <c r="L629" s="16" t="n">
        <f aca="false">F629*INDEX(Customers!$H$2:$H$41,MATCH(C629,Customers!$A$2:$A$41,0))</f>
        <v>400</v>
      </c>
      <c r="M629" s="16" t="n">
        <f aca="false">J629*INDEX(Customers!$I$2:$I$41,MATCH(C629,Customers!$A$2:$A$41,0))/365*Assumptions!$B$6</f>
        <v>1042.08591780822</v>
      </c>
      <c r="N629" s="16" t="n">
        <f aca="false">J629-K629-L629-M629</f>
        <v>73837.7665821918</v>
      </c>
      <c r="O629" s="16" t="n">
        <f aca="false">F629*IF(A629="2025",INDEX(Products!$D$2:$D$13,MATCH(D629,Products!$A$2:$A$13,0)),INDEX(Products!$F$2:$F$13,MATCH(D629,Products!$A$2:$A$13,0)))</f>
        <v>37550</v>
      </c>
      <c r="P629" s="16" t="n">
        <f aca="false">N629-O629</f>
        <v>36287.7665821918</v>
      </c>
    </row>
    <row r="630" customFormat="false" ht="15" hidden="false" customHeight="false" outlineLevel="0" collapsed="false">
      <c r="A630" s="2" t="s">
        <v>118</v>
      </c>
      <c r="B630" s="2" t="n">
        <v>5</v>
      </c>
      <c r="C630" s="2" t="s">
        <v>72</v>
      </c>
      <c r="D630" s="2" t="s">
        <v>48</v>
      </c>
      <c r="E630" s="2" t="str">
        <f aca="false">INDEX(Products!$B$2:$B$13,MATCH(D630,Products!$A$2:$A$13,0))</f>
        <v>Specialty</v>
      </c>
      <c r="F630" s="15" t="n">
        <v>2.8</v>
      </c>
      <c r="G630" s="16" t="n">
        <f aca="false">IF(A630="2025",INDEX(Products!$C$2:$C$13,MATCH(D630,Products!$A$2:$A$13,0)),INDEX(Products!$E$2:$E$13,MATCH(D630,Products!$A$2:$A$13,0)))</f>
        <v>33260</v>
      </c>
      <c r="H630" s="13" t="n">
        <f aca="false">IF(A630="2025",INDEX(Customers!$D$2:$D$41,MATCH(C630,Customers!$A$2:$A$41,0)),INDEX(Customers!$F$2:$F$41,MATCH(C630,Customers!$A$2:$A$41,0)))</f>
        <v>0.047</v>
      </c>
      <c r="I630" s="16" t="n">
        <f aca="false">F630*G630</f>
        <v>93128</v>
      </c>
      <c r="J630" s="16" t="n">
        <f aca="false">I630*(1-H630)</f>
        <v>88750.984</v>
      </c>
      <c r="K630" s="16" t="n">
        <f aca="false">J630*INDEX(Customers!$G$2:$G$41,MATCH(C630,Customers!$A$2:$A$41,0))</f>
        <v>4437.5492</v>
      </c>
      <c r="L630" s="16" t="n">
        <f aca="false">F630*INDEX(Customers!$H$2:$H$41,MATCH(C630,Customers!$A$2:$A$41,0))</f>
        <v>448</v>
      </c>
      <c r="M630" s="16" t="n">
        <f aca="false">J630*INDEX(Customers!$I$2:$I$41,MATCH(C630,Customers!$A$2:$A$41,0))/365*Assumptions!$B$6</f>
        <v>1167.13622794521</v>
      </c>
      <c r="N630" s="16" t="n">
        <f aca="false">J630-K630-L630-M630</f>
        <v>82698.2985720548</v>
      </c>
      <c r="O630" s="16" t="n">
        <f aca="false">F630*IF(A630="2025",INDEX(Products!$D$2:$D$13,MATCH(D630,Products!$A$2:$A$13,0)),INDEX(Products!$F$2:$F$13,MATCH(D630,Products!$A$2:$A$13,0)))</f>
        <v>42056</v>
      </c>
      <c r="P630" s="16" t="n">
        <f aca="false">N630-O630</f>
        <v>40642.2985720548</v>
      </c>
    </row>
    <row r="631" customFormat="false" ht="15" hidden="false" customHeight="false" outlineLevel="0" collapsed="false">
      <c r="A631" s="2" t="s">
        <v>118</v>
      </c>
      <c r="B631" s="2" t="n">
        <v>6</v>
      </c>
      <c r="C631" s="2" t="s">
        <v>72</v>
      </c>
      <c r="D631" s="2" t="s">
        <v>48</v>
      </c>
      <c r="E631" s="2" t="str">
        <f aca="false">INDEX(Products!$B$2:$B$13,MATCH(D631,Products!$A$2:$A$13,0))</f>
        <v>Specialty</v>
      </c>
      <c r="F631" s="15" t="n">
        <v>2.1</v>
      </c>
      <c r="G631" s="16" t="n">
        <f aca="false">IF(A631="2025",INDEX(Products!$C$2:$C$13,MATCH(D631,Products!$A$2:$A$13,0)),INDEX(Products!$E$2:$E$13,MATCH(D631,Products!$A$2:$A$13,0)))</f>
        <v>33260</v>
      </c>
      <c r="H631" s="13" t="n">
        <f aca="false">IF(A631="2025",INDEX(Customers!$D$2:$D$41,MATCH(C631,Customers!$A$2:$A$41,0)),INDEX(Customers!$F$2:$F$41,MATCH(C631,Customers!$A$2:$A$41,0)))</f>
        <v>0.047</v>
      </c>
      <c r="I631" s="16" t="n">
        <f aca="false">F631*G631</f>
        <v>69846</v>
      </c>
      <c r="J631" s="16" t="n">
        <f aca="false">I631*(1-H631)</f>
        <v>66563.238</v>
      </c>
      <c r="K631" s="16" t="n">
        <f aca="false">J631*INDEX(Customers!$G$2:$G$41,MATCH(C631,Customers!$A$2:$A$41,0))</f>
        <v>3328.1619</v>
      </c>
      <c r="L631" s="16" t="n">
        <f aca="false">F631*INDEX(Customers!$H$2:$H$41,MATCH(C631,Customers!$A$2:$A$41,0))</f>
        <v>336</v>
      </c>
      <c r="M631" s="16" t="n">
        <f aca="false">J631*INDEX(Customers!$I$2:$I$41,MATCH(C631,Customers!$A$2:$A$41,0))/365*Assumptions!$B$6</f>
        <v>875.352170958904</v>
      </c>
      <c r="N631" s="16" t="n">
        <f aca="false">J631-K631-L631-M631</f>
        <v>62023.7239290411</v>
      </c>
      <c r="O631" s="16" t="n">
        <f aca="false">F631*IF(A631="2025",INDEX(Products!$D$2:$D$13,MATCH(D631,Products!$A$2:$A$13,0)),INDEX(Products!$F$2:$F$13,MATCH(D631,Products!$A$2:$A$13,0)))</f>
        <v>31542</v>
      </c>
      <c r="P631" s="16" t="n">
        <f aca="false">N631-O631</f>
        <v>30481.7239290411</v>
      </c>
    </row>
    <row r="632" customFormat="false" ht="15" hidden="false" customHeight="false" outlineLevel="0" collapsed="false">
      <c r="A632" s="2" t="s">
        <v>118</v>
      </c>
      <c r="B632" s="2" t="n">
        <v>7</v>
      </c>
      <c r="C632" s="2" t="s">
        <v>72</v>
      </c>
      <c r="D632" s="2" t="s">
        <v>48</v>
      </c>
      <c r="E632" s="2" t="str">
        <f aca="false">INDEX(Products!$B$2:$B$13,MATCH(D632,Products!$A$2:$A$13,0))</f>
        <v>Specialty</v>
      </c>
      <c r="F632" s="15" t="n">
        <v>2.7</v>
      </c>
      <c r="G632" s="16" t="n">
        <f aca="false">IF(A632="2025",INDEX(Products!$C$2:$C$13,MATCH(D632,Products!$A$2:$A$13,0)),INDEX(Products!$E$2:$E$13,MATCH(D632,Products!$A$2:$A$13,0)))</f>
        <v>33260</v>
      </c>
      <c r="H632" s="13" t="n">
        <f aca="false">IF(A632="2025",INDEX(Customers!$D$2:$D$41,MATCH(C632,Customers!$A$2:$A$41,0)),INDEX(Customers!$F$2:$F$41,MATCH(C632,Customers!$A$2:$A$41,0)))</f>
        <v>0.047</v>
      </c>
      <c r="I632" s="16" t="n">
        <f aca="false">F632*G632</f>
        <v>89802</v>
      </c>
      <c r="J632" s="16" t="n">
        <f aca="false">I632*(1-H632)</f>
        <v>85581.306</v>
      </c>
      <c r="K632" s="16" t="n">
        <f aca="false">J632*INDEX(Customers!$G$2:$G$41,MATCH(C632,Customers!$A$2:$A$41,0))</f>
        <v>4279.0653</v>
      </c>
      <c r="L632" s="16" t="n">
        <f aca="false">F632*INDEX(Customers!$H$2:$H$41,MATCH(C632,Customers!$A$2:$A$41,0))</f>
        <v>432</v>
      </c>
      <c r="M632" s="16" t="n">
        <f aca="false">J632*INDEX(Customers!$I$2:$I$41,MATCH(C632,Customers!$A$2:$A$41,0))/365*Assumptions!$B$6</f>
        <v>1125.45279123288</v>
      </c>
      <c r="N632" s="16" t="n">
        <f aca="false">J632-K632-L632-M632</f>
        <v>79744.7879087671</v>
      </c>
      <c r="O632" s="16" t="n">
        <f aca="false">F632*IF(A632="2025",INDEX(Products!$D$2:$D$13,MATCH(D632,Products!$A$2:$A$13,0)),INDEX(Products!$F$2:$F$13,MATCH(D632,Products!$A$2:$A$13,0)))</f>
        <v>40554</v>
      </c>
      <c r="P632" s="16" t="n">
        <f aca="false">N632-O632</f>
        <v>39190.7879087671</v>
      </c>
    </row>
    <row r="633" customFormat="false" ht="15" hidden="false" customHeight="false" outlineLevel="0" collapsed="false">
      <c r="A633" s="2" t="s">
        <v>118</v>
      </c>
      <c r="B633" s="2" t="n">
        <v>8</v>
      </c>
      <c r="C633" s="2" t="s">
        <v>72</v>
      </c>
      <c r="D633" s="2" t="s">
        <v>48</v>
      </c>
      <c r="E633" s="2" t="str">
        <f aca="false">INDEX(Products!$B$2:$B$13,MATCH(D633,Products!$A$2:$A$13,0))</f>
        <v>Specialty</v>
      </c>
      <c r="F633" s="15" t="n">
        <v>1.9</v>
      </c>
      <c r="G633" s="16" t="n">
        <f aca="false">IF(A633="2025",INDEX(Products!$C$2:$C$13,MATCH(D633,Products!$A$2:$A$13,0)),INDEX(Products!$E$2:$E$13,MATCH(D633,Products!$A$2:$A$13,0)))</f>
        <v>33260</v>
      </c>
      <c r="H633" s="13" t="n">
        <f aca="false">IF(A633="2025",INDEX(Customers!$D$2:$D$41,MATCH(C633,Customers!$A$2:$A$41,0)),INDEX(Customers!$F$2:$F$41,MATCH(C633,Customers!$A$2:$A$41,0)))</f>
        <v>0.047</v>
      </c>
      <c r="I633" s="16" t="n">
        <f aca="false">F633*G633</f>
        <v>63194</v>
      </c>
      <c r="J633" s="16" t="n">
        <f aca="false">I633*(1-H633)</f>
        <v>60223.882</v>
      </c>
      <c r="K633" s="16" t="n">
        <f aca="false">J633*INDEX(Customers!$G$2:$G$41,MATCH(C633,Customers!$A$2:$A$41,0))</f>
        <v>3011.1941</v>
      </c>
      <c r="L633" s="16" t="n">
        <f aca="false">F633*INDEX(Customers!$H$2:$H$41,MATCH(C633,Customers!$A$2:$A$41,0))</f>
        <v>304</v>
      </c>
      <c r="M633" s="16" t="n">
        <f aca="false">J633*INDEX(Customers!$I$2:$I$41,MATCH(C633,Customers!$A$2:$A$41,0))/365*Assumptions!$B$6</f>
        <v>791.985297534247</v>
      </c>
      <c r="N633" s="16" t="n">
        <f aca="false">J633-K633-L633-M633</f>
        <v>56116.7026024658</v>
      </c>
      <c r="O633" s="16" t="n">
        <f aca="false">F633*IF(A633="2025",INDEX(Products!$D$2:$D$13,MATCH(D633,Products!$A$2:$A$13,0)),INDEX(Products!$F$2:$F$13,MATCH(D633,Products!$A$2:$A$13,0)))</f>
        <v>28538</v>
      </c>
      <c r="P633" s="16" t="n">
        <f aca="false">N633-O633</f>
        <v>27578.7026024658</v>
      </c>
    </row>
    <row r="634" customFormat="false" ht="15" hidden="false" customHeight="false" outlineLevel="0" collapsed="false">
      <c r="A634" s="2" t="s">
        <v>118</v>
      </c>
      <c r="B634" s="2" t="n">
        <v>9</v>
      </c>
      <c r="C634" s="2" t="s">
        <v>72</v>
      </c>
      <c r="D634" s="2" t="s">
        <v>48</v>
      </c>
      <c r="E634" s="2" t="str">
        <f aca="false">INDEX(Products!$B$2:$B$13,MATCH(D634,Products!$A$2:$A$13,0))</f>
        <v>Specialty</v>
      </c>
      <c r="F634" s="15" t="n">
        <v>2.3</v>
      </c>
      <c r="G634" s="16" t="n">
        <f aca="false">IF(A634="2025",INDEX(Products!$C$2:$C$13,MATCH(D634,Products!$A$2:$A$13,0)),INDEX(Products!$E$2:$E$13,MATCH(D634,Products!$A$2:$A$13,0)))</f>
        <v>33260</v>
      </c>
      <c r="H634" s="13" t="n">
        <f aca="false">IF(A634="2025",INDEX(Customers!$D$2:$D$41,MATCH(C634,Customers!$A$2:$A$41,0)),INDEX(Customers!$F$2:$F$41,MATCH(C634,Customers!$A$2:$A$41,0)))</f>
        <v>0.047</v>
      </c>
      <c r="I634" s="16" t="n">
        <f aca="false">F634*G634</f>
        <v>76498</v>
      </c>
      <c r="J634" s="16" t="n">
        <f aca="false">I634*(1-H634)</f>
        <v>72902.594</v>
      </c>
      <c r="K634" s="16" t="n">
        <f aca="false">J634*INDEX(Customers!$G$2:$G$41,MATCH(C634,Customers!$A$2:$A$41,0))</f>
        <v>3645.1297</v>
      </c>
      <c r="L634" s="16" t="n">
        <f aca="false">F634*INDEX(Customers!$H$2:$H$41,MATCH(C634,Customers!$A$2:$A$41,0))</f>
        <v>368</v>
      </c>
      <c r="M634" s="16" t="n">
        <f aca="false">J634*INDEX(Customers!$I$2:$I$41,MATCH(C634,Customers!$A$2:$A$41,0))/365*Assumptions!$B$6</f>
        <v>958.719044383562</v>
      </c>
      <c r="N634" s="16" t="n">
        <f aca="false">J634-K634-L634-M634</f>
        <v>67930.7452556164</v>
      </c>
      <c r="O634" s="16" t="n">
        <f aca="false">F634*IF(A634="2025",INDEX(Products!$D$2:$D$13,MATCH(D634,Products!$A$2:$A$13,0)),INDEX(Products!$F$2:$F$13,MATCH(D634,Products!$A$2:$A$13,0)))</f>
        <v>34546</v>
      </c>
      <c r="P634" s="16" t="n">
        <f aca="false">N634-O634</f>
        <v>33384.7452556164</v>
      </c>
    </row>
    <row r="635" customFormat="false" ht="15" hidden="false" customHeight="false" outlineLevel="0" collapsed="false">
      <c r="A635" s="2" t="s">
        <v>118</v>
      </c>
      <c r="B635" s="2" t="n">
        <v>10</v>
      </c>
      <c r="C635" s="2" t="s">
        <v>72</v>
      </c>
      <c r="D635" s="2" t="s">
        <v>48</v>
      </c>
      <c r="E635" s="2" t="str">
        <f aca="false">INDEX(Products!$B$2:$B$13,MATCH(D635,Products!$A$2:$A$13,0))</f>
        <v>Specialty</v>
      </c>
      <c r="F635" s="15" t="n">
        <v>1.9</v>
      </c>
      <c r="G635" s="16" t="n">
        <f aca="false">IF(A635="2025",INDEX(Products!$C$2:$C$13,MATCH(D635,Products!$A$2:$A$13,0)),INDEX(Products!$E$2:$E$13,MATCH(D635,Products!$A$2:$A$13,0)))</f>
        <v>33260</v>
      </c>
      <c r="H635" s="13" t="n">
        <f aca="false">IF(A635="2025",INDEX(Customers!$D$2:$D$41,MATCH(C635,Customers!$A$2:$A$41,0)),INDEX(Customers!$F$2:$F$41,MATCH(C635,Customers!$A$2:$A$41,0)))</f>
        <v>0.047</v>
      </c>
      <c r="I635" s="16" t="n">
        <f aca="false">F635*G635</f>
        <v>63194</v>
      </c>
      <c r="J635" s="16" t="n">
        <f aca="false">I635*(1-H635)</f>
        <v>60223.882</v>
      </c>
      <c r="K635" s="16" t="n">
        <f aca="false">J635*INDEX(Customers!$G$2:$G$41,MATCH(C635,Customers!$A$2:$A$41,0))</f>
        <v>3011.1941</v>
      </c>
      <c r="L635" s="16" t="n">
        <f aca="false">F635*INDEX(Customers!$H$2:$H$41,MATCH(C635,Customers!$A$2:$A$41,0))</f>
        <v>304</v>
      </c>
      <c r="M635" s="16" t="n">
        <f aca="false">J635*INDEX(Customers!$I$2:$I$41,MATCH(C635,Customers!$A$2:$A$41,0))/365*Assumptions!$B$6</f>
        <v>791.985297534247</v>
      </c>
      <c r="N635" s="16" t="n">
        <f aca="false">J635-K635-L635-M635</f>
        <v>56116.7026024658</v>
      </c>
      <c r="O635" s="16" t="n">
        <f aca="false">F635*IF(A635="2025",INDEX(Products!$D$2:$D$13,MATCH(D635,Products!$A$2:$A$13,0)),INDEX(Products!$F$2:$F$13,MATCH(D635,Products!$A$2:$A$13,0)))</f>
        <v>28538</v>
      </c>
      <c r="P635" s="16" t="n">
        <f aca="false">N635-O635</f>
        <v>27578.7026024658</v>
      </c>
    </row>
    <row r="636" customFormat="false" ht="15" hidden="false" customHeight="false" outlineLevel="0" collapsed="false">
      <c r="A636" s="2" t="s">
        <v>118</v>
      </c>
      <c r="B636" s="2" t="n">
        <v>11</v>
      </c>
      <c r="C636" s="2" t="s">
        <v>72</v>
      </c>
      <c r="D636" s="2" t="s">
        <v>48</v>
      </c>
      <c r="E636" s="2" t="str">
        <f aca="false">INDEX(Products!$B$2:$B$13,MATCH(D636,Products!$A$2:$A$13,0))</f>
        <v>Specialty</v>
      </c>
      <c r="F636" s="15" t="n">
        <v>1.8</v>
      </c>
      <c r="G636" s="16" t="n">
        <f aca="false">IF(A636="2025",INDEX(Products!$C$2:$C$13,MATCH(D636,Products!$A$2:$A$13,0)),INDEX(Products!$E$2:$E$13,MATCH(D636,Products!$A$2:$A$13,0)))</f>
        <v>33260</v>
      </c>
      <c r="H636" s="13" t="n">
        <f aca="false">IF(A636="2025",INDEX(Customers!$D$2:$D$41,MATCH(C636,Customers!$A$2:$A$41,0)),INDEX(Customers!$F$2:$F$41,MATCH(C636,Customers!$A$2:$A$41,0)))</f>
        <v>0.047</v>
      </c>
      <c r="I636" s="16" t="n">
        <f aca="false">F636*G636</f>
        <v>59868</v>
      </c>
      <c r="J636" s="16" t="n">
        <f aca="false">I636*(1-H636)</f>
        <v>57054.204</v>
      </c>
      <c r="K636" s="16" t="n">
        <f aca="false">J636*INDEX(Customers!$G$2:$G$41,MATCH(C636,Customers!$A$2:$A$41,0))</f>
        <v>2852.7102</v>
      </c>
      <c r="L636" s="16" t="n">
        <f aca="false">F636*INDEX(Customers!$H$2:$H$41,MATCH(C636,Customers!$A$2:$A$41,0))</f>
        <v>288</v>
      </c>
      <c r="M636" s="16" t="n">
        <f aca="false">J636*INDEX(Customers!$I$2:$I$41,MATCH(C636,Customers!$A$2:$A$41,0))/365*Assumptions!$B$6</f>
        <v>750.301860821918</v>
      </c>
      <c r="N636" s="16" t="n">
        <f aca="false">J636-K636-L636-M636</f>
        <v>53163.1919391781</v>
      </c>
      <c r="O636" s="16" t="n">
        <f aca="false">F636*IF(A636="2025",INDEX(Products!$D$2:$D$13,MATCH(D636,Products!$A$2:$A$13,0)),INDEX(Products!$F$2:$F$13,MATCH(D636,Products!$A$2:$A$13,0)))</f>
        <v>27036</v>
      </c>
      <c r="P636" s="16" t="n">
        <f aca="false">N636-O636</f>
        <v>26127.1919391781</v>
      </c>
    </row>
    <row r="637" customFormat="false" ht="15" hidden="false" customHeight="false" outlineLevel="0" collapsed="false">
      <c r="A637" s="2" t="s">
        <v>118</v>
      </c>
      <c r="B637" s="2" t="n">
        <v>12</v>
      </c>
      <c r="C637" s="2" t="s">
        <v>72</v>
      </c>
      <c r="D637" s="2" t="s">
        <v>48</v>
      </c>
      <c r="E637" s="2" t="str">
        <f aca="false">INDEX(Products!$B$2:$B$13,MATCH(D637,Products!$A$2:$A$13,0))</f>
        <v>Specialty</v>
      </c>
      <c r="F637" s="15" t="n">
        <v>2.4</v>
      </c>
      <c r="G637" s="16" t="n">
        <f aca="false">IF(A637="2025",INDEX(Products!$C$2:$C$13,MATCH(D637,Products!$A$2:$A$13,0)),INDEX(Products!$E$2:$E$13,MATCH(D637,Products!$A$2:$A$13,0)))</f>
        <v>33260</v>
      </c>
      <c r="H637" s="13" t="n">
        <f aca="false">IF(A637="2025",INDEX(Customers!$D$2:$D$41,MATCH(C637,Customers!$A$2:$A$41,0)),INDEX(Customers!$F$2:$F$41,MATCH(C637,Customers!$A$2:$A$41,0)))</f>
        <v>0.047</v>
      </c>
      <c r="I637" s="16" t="n">
        <f aca="false">F637*G637</f>
        <v>79824</v>
      </c>
      <c r="J637" s="16" t="n">
        <f aca="false">I637*(1-H637)</f>
        <v>76072.272</v>
      </c>
      <c r="K637" s="16" t="n">
        <f aca="false">J637*INDEX(Customers!$G$2:$G$41,MATCH(C637,Customers!$A$2:$A$41,0))</f>
        <v>3803.6136</v>
      </c>
      <c r="L637" s="16" t="n">
        <f aca="false">F637*INDEX(Customers!$H$2:$H$41,MATCH(C637,Customers!$A$2:$A$41,0))</f>
        <v>384</v>
      </c>
      <c r="M637" s="16" t="n">
        <f aca="false">J637*INDEX(Customers!$I$2:$I$41,MATCH(C637,Customers!$A$2:$A$41,0))/365*Assumptions!$B$6</f>
        <v>1000.40248109589</v>
      </c>
      <c r="N637" s="16" t="n">
        <f aca="false">J637-K637-L637-M637</f>
        <v>70884.2559189041</v>
      </c>
      <c r="O637" s="16" t="n">
        <f aca="false">F637*IF(A637="2025",INDEX(Products!$D$2:$D$13,MATCH(D637,Products!$A$2:$A$13,0)),INDEX(Products!$F$2:$F$13,MATCH(D637,Products!$A$2:$A$13,0)))</f>
        <v>36048</v>
      </c>
      <c r="P637" s="16" t="n">
        <f aca="false">N637-O637</f>
        <v>34836.2559189041</v>
      </c>
    </row>
    <row r="638" customFormat="false" ht="15" hidden="false" customHeight="false" outlineLevel="0" collapsed="false">
      <c r="A638" s="2" t="s">
        <v>119</v>
      </c>
      <c r="B638" s="2" t="n">
        <v>1</v>
      </c>
      <c r="C638" s="2" t="s">
        <v>72</v>
      </c>
      <c r="D638" s="2" t="s">
        <v>48</v>
      </c>
      <c r="E638" s="2" t="str">
        <f aca="false">INDEX(Products!$B$2:$B$13,MATCH(D638,Products!$A$2:$A$13,0))</f>
        <v>Specialty</v>
      </c>
      <c r="F638" s="15" t="n">
        <v>1.7</v>
      </c>
      <c r="G638" s="16" t="n">
        <f aca="false">IF(A638="2025",INDEX(Products!$C$2:$C$13,MATCH(D638,Products!$A$2:$A$13,0)),INDEX(Products!$E$2:$E$13,MATCH(D638,Products!$A$2:$A$13,0)))</f>
        <v>34923</v>
      </c>
      <c r="H638" s="13" t="n">
        <f aca="false">IF(A638="2025",INDEX(Customers!$D$2:$D$41,MATCH(C638,Customers!$A$2:$A$41,0)),INDEX(Customers!$F$2:$F$41,MATCH(C638,Customers!$A$2:$A$41,0)))</f>
        <v>0.103</v>
      </c>
      <c r="I638" s="16" t="n">
        <f aca="false">F638*G638</f>
        <v>59369.1</v>
      </c>
      <c r="J638" s="16" t="n">
        <f aca="false">I638*(1-H638)</f>
        <v>53254.0827</v>
      </c>
      <c r="K638" s="16" t="n">
        <f aca="false">J638*INDEX(Customers!$G$2:$G$41,MATCH(C638,Customers!$A$2:$A$41,0))</f>
        <v>2662.704135</v>
      </c>
      <c r="L638" s="16" t="n">
        <f aca="false">F638*INDEX(Customers!$H$2:$H$41,MATCH(C638,Customers!$A$2:$A$41,0))</f>
        <v>272</v>
      </c>
      <c r="M638" s="16" t="n">
        <f aca="false">J638*INDEX(Customers!$I$2:$I$41,MATCH(C638,Customers!$A$2:$A$41,0))/365*Assumptions!$B$6</f>
        <v>700.32766290411</v>
      </c>
      <c r="N638" s="16" t="n">
        <f aca="false">J638-K638-L638-M638</f>
        <v>49619.0509020959</v>
      </c>
      <c r="O638" s="16" t="n">
        <f aca="false">F638*IF(A638="2025",INDEX(Products!$D$2:$D$13,MATCH(D638,Products!$A$2:$A$13,0)),INDEX(Products!$F$2:$F$13,MATCH(D638,Products!$A$2:$A$13,0)))</f>
        <v>26300.02</v>
      </c>
      <c r="P638" s="16" t="n">
        <f aca="false">N638-O638</f>
        <v>23319.0309020959</v>
      </c>
    </row>
    <row r="639" customFormat="false" ht="15" hidden="false" customHeight="false" outlineLevel="0" collapsed="false">
      <c r="A639" s="2" t="s">
        <v>119</v>
      </c>
      <c r="B639" s="2" t="n">
        <v>2</v>
      </c>
      <c r="C639" s="2" t="s">
        <v>72</v>
      </c>
      <c r="D639" s="2" t="s">
        <v>48</v>
      </c>
      <c r="E639" s="2" t="str">
        <f aca="false">INDEX(Products!$B$2:$B$13,MATCH(D639,Products!$A$2:$A$13,0))</f>
        <v>Specialty</v>
      </c>
      <c r="F639" s="15" t="n">
        <v>3.1</v>
      </c>
      <c r="G639" s="16" t="n">
        <f aca="false">IF(A639="2025",INDEX(Products!$C$2:$C$13,MATCH(D639,Products!$A$2:$A$13,0)),INDEX(Products!$E$2:$E$13,MATCH(D639,Products!$A$2:$A$13,0)))</f>
        <v>34923</v>
      </c>
      <c r="H639" s="13" t="n">
        <f aca="false">IF(A639="2025",INDEX(Customers!$D$2:$D$41,MATCH(C639,Customers!$A$2:$A$41,0)),INDEX(Customers!$F$2:$F$41,MATCH(C639,Customers!$A$2:$A$41,0)))</f>
        <v>0.103</v>
      </c>
      <c r="I639" s="16" t="n">
        <f aca="false">F639*G639</f>
        <v>108261.3</v>
      </c>
      <c r="J639" s="16" t="n">
        <f aca="false">I639*(1-H639)</f>
        <v>97110.3861</v>
      </c>
      <c r="K639" s="16" t="n">
        <f aca="false">J639*INDEX(Customers!$G$2:$G$41,MATCH(C639,Customers!$A$2:$A$41,0))</f>
        <v>4855.519305</v>
      </c>
      <c r="L639" s="16" t="n">
        <f aca="false">F639*INDEX(Customers!$H$2:$H$41,MATCH(C639,Customers!$A$2:$A$41,0))</f>
        <v>496</v>
      </c>
      <c r="M639" s="16" t="n">
        <f aca="false">J639*INDEX(Customers!$I$2:$I$41,MATCH(C639,Customers!$A$2:$A$41,0))/365*Assumptions!$B$6</f>
        <v>1277.06809117808</v>
      </c>
      <c r="N639" s="16" t="n">
        <f aca="false">J639-K639-L639-M639</f>
        <v>90481.7987038219</v>
      </c>
      <c r="O639" s="16" t="n">
        <f aca="false">F639*IF(A639="2025",INDEX(Products!$D$2:$D$13,MATCH(D639,Products!$A$2:$A$13,0)),INDEX(Products!$F$2:$F$13,MATCH(D639,Products!$A$2:$A$13,0)))</f>
        <v>47958.86</v>
      </c>
      <c r="P639" s="16" t="n">
        <f aca="false">N639-O639</f>
        <v>42522.9387038219</v>
      </c>
    </row>
    <row r="640" customFormat="false" ht="15" hidden="false" customHeight="false" outlineLevel="0" collapsed="false">
      <c r="A640" s="2" t="s">
        <v>119</v>
      </c>
      <c r="B640" s="2" t="n">
        <v>3</v>
      </c>
      <c r="C640" s="2" t="s">
        <v>72</v>
      </c>
      <c r="D640" s="2" t="s">
        <v>48</v>
      </c>
      <c r="E640" s="2" t="str">
        <f aca="false">INDEX(Products!$B$2:$B$13,MATCH(D640,Products!$A$2:$A$13,0))</f>
        <v>Specialty</v>
      </c>
      <c r="F640" s="15" t="n">
        <v>2.6</v>
      </c>
      <c r="G640" s="16" t="n">
        <f aca="false">IF(A640="2025",INDEX(Products!$C$2:$C$13,MATCH(D640,Products!$A$2:$A$13,0)),INDEX(Products!$E$2:$E$13,MATCH(D640,Products!$A$2:$A$13,0)))</f>
        <v>34923</v>
      </c>
      <c r="H640" s="13" t="n">
        <f aca="false">IF(A640="2025",INDEX(Customers!$D$2:$D$41,MATCH(C640,Customers!$A$2:$A$41,0)),INDEX(Customers!$F$2:$F$41,MATCH(C640,Customers!$A$2:$A$41,0)))</f>
        <v>0.103</v>
      </c>
      <c r="I640" s="16" t="n">
        <f aca="false">F640*G640</f>
        <v>90799.8</v>
      </c>
      <c r="J640" s="16" t="n">
        <f aca="false">I640*(1-H640)</f>
        <v>81447.4206</v>
      </c>
      <c r="K640" s="16" t="n">
        <f aca="false">J640*INDEX(Customers!$G$2:$G$41,MATCH(C640,Customers!$A$2:$A$41,0))</f>
        <v>4072.37103</v>
      </c>
      <c r="L640" s="16" t="n">
        <f aca="false">F640*INDEX(Customers!$H$2:$H$41,MATCH(C640,Customers!$A$2:$A$41,0))</f>
        <v>416</v>
      </c>
      <c r="M640" s="16" t="n">
        <f aca="false">J640*INDEX(Customers!$I$2:$I$41,MATCH(C640,Customers!$A$2:$A$41,0))/365*Assumptions!$B$6</f>
        <v>1071.08936679452</v>
      </c>
      <c r="N640" s="16" t="n">
        <f aca="false">J640-K640-L640-M640</f>
        <v>75887.9602032055</v>
      </c>
      <c r="O640" s="16" t="n">
        <f aca="false">F640*IF(A640="2025",INDEX(Products!$D$2:$D$13,MATCH(D640,Products!$A$2:$A$13,0)),INDEX(Products!$F$2:$F$13,MATCH(D640,Products!$A$2:$A$13,0)))</f>
        <v>40223.56</v>
      </c>
      <c r="P640" s="16" t="n">
        <f aca="false">N640-O640</f>
        <v>35664.4002032055</v>
      </c>
    </row>
    <row r="641" customFormat="false" ht="15" hidden="false" customHeight="false" outlineLevel="0" collapsed="false">
      <c r="A641" s="2" t="s">
        <v>119</v>
      </c>
      <c r="B641" s="2" t="n">
        <v>4</v>
      </c>
      <c r="C641" s="2" t="s">
        <v>72</v>
      </c>
      <c r="D641" s="2" t="s">
        <v>48</v>
      </c>
      <c r="E641" s="2" t="str">
        <f aca="false">INDEX(Products!$B$2:$B$13,MATCH(D641,Products!$A$2:$A$13,0))</f>
        <v>Specialty</v>
      </c>
      <c r="F641" s="15" t="n">
        <v>2</v>
      </c>
      <c r="G641" s="16" t="n">
        <f aca="false">IF(A641="2025",INDEX(Products!$C$2:$C$13,MATCH(D641,Products!$A$2:$A$13,0)),INDEX(Products!$E$2:$E$13,MATCH(D641,Products!$A$2:$A$13,0)))</f>
        <v>34923</v>
      </c>
      <c r="H641" s="13" t="n">
        <f aca="false">IF(A641="2025",INDEX(Customers!$D$2:$D$41,MATCH(C641,Customers!$A$2:$A$41,0)),INDEX(Customers!$F$2:$F$41,MATCH(C641,Customers!$A$2:$A$41,0)))</f>
        <v>0.103</v>
      </c>
      <c r="I641" s="16" t="n">
        <f aca="false">F641*G641</f>
        <v>69846</v>
      </c>
      <c r="J641" s="16" t="n">
        <f aca="false">I641*(1-H641)</f>
        <v>62651.862</v>
      </c>
      <c r="K641" s="16" t="n">
        <f aca="false">J641*INDEX(Customers!$G$2:$G$41,MATCH(C641,Customers!$A$2:$A$41,0))</f>
        <v>3132.5931</v>
      </c>
      <c r="L641" s="16" t="n">
        <f aca="false">F641*INDEX(Customers!$H$2:$H$41,MATCH(C641,Customers!$A$2:$A$41,0))</f>
        <v>320</v>
      </c>
      <c r="M641" s="16" t="n">
        <f aca="false">J641*INDEX(Customers!$I$2:$I$41,MATCH(C641,Customers!$A$2:$A$41,0))/365*Assumptions!$B$6</f>
        <v>823.914897534247</v>
      </c>
      <c r="N641" s="16" t="n">
        <f aca="false">J641-K641-L641-M641</f>
        <v>58375.3540024658</v>
      </c>
      <c r="O641" s="16" t="n">
        <f aca="false">F641*IF(A641="2025",INDEX(Products!$D$2:$D$13,MATCH(D641,Products!$A$2:$A$13,0)),INDEX(Products!$F$2:$F$13,MATCH(D641,Products!$A$2:$A$13,0)))</f>
        <v>30941.2</v>
      </c>
      <c r="P641" s="16" t="n">
        <f aca="false">N641-O641</f>
        <v>27434.1540024658</v>
      </c>
    </row>
    <row r="642" customFormat="false" ht="15" hidden="false" customHeight="false" outlineLevel="0" collapsed="false">
      <c r="A642" s="2" t="s">
        <v>119</v>
      </c>
      <c r="B642" s="2" t="n">
        <v>5</v>
      </c>
      <c r="C642" s="2" t="s">
        <v>72</v>
      </c>
      <c r="D642" s="2" t="s">
        <v>48</v>
      </c>
      <c r="E642" s="2" t="str">
        <f aca="false">INDEX(Products!$B$2:$B$13,MATCH(D642,Products!$A$2:$A$13,0))</f>
        <v>Specialty</v>
      </c>
      <c r="F642" s="15" t="n">
        <v>2.5</v>
      </c>
      <c r="G642" s="16" t="n">
        <f aca="false">IF(A642="2025",INDEX(Products!$C$2:$C$13,MATCH(D642,Products!$A$2:$A$13,0)),INDEX(Products!$E$2:$E$13,MATCH(D642,Products!$A$2:$A$13,0)))</f>
        <v>34923</v>
      </c>
      <c r="H642" s="13" t="n">
        <f aca="false">IF(A642="2025",INDEX(Customers!$D$2:$D$41,MATCH(C642,Customers!$A$2:$A$41,0)),INDEX(Customers!$F$2:$F$41,MATCH(C642,Customers!$A$2:$A$41,0)))</f>
        <v>0.103</v>
      </c>
      <c r="I642" s="16" t="n">
        <f aca="false">F642*G642</f>
        <v>87307.5</v>
      </c>
      <c r="J642" s="16" t="n">
        <f aca="false">I642*(1-H642)</f>
        <v>78314.8275</v>
      </c>
      <c r="K642" s="16" t="n">
        <f aca="false">J642*INDEX(Customers!$G$2:$G$41,MATCH(C642,Customers!$A$2:$A$41,0))</f>
        <v>3915.741375</v>
      </c>
      <c r="L642" s="16" t="n">
        <f aca="false">F642*INDEX(Customers!$H$2:$H$41,MATCH(C642,Customers!$A$2:$A$41,0))</f>
        <v>400</v>
      </c>
      <c r="M642" s="16" t="n">
        <f aca="false">J642*INDEX(Customers!$I$2:$I$41,MATCH(C642,Customers!$A$2:$A$41,0))/365*Assumptions!$B$6</f>
        <v>1029.89362191781</v>
      </c>
      <c r="N642" s="16" t="n">
        <f aca="false">J642-K642-L642-M642</f>
        <v>72969.1925030822</v>
      </c>
      <c r="O642" s="16" t="n">
        <f aca="false">F642*IF(A642="2025",INDEX(Products!$D$2:$D$13,MATCH(D642,Products!$A$2:$A$13,0)),INDEX(Products!$F$2:$F$13,MATCH(D642,Products!$A$2:$A$13,0)))</f>
        <v>38676.5</v>
      </c>
      <c r="P642" s="16" t="n">
        <f aca="false">N642-O642</f>
        <v>34292.6925030822</v>
      </c>
    </row>
    <row r="643" customFormat="false" ht="15" hidden="false" customHeight="false" outlineLevel="0" collapsed="false">
      <c r="A643" s="2" t="s">
        <v>119</v>
      </c>
      <c r="B643" s="2" t="n">
        <v>6</v>
      </c>
      <c r="C643" s="2" t="s">
        <v>72</v>
      </c>
      <c r="D643" s="2" t="s">
        <v>48</v>
      </c>
      <c r="E643" s="2" t="str">
        <f aca="false">INDEX(Products!$B$2:$B$13,MATCH(D643,Products!$A$2:$A$13,0))</f>
        <v>Specialty</v>
      </c>
      <c r="F643" s="15" t="n">
        <v>1.7</v>
      </c>
      <c r="G643" s="16" t="n">
        <f aca="false">IF(A643="2025",INDEX(Products!$C$2:$C$13,MATCH(D643,Products!$A$2:$A$13,0)),INDEX(Products!$E$2:$E$13,MATCH(D643,Products!$A$2:$A$13,0)))</f>
        <v>34923</v>
      </c>
      <c r="H643" s="13" t="n">
        <f aca="false">IF(A643="2025",INDEX(Customers!$D$2:$D$41,MATCH(C643,Customers!$A$2:$A$41,0)),INDEX(Customers!$F$2:$F$41,MATCH(C643,Customers!$A$2:$A$41,0)))</f>
        <v>0.103</v>
      </c>
      <c r="I643" s="16" t="n">
        <f aca="false">F643*G643</f>
        <v>59369.1</v>
      </c>
      <c r="J643" s="16" t="n">
        <f aca="false">I643*(1-H643)</f>
        <v>53254.0827</v>
      </c>
      <c r="K643" s="16" t="n">
        <f aca="false">J643*INDEX(Customers!$G$2:$G$41,MATCH(C643,Customers!$A$2:$A$41,0))</f>
        <v>2662.704135</v>
      </c>
      <c r="L643" s="16" t="n">
        <f aca="false">F643*INDEX(Customers!$H$2:$H$41,MATCH(C643,Customers!$A$2:$A$41,0))</f>
        <v>272</v>
      </c>
      <c r="M643" s="16" t="n">
        <f aca="false">J643*INDEX(Customers!$I$2:$I$41,MATCH(C643,Customers!$A$2:$A$41,0))/365*Assumptions!$B$6</f>
        <v>700.32766290411</v>
      </c>
      <c r="N643" s="16" t="n">
        <f aca="false">J643-K643-L643-M643</f>
        <v>49619.0509020959</v>
      </c>
      <c r="O643" s="16" t="n">
        <f aca="false">F643*IF(A643="2025",INDEX(Products!$D$2:$D$13,MATCH(D643,Products!$A$2:$A$13,0)),INDEX(Products!$F$2:$F$13,MATCH(D643,Products!$A$2:$A$13,0)))</f>
        <v>26300.02</v>
      </c>
      <c r="P643" s="16" t="n">
        <f aca="false">N643-O643</f>
        <v>23319.0309020959</v>
      </c>
    </row>
    <row r="644" customFormat="false" ht="15" hidden="false" customHeight="false" outlineLevel="0" collapsed="false">
      <c r="A644" s="2" t="s">
        <v>119</v>
      </c>
      <c r="B644" s="2" t="n">
        <v>7</v>
      </c>
      <c r="C644" s="2" t="s">
        <v>72</v>
      </c>
      <c r="D644" s="2" t="s">
        <v>48</v>
      </c>
      <c r="E644" s="2" t="str">
        <f aca="false">INDEX(Products!$B$2:$B$13,MATCH(D644,Products!$A$2:$A$13,0))</f>
        <v>Specialty</v>
      </c>
      <c r="F644" s="15" t="n">
        <v>2.6</v>
      </c>
      <c r="G644" s="16" t="n">
        <f aca="false">IF(A644="2025",INDEX(Products!$C$2:$C$13,MATCH(D644,Products!$A$2:$A$13,0)),INDEX(Products!$E$2:$E$13,MATCH(D644,Products!$A$2:$A$13,0)))</f>
        <v>34923</v>
      </c>
      <c r="H644" s="13" t="n">
        <f aca="false">IF(A644="2025",INDEX(Customers!$D$2:$D$41,MATCH(C644,Customers!$A$2:$A$41,0)),INDEX(Customers!$F$2:$F$41,MATCH(C644,Customers!$A$2:$A$41,0)))</f>
        <v>0.103</v>
      </c>
      <c r="I644" s="16" t="n">
        <f aca="false">F644*G644</f>
        <v>90799.8</v>
      </c>
      <c r="J644" s="16" t="n">
        <f aca="false">I644*(1-H644)</f>
        <v>81447.4206</v>
      </c>
      <c r="K644" s="16" t="n">
        <f aca="false">J644*INDEX(Customers!$G$2:$G$41,MATCH(C644,Customers!$A$2:$A$41,0))</f>
        <v>4072.37103</v>
      </c>
      <c r="L644" s="16" t="n">
        <f aca="false">F644*INDEX(Customers!$H$2:$H$41,MATCH(C644,Customers!$A$2:$A$41,0))</f>
        <v>416</v>
      </c>
      <c r="M644" s="16" t="n">
        <f aca="false">J644*INDEX(Customers!$I$2:$I$41,MATCH(C644,Customers!$A$2:$A$41,0))/365*Assumptions!$B$6</f>
        <v>1071.08936679452</v>
      </c>
      <c r="N644" s="16" t="n">
        <f aca="false">J644-K644-L644-M644</f>
        <v>75887.9602032055</v>
      </c>
      <c r="O644" s="16" t="n">
        <f aca="false">F644*IF(A644="2025",INDEX(Products!$D$2:$D$13,MATCH(D644,Products!$A$2:$A$13,0)),INDEX(Products!$F$2:$F$13,MATCH(D644,Products!$A$2:$A$13,0)))</f>
        <v>40223.56</v>
      </c>
      <c r="P644" s="16" t="n">
        <f aca="false">N644-O644</f>
        <v>35664.4002032055</v>
      </c>
    </row>
    <row r="645" customFormat="false" ht="15" hidden="false" customHeight="false" outlineLevel="0" collapsed="false">
      <c r="A645" s="2" t="s">
        <v>119</v>
      </c>
      <c r="B645" s="2" t="n">
        <v>8</v>
      </c>
      <c r="C645" s="2" t="s">
        <v>72</v>
      </c>
      <c r="D645" s="2" t="s">
        <v>48</v>
      </c>
      <c r="E645" s="2" t="str">
        <f aca="false">INDEX(Products!$B$2:$B$13,MATCH(D645,Products!$A$2:$A$13,0))</f>
        <v>Specialty</v>
      </c>
      <c r="F645" s="15" t="n">
        <v>2.9</v>
      </c>
      <c r="G645" s="16" t="n">
        <f aca="false">IF(A645="2025",INDEX(Products!$C$2:$C$13,MATCH(D645,Products!$A$2:$A$13,0)),INDEX(Products!$E$2:$E$13,MATCH(D645,Products!$A$2:$A$13,0)))</f>
        <v>34923</v>
      </c>
      <c r="H645" s="13" t="n">
        <f aca="false">IF(A645="2025",INDEX(Customers!$D$2:$D$41,MATCH(C645,Customers!$A$2:$A$41,0)),INDEX(Customers!$F$2:$F$41,MATCH(C645,Customers!$A$2:$A$41,0)))</f>
        <v>0.103</v>
      </c>
      <c r="I645" s="16" t="n">
        <f aca="false">F645*G645</f>
        <v>101276.7</v>
      </c>
      <c r="J645" s="16" t="n">
        <f aca="false">I645*(1-H645)</f>
        <v>90845.1999</v>
      </c>
      <c r="K645" s="16" t="n">
        <f aca="false">J645*INDEX(Customers!$G$2:$G$41,MATCH(C645,Customers!$A$2:$A$41,0))</f>
        <v>4542.259995</v>
      </c>
      <c r="L645" s="16" t="n">
        <f aca="false">F645*INDEX(Customers!$H$2:$H$41,MATCH(C645,Customers!$A$2:$A$41,0))</f>
        <v>464</v>
      </c>
      <c r="M645" s="16" t="n">
        <f aca="false">J645*INDEX(Customers!$I$2:$I$41,MATCH(C645,Customers!$A$2:$A$41,0))/365*Assumptions!$B$6</f>
        <v>1194.67660142466</v>
      </c>
      <c r="N645" s="16" t="n">
        <f aca="false">J645-K645-L645-M645</f>
        <v>84644.2633035753</v>
      </c>
      <c r="O645" s="16" t="n">
        <f aca="false">F645*IF(A645="2025",INDEX(Products!$D$2:$D$13,MATCH(D645,Products!$A$2:$A$13,0)),INDEX(Products!$F$2:$F$13,MATCH(D645,Products!$A$2:$A$13,0)))</f>
        <v>44864.74</v>
      </c>
      <c r="P645" s="16" t="n">
        <f aca="false">N645-O645</f>
        <v>39779.5233035753</v>
      </c>
    </row>
    <row r="646" customFormat="false" ht="15" hidden="false" customHeight="false" outlineLevel="0" collapsed="false">
      <c r="A646" s="2" t="s">
        <v>119</v>
      </c>
      <c r="B646" s="2" t="n">
        <v>9</v>
      </c>
      <c r="C646" s="2" t="s">
        <v>72</v>
      </c>
      <c r="D646" s="2" t="s">
        <v>48</v>
      </c>
      <c r="E646" s="2" t="str">
        <f aca="false">INDEX(Products!$B$2:$B$13,MATCH(D646,Products!$A$2:$A$13,0))</f>
        <v>Specialty</v>
      </c>
      <c r="F646" s="15" t="n">
        <v>2.8</v>
      </c>
      <c r="G646" s="16" t="n">
        <f aca="false">IF(A646="2025",INDEX(Products!$C$2:$C$13,MATCH(D646,Products!$A$2:$A$13,0)),INDEX(Products!$E$2:$E$13,MATCH(D646,Products!$A$2:$A$13,0)))</f>
        <v>34923</v>
      </c>
      <c r="H646" s="13" t="n">
        <f aca="false">IF(A646="2025",INDEX(Customers!$D$2:$D$41,MATCH(C646,Customers!$A$2:$A$41,0)),INDEX(Customers!$F$2:$F$41,MATCH(C646,Customers!$A$2:$A$41,0)))</f>
        <v>0.103</v>
      </c>
      <c r="I646" s="16" t="n">
        <f aca="false">F646*G646</f>
        <v>97784.4</v>
      </c>
      <c r="J646" s="16" t="n">
        <f aca="false">I646*(1-H646)</f>
        <v>87712.6068</v>
      </c>
      <c r="K646" s="16" t="n">
        <f aca="false">J646*INDEX(Customers!$G$2:$G$41,MATCH(C646,Customers!$A$2:$A$41,0))</f>
        <v>4385.63034</v>
      </c>
      <c r="L646" s="16" t="n">
        <f aca="false">F646*INDEX(Customers!$H$2:$H$41,MATCH(C646,Customers!$A$2:$A$41,0))</f>
        <v>448</v>
      </c>
      <c r="M646" s="16" t="n">
        <f aca="false">J646*INDEX(Customers!$I$2:$I$41,MATCH(C646,Customers!$A$2:$A$41,0))/365*Assumptions!$B$6</f>
        <v>1153.48085654795</v>
      </c>
      <c r="N646" s="16" t="n">
        <f aca="false">J646-K646-L646-M646</f>
        <v>81725.495603452</v>
      </c>
      <c r="O646" s="16" t="n">
        <f aca="false">F646*IF(A646="2025",INDEX(Products!$D$2:$D$13,MATCH(D646,Products!$A$2:$A$13,0)),INDEX(Products!$F$2:$F$13,MATCH(D646,Products!$A$2:$A$13,0)))</f>
        <v>43317.68</v>
      </c>
      <c r="P646" s="16" t="n">
        <f aca="false">N646-O646</f>
        <v>38407.815603452</v>
      </c>
    </row>
    <row r="647" customFormat="false" ht="15" hidden="false" customHeight="false" outlineLevel="0" collapsed="false">
      <c r="A647" s="2" t="s">
        <v>119</v>
      </c>
      <c r="B647" s="2" t="n">
        <v>10</v>
      </c>
      <c r="C647" s="2" t="s">
        <v>72</v>
      </c>
      <c r="D647" s="2" t="s">
        <v>48</v>
      </c>
      <c r="E647" s="2" t="str">
        <f aca="false">INDEX(Products!$B$2:$B$13,MATCH(D647,Products!$A$2:$A$13,0))</f>
        <v>Specialty</v>
      </c>
      <c r="F647" s="15" t="n">
        <v>1.8</v>
      </c>
      <c r="G647" s="16" t="n">
        <f aca="false">IF(A647="2025",INDEX(Products!$C$2:$C$13,MATCH(D647,Products!$A$2:$A$13,0)),INDEX(Products!$E$2:$E$13,MATCH(D647,Products!$A$2:$A$13,0)))</f>
        <v>34923</v>
      </c>
      <c r="H647" s="13" t="n">
        <f aca="false">IF(A647="2025",INDEX(Customers!$D$2:$D$41,MATCH(C647,Customers!$A$2:$A$41,0)),INDEX(Customers!$F$2:$F$41,MATCH(C647,Customers!$A$2:$A$41,0)))</f>
        <v>0.103</v>
      </c>
      <c r="I647" s="16" t="n">
        <f aca="false">F647*G647</f>
        <v>62861.4</v>
      </c>
      <c r="J647" s="16" t="n">
        <f aca="false">I647*(1-H647)</f>
        <v>56386.6758</v>
      </c>
      <c r="K647" s="16" t="n">
        <f aca="false">J647*INDEX(Customers!$G$2:$G$41,MATCH(C647,Customers!$A$2:$A$41,0))</f>
        <v>2819.33379</v>
      </c>
      <c r="L647" s="16" t="n">
        <f aca="false">F647*INDEX(Customers!$H$2:$H$41,MATCH(C647,Customers!$A$2:$A$41,0))</f>
        <v>288</v>
      </c>
      <c r="M647" s="16" t="n">
        <f aca="false">J647*INDEX(Customers!$I$2:$I$41,MATCH(C647,Customers!$A$2:$A$41,0))/365*Assumptions!$B$6</f>
        <v>741.523407780822</v>
      </c>
      <c r="N647" s="16" t="n">
        <f aca="false">J647-K647-L647-M647</f>
        <v>52537.8186022192</v>
      </c>
      <c r="O647" s="16" t="n">
        <f aca="false">F647*IF(A647="2025",INDEX(Products!$D$2:$D$13,MATCH(D647,Products!$A$2:$A$13,0)),INDEX(Products!$F$2:$F$13,MATCH(D647,Products!$A$2:$A$13,0)))</f>
        <v>27847.08</v>
      </c>
      <c r="P647" s="16" t="n">
        <f aca="false">N647-O647</f>
        <v>24690.7386022192</v>
      </c>
    </row>
    <row r="648" customFormat="false" ht="15" hidden="false" customHeight="false" outlineLevel="0" collapsed="false">
      <c r="A648" s="2" t="s">
        <v>119</v>
      </c>
      <c r="B648" s="2" t="n">
        <v>11</v>
      </c>
      <c r="C648" s="2" t="s">
        <v>72</v>
      </c>
      <c r="D648" s="2" t="s">
        <v>48</v>
      </c>
      <c r="E648" s="2" t="str">
        <f aca="false">INDEX(Products!$B$2:$B$13,MATCH(D648,Products!$A$2:$A$13,0))</f>
        <v>Specialty</v>
      </c>
      <c r="F648" s="15" t="n">
        <v>1.9</v>
      </c>
      <c r="G648" s="16" t="n">
        <f aca="false">IF(A648="2025",INDEX(Products!$C$2:$C$13,MATCH(D648,Products!$A$2:$A$13,0)),INDEX(Products!$E$2:$E$13,MATCH(D648,Products!$A$2:$A$13,0)))</f>
        <v>34923</v>
      </c>
      <c r="H648" s="13" t="n">
        <f aca="false">IF(A648="2025",INDEX(Customers!$D$2:$D$41,MATCH(C648,Customers!$A$2:$A$41,0)),INDEX(Customers!$F$2:$F$41,MATCH(C648,Customers!$A$2:$A$41,0)))</f>
        <v>0.103</v>
      </c>
      <c r="I648" s="16" t="n">
        <f aca="false">F648*G648</f>
        <v>66353.7</v>
      </c>
      <c r="J648" s="16" t="n">
        <f aca="false">I648*(1-H648)</f>
        <v>59519.2689</v>
      </c>
      <c r="K648" s="16" t="n">
        <f aca="false">J648*INDEX(Customers!$G$2:$G$41,MATCH(C648,Customers!$A$2:$A$41,0))</f>
        <v>2975.963445</v>
      </c>
      <c r="L648" s="16" t="n">
        <f aca="false">F648*INDEX(Customers!$H$2:$H$41,MATCH(C648,Customers!$A$2:$A$41,0))</f>
        <v>304</v>
      </c>
      <c r="M648" s="16" t="n">
        <f aca="false">J648*INDEX(Customers!$I$2:$I$41,MATCH(C648,Customers!$A$2:$A$41,0))/365*Assumptions!$B$6</f>
        <v>782.719152657534</v>
      </c>
      <c r="N648" s="16" t="n">
        <f aca="false">J648-K648-L648-M648</f>
        <v>55456.5863023425</v>
      </c>
      <c r="O648" s="16" t="n">
        <f aca="false">F648*IF(A648="2025",INDEX(Products!$D$2:$D$13,MATCH(D648,Products!$A$2:$A$13,0)),INDEX(Products!$F$2:$F$13,MATCH(D648,Products!$A$2:$A$13,0)))</f>
        <v>29394.14</v>
      </c>
      <c r="P648" s="16" t="n">
        <f aca="false">N648-O648</f>
        <v>26062.4463023425</v>
      </c>
    </row>
    <row r="649" customFormat="false" ht="15" hidden="false" customHeight="false" outlineLevel="0" collapsed="false">
      <c r="A649" s="2" t="s">
        <v>119</v>
      </c>
      <c r="B649" s="2" t="n">
        <v>12</v>
      </c>
      <c r="C649" s="2" t="s">
        <v>72</v>
      </c>
      <c r="D649" s="2" t="s">
        <v>48</v>
      </c>
      <c r="E649" s="2" t="str">
        <f aca="false">INDEX(Products!$B$2:$B$13,MATCH(D649,Products!$A$2:$A$13,0))</f>
        <v>Specialty</v>
      </c>
      <c r="F649" s="15" t="n">
        <v>2.6</v>
      </c>
      <c r="G649" s="16" t="n">
        <f aca="false">IF(A649="2025",INDEX(Products!$C$2:$C$13,MATCH(D649,Products!$A$2:$A$13,0)),INDEX(Products!$E$2:$E$13,MATCH(D649,Products!$A$2:$A$13,0)))</f>
        <v>34923</v>
      </c>
      <c r="H649" s="13" t="n">
        <f aca="false">IF(A649="2025",INDEX(Customers!$D$2:$D$41,MATCH(C649,Customers!$A$2:$A$41,0)),INDEX(Customers!$F$2:$F$41,MATCH(C649,Customers!$A$2:$A$41,0)))</f>
        <v>0.103</v>
      </c>
      <c r="I649" s="16" t="n">
        <f aca="false">F649*G649</f>
        <v>90799.8</v>
      </c>
      <c r="J649" s="16" t="n">
        <f aca="false">I649*(1-H649)</f>
        <v>81447.4206</v>
      </c>
      <c r="K649" s="16" t="n">
        <f aca="false">J649*INDEX(Customers!$G$2:$G$41,MATCH(C649,Customers!$A$2:$A$41,0))</f>
        <v>4072.37103</v>
      </c>
      <c r="L649" s="16" t="n">
        <f aca="false">F649*INDEX(Customers!$H$2:$H$41,MATCH(C649,Customers!$A$2:$A$41,0))</f>
        <v>416</v>
      </c>
      <c r="M649" s="16" t="n">
        <f aca="false">J649*INDEX(Customers!$I$2:$I$41,MATCH(C649,Customers!$A$2:$A$41,0))/365*Assumptions!$B$6</f>
        <v>1071.08936679452</v>
      </c>
      <c r="N649" s="16" t="n">
        <f aca="false">J649-K649-L649-M649</f>
        <v>75887.9602032055</v>
      </c>
      <c r="O649" s="16" t="n">
        <f aca="false">F649*IF(A649="2025",INDEX(Products!$D$2:$D$13,MATCH(D649,Products!$A$2:$A$13,0)),INDEX(Products!$F$2:$F$13,MATCH(D649,Products!$A$2:$A$13,0)))</f>
        <v>40223.56</v>
      </c>
      <c r="P649" s="16" t="n">
        <f aca="false">N649-O649</f>
        <v>35664.4002032055</v>
      </c>
    </row>
    <row r="650" customFormat="false" ht="15" hidden="false" customHeight="false" outlineLevel="0" collapsed="false">
      <c r="A650" s="2" t="s">
        <v>118</v>
      </c>
      <c r="B650" s="2" t="n">
        <v>1</v>
      </c>
      <c r="C650" s="2" t="s">
        <v>72</v>
      </c>
      <c r="D650" s="2" t="s">
        <v>42</v>
      </c>
      <c r="E650" s="2" t="str">
        <f aca="false">INDEX(Products!$B$2:$B$13,MATCH(D650,Products!$A$2:$A$13,0))</f>
        <v>Hydroprocessing</v>
      </c>
      <c r="F650" s="15" t="n">
        <v>3.5</v>
      </c>
      <c r="G650" s="16" t="n">
        <f aca="false">IF(A650="2025",INDEX(Products!$C$2:$C$13,MATCH(D650,Products!$A$2:$A$13,0)),INDEX(Products!$E$2:$E$13,MATCH(D650,Products!$A$2:$A$13,0)))</f>
        <v>12450</v>
      </c>
      <c r="H650" s="13" t="n">
        <f aca="false">IF(A650="2025",INDEX(Customers!$D$2:$D$41,MATCH(C650,Customers!$A$2:$A$41,0)),INDEX(Customers!$F$2:$F$41,MATCH(C650,Customers!$A$2:$A$41,0)))</f>
        <v>0.047</v>
      </c>
      <c r="I650" s="16" t="n">
        <f aca="false">F650*G650</f>
        <v>43575</v>
      </c>
      <c r="J650" s="16" t="n">
        <f aca="false">I650*(1-H650)</f>
        <v>41526.975</v>
      </c>
      <c r="K650" s="16" t="n">
        <f aca="false">J650*INDEX(Customers!$G$2:$G$41,MATCH(C650,Customers!$A$2:$A$41,0))</f>
        <v>2076.34875</v>
      </c>
      <c r="L650" s="16" t="n">
        <f aca="false">F650*INDEX(Customers!$H$2:$H$41,MATCH(C650,Customers!$A$2:$A$41,0))</f>
        <v>560</v>
      </c>
      <c r="M650" s="16" t="n">
        <f aca="false">J650*INDEX(Customers!$I$2:$I$41,MATCH(C650,Customers!$A$2:$A$41,0))/365*Assumptions!$B$6</f>
        <v>546.108164383562</v>
      </c>
      <c r="N650" s="16" t="n">
        <f aca="false">J650-K650-L650-M650</f>
        <v>38344.5180856164</v>
      </c>
      <c r="O650" s="16" t="n">
        <f aca="false">F650*IF(A650="2025",INDEX(Products!$D$2:$D$13,MATCH(D650,Products!$A$2:$A$13,0)),INDEX(Products!$F$2:$F$13,MATCH(D650,Products!$A$2:$A$13,0)))</f>
        <v>27230</v>
      </c>
      <c r="P650" s="16" t="n">
        <f aca="false">N650-O650</f>
        <v>11114.5180856164</v>
      </c>
    </row>
    <row r="651" customFormat="false" ht="15" hidden="false" customHeight="false" outlineLevel="0" collapsed="false">
      <c r="A651" s="2" t="s">
        <v>118</v>
      </c>
      <c r="B651" s="2" t="n">
        <v>2</v>
      </c>
      <c r="C651" s="2" t="s">
        <v>72</v>
      </c>
      <c r="D651" s="2" t="s">
        <v>42</v>
      </c>
      <c r="E651" s="2" t="str">
        <f aca="false">INDEX(Products!$B$2:$B$13,MATCH(D651,Products!$A$2:$A$13,0))</f>
        <v>Hydroprocessing</v>
      </c>
      <c r="F651" s="15" t="n">
        <v>5</v>
      </c>
      <c r="G651" s="16" t="n">
        <f aca="false">IF(A651="2025",INDEX(Products!$C$2:$C$13,MATCH(D651,Products!$A$2:$A$13,0)),INDEX(Products!$E$2:$E$13,MATCH(D651,Products!$A$2:$A$13,0)))</f>
        <v>12450</v>
      </c>
      <c r="H651" s="13" t="n">
        <f aca="false">IF(A651="2025",INDEX(Customers!$D$2:$D$41,MATCH(C651,Customers!$A$2:$A$41,0)),INDEX(Customers!$F$2:$F$41,MATCH(C651,Customers!$A$2:$A$41,0)))</f>
        <v>0.047</v>
      </c>
      <c r="I651" s="16" t="n">
        <f aca="false">F651*G651</f>
        <v>62250</v>
      </c>
      <c r="J651" s="16" t="n">
        <f aca="false">I651*(1-H651)</f>
        <v>59324.25</v>
      </c>
      <c r="K651" s="16" t="n">
        <f aca="false">J651*INDEX(Customers!$G$2:$G$41,MATCH(C651,Customers!$A$2:$A$41,0))</f>
        <v>2966.2125</v>
      </c>
      <c r="L651" s="16" t="n">
        <f aca="false">F651*INDEX(Customers!$H$2:$H$41,MATCH(C651,Customers!$A$2:$A$41,0))</f>
        <v>800</v>
      </c>
      <c r="M651" s="16" t="n">
        <f aca="false">J651*INDEX(Customers!$I$2:$I$41,MATCH(C651,Customers!$A$2:$A$41,0))/365*Assumptions!$B$6</f>
        <v>780.154520547945</v>
      </c>
      <c r="N651" s="16" t="n">
        <f aca="false">J651-K651-L651-M651</f>
        <v>54777.8829794521</v>
      </c>
      <c r="O651" s="16" t="n">
        <f aca="false">F651*IF(A651="2025",INDEX(Products!$D$2:$D$13,MATCH(D651,Products!$A$2:$A$13,0)),INDEX(Products!$F$2:$F$13,MATCH(D651,Products!$A$2:$A$13,0)))</f>
        <v>38900</v>
      </c>
      <c r="P651" s="16" t="n">
        <f aca="false">N651-O651</f>
        <v>15877.8829794521</v>
      </c>
    </row>
    <row r="652" customFormat="false" ht="15" hidden="false" customHeight="false" outlineLevel="0" collapsed="false">
      <c r="A652" s="2" t="s">
        <v>118</v>
      </c>
      <c r="B652" s="2" t="n">
        <v>3</v>
      </c>
      <c r="C652" s="2" t="s">
        <v>72</v>
      </c>
      <c r="D652" s="2" t="s">
        <v>42</v>
      </c>
      <c r="E652" s="2" t="str">
        <f aca="false">INDEX(Products!$B$2:$B$13,MATCH(D652,Products!$A$2:$A$13,0))</f>
        <v>Hydroprocessing</v>
      </c>
      <c r="F652" s="15" t="n">
        <v>4.2</v>
      </c>
      <c r="G652" s="16" t="n">
        <f aca="false">IF(A652="2025",INDEX(Products!$C$2:$C$13,MATCH(D652,Products!$A$2:$A$13,0)),INDEX(Products!$E$2:$E$13,MATCH(D652,Products!$A$2:$A$13,0)))</f>
        <v>12450</v>
      </c>
      <c r="H652" s="13" t="n">
        <f aca="false">IF(A652="2025",INDEX(Customers!$D$2:$D$41,MATCH(C652,Customers!$A$2:$A$41,0)),INDEX(Customers!$F$2:$F$41,MATCH(C652,Customers!$A$2:$A$41,0)))</f>
        <v>0.047</v>
      </c>
      <c r="I652" s="16" t="n">
        <f aca="false">F652*G652</f>
        <v>52290</v>
      </c>
      <c r="J652" s="16" t="n">
        <f aca="false">I652*(1-H652)</f>
        <v>49832.37</v>
      </c>
      <c r="K652" s="16" t="n">
        <f aca="false">J652*INDEX(Customers!$G$2:$G$41,MATCH(C652,Customers!$A$2:$A$41,0))</f>
        <v>2491.6185</v>
      </c>
      <c r="L652" s="16" t="n">
        <f aca="false">F652*INDEX(Customers!$H$2:$H$41,MATCH(C652,Customers!$A$2:$A$41,0))</f>
        <v>672</v>
      </c>
      <c r="M652" s="16" t="n">
        <f aca="false">J652*INDEX(Customers!$I$2:$I$41,MATCH(C652,Customers!$A$2:$A$41,0))/365*Assumptions!$B$6</f>
        <v>655.329797260274</v>
      </c>
      <c r="N652" s="16" t="n">
        <f aca="false">J652-K652-L652-M652</f>
        <v>46013.4217027397</v>
      </c>
      <c r="O652" s="16" t="n">
        <f aca="false">F652*IF(A652="2025",INDEX(Products!$D$2:$D$13,MATCH(D652,Products!$A$2:$A$13,0)),INDEX(Products!$F$2:$F$13,MATCH(D652,Products!$A$2:$A$13,0)))</f>
        <v>32676</v>
      </c>
      <c r="P652" s="16" t="n">
        <f aca="false">N652-O652</f>
        <v>13337.4217027397</v>
      </c>
    </row>
    <row r="653" customFormat="false" ht="15" hidden="false" customHeight="false" outlineLevel="0" collapsed="false">
      <c r="A653" s="2" t="s">
        <v>118</v>
      </c>
      <c r="B653" s="2" t="n">
        <v>4</v>
      </c>
      <c r="C653" s="2" t="s">
        <v>72</v>
      </c>
      <c r="D653" s="2" t="s">
        <v>42</v>
      </c>
      <c r="E653" s="2" t="str">
        <f aca="false">INDEX(Products!$B$2:$B$13,MATCH(D653,Products!$A$2:$A$13,0))</f>
        <v>Hydroprocessing</v>
      </c>
      <c r="F653" s="15" t="n">
        <v>4.1</v>
      </c>
      <c r="G653" s="16" t="n">
        <f aca="false">IF(A653="2025",INDEX(Products!$C$2:$C$13,MATCH(D653,Products!$A$2:$A$13,0)),INDEX(Products!$E$2:$E$13,MATCH(D653,Products!$A$2:$A$13,0)))</f>
        <v>12450</v>
      </c>
      <c r="H653" s="13" t="n">
        <f aca="false">IF(A653="2025",INDEX(Customers!$D$2:$D$41,MATCH(C653,Customers!$A$2:$A$41,0)),INDEX(Customers!$F$2:$F$41,MATCH(C653,Customers!$A$2:$A$41,0)))</f>
        <v>0.047</v>
      </c>
      <c r="I653" s="16" t="n">
        <f aca="false">F653*G653</f>
        <v>51045</v>
      </c>
      <c r="J653" s="16" t="n">
        <f aca="false">I653*(1-H653)</f>
        <v>48645.885</v>
      </c>
      <c r="K653" s="16" t="n">
        <f aca="false">J653*INDEX(Customers!$G$2:$G$41,MATCH(C653,Customers!$A$2:$A$41,0))</f>
        <v>2432.29425</v>
      </c>
      <c r="L653" s="16" t="n">
        <f aca="false">F653*INDEX(Customers!$H$2:$H$41,MATCH(C653,Customers!$A$2:$A$41,0))</f>
        <v>656</v>
      </c>
      <c r="M653" s="16" t="n">
        <f aca="false">J653*INDEX(Customers!$I$2:$I$41,MATCH(C653,Customers!$A$2:$A$41,0))/365*Assumptions!$B$6</f>
        <v>639.726706849315</v>
      </c>
      <c r="N653" s="16" t="n">
        <f aca="false">J653-K653-L653-M653</f>
        <v>44917.8640431507</v>
      </c>
      <c r="O653" s="16" t="n">
        <f aca="false">F653*IF(A653="2025",INDEX(Products!$D$2:$D$13,MATCH(D653,Products!$A$2:$A$13,0)),INDEX(Products!$F$2:$F$13,MATCH(D653,Products!$A$2:$A$13,0)))</f>
        <v>31898</v>
      </c>
      <c r="P653" s="16" t="n">
        <f aca="false">N653-O653</f>
        <v>13019.8640431507</v>
      </c>
    </row>
    <row r="654" customFormat="false" ht="15" hidden="false" customHeight="false" outlineLevel="0" collapsed="false">
      <c r="A654" s="2" t="s">
        <v>118</v>
      </c>
      <c r="B654" s="2" t="n">
        <v>5</v>
      </c>
      <c r="C654" s="2" t="s">
        <v>72</v>
      </c>
      <c r="D654" s="2" t="s">
        <v>42</v>
      </c>
      <c r="E654" s="2" t="str">
        <f aca="false">INDEX(Products!$B$2:$B$13,MATCH(D654,Products!$A$2:$A$13,0))</f>
        <v>Hydroprocessing</v>
      </c>
      <c r="F654" s="15" t="n">
        <v>4.6</v>
      </c>
      <c r="G654" s="16" t="n">
        <f aca="false">IF(A654="2025",INDEX(Products!$C$2:$C$13,MATCH(D654,Products!$A$2:$A$13,0)),INDEX(Products!$E$2:$E$13,MATCH(D654,Products!$A$2:$A$13,0)))</f>
        <v>12450</v>
      </c>
      <c r="H654" s="13" t="n">
        <f aca="false">IF(A654="2025",INDEX(Customers!$D$2:$D$41,MATCH(C654,Customers!$A$2:$A$41,0)),INDEX(Customers!$F$2:$F$41,MATCH(C654,Customers!$A$2:$A$41,0)))</f>
        <v>0.047</v>
      </c>
      <c r="I654" s="16" t="n">
        <f aca="false">F654*G654</f>
        <v>57270</v>
      </c>
      <c r="J654" s="16" t="n">
        <f aca="false">I654*(1-H654)</f>
        <v>54578.31</v>
      </c>
      <c r="K654" s="16" t="n">
        <f aca="false">J654*INDEX(Customers!$G$2:$G$41,MATCH(C654,Customers!$A$2:$A$41,0))</f>
        <v>2728.9155</v>
      </c>
      <c r="L654" s="16" t="n">
        <f aca="false">F654*INDEX(Customers!$H$2:$H$41,MATCH(C654,Customers!$A$2:$A$41,0))</f>
        <v>736</v>
      </c>
      <c r="M654" s="16" t="n">
        <f aca="false">J654*INDEX(Customers!$I$2:$I$41,MATCH(C654,Customers!$A$2:$A$41,0))/365*Assumptions!$B$6</f>
        <v>717.74215890411</v>
      </c>
      <c r="N654" s="16" t="n">
        <f aca="false">J654-K654-L654-M654</f>
        <v>50395.6523410959</v>
      </c>
      <c r="O654" s="16" t="n">
        <f aca="false">F654*IF(A654="2025",INDEX(Products!$D$2:$D$13,MATCH(D654,Products!$A$2:$A$13,0)),INDEX(Products!$F$2:$F$13,MATCH(D654,Products!$A$2:$A$13,0)))</f>
        <v>35788</v>
      </c>
      <c r="P654" s="16" t="n">
        <f aca="false">N654-O654</f>
        <v>14607.6523410959</v>
      </c>
    </row>
    <row r="655" customFormat="false" ht="15" hidden="false" customHeight="false" outlineLevel="0" collapsed="false">
      <c r="A655" s="2" t="s">
        <v>118</v>
      </c>
      <c r="B655" s="2" t="n">
        <v>6</v>
      </c>
      <c r="C655" s="2" t="s">
        <v>72</v>
      </c>
      <c r="D655" s="2" t="s">
        <v>42</v>
      </c>
      <c r="E655" s="2" t="str">
        <f aca="false">INDEX(Products!$B$2:$B$13,MATCH(D655,Products!$A$2:$A$13,0))</f>
        <v>Hydroprocessing</v>
      </c>
      <c r="F655" s="15" t="n">
        <v>4.9</v>
      </c>
      <c r="G655" s="16" t="n">
        <f aca="false">IF(A655="2025",INDEX(Products!$C$2:$C$13,MATCH(D655,Products!$A$2:$A$13,0)),INDEX(Products!$E$2:$E$13,MATCH(D655,Products!$A$2:$A$13,0)))</f>
        <v>12450</v>
      </c>
      <c r="H655" s="13" t="n">
        <f aca="false">IF(A655="2025",INDEX(Customers!$D$2:$D$41,MATCH(C655,Customers!$A$2:$A$41,0)),INDEX(Customers!$F$2:$F$41,MATCH(C655,Customers!$A$2:$A$41,0)))</f>
        <v>0.047</v>
      </c>
      <c r="I655" s="16" t="n">
        <f aca="false">F655*G655</f>
        <v>61005</v>
      </c>
      <c r="J655" s="16" t="n">
        <f aca="false">I655*(1-H655)</f>
        <v>58137.765</v>
      </c>
      <c r="K655" s="16" t="n">
        <f aca="false">J655*INDEX(Customers!$G$2:$G$41,MATCH(C655,Customers!$A$2:$A$41,0))</f>
        <v>2906.88825</v>
      </c>
      <c r="L655" s="16" t="n">
        <f aca="false">F655*INDEX(Customers!$H$2:$H$41,MATCH(C655,Customers!$A$2:$A$41,0))</f>
        <v>784</v>
      </c>
      <c r="M655" s="16" t="n">
        <f aca="false">J655*INDEX(Customers!$I$2:$I$41,MATCH(C655,Customers!$A$2:$A$41,0))/365*Assumptions!$B$6</f>
        <v>764.551430136987</v>
      </c>
      <c r="N655" s="16" t="n">
        <f aca="false">J655-K655-L655-M655</f>
        <v>53682.325319863</v>
      </c>
      <c r="O655" s="16" t="n">
        <f aca="false">F655*IF(A655="2025",INDEX(Products!$D$2:$D$13,MATCH(D655,Products!$A$2:$A$13,0)),INDEX(Products!$F$2:$F$13,MATCH(D655,Products!$A$2:$A$13,0)))</f>
        <v>38122</v>
      </c>
      <c r="P655" s="16" t="n">
        <f aca="false">N655-O655</f>
        <v>15560.325319863</v>
      </c>
    </row>
    <row r="656" customFormat="false" ht="15" hidden="false" customHeight="false" outlineLevel="0" collapsed="false">
      <c r="A656" s="2" t="s">
        <v>118</v>
      </c>
      <c r="B656" s="2" t="n">
        <v>7</v>
      </c>
      <c r="C656" s="2" t="s">
        <v>72</v>
      </c>
      <c r="D656" s="2" t="s">
        <v>42</v>
      </c>
      <c r="E656" s="2" t="str">
        <f aca="false">INDEX(Products!$B$2:$B$13,MATCH(D656,Products!$A$2:$A$13,0))</f>
        <v>Hydroprocessing</v>
      </c>
      <c r="F656" s="15" t="n">
        <v>3.9</v>
      </c>
      <c r="G656" s="16" t="n">
        <f aca="false">IF(A656="2025",INDEX(Products!$C$2:$C$13,MATCH(D656,Products!$A$2:$A$13,0)),INDEX(Products!$E$2:$E$13,MATCH(D656,Products!$A$2:$A$13,0)))</f>
        <v>12450</v>
      </c>
      <c r="H656" s="13" t="n">
        <f aca="false">IF(A656="2025",INDEX(Customers!$D$2:$D$41,MATCH(C656,Customers!$A$2:$A$41,0)),INDEX(Customers!$F$2:$F$41,MATCH(C656,Customers!$A$2:$A$41,0)))</f>
        <v>0.047</v>
      </c>
      <c r="I656" s="16" t="n">
        <f aca="false">F656*G656</f>
        <v>48555</v>
      </c>
      <c r="J656" s="16" t="n">
        <f aca="false">I656*(1-H656)</f>
        <v>46272.915</v>
      </c>
      <c r="K656" s="16" t="n">
        <f aca="false">J656*INDEX(Customers!$G$2:$G$41,MATCH(C656,Customers!$A$2:$A$41,0))</f>
        <v>2313.64575</v>
      </c>
      <c r="L656" s="16" t="n">
        <f aca="false">F656*INDEX(Customers!$H$2:$H$41,MATCH(C656,Customers!$A$2:$A$41,0))</f>
        <v>624</v>
      </c>
      <c r="M656" s="16" t="n">
        <f aca="false">J656*INDEX(Customers!$I$2:$I$41,MATCH(C656,Customers!$A$2:$A$41,0))/365*Assumptions!$B$6</f>
        <v>608.520526027397</v>
      </c>
      <c r="N656" s="16" t="n">
        <f aca="false">J656-K656-L656-M656</f>
        <v>42726.7487239726</v>
      </c>
      <c r="O656" s="16" t="n">
        <f aca="false">F656*IF(A656="2025",INDEX(Products!$D$2:$D$13,MATCH(D656,Products!$A$2:$A$13,0)),INDEX(Products!$F$2:$F$13,MATCH(D656,Products!$A$2:$A$13,0)))</f>
        <v>30342</v>
      </c>
      <c r="P656" s="16" t="n">
        <f aca="false">N656-O656</f>
        <v>12384.7487239726</v>
      </c>
    </row>
    <row r="657" customFormat="false" ht="15" hidden="false" customHeight="false" outlineLevel="0" collapsed="false">
      <c r="A657" s="2" t="s">
        <v>118</v>
      </c>
      <c r="B657" s="2" t="n">
        <v>8</v>
      </c>
      <c r="C657" s="2" t="s">
        <v>72</v>
      </c>
      <c r="D657" s="2" t="s">
        <v>42</v>
      </c>
      <c r="E657" s="2" t="str">
        <f aca="false">INDEX(Products!$B$2:$B$13,MATCH(D657,Products!$A$2:$A$13,0))</f>
        <v>Hydroprocessing</v>
      </c>
      <c r="F657" s="15" t="n">
        <v>4.1</v>
      </c>
      <c r="G657" s="16" t="n">
        <f aca="false">IF(A657="2025",INDEX(Products!$C$2:$C$13,MATCH(D657,Products!$A$2:$A$13,0)),INDEX(Products!$E$2:$E$13,MATCH(D657,Products!$A$2:$A$13,0)))</f>
        <v>12450</v>
      </c>
      <c r="H657" s="13" t="n">
        <f aca="false">IF(A657="2025",INDEX(Customers!$D$2:$D$41,MATCH(C657,Customers!$A$2:$A$41,0)),INDEX(Customers!$F$2:$F$41,MATCH(C657,Customers!$A$2:$A$41,0)))</f>
        <v>0.047</v>
      </c>
      <c r="I657" s="16" t="n">
        <f aca="false">F657*G657</f>
        <v>51045</v>
      </c>
      <c r="J657" s="16" t="n">
        <f aca="false">I657*(1-H657)</f>
        <v>48645.885</v>
      </c>
      <c r="K657" s="16" t="n">
        <f aca="false">J657*INDEX(Customers!$G$2:$G$41,MATCH(C657,Customers!$A$2:$A$41,0))</f>
        <v>2432.29425</v>
      </c>
      <c r="L657" s="16" t="n">
        <f aca="false">F657*INDEX(Customers!$H$2:$H$41,MATCH(C657,Customers!$A$2:$A$41,0))</f>
        <v>656</v>
      </c>
      <c r="M657" s="16" t="n">
        <f aca="false">J657*INDEX(Customers!$I$2:$I$41,MATCH(C657,Customers!$A$2:$A$41,0))/365*Assumptions!$B$6</f>
        <v>639.726706849315</v>
      </c>
      <c r="N657" s="16" t="n">
        <f aca="false">J657-K657-L657-M657</f>
        <v>44917.8640431507</v>
      </c>
      <c r="O657" s="16" t="n">
        <f aca="false">F657*IF(A657="2025",INDEX(Products!$D$2:$D$13,MATCH(D657,Products!$A$2:$A$13,0)),INDEX(Products!$F$2:$F$13,MATCH(D657,Products!$A$2:$A$13,0)))</f>
        <v>31898</v>
      </c>
      <c r="P657" s="16" t="n">
        <f aca="false">N657-O657</f>
        <v>13019.8640431507</v>
      </c>
    </row>
    <row r="658" customFormat="false" ht="15" hidden="false" customHeight="false" outlineLevel="0" collapsed="false">
      <c r="A658" s="2" t="s">
        <v>118</v>
      </c>
      <c r="B658" s="2" t="n">
        <v>9</v>
      </c>
      <c r="C658" s="2" t="s">
        <v>72</v>
      </c>
      <c r="D658" s="2" t="s">
        <v>42</v>
      </c>
      <c r="E658" s="2" t="str">
        <f aca="false">INDEX(Products!$B$2:$B$13,MATCH(D658,Products!$A$2:$A$13,0))</f>
        <v>Hydroprocessing</v>
      </c>
      <c r="F658" s="15" t="n">
        <v>3</v>
      </c>
      <c r="G658" s="16" t="n">
        <f aca="false">IF(A658="2025",INDEX(Products!$C$2:$C$13,MATCH(D658,Products!$A$2:$A$13,0)),INDEX(Products!$E$2:$E$13,MATCH(D658,Products!$A$2:$A$13,0)))</f>
        <v>12450</v>
      </c>
      <c r="H658" s="13" t="n">
        <f aca="false">IF(A658="2025",INDEX(Customers!$D$2:$D$41,MATCH(C658,Customers!$A$2:$A$41,0)),INDEX(Customers!$F$2:$F$41,MATCH(C658,Customers!$A$2:$A$41,0)))</f>
        <v>0.047</v>
      </c>
      <c r="I658" s="16" t="n">
        <f aca="false">F658*G658</f>
        <v>37350</v>
      </c>
      <c r="J658" s="16" t="n">
        <f aca="false">I658*(1-H658)</f>
        <v>35594.55</v>
      </c>
      <c r="K658" s="16" t="n">
        <f aca="false">J658*INDEX(Customers!$G$2:$G$41,MATCH(C658,Customers!$A$2:$A$41,0))</f>
        <v>1779.7275</v>
      </c>
      <c r="L658" s="16" t="n">
        <f aca="false">F658*INDEX(Customers!$H$2:$H$41,MATCH(C658,Customers!$A$2:$A$41,0))</f>
        <v>480</v>
      </c>
      <c r="M658" s="16" t="n">
        <f aca="false">J658*INDEX(Customers!$I$2:$I$41,MATCH(C658,Customers!$A$2:$A$41,0))/365*Assumptions!$B$6</f>
        <v>468.092712328767</v>
      </c>
      <c r="N658" s="16" t="n">
        <f aca="false">J658-K658-L658-M658</f>
        <v>32866.7297876712</v>
      </c>
      <c r="O658" s="16" t="n">
        <f aca="false">F658*IF(A658="2025",INDEX(Products!$D$2:$D$13,MATCH(D658,Products!$A$2:$A$13,0)),INDEX(Products!$F$2:$F$13,MATCH(D658,Products!$A$2:$A$13,0)))</f>
        <v>23340</v>
      </c>
      <c r="P658" s="16" t="n">
        <f aca="false">N658-O658</f>
        <v>9526.72978767123</v>
      </c>
    </row>
    <row r="659" customFormat="false" ht="15" hidden="false" customHeight="false" outlineLevel="0" collapsed="false">
      <c r="A659" s="2" t="s">
        <v>118</v>
      </c>
      <c r="B659" s="2" t="n">
        <v>10</v>
      </c>
      <c r="C659" s="2" t="s">
        <v>72</v>
      </c>
      <c r="D659" s="2" t="s">
        <v>42</v>
      </c>
      <c r="E659" s="2" t="str">
        <f aca="false">INDEX(Products!$B$2:$B$13,MATCH(D659,Products!$A$2:$A$13,0))</f>
        <v>Hydroprocessing</v>
      </c>
      <c r="F659" s="15" t="n">
        <v>5</v>
      </c>
      <c r="G659" s="16" t="n">
        <f aca="false">IF(A659="2025",INDEX(Products!$C$2:$C$13,MATCH(D659,Products!$A$2:$A$13,0)),INDEX(Products!$E$2:$E$13,MATCH(D659,Products!$A$2:$A$13,0)))</f>
        <v>12450</v>
      </c>
      <c r="H659" s="13" t="n">
        <f aca="false">IF(A659="2025",INDEX(Customers!$D$2:$D$41,MATCH(C659,Customers!$A$2:$A$41,0)),INDEX(Customers!$F$2:$F$41,MATCH(C659,Customers!$A$2:$A$41,0)))</f>
        <v>0.047</v>
      </c>
      <c r="I659" s="16" t="n">
        <f aca="false">F659*G659</f>
        <v>62250</v>
      </c>
      <c r="J659" s="16" t="n">
        <f aca="false">I659*(1-H659)</f>
        <v>59324.25</v>
      </c>
      <c r="K659" s="16" t="n">
        <f aca="false">J659*INDEX(Customers!$G$2:$G$41,MATCH(C659,Customers!$A$2:$A$41,0))</f>
        <v>2966.2125</v>
      </c>
      <c r="L659" s="16" t="n">
        <f aca="false">F659*INDEX(Customers!$H$2:$H$41,MATCH(C659,Customers!$A$2:$A$41,0))</f>
        <v>800</v>
      </c>
      <c r="M659" s="16" t="n">
        <f aca="false">J659*INDEX(Customers!$I$2:$I$41,MATCH(C659,Customers!$A$2:$A$41,0))/365*Assumptions!$B$6</f>
        <v>780.154520547945</v>
      </c>
      <c r="N659" s="16" t="n">
        <f aca="false">J659-K659-L659-M659</f>
        <v>54777.8829794521</v>
      </c>
      <c r="O659" s="16" t="n">
        <f aca="false">F659*IF(A659="2025",INDEX(Products!$D$2:$D$13,MATCH(D659,Products!$A$2:$A$13,0)),INDEX(Products!$F$2:$F$13,MATCH(D659,Products!$A$2:$A$13,0)))</f>
        <v>38900</v>
      </c>
      <c r="P659" s="16" t="n">
        <f aca="false">N659-O659</f>
        <v>15877.8829794521</v>
      </c>
    </row>
    <row r="660" customFormat="false" ht="15" hidden="false" customHeight="false" outlineLevel="0" collapsed="false">
      <c r="A660" s="2" t="s">
        <v>118</v>
      </c>
      <c r="B660" s="2" t="n">
        <v>11</v>
      </c>
      <c r="C660" s="2" t="s">
        <v>72</v>
      </c>
      <c r="D660" s="2" t="s">
        <v>42</v>
      </c>
      <c r="E660" s="2" t="str">
        <f aca="false">INDEX(Products!$B$2:$B$13,MATCH(D660,Products!$A$2:$A$13,0))</f>
        <v>Hydroprocessing</v>
      </c>
      <c r="F660" s="15" t="n">
        <v>4.9</v>
      </c>
      <c r="G660" s="16" t="n">
        <f aca="false">IF(A660="2025",INDEX(Products!$C$2:$C$13,MATCH(D660,Products!$A$2:$A$13,0)),INDEX(Products!$E$2:$E$13,MATCH(D660,Products!$A$2:$A$13,0)))</f>
        <v>12450</v>
      </c>
      <c r="H660" s="13" t="n">
        <f aca="false">IF(A660="2025",INDEX(Customers!$D$2:$D$41,MATCH(C660,Customers!$A$2:$A$41,0)),INDEX(Customers!$F$2:$F$41,MATCH(C660,Customers!$A$2:$A$41,0)))</f>
        <v>0.047</v>
      </c>
      <c r="I660" s="16" t="n">
        <f aca="false">F660*G660</f>
        <v>61005</v>
      </c>
      <c r="J660" s="16" t="n">
        <f aca="false">I660*(1-H660)</f>
        <v>58137.765</v>
      </c>
      <c r="K660" s="16" t="n">
        <f aca="false">J660*INDEX(Customers!$G$2:$G$41,MATCH(C660,Customers!$A$2:$A$41,0))</f>
        <v>2906.88825</v>
      </c>
      <c r="L660" s="16" t="n">
        <f aca="false">F660*INDEX(Customers!$H$2:$H$41,MATCH(C660,Customers!$A$2:$A$41,0))</f>
        <v>784</v>
      </c>
      <c r="M660" s="16" t="n">
        <f aca="false">J660*INDEX(Customers!$I$2:$I$41,MATCH(C660,Customers!$A$2:$A$41,0))/365*Assumptions!$B$6</f>
        <v>764.551430136987</v>
      </c>
      <c r="N660" s="16" t="n">
        <f aca="false">J660-K660-L660-M660</f>
        <v>53682.325319863</v>
      </c>
      <c r="O660" s="16" t="n">
        <f aca="false">F660*IF(A660="2025",INDEX(Products!$D$2:$D$13,MATCH(D660,Products!$A$2:$A$13,0)),INDEX(Products!$F$2:$F$13,MATCH(D660,Products!$A$2:$A$13,0)))</f>
        <v>38122</v>
      </c>
      <c r="P660" s="16" t="n">
        <f aca="false">N660-O660</f>
        <v>15560.325319863</v>
      </c>
    </row>
    <row r="661" customFormat="false" ht="15" hidden="false" customHeight="false" outlineLevel="0" collapsed="false">
      <c r="A661" s="2" t="s">
        <v>118</v>
      </c>
      <c r="B661" s="2" t="n">
        <v>12</v>
      </c>
      <c r="C661" s="2" t="s">
        <v>72</v>
      </c>
      <c r="D661" s="2" t="s">
        <v>42</v>
      </c>
      <c r="E661" s="2" t="str">
        <f aca="false">INDEX(Products!$B$2:$B$13,MATCH(D661,Products!$A$2:$A$13,0))</f>
        <v>Hydroprocessing</v>
      </c>
      <c r="F661" s="15" t="n">
        <v>2.9</v>
      </c>
      <c r="G661" s="16" t="n">
        <f aca="false">IF(A661="2025",INDEX(Products!$C$2:$C$13,MATCH(D661,Products!$A$2:$A$13,0)),INDEX(Products!$E$2:$E$13,MATCH(D661,Products!$A$2:$A$13,0)))</f>
        <v>12450</v>
      </c>
      <c r="H661" s="13" t="n">
        <f aca="false">IF(A661="2025",INDEX(Customers!$D$2:$D$41,MATCH(C661,Customers!$A$2:$A$41,0)),INDEX(Customers!$F$2:$F$41,MATCH(C661,Customers!$A$2:$A$41,0)))</f>
        <v>0.047</v>
      </c>
      <c r="I661" s="16" t="n">
        <f aca="false">F661*G661</f>
        <v>36105</v>
      </c>
      <c r="J661" s="16" t="n">
        <f aca="false">I661*(1-H661)</f>
        <v>34408.065</v>
      </c>
      <c r="K661" s="16" t="n">
        <f aca="false">J661*INDEX(Customers!$G$2:$G$41,MATCH(C661,Customers!$A$2:$A$41,0))</f>
        <v>1720.40325</v>
      </c>
      <c r="L661" s="16" t="n">
        <f aca="false">F661*INDEX(Customers!$H$2:$H$41,MATCH(C661,Customers!$A$2:$A$41,0))</f>
        <v>464</v>
      </c>
      <c r="M661" s="16" t="n">
        <f aca="false">J661*INDEX(Customers!$I$2:$I$41,MATCH(C661,Customers!$A$2:$A$41,0))/365*Assumptions!$B$6</f>
        <v>452.489621917808</v>
      </c>
      <c r="N661" s="16" t="n">
        <f aca="false">J661-K661-L661-M661</f>
        <v>31771.1721280822</v>
      </c>
      <c r="O661" s="16" t="n">
        <f aca="false">F661*IF(A661="2025",INDEX(Products!$D$2:$D$13,MATCH(D661,Products!$A$2:$A$13,0)),INDEX(Products!$F$2:$F$13,MATCH(D661,Products!$A$2:$A$13,0)))</f>
        <v>22562</v>
      </c>
      <c r="P661" s="16" t="n">
        <f aca="false">N661-O661</f>
        <v>9209.17212808219</v>
      </c>
    </row>
    <row r="662" customFormat="false" ht="15" hidden="false" customHeight="false" outlineLevel="0" collapsed="false">
      <c r="A662" s="2" t="s">
        <v>119</v>
      </c>
      <c r="B662" s="2" t="n">
        <v>1</v>
      </c>
      <c r="C662" s="2" t="s">
        <v>72</v>
      </c>
      <c r="D662" s="2" t="s">
        <v>42</v>
      </c>
      <c r="E662" s="2" t="str">
        <f aca="false">INDEX(Products!$B$2:$B$13,MATCH(D662,Products!$A$2:$A$13,0))</f>
        <v>Hydroprocessing</v>
      </c>
      <c r="F662" s="15" t="n">
        <v>3.4</v>
      </c>
      <c r="G662" s="16" t="n">
        <f aca="false">IF(A662="2025",INDEX(Products!$C$2:$C$13,MATCH(D662,Products!$A$2:$A$13,0)),INDEX(Products!$E$2:$E$13,MATCH(D662,Products!$A$2:$A$13,0)))</f>
        <v>13072.5</v>
      </c>
      <c r="H662" s="13" t="n">
        <f aca="false">IF(A662="2025",INDEX(Customers!$D$2:$D$41,MATCH(C662,Customers!$A$2:$A$41,0)),INDEX(Customers!$F$2:$F$41,MATCH(C662,Customers!$A$2:$A$41,0)))</f>
        <v>0.103</v>
      </c>
      <c r="I662" s="16" t="n">
        <f aca="false">F662*G662</f>
        <v>44446.5</v>
      </c>
      <c r="J662" s="16" t="n">
        <f aca="false">I662*(1-H662)</f>
        <v>39868.5105</v>
      </c>
      <c r="K662" s="16" t="n">
        <f aca="false">J662*INDEX(Customers!$G$2:$G$41,MATCH(C662,Customers!$A$2:$A$41,0))</f>
        <v>1993.425525</v>
      </c>
      <c r="L662" s="16" t="n">
        <f aca="false">F662*INDEX(Customers!$H$2:$H$41,MATCH(C662,Customers!$A$2:$A$41,0))</f>
        <v>544</v>
      </c>
      <c r="M662" s="16" t="n">
        <f aca="false">J662*INDEX(Customers!$I$2:$I$41,MATCH(C662,Customers!$A$2:$A$41,0))/365*Assumptions!$B$6</f>
        <v>524.298220273973</v>
      </c>
      <c r="N662" s="16" t="n">
        <f aca="false">J662-K662-L662-M662</f>
        <v>36806.786754726</v>
      </c>
      <c r="O662" s="16" t="n">
        <f aca="false">F662*IF(A662="2025",INDEX(Products!$D$2:$D$13,MATCH(D662,Products!$A$2:$A$13,0)),INDEX(Products!$F$2:$F$13,MATCH(D662,Products!$A$2:$A$13,0)))</f>
        <v>27245.56</v>
      </c>
      <c r="P662" s="16" t="n">
        <f aca="false">N662-O662</f>
        <v>9561.22675472603</v>
      </c>
    </row>
    <row r="663" customFormat="false" ht="15" hidden="false" customHeight="false" outlineLevel="0" collapsed="false">
      <c r="A663" s="2" t="s">
        <v>119</v>
      </c>
      <c r="B663" s="2" t="n">
        <v>2</v>
      </c>
      <c r="C663" s="2" t="s">
        <v>72</v>
      </c>
      <c r="D663" s="2" t="s">
        <v>42</v>
      </c>
      <c r="E663" s="2" t="str">
        <f aca="false">INDEX(Products!$B$2:$B$13,MATCH(D663,Products!$A$2:$A$13,0))</f>
        <v>Hydroprocessing</v>
      </c>
      <c r="F663" s="15" t="n">
        <v>4.6</v>
      </c>
      <c r="G663" s="16" t="n">
        <f aca="false">IF(A663="2025",INDEX(Products!$C$2:$C$13,MATCH(D663,Products!$A$2:$A$13,0)),INDEX(Products!$E$2:$E$13,MATCH(D663,Products!$A$2:$A$13,0)))</f>
        <v>13072.5</v>
      </c>
      <c r="H663" s="13" t="n">
        <f aca="false">IF(A663="2025",INDEX(Customers!$D$2:$D$41,MATCH(C663,Customers!$A$2:$A$41,0)),INDEX(Customers!$F$2:$F$41,MATCH(C663,Customers!$A$2:$A$41,0)))</f>
        <v>0.103</v>
      </c>
      <c r="I663" s="16" t="n">
        <f aca="false">F663*G663</f>
        <v>60133.5</v>
      </c>
      <c r="J663" s="16" t="n">
        <f aca="false">I663*(1-H663)</f>
        <v>53939.7495</v>
      </c>
      <c r="K663" s="16" t="n">
        <f aca="false">J663*INDEX(Customers!$G$2:$G$41,MATCH(C663,Customers!$A$2:$A$41,0))</f>
        <v>2696.987475</v>
      </c>
      <c r="L663" s="16" t="n">
        <f aca="false">F663*INDEX(Customers!$H$2:$H$41,MATCH(C663,Customers!$A$2:$A$41,0))</f>
        <v>736</v>
      </c>
      <c r="M663" s="16" t="n">
        <f aca="false">J663*INDEX(Customers!$I$2:$I$41,MATCH(C663,Customers!$A$2:$A$41,0))/365*Assumptions!$B$6</f>
        <v>709.344650958904</v>
      </c>
      <c r="N663" s="16" t="n">
        <f aca="false">J663-K663-L663-M663</f>
        <v>49797.4173740411</v>
      </c>
      <c r="O663" s="16" t="n">
        <f aca="false">F663*IF(A663="2025",INDEX(Products!$D$2:$D$13,MATCH(D663,Products!$A$2:$A$13,0)),INDEX(Products!$F$2:$F$13,MATCH(D663,Products!$A$2:$A$13,0)))</f>
        <v>36861.64</v>
      </c>
      <c r="P663" s="16" t="n">
        <f aca="false">N663-O663</f>
        <v>12935.7773740411</v>
      </c>
    </row>
    <row r="664" customFormat="false" ht="15" hidden="false" customHeight="false" outlineLevel="0" collapsed="false">
      <c r="A664" s="2" t="s">
        <v>119</v>
      </c>
      <c r="B664" s="2" t="n">
        <v>3</v>
      </c>
      <c r="C664" s="2" t="s">
        <v>72</v>
      </c>
      <c r="D664" s="2" t="s">
        <v>42</v>
      </c>
      <c r="E664" s="2" t="str">
        <f aca="false">INDEX(Products!$B$2:$B$13,MATCH(D664,Products!$A$2:$A$13,0))</f>
        <v>Hydroprocessing</v>
      </c>
      <c r="F664" s="15" t="n">
        <v>3.9</v>
      </c>
      <c r="G664" s="16" t="n">
        <f aca="false">IF(A664="2025",INDEX(Products!$C$2:$C$13,MATCH(D664,Products!$A$2:$A$13,0)),INDEX(Products!$E$2:$E$13,MATCH(D664,Products!$A$2:$A$13,0)))</f>
        <v>13072.5</v>
      </c>
      <c r="H664" s="13" t="n">
        <f aca="false">IF(A664="2025",INDEX(Customers!$D$2:$D$41,MATCH(C664,Customers!$A$2:$A$41,0)),INDEX(Customers!$F$2:$F$41,MATCH(C664,Customers!$A$2:$A$41,0)))</f>
        <v>0.103</v>
      </c>
      <c r="I664" s="16" t="n">
        <f aca="false">F664*G664</f>
        <v>50982.75</v>
      </c>
      <c r="J664" s="16" t="n">
        <f aca="false">I664*(1-H664)</f>
        <v>45731.52675</v>
      </c>
      <c r="K664" s="16" t="n">
        <f aca="false">J664*INDEX(Customers!$G$2:$G$41,MATCH(C664,Customers!$A$2:$A$41,0))</f>
        <v>2286.5763375</v>
      </c>
      <c r="L664" s="16" t="n">
        <f aca="false">F664*INDEX(Customers!$H$2:$H$41,MATCH(C664,Customers!$A$2:$A$41,0))</f>
        <v>624</v>
      </c>
      <c r="M664" s="16" t="n">
        <f aca="false">J664*INDEX(Customers!$I$2:$I$41,MATCH(C664,Customers!$A$2:$A$41,0))/365*Assumptions!$B$6</f>
        <v>601.400899726028</v>
      </c>
      <c r="N664" s="16" t="n">
        <f aca="false">J664-K664-L664-M664</f>
        <v>42219.549512774</v>
      </c>
      <c r="O664" s="16" t="n">
        <f aca="false">F664*IF(A664="2025",INDEX(Products!$D$2:$D$13,MATCH(D664,Products!$A$2:$A$13,0)),INDEX(Products!$F$2:$F$13,MATCH(D664,Products!$A$2:$A$13,0)))</f>
        <v>31252.26</v>
      </c>
      <c r="P664" s="16" t="n">
        <f aca="false">N664-O664</f>
        <v>10967.289512774</v>
      </c>
    </row>
    <row r="665" customFormat="false" ht="15" hidden="false" customHeight="false" outlineLevel="0" collapsed="false">
      <c r="A665" s="2" t="s">
        <v>119</v>
      </c>
      <c r="B665" s="2" t="n">
        <v>4</v>
      </c>
      <c r="C665" s="2" t="s">
        <v>72</v>
      </c>
      <c r="D665" s="2" t="s">
        <v>42</v>
      </c>
      <c r="E665" s="2" t="str">
        <f aca="false">INDEX(Products!$B$2:$B$13,MATCH(D665,Products!$A$2:$A$13,0))</f>
        <v>Hydroprocessing</v>
      </c>
      <c r="F665" s="15" t="n">
        <v>3.3</v>
      </c>
      <c r="G665" s="16" t="n">
        <f aca="false">IF(A665="2025",INDEX(Products!$C$2:$C$13,MATCH(D665,Products!$A$2:$A$13,0)),INDEX(Products!$E$2:$E$13,MATCH(D665,Products!$A$2:$A$13,0)))</f>
        <v>13072.5</v>
      </c>
      <c r="H665" s="13" t="n">
        <f aca="false">IF(A665="2025",INDEX(Customers!$D$2:$D$41,MATCH(C665,Customers!$A$2:$A$41,0)),INDEX(Customers!$F$2:$F$41,MATCH(C665,Customers!$A$2:$A$41,0)))</f>
        <v>0.103</v>
      </c>
      <c r="I665" s="16" t="n">
        <f aca="false">F665*G665</f>
        <v>43139.25</v>
      </c>
      <c r="J665" s="16" t="n">
        <f aca="false">I665*(1-H665)</f>
        <v>38695.90725</v>
      </c>
      <c r="K665" s="16" t="n">
        <f aca="false">J665*INDEX(Customers!$G$2:$G$41,MATCH(C665,Customers!$A$2:$A$41,0))</f>
        <v>1934.7953625</v>
      </c>
      <c r="L665" s="16" t="n">
        <f aca="false">F665*INDEX(Customers!$H$2:$H$41,MATCH(C665,Customers!$A$2:$A$41,0))</f>
        <v>528</v>
      </c>
      <c r="M665" s="16" t="n">
        <f aca="false">J665*INDEX(Customers!$I$2:$I$41,MATCH(C665,Customers!$A$2:$A$41,0))/365*Assumptions!$B$6</f>
        <v>508.877684383562</v>
      </c>
      <c r="N665" s="16" t="n">
        <f aca="false">J665-K665-L665-M665</f>
        <v>35724.2342031164</v>
      </c>
      <c r="O665" s="16" t="n">
        <f aca="false">F665*IF(A665="2025",INDEX(Products!$D$2:$D$13,MATCH(D665,Products!$A$2:$A$13,0)),INDEX(Products!$F$2:$F$13,MATCH(D665,Products!$A$2:$A$13,0)))</f>
        <v>26444.22</v>
      </c>
      <c r="P665" s="16" t="n">
        <f aca="false">N665-O665</f>
        <v>9280.01420311644</v>
      </c>
    </row>
    <row r="666" customFormat="false" ht="15" hidden="false" customHeight="false" outlineLevel="0" collapsed="false">
      <c r="A666" s="2" t="s">
        <v>119</v>
      </c>
      <c r="B666" s="2" t="n">
        <v>5</v>
      </c>
      <c r="C666" s="2" t="s">
        <v>72</v>
      </c>
      <c r="D666" s="2" t="s">
        <v>42</v>
      </c>
      <c r="E666" s="2" t="str">
        <f aca="false">INDEX(Products!$B$2:$B$13,MATCH(D666,Products!$A$2:$A$13,0))</f>
        <v>Hydroprocessing</v>
      </c>
      <c r="F666" s="15" t="n">
        <v>3.4</v>
      </c>
      <c r="G666" s="16" t="n">
        <f aca="false">IF(A666="2025",INDEX(Products!$C$2:$C$13,MATCH(D666,Products!$A$2:$A$13,0)),INDEX(Products!$E$2:$E$13,MATCH(D666,Products!$A$2:$A$13,0)))</f>
        <v>13072.5</v>
      </c>
      <c r="H666" s="13" t="n">
        <f aca="false">IF(A666="2025",INDEX(Customers!$D$2:$D$41,MATCH(C666,Customers!$A$2:$A$41,0)),INDEX(Customers!$F$2:$F$41,MATCH(C666,Customers!$A$2:$A$41,0)))</f>
        <v>0.103</v>
      </c>
      <c r="I666" s="16" t="n">
        <f aca="false">F666*G666</f>
        <v>44446.5</v>
      </c>
      <c r="J666" s="16" t="n">
        <f aca="false">I666*(1-H666)</f>
        <v>39868.5105</v>
      </c>
      <c r="K666" s="16" t="n">
        <f aca="false">J666*INDEX(Customers!$G$2:$G$41,MATCH(C666,Customers!$A$2:$A$41,0))</f>
        <v>1993.425525</v>
      </c>
      <c r="L666" s="16" t="n">
        <f aca="false">F666*INDEX(Customers!$H$2:$H$41,MATCH(C666,Customers!$A$2:$A$41,0))</f>
        <v>544</v>
      </c>
      <c r="M666" s="16" t="n">
        <f aca="false">J666*INDEX(Customers!$I$2:$I$41,MATCH(C666,Customers!$A$2:$A$41,0))/365*Assumptions!$B$6</f>
        <v>524.298220273973</v>
      </c>
      <c r="N666" s="16" t="n">
        <f aca="false">J666-K666-L666-M666</f>
        <v>36806.786754726</v>
      </c>
      <c r="O666" s="16" t="n">
        <f aca="false">F666*IF(A666="2025",INDEX(Products!$D$2:$D$13,MATCH(D666,Products!$A$2:$A$13,0)),INDEX(Products!$F$2:$F$13,MATCH(D666,Products!$A$2:$A$13,0)))</f>
        <v>27245.56</v>
      </c>
      <c r="P666" s="16" t="n">
        <f aca="false">N666-O666</f>
        <v>9561.22675472603</v>
      </c>
    </row>
    <row r="667" customFormat="false" ht="15" hidden="false" customHeight="false" outlineLevel="0" collapsed="false">
      <c r="A667" s="2" t="s">
        <v>119</v>
      </c>
      <c r="B667" s="2" t="n">
        <v>6</v>
      </c>
      <c r="C667" s="2" t="s">
        <v>72</v>
      </c>
      <c r="D667" s="2" t="s">
        <v>42</v>
      </c>
      <c r="E667" s="2" t="str">
        <f aca="false">INDEX(Products!$B$2:$B$13,MATCH(D667,Products!$A$2:$A$13,0))</f>
        <v>Hydroprocessing</v>
      </c>
      <c r="F667" s="15" t="n">
        <v>4.1</v>
      </c>
      <c r="G667" s="16" t="n">
        <f aca="false">IF(A667="2025",INDEX(Products!$C$2:$C$13,MATCH(D667,Products!$A$2:$A$13,0)),INDEX(Products!$E$2:$E$13,MATCH(D667,Products!$A$2:$A$13,0)))</f>
        <v>13072.5</v>
      </c>
      <c r="H667" s="13" t="n">
        <f aca="false">IF(A667="2025",INDEX(Customers!$D$2:$D$41,MATCH(C667,Customers!$A$2:$A$41,0)),INDEX(Customers!$F$2:$F$41,MATCH(C667,Customers!$A$2:$A$41,0)))</f>
        <v>0.103</v>
      </c>
      <c r="I667" s="16" t="n">
        <f aca="false">F667*G667</f>
        <v>53597.25</v>
      </c>
      <c r="J667" s="16" t="n">
        <f aca="false">I667*(1-H667)</f>
        <v>48076.73325</v>
      </c>
      <c r="K667" s="16" t="n">
        <f aca="false">J667*INDEX(Customers!$G$2:$G$41,MATCH(C667,Customers!$A$2:$A$41,0))</f>
        <v>2403.8366625</v>
      </c>
      <c r="L667" s="16" t="n">
        <f aca="false">F667*INDEX(Customers!$H$2:$H$41,MATCH(C667,Customers!$A$2:$A$41,0))</f>
        <v>656</v>
      </c>
      <c r="M667" s="16" t="n">
        <f aca="false">J667*INDEX(Customers!$I$2:$I$41,MATCH(C667,Customers!$A$2:$A$41,0))/365*Assumptions!$B$6</f>
        <v>632.241971506849</v>
      </c>
      <c r="N667" s="16" t="n">
        <f aca="false">J667-K667-L667-M667</f>
        <v>44384.6546159932</v>
      </c>
      <c r="O667" s="16" t="n">
        <f aca="false">F667*IF(A667="2025",INDEX(Products!$D$2:$D$13,MATCH(D667,Products!$A$2:$A$13,0)),INDEX(Products!$F$2:$F$13,MATCH(D667,Products!$A$2:$A$13,0)))</f>
        <v>32854.94</v>
      </c>
      <c r="P667" s="16" t="n">
        <f aca="false">N667-O667</f>
        <v>11529.7146159932</v>
      </c>
    </row>
    <row r="668" customFormat="false" ht="15" hidden="false" customHeight="false" outlineLevel="0" collapsed="false">
      <c r="A668" s="2" t="s">
        <v>119</v>
      </c>
      <c r="B668" s="2" t="n">
        <v>7</v>
      </c>
      <c r="C668" s="2" t="s">
        <v>72</v>
      </c>
      <c r="D668" s="2" t="s">
        <v>42</v>
      </c>
      <c r="E668" s="2" t="str">
        <f aca="false">INDEX(Products!$B$2:$B$13,MATCH(D668,Products!$A$2:$A$13,0))</f>
        <v>Hydroprocessing</v>
      </c>
      <c r="F668" s="15" t="n">
        <v>4.1</v>
      </c>
      <c r="G668" s="16" t="n">
        <f aca="false">IF(A668="2025",INDEX(Products!$C$2:$C$13,MATCH(D668,Products!$A$2:$A$13,0)),INDEX(Products!$E$2:$E$13,MATCH(D668,Products!$A$2:$A$13,0)))</f>
        <v>13072.5</v>
      </c>
      <c r="H668" s="13" t="n">
        <f aca="false">IF(A668="2025",INDEX(Customers!$D$2:$D$41,MATCH(C668,Customers!$A$2:$A$41,0)),INDEX(Customers!$F$2:$F$41,MATCH(C668,Customers!$A$2:$A$41,0)))</f>
        <v>0.103</v>
      </c>
      <c r="I668" s="16" t="n">
        <f aca="false">F668*G668</f>
        <v>53597.25</v>
      </c>
      <c r="J668" s="16" t="n">
        <f aca="false">I668*(1-H668)</f>
        <v>48076.73325</v>
      </c>
      <c r="K668" s="16" t="n">
        <f aca="false">J668*INDEX(Customers!$G$2:$G$41,MATCH(C668,Customers!$A$2:$A$41,0))</f>
        <v>2403.8366625</v>
      </c>
      <c r="L668" s="16" t="n">
        <f aca="false">F668*INDEX(Customers!$H$2:$H$41,MATCH(C668,Customers!$A$2:$A$41,0))</f>
        <v>656</v>
      </c>
      <c r="M668" s="16" t="n">
        <f aca="false">J668*INDEX(Customers!$I$2:$I$41,MATCH(C668,Customers!$A$2:$A$41,0))/365*Assumptions!$B$6</f>
        <v>632.241971506849</v>
      </c>
      <c r="N668" s="16" t="n">
        <f aca="false">J668-K668-L668-M668</f>
        <v>44384.6546159932</v>
      </c>
      <c r="O668" s="16" t="n">
        <f aca="false">F668*IF(A668="2025",INDEX(Products!$D$2:$D$13,MATCH(D668,Products!$A$2:$A$13,0)),INDEX(Products!$F$2:$F$13,MATCH(D668,Products!$A$2:$A$13,0)))</f>
        <v>32854.94</v>
      </c>
      <c r="P668" s="16" t="n">
        <f aca="false">N668-O668</f>
        <v>11529.7146159932</v>
      </c>
    </row>
    <row r="669" customFormat="false" ht="15" hidden="false" customHeight="false" outlineLevel="0" collapsed="false">
      <c r="A669" s="2" t="s">
        <v>119</v>
      </c>
      <c r="B669" s="2" t="n">
        <v>8</v>
      </c>
      <c r="C669" s="2" t="s">
        <v>72</v>
      </c>
      <c r="D669" s="2" t="s">
        <v>42</v>
      </c>
      <c r="E669" s="2" t="str">
        <f aca="false">INDEX(Products!$B$2:$B$13,MATCH(D669,Products!$A$2:$A$13,0))</f>
        <v>Hydroprocessing</v>
      </c>
      <c r="F669" s="15" t="n">
        <v>2.9</v>
      </c>
      <c r="G669" s="16" t="n">
        <f aca="false">IF(A669="2025",INDEX(Products!$C$2:$C$13,MATCH(D669,Products!$A$2:$A$13,0)),INDEX(Products!$E$2:$E$13,MATCH(D669,Products!$A$2:$A$13,0)))</f>
        <v>13072.5</v>
      </c>
      <c r="H669" s="13" t="n">
        <f aca="false">IF(A669="2025",INDEX(Customers!$D$2:$D$41,MATCH(C669,Customers!$A$2:$A$41,0)),INDEX(Customers!$F$2:$F$41,MATCH(C669,Customers!$A$2:$A$41,0)))</f>
        <v>0.103</v>
      </c>
      <c r="I669" s="16" t="n">
        <f aca="false">F669*G669</f>
        <v>37910.25</v>
      </c>
      <c r="J669" s="16" t="n">
        <f aca="false">I669*(1-H669)</f>
        <v>34005.49425</v>
      </c>
      <c r="K669" s="16" t="n">
        <f aca="false">J669*INDEX(Customers!$G$2:$G$41,MATCH(C669,Customers!$A$2:$A$41,0))</f>
        <v>1700.2747125</v>
      </c>
      <c r="L669" s="16" t="n">
        <f aca="false">F669*INDEX(Customers!$H$2:$H$41,MATCH(C669,Customers!$A$2:$A$41,0))</f>
        <v>464</v>
      </c>
      <c r="M669" s="16" t="n">
        <f aca="false">J669*INDEX(Customers!$I$2:$I$41,MATCH(C669,Customers!$A$2:$A$41,0))/365*Assumptions!$B$6</f>
        <v>447.195540821918</v>
      </c>
      <c r="N669" s="16" t="n">
        <f aca="false">J669-K669-L669-M669</f>
        <v>31394.0239966781</v>
      </c>
      <c r="O669" s="16" t="n">
        <f aca="false">F669*IF(A669="2025",INDEX(Products!$D$2:$D$13,MATCH(D669,Products!$A$2:$A$13,0)),INDEX(Products!$F$2:$F$13,MATCH(D669,Products!$A$2:$A$13,0)))</f>
        <v>23238.86</v>
      </c>
      <c r="P669" s="16" t="n">
        <f aca="false">N669-O669</f>
        <v>8155.16399667809</v>
      </c>
    </row>
    <row r="670" customFormat="false" ht="15" hidden="false" customHeight="false" outlineLevel="0" collapsed="false">
      <c r="A670" s="2" t="s">
        <v>119</v>
      </c>
      <c r="B670" s="2" t="n">
        <v>9</v>
      </c>
      <c r="C670" s="2" t="s">
        <v>72</v>
      </c>
      <c r="D670" s="2" t="s">
        <v>42</v>
      </c>
      <c r="E670" s="2" t="str">
        <f aca="false">INDEX(Products!$B$2:$B$13,MATCH(D670,Products!$A$2:$A$13,0))</f>
        <v>Hydroprocessing</v>
      </c>
      <c r="F670" s="15" t="n">
        <v>3.6</v>
      </c>
      <c r="G670" s="16" t="n">
        <f aca="false">IF(A670="2025",INDEX(Products!$C$2:$C$13,MATCH(D670,Products!$A$2:$A$13,0)),INDEX(Products!$E$2:$E$13,MATCH(D670,Products!$A$2:$A$13,0)))</f>
        <v>13072.5</v>
      </c>
      <c r="H670" s="13" t="n">
        <f aca="false">IF(A670="2025",INDEX(Customers!$D$2:$D$41,MATCH(C670,Customers!$A$2:$A$41,0)),INDEX(Customers!$F$2:$F$41,MATCH(C670,Customers!$A$2:$A$41,0)))</f>
        <v>0.103</v>
      </c>
      <c r="I670" s="16" t="n">
        <f aca="false">F670*G670</f>
        <v>47061</v>
      </c>
      <c r="J670" s="16" t="n">
        <f aca="false">I670*(1-H670)</f>
        <v>42213.717</v>
      </c>
      <c r="K670" s="16" t="n">
        <f aca="false">J670*INDEX(Customers!$G$2:$G$41,MATCH(C670,Customers!$A$2:$A$41,0))</f>
        <v>2110.68585</v>
      </c>
      <c r="L670" s="16" t="n">
        <f aca="false">F670*INDEX(Customers!$H$2:$H$41,MATCH(C670,Customers!$A$2:$A$41,0))</f>
        <v>576</v>
      </c>
      <c r="M670" s="16" t="n">
        <f aca="false">J670*INDEX(Customers!$I$2:$I$41,MATCH(C670,Customers!$A$2:$A$41,0))/365*Assumptions!$B$6</f>
        <v>555.139292054795</v>
      </c>
      <c r="N670" s="16" t="n">
        <f aca="false">J670-K670-L670-M670</f>
        <v>38971.8918579452</v>
      </c>
      <c r="O670" s="16" t="n">
        <f aca="false">F670*IF(A670="2025",INDEX(Products!$D$2:$D$13,MATCH(D670,Products!$A$2:$A$13,0)),INDEX(Products!$F$2:$F$13,MATCH(D670,Products!$A$2:$A$13,0)))</f>
        <v>28848.24</v>
      </c>
      <c r="P670" s="16" t="n">
        <f aca="false">N670-O670</f>
        <v>10123.6518579452</v>
      </c>
    </row>
    <row r="671" customFormat="false" ht="15" hidden="false" customHeight="false" outlineLevel="0" collapsed="false">
      <c r="A671" s="2" t="s">
        <v>119</v>
      </c>
      <c r="B671" s="2" t="n">
        <v>10</v>
      </c>
      <c r="C671" s="2" t="s">
        <v>72</v>
      </c>
      <c r="D671" s="2" t="s">
        <v>42</v>
      </c>
      <c r="E671" s="2" t="str">
        <f aca="false">INDEX(Products!$B$2:$B$13,MATCH(D671,Products!$A$2:$A$13,0))</f>
        <v>Hydroprocessing</v>
      </c>
      <c r="F671" s="15" t="n">
        <v>4.4</v>
      </c>
      <c r="G671" s="16" t="n">
        <f aca="false">IF(A671="2025",INDEX(Products!$C$2:$C$13,MATCH(D671,Products!$A$2:$A$13,0)),INDEX(Products!$E$2:$E$13,MATCH(D671,Products!$A$2:$A$13,0)))</f>
        <v>13072.5</v>
      </c>
      <c r="H671" s="13" t="n">
        <f aca="false">IF(A671="2025",INDEX(Customers!$D$2:$D$41,MATCH(C671,Customers!$A$2:$A$41,0)),INDEX(Customers!$F$2:$F$41,MATCH(C671,Customers!$A$2:$A$41,0)))</f>
        <v>0.103</v>
      </c>
      <c r="I671" s="16" t="n">
        <f aca="false">F671*G671</f>
        <v>57519</v>
      </c>
      <c r="J671" s="16" t="n">
        <f aca="false">I671*(1-H671)</f>
        <v>51594.543</v>
      </c>
      <c r="K671" s="16" t="n">
        <f aca="false">J671*INDEX(Customers!$G$2:$G$41,MATCH(C671,Customers!$A$2:$A$41,0))</f>
        <v>2579.72715</v>
      </c>
      <c r="L671" s="16" t="n">
        <f aca="false">F671*INDEX(Customers!$H$2:$H$41,MATCH(C671,Customers!$A$2:$A$41,0))</f>
        <v>704</v>
      </c>
      <c r="M671" s="16" t="n">
        <f aca="false">J671*INDEX(Customers!$I$2:$I$41,MATCH(C671,Customers!$A$2:$A$41,0))/365*Assumptions!$B$6</f>
        <v>678.503579178082</v>
      </c>
      <c r="N671" s="16" t="n">
        <f aca="false">J671-K671-L671-M671</f>
        <v>47632.3122708219</v>
      </c>
      <c r="O671" s="16" t="n">
        <f aca="false">F671*IF(A671="2025",INDEX(Products!$D$2:$D$13,MATCH(D671,Products!$A$2:$A$13,0)),INDEX(Products!$F$2:$F$13,MATCH(D671,Products!$A$2:$A$13,0)))</f>
        <v>35258.96</v>
      </c>
      <c r="P671" s="16" t="n">
        <f aca="false">N671-O671</f>
        <v>12373.3522708219</v>
      </c>
    </row>
    <row r="672" customFormat="false" ht="15" hidden="false" customHeight="false" outlineLevel="0" collapsed="false">
      <c r="A672" s="2" t="s">
        <v>119</v>
      </c>
      <c r="B672" s="2" t="n">
        <v>11</v>
      </c>
      <c r="C672" s="2" t="s">
        <v>72</v>
      </c>
      <c r="D672" s="2" t="s">
        <v>42</v>
      </c>
      <c r="E672" s="2" t="str">
        <f aca="false">INDEX(Products!$B$2:$B$13,MATCH(D672,Products!$A$2:$A$13,0))</f>
        <v>Hydroprocessing</v>
      </c>
      <c r="F672" s="15" t="n">
        <v>4.4</v>
      </c>
      <c r="G672" s="16" t="n">
        <f aca="false">IF(A672="2025",INDEX(Products!$C$2:$C$13,MATCH(D672,Products!$A$2:$A$13,0)),INDEX(Products!$E$2:$E$13,MATCH(D672,Products!$A$2:$A$13,0)))</f>
        <v>13072.5</v>
      </c>
      <c r="H672" s="13" t="n">
        <f aca="false">IF(A672="2025",INDEX(Customers!$D$2:$D$41,MATCH(C672,Customers!$A$2:$A$41,0)),INDEX(Customers!$F$2:$F$41,MATCH(C672,Customers!$A$2:$A$41,0)))</f>
        <v>0.103</v>
      </c>
      <c r="I672" s="16" t="n">
        <f aca="false">F672*G672</f>
        <v>57519</v>
      </c>
      <c r="J672" s="16" t="n">
        <f aca="false">I672*(1-H672)</f>
        <v>51594.543</v>
      </c>
      <c r="K672" s="16" t="n">
        <f aca="false">J672*INDEX(Customers!$G$2:$G$41,MATCH(C672,Customers!$A$2:$A$41,0))</f>
        <v>2579.72715</v>
      </c>
      <c r="L672" s="16" t="n">
        <f aca="false">F672*INDEX(Customers!$H$2:$H$41,MATCH(C672,Customers!$A$2:$A$41,0))</f>
        <v>704</v>
      </c>
      <c r="M672" s="16" t="n">
        <f aca="false">J672*INDEX(Customers!$I$2:$I$41,MATCH(C672,Customers!$A$2:$A$41,0))/365*Assumptions!$B$6</f>
        <v>678.503579178082</v>
      </c>
      <c r="N672" s="16" t="n">
        <f aca="false">J672-K672-L672-M672</f>
        <v>47632.3122708219</v>
      </c>
      <c r="O672" s="16" t="n">
        <f aca="false">F672*IF(A672="2025",INDEX(Products!$D$2:$D$13,MATCH(D672,Products!$A$2:$A$13,0)),INDEX(Products!$F$2:$F$13,MATCH(D672,Products!$A$2:$A$13,0)))</f>
        <v>35258.96</v>
      </c>
      <c r="P672" s="16" t="n">
        <f aca="false">N672-O672</f>
        <v>12373.3522708219</v>
      </c>
    </row>
    <row r="673" customFormat="false" ht="15" hidden="false" customHeight="false" outlineLevel="0" collapsed="false">
      <c r="A673" s="2" t="s">
        <v>119</v>
      </c>
      <c r="B673" s="2" t="n">
        <v>12</v>
      </c>
      <c r="C673" s="2" t="s">
        <v>72</v>
      </c>
      <c r="D673" s="2" t="s">
        <v>42</v>
      </c>
      <c r="E673" s="2" t="str">
        <f aca="false">INDEX(Products!$B$2:$B$13,MATCH(D673,Products!$A$2:$A$13,0))</f>
        <v>Hydroprocessing</v>
      </c>
      <c r="F673" s="15" t="n">
        <v>4.1</v>
      </c>
      <c r="G673" s="16" t="n">
        <f aca="false">IF(A673="2025",INDEX(Products!$C$2:$C$13,MATCH(D673,Products!$A$2:$A$13,0)),INDEX(Products!$E$2:$E$13,MATCH(D673,Products!$A$2:$A$13,0)))</f>
        <v>13072.5</v>
      </c>
      <c r="H673" s="13" t="n">
        <f aca="false">IF(A673="2025",INDEX(Customers!$D$2:$D$41,MATCH(C673,Customers!$A$2:$A$41,0)),INDEX(Customers!$F$2:$F$41,MATCH(C673,Customers!$A$2:$A$41,0)))</f>
        <v>0.103</v>
      </c>
      <c r="I673" s="16" t="n">
        <f aca="false">F673*G673</f>
        <v>53597.25</v>
      </c>
      <c r="J673" s="16" t="n">
        <f aca="false">I673*(1-H673)</f>
        <v>48076.73325</v>
      </c>
      <c r="K673" s="16" t="n">
        <f aca="false">J673*INDEX(Customers!$G$2:$G$41,MATCH(C673,Customers!$A$2:$A$41,0))</f>
        <v>2403.8366625</v>
      </c>
      <c r="L673" s="16" t="n">
        <f aca="false">F673*INDEX(Customers!$H$2:$H$41,MATCH(C673,Customers!$A$2:$A$41,0))</f>
        <v>656</v>
      </c>
      <c r="M673" s="16" t="n">
        <f aca="false">J673*INDEX(Customers!$I$2:$I$41,MATCH(C673,Customers!$A$2:$A$41,0))/365*Assumptions!$B$6</f>
        <v>632.241971506849</v>
      </c>
      <c r="N673" s="16" t="n">
        <f aca="false">J673-K673-L673-M673</f>
        <v>44384.6546159932</v>
      </c>
      <c r="O673" s="16" t="n">
        <f aca="false">F673*IF(A673="2025",INDEX(Products!$D$2:$D$13,MATCH(D673,Products!$A$2:$A$13,0)),INDEX(Products!$F$2:$F$13,MATCH(D673,Products!$A$2:$A$13,0)))</f>
        <v>32854.94</v>
      </c>
      <c r="P673" s="16" t="n">
        <f aca="false">N673-O673</f>
        <v>11529.7146159932</v>
      </c>
    </row>
    <row r="674" customFormat="false" ht="15" hidden="false" customHeight="false" outlineLevel="0" collapsed="false">
      <c r="A674" s="2" t="s">
        <v>118</v>
      </c>
      <c r="B674" s="2" t="n">
        <v>1</v>
      </c>
      <c r="C674" s="2" t="s">
        <v>72</v>
      </c>
      <c r="D674" s="2" t="s">
        <v>36</v>
      </c>
      <c r="E674" s="2" t="str">
        <f aca="false">INDEX(Products!$B$2:$B$13,MATCH(D674,Products!$A$2:$A$13,0))</f>
        <v>FCC</v>
      </c>
      <c r="F674" s="15" t="n">
        <v>9.8</v>
      </c>
      <c r="G674" s="16" t="n">
        <f aca="false">IF(A674="2025",INDEX(Products!$C$2:$C$13,MATCH(D674,Products!$A$2:$A$13,0)),INDEX(Products!$E$2:$E$13,MATCH(D674,Products!$A$2:$A$13,0)))</f>
        <v>3700</v>
      </c>
      <c r="H674" s="13" t="n">
        <f aca="false">IF(A674="2025",INDEX(Customers!$D$2:$D$41,MATCH(C674,Customers!$A$2:$A$41,0)),INDEX(Customers!$F$2:$F$41,MATCH(C674,Customers!$A$2:$A$41,0)))</f>
        <v>0.047</v>
      </c>
      <c r="I674" s="16" t="n">
        <f aca="false">F674*G674</f>
        <v>36260</v>
      </c>
      <c r="J674" s="16" t="n">
        <f aca="false">I674*(1-H674)</f>
        <v>34555.78</v>
      </c>
      <c r="K674" s="16" t="n">
        <f aca="false">J674*INDEX(Customers!$G$2:$G$41,MATCH(C674,Customers!$A$2:$A$41,0))</f>
        <v>1727.789</v>
      </c>
      <c r="L674" s="16" t="n">
        <f aca="false">F674*INDEX(Customers!$H$2:$H$41,MATCH(C674,Customers!$A$2:$A$41,0))</f>
        <v>1568</v>
      </c>
      <c r="M674" s="16" t="n">
        <f aca="false">J674*INDEX(Customers!$I$2:$I$41,MATCH(C674,Customers!$A$2:$A$41,0))/365*Assumptions!$B$6</f>
        <v>454.432175342466</v>
      </c>
      <c r="N674" s="16" t="n">
        <f aca="false">J674-K674-L674-M674</f>
        <v>30805.5588246575</v>
      </c>
      <c r="O674" s="16" t="n">
        <f aca="false">F674*IF(A674="2025",INDEX(Products!$D$2:$D$13,MATCH(D674,Products!$A$2:$A$13,0)),INDEX(Products!$F$2:$F$13,MATCH(D674,Products!$A$2:$A$13,0)))</f>
        <v>23520</v>
      </c>
      <c r="P674" s="16" t="n">
        <f aca="false">N674-O674</f>
        <v>7285.55882465754</v>
      </c>
    </row>
    <row r="675" customFormat="false" ht="15" hidden="false" customHeight="false" outlineLevel="0" collapsed="false">
      <c r="A675" s="2" t="s">
        <v>118</v>
      </c>
      <c r="B675" s="2" t="n">
        <v>2</v>
      </c>
      <c r="C675" s="2" t="s">
        <v>72</v>
      </c>
      <c r="D675" s="2" t="s">
        <v>36</v>
      </c>
      <c r="E675" s="2" t="str">
        <f aca="false">INDEX(Products!$B$2:$B$13,MATCH(D675,Products!$A$2:$A$13,0))</f>
        <v>FCC</v>
      </c>
      <c r="F675" s="15" t="n">
        <v>9.2</v>
      </c>
      <c r="G675" s="16" t="n">
        <f aca="false">IF(A675="2025",INDEX(Products!$C$2:$C$13,MATCH(D675,Products!$A$2:$A$13,0)),INDEX(Products!$E$2:$E$13,MATCH(D675,Products!$A$2:$A$13,0)))</f>
        <v>3700</v>
      </c>
      <c r="H675" s="13" t="n">
        <f aca="false">IF(A675="2025",INDEX(Customers!$D$2:$D$41,MATCH(C675,Customers!$A$2:$A$41,0)),INDEX(Customers!$F$2:$F$41,MATCH(C675,Customers!$A$2:$A$41,0)))</f>
        <v>0.047</v>
      </c>
      <c r="I675" s="16" t="n">
        <f aca="false">F675*G675</f>
        <v>34040</v>
      </c>
      <c r="J675" s="16" t="n">
        <f aca="false">I675*(1-H675)</f>
        <v>32440.12</v>
      </c>
      <c r="K675" s="16" t="n">
        <f aca="false">J675*INDEX(Customers!$G$2:$G$41,MATCH(C675,Customers!$A$2:$A$41,0))</f>
        <v>1622.006</v>
      </c>
      <c r="L675" s="16" t="n">
        <f aca="false">F675*INDEX(Customers!$H$2:$H$41,MATCH(C675,Customers!$A$2:$A$41,0))</f>
        <v>1472</v>
      </c>
      <c r="M675" s="16" t="n">
        <f aca="false">J675*INDEX(Customers!$I$2:$I$41,MATCH(C675,Customers!$A$2:$A$41,0))/365*Assumptions!$B$6</f>
        <v>426.609797260274</v>
      </c>
      <c r="N675" s="16" t="n">
        <f aca="false">J675-K675-L675-M675</f>
        <v>28919.5042027397</v>
      </c>
      <c r="O675" s="16" t="n">
        <f aca="false">F675*IF(A675="2025",INDEX(Products!$D$2:$D$13,MATCH(D675,Products!$A$2:$A$13,0)),INDEX(Products!$F$2:$F$13,MATCH(D675,Products!$A$2:$A$13,0)))</f>
        <v>22080</v>
      </c>
      <c r="P675" s="16" t="n">
        <f aca="false">N675-O675</f>
        <v>6839.50420273973</v>
      </c>
    </row>
    <row r="676" customFormat="false" ht="15" hidden="false" customHeight="false" outlineLevel="0" collapsed="false">
      <c r="A676" s="2" t="s">
        <v>118</v>
      </c>
      <c r="B676" s="2" t="n">
        <v>3</v>
      </c>
      <c r="C676" s="2" t="s">
        <v>72</v>
      </c>
      <c r="D676" s="2" t="s">
        <v>36</v>
      </c>
      <c r="E676" s="2" t="str">
        <f aca="false">INDEX(Products!$B$2:$B$13,MATCH(D676,Products!$A$2:$A$13,0))</f>
        <v>FCC</v>
      </c>
      <c r="F676" s="15" t="n">
        <v>9.9</v>
      </c>
      <c r="G676" s="16" t="n">
        <f aca="false">IF(A676="2025",INDEX(Products!$C$2:$C$13,MATCH(D676,Products!$A$2:$A$13,0)),INDEX(Products!$E$2:$E$13,MATCH(D676,Products!$A$2:$A$13,0)))</f>
        <v>3700</v>
      </c>
      <c r="H676" s="13" t="n">
        <f aca="false">IF(A676="2025",INDEX(Customers!$D$2:$D$41,MATCH(C676,Customers!$A$2:$A$41,0)),INDEX(Customers!$F$2:$F$41,MATCH(C676,Customers!$A$2:$A$41,0)))</f>
        <v>0.047</v>
      </c>
      <c r="I676" s="16" t="n">
        <f aca="false">F676*G676</f>
        <v>36630</v>
      </c>
      <c r="J676" s="16" t="n">
        <f aca="false">I676*(1-H676)</f>
        <v>34908.39</v>
      </c>
      <c r="K676" s="16" t="n">
        <f aca="false">J676*INDEX(Customers!$G$2:$G$41,MATCH(C676,Customers!$A$2:$A$41,0))</f>
        <v>1745.4195</v>
      </c>
      <c r="L676" s="16" t="n">
        <f aca="false">F676*INDEX(Customers!$H$2:$H$41,MATCH(C676,Customers!$A$2:$A$41,0))</f>
        <v>1584</v>
      </c>
      <c r="M676" s="16" t="n">
        <f aca="false">J676*INDEX(Customers!$I$2:$I$41,MATCH(C676,Customers!$A$2:$A$41,0))/365*Assumptions!$B$6</f>
        <v>459.069238356164</v>
      </c>
      <c r="N676" s="16" t="n">
        <f aca="false">J676-K676-L676-M676</f>
        <v>31119.9012616438</v>
      </c>
      <c r="O676" s="16" t="n">
        <f aca="false">F676*IF(A676="2025",INDEX(Products!$D$2:$D$13,MATCH(D676,Products!$A$2:$A$13,0)),INDEX(Products!$F$2:$F$13,MATCH(D676,Products!$A$2:$A$13,0)))</f>
        <v>23760</v>
      </c>
      <c r="P676" s="16" t="n">
        <f aca="false">N676-O676</f>
        <v>7359.90126164383</v>
      </c>
    </row>
    <row r="677" customFormat="false" ht="15" hidden="false" customHeight="false" outlineLevel="0" collapsed="false">
      <c r="A677" s="2" t="s">
        <v>118</v>
      </c>
      <c r="B677" s="2" t="n">
        <v>4</v>
      </c>
      <c r="C677" s="2" t="s">
        <v>72</v>
      </c>
      <c r="D677" s="2" t="s">
        <v>36</v>
      </c>
      <c r="E677" s="2" t="str">
        <f aca="false">INDEX(Products!$B$2:$B$13,MATCH(D677,Products!$A$2:$A$13,0))</f>
        <v>FCC</v>
      </c>
      <c r="F677" s="15" t="n">
        <v>7.5</v>
      </c>
      <c r="G677" s="16" t="n">
        <f aca="false">IF(A677="2025",INDEX(Products!$C$2:$C$13,MATCH(D677,Products!$A$2:$A$13,0)),INDEX(Products!$E$2:$E$13,MATCH(D677,Products!$A$2:$A$13,0)))</f>
        <v>3700</v>
      </c>
      <c r="H677" s="13" t="n">
        <f aca="false">IF(A677="2025",INDEX(Customers!$D$2:$D$41,MATCH(C677,Customers!$A$2:$A$41,0)),INDEX(Customers!$F$2:$F$41,MATCH(C677,Customers!$A$2:$A$41,0)))</f>
        <v>0.047</v>
      </c>
      <c r="I677" s="16" t="n">
        <f aca="false">F677*G677</f>
        <v>27750</v>
      </c>
      <c r="J677" s="16" t="n">
        <f aca="false">I677*(1-H677)</f>
        <v>26445.75</v>
      </c>
      <c r="K677" s="16" t="n">
        <f aca="false">J677*INDEX(Customers!$G$2:$G$41,MATCH(C677,Customers!$A$2:$A$41,0))</f>
        <v>1322.2875</v>
      </c>
      <c r="L677" s="16" t="n">
        <f aca="false">F677*INDEX(Customers!$H$2:$H$41,MATCH(C677,Customers!$A$2:$A$41,0))</f>
        <v>1200</v>
      </c>
      <c r="M677" s="16" t="n">
        <f aca="false">J677*INDEX(Customers!$I$2:$I$41,MATCH(C677,Customers!$A$2:$A$41,0))/365*Assumptions!$B$6</f>
        <v>347.779726027397</v>
      </c>
      <c r="N677" s="16" t="n">
        <f aca="false">J677-K677-L677-M677</f>
        <v>23575.6827739726</v>
      </c>
      <c r="O677" s="16" t="n">
        <f aca="false">F677*IF(A677="2025",INDEX(Products!$D$2:$D$13,MATCH(D677,Products!$A$2:$A$13,0)),INDEX(Products!$F$2:$F$13,MATCH(D677,Products!$A$2:$A$13,0)))</f>
        <v>18000</v>
      </c>
      <c r="P677" s="16" t="n">
        <f aca="false">N677-O677</f>
        <v>5575.6827739726</v>
      </c>
    </row>
    <row r="678" customFormat="false" ht="15" hidden="false" customHeight="false" outlineLevel="0" collapsed="false">
      <c r="A678" s="2" t="s">
        <v>118</v>
      </c>
      <c r="B678" s="2" t="n">
        <v>5</v>
      </c>
      <c r="C678" s="2" t="s">
        <v>72</v>
      </c>
      <c r="D678" s="2" t="s">
        <v>36</v>
      </c>
      <c r="E678" s="2" t="str">
        <f aca="false">INDEX(Products!$B$2:$B$13,MATCH(D678,Products!$A$2:$A$13,0))</f>
        <v>FCC</v>
      </c>
      <c r="F678" s="15" t="n">
        <v>6.1</v>
      </c>
      <c r="G678" s="16" t="n">
        <f aca="false">IF(A678="2025",INDEX(Products!$C$2:$C$13,MATCH(D678,Products!$A$2:$A$13,0)),INDEX(Products!$E$2:$E$13,MATCH(D678,Products!$A$2:$A$13,0)))</f>
        <v>3700</v>
      </c>
      <c r="H678" s="13" t="n">
        <f aca="false">IF(A678="2025",INDEX(Customers!$D$2:$D$41,MATCH(C678,Customers!$A$2:$A$41,0)),INDEX(Customers!$F$2:$F$41,MATCH(C678,Customers!$A$2:$A$41,0)))</f>
        <v>0.047</v>
      </c>
      <c r="I678" s="16" t="n">
        <f aca="false">F678*G678</f>
        <v>22570</v>
      </c>
      <c r="J678" s="16" t="n">
        <f aca="false">I678*(1-H678)</f>
        <v>21509.21</v>
      </c>
      <c r="K678" s="16" t="n">
        <f aca="false">J678*INDEX(Customers!$G$2:$G$41,MATCH(C678,Customers!$A$2:$A$41,0))</f>
        <v>1075.4605</v>
      </c>
      <c r="L678" s="16" t="n">
        <f aca="false">F678*INDEX(Customers!$H$2:$H$41,MATCH(C678,Customers!$A$2:$A$41,0))</f>
        <v>976</v>
      </c>
      <c r="M678" s="16" t="n">
        <f aca="false">J678*INDEX(Customers!$I$2:$I$41,MATCH(C678,Customers!$A$2:$A$41,0))/365*Assumptions!$B$6</f>
        <v>282.860843835616</v>
      </c>
      <c r="N678" s="16" t="n">
        <f aca="false">J678-K678-L678-M678</f>
        <v>19174.8886561644</v>
      </c>
      <c r="O678" s="16" t="n">
        <f aca="false">F678*IF(A678="2025",INDEX(Products!$D$2:$D$13,MATCH(D678,Products!$A$2:$A$13,0)),INDEX(Products!$F$2:$F$13,MATCH(D678,Products!$A$2:$A$13,0)))</f>
        <v>14640</v>
      </c>
      <c r="P678" s="16" t="n">
        <f aca="false">N678-O678</f>
        <v>4534.88865616438</v>
      </c>
    </row>
    <row r="679" customFormat="false" ht="15" hidden="false" customHeight="false" outlineLevel="0" collapsed="false">
      <c r="A679" s="2" t="s">
        <v>118</v>
      </c>
      <c r="B679" s="2" t="n">
        <v>6</v>
      </c>
      <c r="C679" s="2" t="s">
        <v>72</v>
      </c>
      <c r="D679" s="2" t="s">
        <v>36</v>
      </c>
      <c r="E679" s="2" t="str">
        <f aca="false">INDEX(Products!$B$2:$B$13,MATCH(D679,Products!$A$2:$A$13,0))</f>
        <v>FCC</v>
      </c>
      <c r="F679" s="15" t="n">
        <v>6.3</v>
      </c>
      <c r="G679" s="16" t="n">
        <f aca="false">IF(A679="2025",INDEX(Products!$C$2:$C$13,MATCH(D679,Products!$A$2:$A$13,0)),INDEX(Products!$E$2:$E$13,MATCH(D679,Products!$A$2:$A$13,0)))</f>
        <v>3700</v>
      </c>
      <c r="H679" s="13" t="n">
        <f aca="false">IF(A679="2025",INDEX(Customers!$D$2:$D$41,MATCH(C679,Customers!$A$2:$A$41,0)),INDEX(Customers!$F$2:$F$41,MATCH(C679,Customers!$A$2:$A$41,0)))</f>
        <v>0.047</v>
      </c>
      <c r="I679" s="16" t="n">
        <f aca="false">F679*G679</f>
        <v>23310</v>
      </c>
      <c r="J679" s="16" t="n">
        <f aca="false">I679*(1-H679)</f>
        <v>22214.43</v>
      </c>
      <c r="K679" s="16" t="n">
        <f aca="false">J679*INDEX(Customers!$G$2:$G$41,MATCH(C679,Customers!$A$2:$A$41,0))</f>
        <v>1110.7215</v>
      </c>
      <c r="L679" s="16" t="n">
        <f aca="false">F679*INDEX(Customers!$H$2:$H$41,MATCH(C679,Customers!$A$2:$A$41,0))</f>
        <v>1008</v>
      </c>
      <c r="M679" s="16" t="n">
        <f aca="false">J679*INDEX(Customers!$I$2:$I$41,MATCH(C679,Customers!$A$2:$A$41,0))/365*Assumptions!$B$6</f>
        <v>292.134969863014</v>
      </c>
      <c r="N679" s="16" t="n">
        <f aca="false">J679-K679-L679-M679</f>
        <v>19803.573530137</v>
      </c>
      <c r="O679" s="16" t="n">
        <f aca="false">F679*IF(A679="2025",INDEX(Products!$D$2:$D$13,MATCH(D679,Products!$A$2:$A$13,0)),INDEX(Products!$F$2:$F$13,MATCH(D679,Products!$A$2:$A$13,0)))</f>
        <v>15120</v>
      </c>
      <c r="P679" s="16" t="n">
        <f aca="false">N679-O679</f>
        <v>4683.57353013699</v>
      </c>
    </row>
    <row r="680" customFormat="false" ht="15" hidden="false" customHeight="false" outlineLevel="0" collapsed="false">
      <c r="A680" s="2" t="s">
        <v>118</v>
      </c>
      <c r="B680" s="2" t="n">
        <v>7</v>
      </c>
      <c r="C680" s="2" t="s">
        <v>72</v>
      </c>
      <c r="D680" s="2" t="s">
        <v>36</v>
      </c>
      <c r="E680" s="2" t="str">
        <f aca="false">INDEX(Products!$B$2:$B$13,MATCH(D680,Products!$A$2:$A$13,0))</f>
        <v>FCC</v>
      </c>
      <c r="F680" s="15" t="n">
        <v>8.7</v>
      </c>
      <c r="G680" s="16" t="n">
        <f aca="false">IF(A680="2025",INDEX(Products!$C$2:$C$13,MATCH(D680,Products!$A$2:$A$13,0)),INDEX(Products!$E$2:$E$13,MATCH(D680,Products!$A$2:$A$13,0)))</f>
        <v>3700</v>
      </c>
      <c r="H680" s="13" t="n">
        <f aca="false">IF(A680="2025",INDEX(Customers!$D$2:$D$41,MATCH(C680,Customers!$A$2:$A$41,0)),INDEX(Customers!$F$2:$F$41,MATCH(C680,Customers!$A$2:$A$41,0)))</f>
        <v>0.047</v>
      </c>
      <c r="I680" s="16" t="n">
        <f aca="false">F680*G680</f>
        <v>32190</v>
      </c>
      <c r="J680" s="16" t="n">
        <f aca="false">I680*(1-H680)</f>
        <v>30677.07</v>
      </c>
      <c r="K680" s="16" t="n">
        <f aca="false">J680*INDEX(Customers!$G$2:$G$41,MATCH(C680,Customers!$A$2:$A$41,0))</f>
        <v>1533.8535</v>
      </c>
      <c r="L680" s="16" t="n">
        <f aca="false">F680*INDEX(Customers!$H$2:$H$41,MATCH(C680,Customers!$A$2:$A$41,0))</f>
        <v>1392</v>
      </c>
      <c r="M680" s="16" t="n">
        <f aca="false">J680*INDEX(Customers!$I$2:$I$41,MATCH(C680,Customers!$A$2:$A$41,0))/365*Assumptions!$B$6</f>
        <v>403.424482191781</v>
      </c>
      <c r="N680" s="16" t="n">
        <f aca="false">J680-K680-L680-M680</f>
        <v>27347.7920178082</v>
      </c>
      <c r="O680" s="16" t="n">
        <f aca="false">F680*IF(A680="2025",INDEX(Products!$D$2:$D$13,MATCH(D680,Products!$A$2:$A$13,0)),INDEX(Products!$F$2:$F$13,MATCH(D680,Products!$A$2:$A$13,0)))</f>
        <v>20880</v>
      </c>
      <c r="P680" s="16" t="n">
        <f aca="false">N680-O680</f>
        <v>6467.79201780821</v>
      </c>
    </row>
    <row r="681" customFormat="false" ht="15" hidden="false" customHeight="false" outlineLevel="0" collapsed="false">
      <c r="A681" s="2" t="s">
        <v>118</v>
      </c>
      <c r="B681" s="2" t="n">
        <v>8</v>
      </c>
      <c r="C681" s="2" t="s">
        <v>72</v>
      </c>
      <c r="D681" s="2" t="s">
        <v>36</v>
      </c>
      <c r="E681" s="2" t="str">
        <f aca="false">INDEX(Products!$B$2:$B$13,MATCH(D681,Products!$A$2:$A$13,0))</f>
        <v>FCC</v>
      </c>
      <c r="F681" s="15" t="n">
        <v>5.8</v>
      </c>
      <c r="G681" s="16" t="n">
        <f aca="false">IF(A681="2025",INDEX(Products!$C$2:$C$13,MATCH(D681,Products!$A$2:$A$13,0)),INDEX(Products!$E$2:$E$13,MATCH(D681,Products!$A$2:$A$13,0)))</f>
        <v>3700</v>
      </c>
      <c r="H681" s="13" t="n">
        <f aca="false">IF(A681="2025",INDEX(Customers!$D$2:$D$41,MATCH(C681,Customers!$A$2:$A$41,0)),INDEX(Customers!$F$2:$F$41,MATCH(C681,Customers!$A$2:$A$41,0)))</f>
        <v>0.047</v>
      </c>
      <c r="I681" s="16" t="n">
        <f aca="false">F681*G681</f>
        <v>21460</v>
      </c>
      <c r="J681" s="16" t="n">
        <f aca="false">I681*(1-H681)</f>
        <v>20451.38</v>
      </c>
      <c r="K681" s="16" t="n">
        <f aca="false">J681*INDEX(Customers!$G$2:$G$41,MATCH(C681,Customers!$A$2:$A$41,0))</f>
        <v>1022.569</v>
      </c>
      <c r="L681" s="16" t="n">
        <f aca="false">F681*INDEX(Customers!$H$2:$H$41,MATCH(C681,Customers!$A$2:$A$41,0))</f>
        <v>928</v>
      </c>
      <c r="M681" s="16" t="n">
        <f aca="false">J681*INDEX(Customers!$I$2:$I$41,MATCH(C681,Customers!$A$2:$A$41,0))/365*Assumptions!$B$6</f>
        <v>268.949654794521</v>
      </c>
      <c r="N681" s="16" t="n">
        <f aca="false">J681-K681-L681-M681</f>
        <v>18231.8613452055</v>
      </c>
      <c r="O681" s="16" t="n">
        <f aca="false">F681*IF(A681="2025",INDEX(Products!$D$2:$D$13,MATCH(D681,Products!$A$2:$A$13,0)),INDEX(Products!$F$2:$F$13,MATCH(D681,Products!$A$2:$A$13,0)))</f>
        <v>13920</v>
      </c>
      <c r="P681" s="16" t="n">
        <f aca="false">N681-O681</f>
        <v>4311.86134520548</v>
      </c>
    </row>
    <row r="682" customFormat="false" ht="15" hidden="false" customHeight="false" outlineLevel="0" collapsed="false">
      <c r="A682" s="2" t="s">
        <v>118</v>
      </c>
      <c r="B682" s="2" t="n">
        <v>9</v>
      </c>
      <c r="C682" s="2" t="s">
        <v>72</v>
      </c>
      <c r="D682" s="2" t="s">
        <v>36</v>
      </c>
      <c r="E682" s="2" t="str">
        <f aca="false">INDEX(Products!$B$2:$B$13,MATCH(D682,Products!$A$2:$A$13,0))</f>
        <v>FCC</v>
      </c>
      <c r="F682" s="15" t="n">
        <v>10</v>
      </c>
      <c r="G682" s="16" t="n">
        <f aca="false">IF(A682="2025",INDEX(Products!$C$2:$C$13,MATCH(D682,Products!$A$2:$A$13,0)),INDEX(Products!$E$2:$E$13,MATCH(D682,Products!$A$2:$A$13,0)))</f>
        <v>3700</v>
      </c>
      <c r="H682" s="13" t="n">
        <f aca="false">IF(A682="2025",INDEX(Customers!$D$2:$D$41,MATCH(C682,Customers!$A$2:$A$41,0)),INDEX(Customers!$F$2:$F$41,MATCH(C682,Customers!$A$2:$A$41,0)))</f>
        <v>0.047</v>
      </c>
      <c r="I682" s="16" t="n">
        <f aca="false">F682*G682</f>
        <v>37000</v>
      </c>
      <c r="J682" s="16" t="n">
        <f aca="false">I682*(1-H682)</f>
        <v>35261</v>
      </c>
      <c r="K682" s="16" t="n">
        <f aca="false">J682*INDEX(Customers!$G$2:$G$41,MATCH(C682,Customers!$A$2:$A$41,0))</f>
        <v>1763.05</v>
      </c>
      <c r="L682" s="16" t="n">
        <f aca="false">F682*INDEX(Customers!$H$2:$H$41,MATCH(C682,Customers!$A$2:$A$41,0))</f>
        <v>1600</v>
      </c>
      <c r="M682" s="16" t="n">
        <f aca="false">J682*INDEX(Customers!$I$2:$I$41,MATCH(C682,Customers!$A$2:$A$41,0))/365*Assumptions!$B$6</f>
        <v>463.706301369863</v>
      </c>
      <c r="N682" s="16" t="n">
        <f aca="false">J682-K682-L682-M682</f>
        <v>31434.2436986301</v>
      </c>
      <c r="O682" s="16" t="n">
        <f aca="false">F682*IF(A682="2025",INDEX(Products!$D$2:$D$13,MATCH(D682,Products!$A$2:$A$13,0)),INDEX(Products!$F$2:$F$13,MATCH(D682,Products!$A$2:$A$13,0)))</f>
        <v>24000</v>
      </c>
      <c r="P682" s="16" t="n">
        <f aca="false">N682-O682</f>
        <v>7434.24369863013</v>
      </c>
    </row>
    <row r="683" customFormat="false" ht="15" hidden="false" customHeight="false" outlineLevel="0" collapsed="false">
      <c r="A683" s="2" t="s">
        <v>118</v>
      </c>
      <c r="B683" s="2" t="n">
        <v>10</v>
      </c>
      <c r="C683" s="2" t="s">
        <v>72</v>
      </c>
      <c r="D683" s="2" t="s">
        <v>36</v>
      </c>
      <c r="E683" s="2" t="str">
        <f aca="false">INDEX(Products!$B$2:$B$13,MATCH(D683,Products!$A$2:$A$13,0))</f>
        <v>FCC</v>
      </c>
      <c r="F683" s="15" t="n">
        <v>6.7</v>
      </c>
      <c r="G683" s="16" t="n">
        <f aca="false">IF(A683="2025",INDEX(Products!$C$2:$C$13,MATCH(D683,Products!$A$2:$A$13,0)),INDEX(Products!$E$2:$E$13,MATCH(D683,Products!$A$2:$A$13,0)))</f>
        <v>3700</v>
      </c>
      <c r="H683" s="13" t="n">
        <f aca="false">IF(A683="2025",INDEX(Customers!$D$2:$D$41,MATCH(C683,Customers!$A$2:$A$41,0)),INDEX(Customers!$F$2:$F$41,MATCH(C683,Customers!$A$2:$A$41,0)))</f>
        <v>0.047</v>
      </c>
      <c r="I683" s="16" t="n">
        <f aca="false">F683*G683</f>
        <v>24790</v>
      </c>
      <c r="J683" s="16" t="n">
        <f aca="false">I683*(1-H683)</f>
        <v>23624.87</v>
      </c>
      <c r="K683" s="16" t="n">
        <f aca="false">J683*INDEX(Customers!$G$2:$G$41,MATCH(C683,Customers!$A$2:$A$41,0))</f>
        <v>1181.2435</v>
      </c>
      <c r="L683" s="16" t="n">
        <f aca="false">F683*INDEX(Customers!$H$2:$H$41,MATCH(C683,Customers!$A$2:$A$41,0))</f>
        <v>1072</v>
      </c>
      <c r="M683" s="16" t="n">
        <f aca="false">J683*INDEX(Customers!$I$2:$I$41,MATCH(C683,Customers!$A$2:$A$41,0))/365*Assumptions!$B$6</f>
        <v>310.683221917808</v>
      </c>
      <c r="N683" s="16" t="n">
        <f aca="false">J683-K683-L683-M683</f>
        <v>21060.9432780822</v>
      </c>
      <c r="O683" s="16" t="n">
        <f aca="false">F683*IF(A683="2025",INDEX(Products!$D$2:$D$13,MATCH(D683,Products!$A$2:$A$13,0)),INDEX(Products!$F$2:$F$13,MATCH(D683,Products!$A$2:$A$13,0)))</f>
        <v>16080</v>
      </c>
      <c r="P683" s="16" t="n">
        <f aca="false">N683-O683</f>
        <v>4980.94327808219</v>
      </c>
    </row>
    <row r="684" customFormat="false" ht="15" hidden="false" customHeight="false" outlineLevel="0" collapsed="false">
      <c r="A684" s="2" t="s">
        <v>118</v>
      </c>
      <c r="B684" s="2" t="n">
        <v>11</v>
      </c>
      <c r="C684" s="2" t="s">
        <v>72</v>
      </c>
      <c r="D684" s="2" t="s">
        <v>36</v>
      </c>
      <c r="E684" s="2" t="str">
        <f aca="false">INDEX(Products!$B$2:$B$13,MATCH(D684,Products!$A$2:$A$13,0))</f>
        <v>FCC</v>
      </c>
      <c r="F684" s="15" t="n">
        <v>9.8</v>
      </c>
      <c r="G684" s="16" t="n">
        <f aca="false">IF(A684="2025",INDEX(Products!$C$2:$C$13,MATCH(D684,Products!$A$2:$A$13,0)),INDEX(Products!$E$2:$E$13,MATCH(D684,Products!$A$2:$A$13,0)))</f>
        <v>3700</v>
      </c>
      <c r="H684" s="13" t="n">
        <f aca="false">IF(A684="2025",INDEX(Customers!$D$2:$D$41,MATCH(C684,Customers!$A$2:$A$41,0)),INDEX(Customers!$F$2:$F$41,MATCH(C684,Customers!$A$2:$A$41,0)))</f>
        <v>0.047</v>
      </c>
      <c r="I684" s="16" t="n">
        <f aca="false">F684*G684</f>
        <v>36260</v>
      </c>
      <c r="J684" s="16" t="n">
        <f aca="false">I684*(1-H684)</f>
        <v>34555.78</v>
      </c>
      <c r="K684" s="16" t="n">
        <f aca="false">J684*INDEX(Customers!$G$2:$G$41,MATCH(C684,Customers!$A$2:$A$41,0))</f>
        <v>1727.789</v>
      </c>
      <c r="L684" s="16" t="n">
        <f aca="false">F684*INDEX(Customers!$H$2:$H$41,MATCH(C684,Customers!$A$2:$A$41,0))</f>
        <v>1568</v>
      </c>
      <c r="M684" s="16" t="n">
        <f aca="false">J684*INDEX(Customers!$I$2:$I$41,MATCH(C684,Customers!$A$2:$A$41,0))/365*Assumptions!$B$6</f>
        <v>454.432175342466</v>
      </c>
      <c r="N684" s="16" t="n">
        <f aca="false">J684-K684-L684-M684</f>
        <v>30805.5588246575</v>
      </c>
      <c r="O684" s="16" t="n">
        <f aca="false">F684*IF(A684="2025",INDEX(Products!$D$2:$D$13,MATCH(D684,Products!$A$2:$A$13,0)),INDEX(Products!$F$2:$F$13,MATCH(D684,Products!$A$2:$A$13,0)))</f>
        <v>23520</v>
      </c>
      <c r="P684" s="16" t="n">
        <f aca="false">N684-O684</f>
        <v>7285.55882465754</v>
      </c>
    </row>
    <row r="685" customFormat="false" ht="15" hidden="false" customHeight="false" outlineLevel="0" collapsed="false">
      <c r="A685" s="2" t="s">
        <v>118</v>
      </c>
      <c r="B685" s="2" t="n">
        <v>12</v>
      </c>
      <c r="C685" s="2" t="s">
        <v>72</v>
      </c>
      <c r="D685" s="2" t="s">
        <v>36</v>
      </c>
      <c r="E685" s="2" t="str">
        <f aca="false">INDEX(Products!$B$2:$B$13,MATCH(D685,Products!$A$2:$A$13,0))</f>
        <v>FCC</v>
      </c>
      <c r="F685" s="15" t="n">
        <v>7.5</v>
      </c>
      <c r="G685" s="16" t="n">
        <f aca="false">IF(A685="2025",INDEX(Products!$C$2:$C$13,MATCH(D685,Products!$A$2:$A$13,0)),INDEX(Products!$E$2:$E$13,MATCH(D685,Products!$A$2:$A$13,0)))</f>
        <v>3700</v>
      </c>
      <c r="H685" s="13" t="n">
        <f aca="false">IF(A685="2025",INDEX(Customers!$D$2:$D$41,MATCH(C685,Customers!$A$2:$A$41,0)),INDEX(Customers!$F$2:$F$41,MATCH(C685,Customers!$A$2:$A$41,0)))</f>
        <v>0.047</v>
      </c>
      <c r="I685" s="16" t="n">
        <f aca="false">F685*G685</f>
        <v>27750</v>
      </c>
      <c r="J685" s="16" t="n">
        <f aca="false">I685*(1-H685)</f>
        <v>26445.75</v>
      </c>
      <c r="K685" s="16" t="n">
        <f aca="false">J685*INDEX(Customers!$G$2:$G$41,MATCH(C685,Customers!$A$2:$A$41,0))</f>
        <v>1322.2875</v>
      </c>
      <c r="L685" s="16" t="n">
        <f aca="false">F685*INDEX(Customers!$H$2:$H$41,MATCH(C685,Customers!$A$2:$A$41,0))</f>
        <v>1200</v>
      </c>
      <c r="M685" s="16" t="n">
        <f aca="false">J685*INDEX(Customers!$I$2:$I$41,MATCH(C685,Customers!$A$2:$A$41,0))/365*Assumptions!$B$6</f>
        <v>347.779726027397</v>
      </c>
      <c r="N685" s="16" t="n">
        <f aca="false">J685-K685-L685-M685</f>
        <v>23575.6827739726</v>
      </c>
      <c r="O685" s="16" t="n">
        <f aca="false">F685*IF(A685="2025",INDEX(Products!$D$2:$D$13,MATCH(D685,Products!$A$2:$A$13,0)),INDEX(Products!$F$2:$F$13,MATCH(D685,Products!$A$2:$A$13,0)))</f>
        <v>18000</v>
      </c>
      <c r="P685" s="16" t="n">
        <f aca="false">N685-O685</f>
        <v>5575.6827739726</v>
      </c>
    </row>
    <row r="686" customFormat="false" ht="15" hidden="false" customHeight="false" outlineLevel="0" collapsed="false">
      <c r="A686" s="2" t="s">
        <v>119</v>
      </c>
      <c r="B686" s="2" t="n">
        <v>1</v>
      </c>
      <c r="C686" s="2" t="s">
        <v>72</v>
      </c>
      <c r="D686" s="2" t="s">
        <v>36</v>
      </c>
      <c r="E686" s="2" t="str">
        <f aca="false">INDEX(Products!$B$2:$B$13,MATCH(D686,Products!$A$2:$A$13,0))</f>
        <v>FCC</v>
      </c>
      <c r="F686" s="15" t="n">
        <v>5.8</v>
      </c>
      <c r="G686" s="16" t="n">
        <f aca="false">IF(A686="2025",INDEX(Products!$C$2:$C$13,MATCH(D686,Products!$A$2:$A$13,0)),INDEX(Products!$E$2:$E$13,MATCH(D686,Products!$A$2:$A$13,0)))</f>
        <v>3885</v>
      </c>
      <c r="H686" s="13" t="n">
        <f aca="false">IF(A686="2025",INDEX(Customers!$D$2:$D$41,MATCH(C686,Customers!$A$2:$A$41,0)),INDEX(Customers!$F$2:$F$41,MATCH(C686,Customers!$A$2:$A$41,0)))</f>
        <v>0.103</v>
      </c>
      <c r="I686" s="16" t="n">
        <f aca="false">F686*G686</f>
        <v>22533</v>
      </c>
      <c r="J686" s="16" t="n">
        <f aca="false">I686*(1-H686)</f>
        <v>20212.101</v>
      </c>
      <c r="K686" s="16" t="n">
        <f aca="false">J686*INDEX(Customers!$G$2:$G$41,MATCH(C686,Customers!$A$2:$A$41,0))</f>
        <v>1010.60505</v>
      </c>
      <c r="L686" s="16" t="n">
        <f aca="false">F686*INDEX(Customers!$H$2:$H$41,MATCH(C686,Customers!$A$2:$A$41,0))</f>
        <v>928</v>
      </c>
      <c r="M686" s="16" t="n">
        <f aca="false">J686*INDEX(Customers!$I$2:$I$41,MATCH(C686,Customers!$A$2:$A$41,0))/365*Assumptions!$B$6</f>
        <v>265.802972054795</v>
      </c>
      <c r="N686" s="16" t="n">
        <f aca="false">J686-K686-L686-M686</f>
        <v>18007.6929779452</v>
      </c>
      <c r="O686" s="16" t="n">
        <f aca="false">F686*IF(A686="2025",INDEX(Products!$D$2:$D$13,MATCH(D686,Products!$A$2:$A$13,0)),INDEX(Products!$F$2:$F$13,MATCH(D686,Products!$A$2:$A$13,0)))</f>
        <v>14337.6</v>
      </c>
      <c r="P686" s="16" t="n">
        <f aca="false">N686-O686</f>
        <v>3670.09297794521</v>
      </c>
    </row>
    <row r="687" customFormat="false" ht="15" hidden="false" customHeight="false" outlineLevel="0" collapsed="false">
      <c r="A687" s="2" t="s">
        <v>119</v>
      </c>
      <c r="B687" s="2" t="n">
        <v>2</v>
      </c>
      <c r="C687" s="2" t="s">
        <v>72</v>
      </c>
      <c r="D687" s="2" t="s">
        <v>36</v>
      </c>
      <c r="E687" s="2" t="str">
        <f aca="false">INDEX(Products!$B$2:$B$13,MATCH(D687,Products!$A$2:$A$13,0))</f>
        <v>FCC</v>
      </c>
      <c r="F687" s="15" t="n">
        <v>7</v>
      </c>
      <c r="G687" s="16" t="n">
        <f aca="false">IF(A687="2025",INDEX(Products!$C$2:$C$13,MATCH(D687,Products!$A$2:$A$13,0)),INDEX(Products!$E$2:$E$13,MATCH(D687,Products!$A$2:$A$13,0)))</f>
        <v>3885</v>
      </c>
      <c r="H687" s="13" t="n">
        <f aca="false">IF(A687="2025",INDEX(Customers!$D$2:$D$41,MATCH(C687,Customers!$A$2:$A$41,0)),INDEX(Customers!$F$2:$F$41,MATCH(C687,Customers!$A$2:$A$41,0)))</f>
        <v>0.103</v>
      </c>
      <c r="I687" s="16" t="n">
        <f aca="false">F687*G687</f>
        <v>27195</v>
      </c>
      <c r="J687" s="16" t="n">
        <f aca="false">I687*(1-H687)</f>
        <v>24393.915</v>
      </c>
      <c r="K687" s="16" t="n">
        <f aca="false">J687*INDEX(Customers!$G$2:$G$41,MATCH(C687,Customers!$A$2:$A$41,0))</f>
        <v>1219.69575</v>
      </c>
      <c r="L687" s="16" t="n">
        <f aca="false">F687*INDEX(Customers!$H$2:$H$41,MATCH(C687,Customers!$A$2:$A$41,0))</f>
        <v>1120</v>
      </c>
      <c r="M687" s="16" t="n">
        <f aca="false">J687*INDEX(Customers!$I$2:$I$41,MATCH(C687,Customers!$A$2:$A$41,0))/365*Assumptions!$B$6</f>
        <v>320.796690410959</v>
      </c>
      <c r="N687" s="16" t="n">
        <f aca="false">J687-K687-L687-M687</f>
        <v>21733.422559589</v>
      </c>
      <c r="O687" s="16" t="n">
        <f aca="false">F687*IF(A687="2025",INDEX(Products!$D$2:$D$13,MATCH(D687,Products!$A$2:$A$13,0)),INDEX(Products!$F$2:$F$13,MATCH(D687,Products!$A$2:$A$13,0)))</f>
        <v>17304</v>
      </c>
      <c r="P687" s="16" t="n">
        <f aca="false">N687-O687</f>
        <v>4429.42255958904</v>
      </c>
    </row>
    <row r="688" customFormat="false" ht="15" hidden="false" customHeight="false" outlineLevel="0" collapsed="false">
      <c r="A688" s="2" t="s">
        <v>119</v>
      </c>
      <c r="B688" s="2" t="n">
        <v>3</v>
      </c>
      <c r="C688" s="2" t="s">
        <v>72</v>
      </c>
      <c r="D688" s="2" t="s">
        <v>36</v>
      </c>
      <c r="E688" s="2" t="str">
        <f aca="false">INDEX(Products!$B$2:$B$13,MATCH(D688,Products!$A$2:$A$13,0))</f>
        <v>FCC</v>
      </c>
      <c r="F688" s="15" t="n">
        <v>5.4</v>
      </c>
      <c r="G688" s="16" t="n">
        <f aca="false">IF(A688="2025",INDEX(Products!$C$2:$C$13,MATCH(D688,Products!$A$2:$A$13,0)),INDEX(Products!$E$2:$E$13,MATCH(D688,Products!$A$2:$A$13,0)))</f>
        <v>3885</v>
      </c>
      <c r="H688" s="13" t="n">
        <f aca="false">IF(A688="2025",INDEX(Customers!$D$2:$D$41,MATCH(C688,Customers!$A$2:$A$41,0)),INDEX(Customers!$F$2:$F$41,MATCH(C688,Customers!$A$2:$A$41,0)))</f>
        <v>0.103</v>
      </c>
      <c r="I688" s="16" t="n">
        <f aca="false">F688*G688</f>
        <v>20979</v>
      </c>
      <c r="J688" s="16" t="n">
        <f aca="false">I688*(1-H688)</f>
        <v>18818.163</v>
      </c>
      <c r="K688" s="16" t="n">
        <f aca="false">J688*INDEX(Customers!$G$2:$G$41,MATCH(C688,Customers!$A$2:$A$41,0))</f>
        <v>940.90815</v>
      </c>
      <c r="L688" s="16" t="n">
        <f aca="false">F688*INDEX(Customers!$H$2:$H$41,MATCH(C688,Customers!$A$2:$A$41,0))</f>
        <v>864</v>
      </c>
      <c r="M688" s="16" t="n">
        <f aca="false">J688*INDEX(Customers!$I$2:$I$41,MATCH(C688,Customers!$A$2:$A$41,0))/365*Assumptions!$B$6</f>
        <v>247.47173260274</v>
      </c>
      <c r="N688" s="16" t="n">
        <f aca="false">J688-K688-L688-M688</f>
        <v>16765.7831173973</v>
      </c>
      <c r="O688" s="16" t="n">
        <f aca="false">F688*IF(A688="2025",INDEX(Products!$D$2:$D$13,MATCH(D688,Products!$A$2:$A$13,0)),INDEX(Products!$F$2:$F$13,MATCH(D688,Products!$A$2:$A$13,0)))</f>
        <v>13348.8</v>
      </c>
      <c r="P688" s="16" t="n">
        <f aca="false">N688-O688</f>
        <v>3416.98311739726</v>
      </c>
    </row>
    <row r="689" customFormat="false" ht="15" hidden="false" customHeight="false" outlineLevel="0" collapsed="false">
      <c r="A689" s="2" t="s">
        <v>119</v>
      </c>
      <c r="B689" s="2" t="n">
        <v>4</v>
      </c>
      <c r="C689" s="2" t="s">
        <v>72</v>
      </c>
      <c r="D689" s="2" t="s">
        <v>36</v>
      </c>
      <c r="E689" s="2" t="str">
        <f aca="false">INDEX(Products!$B$2:$B$13,MATCH(D689,Products!$A$2:$A$13,0))</f>
        <v>FCC</v>
      </c>
      <c r="F689" s="15" t="n">
        <v>6.3</v>
      </c>
      <c r="G689" s="16" t="n">
        <f aca="false">IF(A689="2025",INDEX(Products!$C$2:$C$13,MATCH(D689,Products!$A$2:$A$13,0)),INDEX(Products!$E$2:$E$13,MATCH(D689,Products!$A$2:$A$13,0)))</f>
        <v>3885</v>
      </c>
      <c r="H689" s="13" t="n">
        <f aca="false">IF(A689="2025",INDEX(Customers!$D$2:$D$41,MATCH(C689,Customers!$A$2:$A$41,0)),INDEX(Customers!$F$2:$F$41,MATCH(C689,Customers!$A$2:$A$41,0)))</f>
        <v>0.103</v>
      </c>
      <c r="I689" s="16" t="n">
        <f aca="false">F689*G689</f>
        <v>24475.5</v>
      </c>
      <c r="J689" s="16" t="n">
        <f aca="false">I689*(1-H689)</f>
        <v>21954.5235</v>
      </c>
      <c r="K689" s="16" t="n">
        <f aca="false">J689*INDEX(Customers!$G$2:$G$41,MATCH(C689,Customers!$A$2:$A$41,0))</f>
        <v>1097.726175</v>
      </c>
      <c r="L689" s="16" t="n">
        <f aca="false">F689*INDEX(Customers!$H$2:$H$41,MATCH(C689,Customers!$A$2:$A$41,0))</f>
        <v>1008</v>
      </c>
      <c r="M689" s="16" t="n">
        <f aca="false">J689*INDEX(Customers!$I$2:$I$41,MATCH(C689,Customers!$A$2:$A$41,0))/365*Assumptions!$B$6</f>
        <v>288.717021369863</v>
      </c>
      <c r="N689" s="16" t="n">
        <f aca="false">J689-K689-L689-M689</f>
        <v>19560.0803036301</v>
      </c>
      <c r="O689" s="16" t="n">
        <f aca="false">F689*IF(A689="2025",INDEX(Products!$D$2:$D$13,MATCH(D689,Products!$A$2:$A$13,0)),INDEX(Products!$F$2:$F$13,MATCH(D689,Products!$A$2:$A$13,0)))</f>
        <v>15573.6</v>
      </c>
      <c r="P689" s="16" t="n">
        <f aca="false">N689-O689</f>
        <v>3986.48030363014</v>
      </c>
    </row>
    <row r="690" customFormat="false" ht="15" hidden="false" customHeight="false" outlineLevel="0" collapsed="false">
      <c r="A690" s="2" t="s">
        <v>119</v>
      </c>
      <c r="B690" s="2" t="n">
        <v>5</v>
      </c>
      <c r="C690" s="2" t="s">
        <v>72</v>
      </c>
      <c r="D690" s="2" t="s">
        <v>36</v>
      </c>
      <c r="E690" s="2" t="str">
        <f aca="false">INDEX(Products!$B$2:$B$13,MATCH(D690,Products!$A$2:$A$13,0))</f>
        <v>FCC</v>
      </c>
      <c r="F690" s="15" t="n">
        <v>6</v>
      </c>
      <c r="G690" s="16" t="n">
        <f aca="false">IF(A690="2025",INDEX(Products!$C$2:$C$13,MATCH(D690,Products!$A$2:$A$13,0)),INDEX(Products!$E$2:$E$13,MATCH(D690,Products!$A$2:$A$13,0)))</f>
        <v>3885</v>
      </c>
      <c r="H690" s="13" t="n">
        <f aca="false">IF(A690="2025",INDEX(Customers!$D$2:$D$41,MATCH(C690,Customers!$A$2:$A$41,0)),INDEX(Customers!$F$2:$F$41,MATCH(C690,Customers!$A$2:$A$41,0)))</f>
        <v>0.103</v>
      </c>
      <c r="I690" s="16" t="n">
        <f aca="false">F690*G690</f>
        <v>23310</v>
      </c>
      <c r="J690" s="16" t="n">
        <f aca="false">I690*(1-H690)</f>
        <v>20909.07</v>
      </c>
      <c r="K690" s="16" t="n">
        <f aca="false">J690*INDEX(Customers!$G$2:$G$41,MATCH(C690,Customers!$A$2:$A$41,0))</f>
        <v>1045.4535</v>
      </c>
      <c r="L690" s="16" t="n">
        <f aca="false">F690*INDEX(Customers!$H$2:$H$41,MATCH(C690,Customers!$A$2:$A$41,0))</f>
        <v>960</v>
      </c>
      <c r="M690" s="16" t="n">
        <f aca="false">J690*INDEX(Customers!$I$2:$I$41,MATCH(C690,Customers!$A$2:$A$41,0))/365*Assumptions!$B$6</f>
        <v>274.968591780822</v>
      </c>
      <c r="N690" s="16" t="n">
        <f aca="false">J690-K690-L690-M690</f>
        <v>18628.6479082192</v>
      </c>
      <c r="O690" s="16" t="n">
        <f aca="false">F690*IF(A690="2025",INDEX(Products!$D$2:$D$13,MATCH(D690,Products!$A$2:$A$13,0)),INDEX(Products!$F$2:$F$13,MATCH(D690,Products!$A$2:$A$13,0)))</f>
        <v>14832</v>
      </c>
      <c r="P690" s="16" t="n">
        <f aca="false">N690-O690</f>
        <v>3796.64790821918</v>
      </c>
    </row>
    <row r="691" customFormat="false" ht="15" hidden="false" customHeight="false" outlineLevel="0" collapsed="false">
      <c r="A691" s="2" t="s">
        <v>119</v>
      </c>
      <c r="B691" s="2" t="n">
        <v>6</v>
      </c>
      <c r="C691" s="2" t="s">
        <v>72</v>
      </c>
      <c r="D691" s="2" t="s">
        <v>36</v>
      </c>
      <c r="E691" s="2" t="str">
        <f aca="false">INDEX(Products!$B$2:$B$13,MATCH(D691,Products!$A$2:$A$13,0))</f>
        <v>FCC</v>
      </c>
      <c r="F691" s="15" t="n">
        <v>9.8</v>
      </c>
      <c r="G691" s="16" t="n">
        <f aca="false">IF(A691="2025",INDEX(Products!$C$2:$C$13,MATCH(D691,Products!$A$2:$A$13,0)),INDEX(Products!$E$2:$E$13,MATCH(D691,Products!$A$2:$A$13,0)))</f>
        <v>3885</v>
      </c>
      <c r="H691" s="13" t="n">
        <f aca="false">IF(A691="2025",INDEX(Customers!$D$2:$D$41,MATCH(C691,Customers!$A$2:$A$41,0)),INDEX(Customers!$F$2:$F$41,MATCH(C691,Customers!$A$2:$A$41,0)))</f>
        <v>0.103</v>
      </c>
      <c r="I691" s="16" t="n">
        <f aca="false">F691*G691</f>
        <v>38073</v>
      </c>
      <c r="J691" s="16" t="n">
        <f aca="false">I691*(1-H691)</f>
        <v>34151.481</v>
      </c>
      <c r="K691" s="16" t="n">
        <f aca="false">J691*INDEX(Customers!$G$2:$G$41,MATCH(C691,Customers!$A$2:$A$41,0))</f>
        <v>1707.57405</v>
      </c>
      <c r="L691" s="16" t="n">
        <f aca="false">F691*INDEX(Customers!$H$2:$H$41,MATCH(C691,Customers!$A$2:$A$41,0))</f>
        <v>1568</v>
      </c>
      <c r="M691" s="16" t="n">
        <f aca="false">J691*INDEX(Customers!$I$2:$I$41,MATCH(C691,Customers!$A$2:$A$41,0))/365*Assumptions!$B$6</f>
        <v>449.115366575342</v>
      </c>
      <c r="N691" s="16" t="n">
        <f aca="false">J691-K691-L691-M691</f>
        <v>30426.7915834247</v>
      </c>
      <c r="O691" s="16" t="n">
        <f aca="false">F691*IF(A691="2025",INDEX(Products!$D$2:$D$13,MATCH(D691,Products!$A$2:$A$13,0)),INDEX(Products!$F$2:$F$13,MATCH(D691,Products!$A$2:$A$13,0)))</f>
        <v>24225.6</v>
      </c>
      <c r="P691" s="16" t="n">
        <f aca="false">N691-O691</f>
        <v>6201.19158342466</v>
      </c>
    </row>
    <row r="692" customFormat="false" ht="15" hidden="false" customHeight="false" outlineLevel="0" collapsed="false">
      <c r="A692" s="2" t="s">
        <v>119</v>
      </c>
      <c r="B692" s="2" t="n">
        <v>7</v>
      </c>
      <c r="C692" s="2" t="s">
        <v>72</v>
      </c>
      <c r="D692" s="2" t="s">
        <v>36</v>
      </c>
      <c r="E692" s="2" t="str">
        <f aca="false">INDEX(Products!$B$2:$B$13,MATCH(D692,Products!$A$2:$A$13,0))</f>
        <v>FCC</v>
      </c>
      <c r="F692" s="15" t="n">
        <v>7.3</v>
      </c>
      <c r="G692" s="16" t="n">
        <f aca="false">IF(A692="2025",INDEX(Products!$C$2:$C$13,MATCH(D692,Products!$A$2:$A$13,0)),INDEX(Products!$E$2:$E$13,MATCH(D692,Products!$A$2:$A$13,0)))</f>
        <v>3885</v>
      </c>
      <c r="H692" s="13" t="n">
        <f aca="false">IF(A692="2025",INDEX(Customers!$D$2:$D$41,MATCH(C692,Customers!$A$2:$A$41,0)),INDEX(Customers!$F$2:$F$41,MATCH(C692,Customers!$A$2:$A$41,0)))</f>
        <v>0.103</v>
      </c>
      <c r="I692" s="16" t="n">
        <f aca="false">F692*G692</f>
        <v>28360.5</v>
      </c>
      <c r="J692" s="16" t="n">
        <f aca="false">I692*(1-H692)</f>
        <v>25439.3685</v>
      </c>
      <c r="K692" s="16" t="n">
        <f aca="false">J692*INDEX(Customers!$G$2:$G$41,MATCH(C692,Customers!$A$2:$A$41,0))</f>
        <v>1271.968425</v>
      </c>
      <c r="L692" s="16" t="n">
        <f aca="false">F692*INDEX(Customers!$H$2:$H$41,MATCH(C692,Customers!$A$2:$A$41,0))</f>
        <v>1168</v>
      </c>
      <c r="M692" s="16" t="n">
        <f aca="false">J692*INDEX(Customers!$I$2:$I$41,MATCH(C692,Customers!$A$2:$A$41,0))/365*Assumptions!$B$6</f>
        <v>334.54512</v>
      </c>
      <c r="N692" s="16" t="n">
        <f aca="false">J692-K692-L692-M692</f>
        <v>22664.854955</v>
      </c>
      <c r="O692" s="16" t="n">
        <f aca="false">F692*IF(A692="2025",INDEX(Products!$D$2:$D$13,MATCH(D692,Products!$A$2:$A$13,0)),INDEX(Products!$F$2:$F$13,MATCH(D692,Products!$A$2:$A$13,0)))</f>
        <v>18045.6</v>
      </c>
      <c r="P692" s="16" t="n">
        <f aca="false">N692-O692</f>
        <v>4619.254955</v>
      </c>
    </row>
    <row r="693" customFormat="false" ht="15" hidden="false" customHeight="false" outlineLevel="0" collapsed="false">
      <c r="A693" s="2" t="s">
        <v>119</v>
      </c>
      <c r="B693" s="2" t="n">
        <v>8</v>
      </c>
      <c r="C693" s="2" t="s">
        <v>72</v>
      </c>
      <c r="D693" s="2" t="s">
        <v>36</v>
      </c>
      <c r="E693" s="2" t="str">
        <f aca="false">INDEX(Products!$B$2:$B$13,MATCH(D693,Products!$A$2:$A$13,0))</f>
        <v>FCC</v>
      </c>
      <c r="F693" s="15" t="n">
        <v>7.9</v>
      </c>
      <c r="G693" s="16" t="n">
        <f aca="false">IF(A693="2025",INDEX(Products!$C$2:$C$13,MATCH(D693,Products!$A$2:$A$13,0)),INDEX(Products!$E$2:$E$13,MATCH(D693,Products!$A$2:$A$13,0)))</f>
        <v>3885</v>
      </c>
      <c r="H693" s="13" t="n">
        <f aca="false">IF(A693="2025",INDEX(Customers!$D$2:$D$41,MATCH(C693,Customers!$A$2:$A$41,0)),INDEX(Customers!$F$2:$F$41,MATCH(C693,Customers!$A$2:$A$41,0)))</f>
        <v>0.103</v>
      </c>
      <c r="I693" s="16" t="n">
        <f aca="false">F693*G693</f>
        <v>30691.5</v>
      </c>
      <c r="J693" s="16" t="n">
        <f aca="false">I693*(1-H693)</f>
        <v>27530.2755</v>
      </c>
      <c r="K693" s="16" t="n">
        <f aca="false">J693*INDEX(Customers!$G$2:$G$41,MATCH(C693,Customers!$A$2:$A$41,0))</f>
        <v>1376.513775</v>
      </c>
      <c r="L693" s="16" t="n">
        <f aca="false">F693*INDEX(Customers!$H$2:$H$41,MATCH(C693,Customers!$A$2:$A$41,0))</f>
        <v>1264</v>
      </c>
      <c r="M693" s="16" t="n">
        <f aca="false">J693*INDEX(Customers!$I$2:$I$41,MATCH(C693,Customers!$A$2:$A$41,0))/365*Assumptions!$B$6</f>
        <v>362.041979178082</v>
      </c>
      <c r="N693" s="16" t="n">
        <f aca="false">J693-K693-L693-M693</f>
        <v>24527.7197458219</v>
      </c>
      <c r="O693" s="16" t="n">
        <f aca="false">F693*IF(A693="2025",INDEX(Products!$D$2:$D$13,MATCH(D693,Products!$A$2:$A$13,0)),INDEX(Products!$F$2:$F$13,MATCH(D693,Products!$A$2:$A$13,0)))</f>
        <v>19528.8</v>
      </c>
      <c r="P693" s="16" t="n">
        <f aca="false">N693-O693</f>
        <v>4998.91974582192</v>
      </c>
    </row>
    <row r="694" customFormat="false" ht="15" hidden="false" customHeight="false" outlineLevel="0" collapsed="false">
      <c r="A694" s="2" t="s">
        <v>119</v>
      </c>
      <c r="B694" s="2" t="n">
        <v>9</v>
      </c>
      <c r="C694" s="2" t="s">
        <v>72</v>
      </c>
      <c r="D694" s="2" t="s">
        <v>36</v>
      </c>
      <c r="E694" s="2" t="str">
        <f aca="false">INDEX(Products!$B$2:$B$13,MATCH(D694,Products!$A$2:$A$13,0))</f>
        <v>FCC</v>
      </c>
      <c r="F694" s="15" t="n">
        <v>5.6</v>
      </c>
      <c r="G694" s="16" t="n">
        <f aca="false">IF(A694="2025",INDEX(Products!$C$2:$C$13,MATCH(D694,Products!$A$2:$A$13,0)),INDEX(Products!$E$2:$E$13,MATCH(D694,Products!$A$2:$A$13,0)))</f>
        <v>3885</v>
      </c>
      <c r="H694" s="13" t="n">
        <f aca="false">IF(A694="2025",INDEX(Customers!$D$2:$D$41,MATCH(C694,Customers!$A$2:$A$41,0)),INDEX(Customers!$F$2:$F$41,MATCH(C694,Customers!$A$2:$A$41,0)))</f>
        <v>0.103</v>
      </c>
      <c r="I694" s="16" t="n">
        <f aca="false">F694*G694</f>
        <v>21756</v>
      </c>
      <c r="J694" s="16" t="n">
        <f aca="false">I694*(1-H694)</f>
        <v>19515.132</v>
      </c>
      <c r="K694" s="16" t="n">
        <f aca="false">J694*INDEX(Customers!$G$2:$G$41,MATCH(C694,Customers!$A$2:$A$41,0))</f>
        <v>975.7566</v>
      </c>
      <c r="L694" s="16" t="n">
        <f aca="false">F694*INDEX(Customers!$H$2:$H$41,MATCH(C694,Customers!$A$2:$A$41,0))</f>
        <v>896</v>
      </c>
      <c r="M694" s="16" t="n">
        <f aca="false">J694*INDEX(Customers!$I$2:$I$41,MATCH(C694,Customers!$A$2:$A$41,0))/365*Assumptions!$B$6</f>
        <v>256.637352328767</v>
      </c>
      <c r="N694" s="16" t="n">
        <f aca="false">J694-K694-L694-M694</f>
        <v>17386.7380476712</v>
      </c>
      <c r="O694" s="16" t="n">
        <f aca="false">F694*IF(A694="2025",INDEX(Products!$D$2:$D$13,MATCH(D694,Products!$A$2:$A$13,0)),INDEX(Products!$F$2:$F$13,MATCH(D694,Products!$A$2:$A$13,0)))</f>
        <v>13843.2</v>
      </c>
      <c r="P694" s="16" t="n">
        <f aca="false">N694-O694</f>
        <v>3543.53804767124</v>
      </c>
    </row>
    <row r="695" customFormat="false" ht="15" hidden="false" customHeight="false" outlineLevel="0" collapsed="false">
      <c r="A695" s="2" t="s">
        <v>119</v>
      </c>
      <c r="B695" s="2" t="n">
        <v>10</v>
      </c>
      <c r="C695" s="2" t="s">
        <v>72</v>
      </c>
      <c r="D695" s="2" t="s">
        <v>36</v>
      </c>
      <c r="E695" s="2" t="str">
        <f aca="false">INDEX(Products!$B$2:$B$13,MATCH(D695,Products!$A$2:$A$13,0))</f>
        <v>FCC</v>
      </c>
      <c r="F695" s="15" t="n">
        <v>5.6</v>
      </c>
      <c r="G695" s="16" t="n">
        <f aca="false">IF(A695="2025",INDEX(Products!$C$2:$C$13,MATCH(D695,Products!$A$2:$A$13,0)),INDEX(Products!$E$2:$E$13,MATCH(D695,Products!$A$2:$A$13,0)))</f>
        <v>3885</v>
      </c>
      <c r="H695" s="13" t="n">
        <f aca="false">IF(A695="2025",INDEX(Customers!$D$2:$D$41,MATCH(C695,Customers!$A$2:$A$41,0)),INDEX(Customers!$F$2:$F$41,MATCH(C695,Customers!$A$2:$A$41,0)))</f>
        <v>0.103</v>
      </c>
      <c r="I695" s="16" t="n">
        <f aca="false">F695*G695</f>
        <v>21756</v>
      </c>
      <c r="J695" s="16" t="n">
        <f aca="false">I695*(1-H695)</f>
        <v>19515.132</v>
      </c>
      <c r="K695" s="16" t="n">
        <f aca="false">J695*INDEX(Customers!$G$2:$G$41,MATCH(C695,Customers!$A$2:$A$41,0))</f>
        <v>975.7566</v>
      </c>
      <c r="L695" s="16" t="n">
        <f aca="false">F695*INDEX(Customers!$H$2:$H$41,MATCH(C695,Customers!$A$2:$A$41,0))</f>
        <v>896</v>
      </c>
      <c r="M695" s="16" t="n">
        <f aca="false">J695*INDEX(Customers!$I$2:$I$41,MATCH(C695,Customers!$A$2:$A$41,0))/365*Assumptions!$B$6</f>
        <v>256.637352328767</v>
      </c>
      <c r="N695" s="16" t="n">
        <f aca="false">J695-K695-L695-M695</f>
        <v>17386.7380476712</v>
      </c>
      <c r="O695" s="16" t="n">
        <f aca="false">F695*IF(A695="2025",INDEX(Products!$D$2:$D$13,MATCH(D695,Products!$A$2:$A$13,0)),INDEX(Products!$F$2:$F$13,MATCH(D695,Products!$A$2:$A$13,0)))</f>
        <v>13843.2</v>
      </c>
      <c r="P695" s="16" t="n">
        <f aca="false">N695-O695</f>
        <v>3543.53804767124</v>
      </c>
    </row>
    <row r="696" customFormat="false" ht="15" hidden="false" customHeight="false" outlineLevel="0" collapsed="false">
      <c r="A696" s="2" t="s">
        <v>119</v>
      </c>
      <c r="B696" s="2" t="n">
        <v>11</v>
      </c>
      <c r="C696" s="2" t="s">
        <v>72</v>
      </c>
      <c r="D696" s="2" t="s">
        <v>36</v>
      </c>
      <c r="E696" s="2" t="str">
        <f aca="false">INDEX(Products!$B$2:$B$13,MATCH(D696,Products!$A$2:$A$13,0))</f>
        <v>FCC</v>
      </c>
      <c r="F696" s="15" t="n">
        <v>8.1</v>
      </c>
      <c r="G696" s="16" t="n">
        <f aca="false">IF(A696="2025",INDEX(Products!$C$2:$C$13,MATCH(D696,Products!$A$2:$A$13,0)),INDEX(Products!$E$2:$E$13,MATCH(D696,Products!$A$2:$A$13,0)))</f>
        <v>3885</v>
      </c>
      <c r="H696" s="13" t="n">
        <f aca="false">IF(A696="2025",INDEX(Customers!$D$2:$D$41,MATCH(C696,Customers!$A$2:$A$41,0)),INDEX(Customers!$F$2:$F$41,MATCH(C696,Customers!$A$2:$A$41,0)))</f>
        <v>0.103</v>
      </c>
      <c r="I696" s="16" t="n">
        <f aca="false">F696*G696</f>
        <v>31468.5</v>
      </c>
      <c r="J696" s="16" t="n">
        <f aca="false">I696*(1-H696)</f>
        <v>28227.2445</v>
      </c>
      <c r="K696" s="16" t="n">
        <f aca="false">J696*INDEX(Customers!$G$2:$G$41,MATCH(C696,Customers!$A$2:$A$41,0))</f>
        <v>1411.362225</v>
      </c>
      <c r="L696" s="16" t="n">
        <f aca="false">F696*INDEX(Customers!$H$2:$H$41,MATCH(C696,Customers!$A$2:$A$41,0))</f>
        <v>1296</v>
      </c>
      <c r="M696" s="16" t="n">
        <f aca="false">J696*INDEX(Customers!$I$2:$I$41,MATCH(C696,Customers!$A$2:$A$41,0))/365*Assumptions!$B$6</f>
        <v>371.20759890411</v>
      </c>
      <c r="N696" s="16" t="n">
        <f aca="false">J696-K696-L696-M696</f>
        <v>25148.6746760959</v>
      </c>
      <c r="O696" s="16" t="n">
        <f aca="false">F696*IF(A696="2025",INDEX(Products!$D$2:$D$13,MATCH(D696,Products!$A$2:$A$13,0)),INDEX(Products!$F$2:$F$13,MATCH(D696,Products!$A$2:$A$13,0)))</f>
        <v>20023.2</v>
      </c>
      <c r="P696" s="16" t="n">
        <f aca="false">N696-O696</f>
        <v>5125.47467609589</v>
      </c>
    </row>
    <row r="697" customFormat="false" ht="15" hidden="false" customHeight="false" outlineLevel="0" collapsed="false">
      <c r="A697" s="2" t="s">
        <v>119</v>
      </c>
      <c r="B697" s="2" t="n">
        <v>12</v>
      </c>
      <c r="C697" s="2" t="s">
        <v>72</v>
      </c>
      <c r="D697" s="2" t="s">
        <v>36</v>
      </c>
      <c r="E697" s="2" t="str">
        <f aca="false">INDEX(Products!$B$2:$B$13,MATCH(D697,Products!$A$2:$A$13,0))</f>
        <v>FCC</v>
      </c>
      <c r="F697" s="15" t="n">
        <v>6.9</v>
      </c>
      <c r="G697" s="16" t="n">
        <f aca="false">IF(A697="2025",INDEX(Products!$C$2:$C$13,MATCH(D697,Products!$A$2:$A$13,0)),INDEX(Products!$E$2:$E$13,MATCH(D697,Products!$A$2:$A$13,0)))</f>
        <v>3885</v>
      </c>
      <c r="H697" s="13" t="n">
        <f aca="false">IF(A697="2025",INDEX(Customers!$D$2:$D$41,MATCH(C697,Customers!$A$2:$A$41,0)),INDEX(Customers!$F$2:$F$41,MATCH(C697,Customers!$A$2:$A$41,0)))</f>
        <v>0.103</v>
      </c>
      <c r="I697" s="16" t="n">
        <f aca="false">F697*G697</f>
        <v>26806.5</v>
      </c>
      <c r="J697" s="16" t="n">
        <f aca="false">I697*(1-H697)</f>
        <v>24045.4305</v>
      </c>
      <c r="K697" s="16" t="n">
        <f aca="false">J697*INDEX(Customers!$G$2:$G$41,MATCH(C697,Customers!$A$2:$A$41,0))</f>
        <v>1202.271525</v>
      </c>
      <c r="L697" s="16" t="n">
        <f aca="false">F697*INDEX(Customers!$H$2:$H$41,MATCH(C697,Customers!$A$2:$A$41,0))</f>
        <v>1104</v>
      </c>
      <c r="M697" s="16" t="n">
        <f aca="false">J697*INDEX(Customers!$I$2:$I$41,MATCH(C697,Customers!$A$2:$A$41,0))/365*Assumptions!$B$6</f>
        <v>316.213880547945</v>
      </c>
      <c r="N697" s="16" t="n">
        <f aca="false">J697-K697-L697-M697</f>
        <v>21422.9450944521</v>
      </c>
      <c r="O697" s="16" t="n">
        <f aca="false">F697*IF(A697="2025",INDEX(Products!$D$2:$D$13,MATCH(D697,Products!$A$2:$A$13,0)),INDEX(Products!$F$2:$F$13,MATCH(D697,Products!$A$2:$A$13,0)))</f>
        <v>17056.8</v>
      </c>
      <c r="P697" s="16" t="n">
        <f aca="false">N697-O697</f>
        <v>4366.14509445206</v>
      </c>
    </row>
    <row r="698" customFormat="false" ht="15" hidden="false" customHeight="false" outlineLevel="0" collapsed="false">
      <c r="A698" s="2" t="s">
        <v>118</v>
      </c>
      <c r="B698" s="2" t="n">
        <v>1</v>
      </c>
      <c r="C698" s="2" t="s">
        <v>72</v>
      </c>
      <c r="D698" s="2" t="s">
        <v>37</v>
      </c>
      <c r="E698" s="2" t="str">
        <f aca="false">INDEX(Products!$B$2:$B$13,MATCH(D698,Products!$A$2:$A$13,0))</f>
        <v>FCC</v>
      </c>
      <c r="F698" s="15" t="n">
        <v>7.5</v>
      </c>
      <c r="G698" s="16" t="n">
        <f aca="false">IF(A698="2025",INDEX(Products!$C$2:$C$13,MATCH(D698,Products!$A$2:$A$13,0)),INDEX(Products!$E$2:$E$13,MATCH(D698,Products!$A$2:$A$13,0)))</f>
        <v>3530</v>
      </c>
      <c r="H698" s="13" t="n">
        <f aca="false">IF(A698="2025",INDEX(Customers!$D$2:$D$41,MATCH(C698,Customers!$A$2:$A$41,0)),INDEX(Customers!$F$2:$F$41,MATCH(C698,Customers!$A$2:$A$41,0)))</f>
        <v>0.047</v>
      </c>
      <c r="I698" s="16" t="n">
        <f aca="false">F698*G698</f>
        <v>26475</v>
      </c>
      <c r="J698" s="16" t="n">
        <f aca="false">I698*(1-H698)</f>
        <v>25230.675</v>
      </c>
      <c r="K698" s="16" t="n">
        <f aca="false">J698*INDEX(Customers!$G$2:$G$41,MATCH(C698,Customers!$A$2:$A$41,0))</f>
        <v>1261.53375</v>
      </c>
      <c r="L698" s="16" t="n">
        <f aca="false">F698*INDEX(Customers!$H$2:$H$41,MATCH(C698,Customers!$A$2:$A$41,0))</f>
        <v>1200</v>
      </c>
      <c r="M698" s="16" t="n">
        <f aca="false">J698*INDEX(Customers!$I$2:$I$41,MATCH(C698,Customers!$A$2:$A$41,0))/365*Assumptions!$B$6</f>
        <v>331.800657534247</v>
      </c>
      <c r="N698" s="16" t="n">
        <f aca="false">J698-K698-L698-M698</f>
        <v>22437.3405924658</v>
      </c>
      <c r="O698" s="16" t="n">
        <f aca="false">F698*IF(A698="2025",INDEX(Products!$D$2:$D$13,MATCH(D698,Products!$A$2:$A$13,0)),INDEX(Products!$F$2:$F$13,MATCH(D698,Products!$A$2:$A$13,0)))</f>
        <v>18075</v>
      </c>
      <c r="P698" s="16" t="n">
        <f aca="false">N698-O698</f>
        <v>4362.34059246575</v>
      </c>
    </row>
    <row r="699" customFormat="false" ht="15" hidden="false" customHeight="false" outlineLevel="0" collapsed="false">
      <c r="A699" s="2" t="s">
        <v>118</v>
      </c>
      <c r="B699" s="2" t="n">
        <v>2</v>
      </c>
      <c r="C699" s="2" t="s">
        <v>72</v>
      </c>
      <c r="D699" s="2" t="s">
        <v>37</v>
      </c>
      <c r="E699" s="2" t="str">
        <f aca="false">INDEX(Products!$B$2:$B$13,MATCH(D699,Products!$A$2:$A$13,0))</f>
        <v>FCC</v>
      </c>
      <c r="F699" s="15" t="n">
        <v>6.8</v>
      </c>
      <c r="G699" s="16" t="n">
        <f aca="false">IF(A699="2025",INDEX(Products!$C$2:$C$13,MATCH(D699,Products!$A$2:$A$13,0)),INDEX(Products!$E$2:$E$13,MATCH(D699,Products!$A$2:$A$13,0)))</f>
        <v>3530</v>
      </c>
      <c r="H699" s="13" t="n">
        <f aca="false">IF(A699="2025",INDEX(Customers!$D$2:$D$41,MATCH(C699,Customers!$A$2:$A$41,0)),INDEX(Customers!$F$2:$F$41,MATCH(C699,Customers!$A$2:$A$41,0)))</f>
        <v>0.047</v>
      </c>
      <c r="I699" s="16" t="n">
        <f aca="false">F699*G699</f>
        <v>24004</v>
      </c>
      <c r="J699" s="16" t="n">
        <f aca="false">I699*(1-H699)</f>
        <v>22875.812</v>
      </c>
      <c r="K699" s="16" t="n">
        <f aca="false">J699*INDEX(Customers!$G$2:$G$41,MATCH(C699,Customers!$A$2:$A$41,0))</f>
        <v>1143.7906</v>
      </c>
      <c r="L699" s="16" t="n">
        <f aca="false">F699*INDEX(Customers!$H$2:$H$41,MATCH(C699,Customers!$A$2:$A$41,0))</f>
        <v>1088</v>
      </c>
      <c r="M699" s="16" t="n">
        <f aca="false">J699*INDEX(Customers!$I$2:$I$41,MATCH(C699,Customers!$A$2:$A$41,0))/365*Assumptions!$B$6</f>
        <v>300.832596164384</v>
      </c>
      <c r="N699" s="16" t="n">
        <f aca="false">J699-K699-L699-M699</f>
        <v>20343.1888038356</v>
      </c>
      <c r="O699" s="16" t="n">
        <f aca="false">F699*IF(A699="2025",INDEX(Products!$D$2:$D$13,MATCH(D699,Products!$A$2:$A$13,0)),INDEX(Products!$F$2:$F$13,MATCH(D699,Products!$A$2:$A$13,0)))</f>
        <v>16388</v>
      </c>
      <c r="P699" s="16" t="n">
        <f aca="false">N699-O699</f>
        <v>3955.18880383562</v>
      </c>
    </row>
    <row r="700" customFormat="false" ht="15" hidden="false" customHeight="false" outlineLevel="0" collapsed="false">
      <c r="A700" s="2" t="s">
        <v>118</v>
      </c>
      <c r="B700" s="2" t="n">
        <v>3</v>
      </c>
      <c r="C700" s="2" t="s">
        <v>72</v>
      </c>
      <c r="D700" s="2" t="s">
        <v>37</v>
      </c>
      <c r="E700" s="2" t="str">
        <f aca="false">INDEX(Products!$B$2:$B$13,MATCH(D700,Products!$A$2:$A$13,0))</f>
        <v>FCC</v>
      </c>
      <c r="F700" s="15" t="n">
        <v>9.8</v>
      </c>
      <c r="G700" s="16" t="n">
        <f aca="false">IF(A700="2025",INDEX(Products!$C$2:$C$13,MATCH(D700,Products!$A$2:$A$13,0)),INDEX(Products!$E$2:$E$13,MATCH(D700,Products!$A$2:$A$13,0)))</f>
        <v>3530</v>
      </c>
      <c r="H700" s="13" t="n">
        <f aca="false">IF(A700="2025",INDEX(Customers!$D$2:$D$41,MATCH(C700,Customers!$A$2:$A$41,0)),INDEX(Customers!$F$2:$F$41,MATCH(C700,Customers!$A$2:$A$41,0)))</f>
        <v>0.047</v>
      </c>
      <c r="I700" s="16" t="n">
        <f aca="false">F700*G700</f>
        <v>34594</v>
      </c>
      <c r="J700" s="16" t="n">
        <f aca="false">I700*(1-H700)</f>
        <v>32968.082</v>
      </c>
      <c r="K700" s="16" t="n">
        <f aca="false">J700*INDEX(Customers!$G$2:$G$41,MATCH(C700,Customers!$A$2:$A$41,0))</f>
        <v>1648.4041</v>
      </c>
      <c r="L700" s="16" t="n">
        <f aca="false">F700*INDEX(Customers!$H$2:$H$41,MATCH(C700,Customers!$A$2:$A$41,0))</f>
        <v>1568</v>
      </c>
      <c r="M700" s="16" t="n">
        <f aca="false">J700*INDEX(Customers!$I$2:$I$41,MATCH(C700,Customers!$A$2:$A$41,0))/365*Assumptions!$B$6</f>
        <v>433.552859178082</v>
      </c>
      <c r="N700" s="16" t="n">
        <f aca="false">J700-K700-L700-M700</f>
        <v>29318.1250408219</v>
      </c>
      <c r="O700" s="16" t="n">
        <f aca="false">F700*IF(A700="2025",INDEX(Products!$D$2:$D$13,MATCH(D700,Products!$A$2:$A$13,0)),INDEX(Products!$F$2:$F$13,MATCH(D700,Products!$A$2:$A$13,0)))</f>
        <v>23618</v>
      </c>
      <c r="P700" s="16" t="n">
        <f aca="false">N700-O700</f>
        <v>5700.12504082192</v>
      </c>
    </row>
    <row r="701" customFormat="false" ht="15" hidden="false" customHeight="false" outlineLevel="0" collapsed="false">
      <c r="A701" s="2" t="s">
        <v>118</v>
      </c>
      <c r="B701" s="2" t="n">
        <v>4</v>
      </c>
      <c r="C701" s="2" t="s">
        <v>72</v>
      </c>
      <c r="D701" s="2" t="s">
        <v>37</v>
      </c>
      <c r="E701" s="2" t="str">
        <f aca="false">INDEX(Products!$B$2:$B$13,MATCH(D701,Products!$A$2:$A$13,0))</f>
        <v>FCC</v>
      </c>
      <c r="F701" s="15" t="n">
        <v>10.8</v>
      </c>
      <c r="G701" s="16" t="n">
        <f aca="false">IF(A701="2025",INDEX(Products!$C$2:$C$13,MATCH(D701,Products!$A$2:$A$13,0)),INDEX(Products!$E$2:$E$13,MATCH(D701,Products!$A$2:$A$13,0)))</f>
        <v>3530</v>
      </c>
      <c r="H701" s="13" t="n">
        <f aca="false">IF(A701="2025",INDEX(Customers!$D$2:$D$41,MATCH(C701,Customers!$A$2:$A$41,0)),INDEX(Customers!$F$2:$F$41,MATCH(C701,Customers!$A$2:$A$41,0)))</f>
        <v>0.047</v>
      </c>
      <c r="I701" s="16" t="n">
        <f aca="false">F701*G701</f>
        <v>38124</v>
      </c>
      <c r="J701" s="16" t="n">
        <f aca="false">I701*(1-H701)</f>
        <v>36332.172</v>
      </c>
      <c r="K701" s="16" t="n">
        <f aca="false">J701*INDEX(Customers!$G$2:$G$41,MATCH(C701,Customers!$A$2:$A$41,0))</f>
        <v>1816.6086</v>
      </c>
      <c r="L701" s="16" t="n">
        <f aca="false">F701*INDEX(Customers!$H$2:$H$41,MATCH(C701,Customers!$A$2:$A$41,0))</f>
        <v>1728</v>
      </c>
      <c r="M701" s="16" t="n">
        <f aca="false">J701*INDEX(Customers!$I$2:$I$41,MATCH(C701,Customers!$A$2:$A$41,0))/365*Assumptions!$B$6</f>
        <v>477.792946849315</v>
      </c>
      <c r="N701" s="16" t="n">
        <f aca="false">J701-K701-L701-M701</f>
        <v>32309.7704531507</v>
      </c>
      <c r="O701" s="16" t="n">
        <f aca="false">F701*IF(A701="2025",INDEX(Products!$D$2:$D$13,MATCH(D701,Products!$A$2:$A$13,0)),INDEX(Products!$F$2:$F$13,MATCH(D701,Products!$A$2:$A$13,0)))</f>
        <v>26028</v>
      </c>
      <c r="P701" s="16" t="n">
        <f aca="false">N701-O701</f>
        <v>6281.77045315068</v>
      </c>
    </row>
    <row r="702" customFormat="false" ht="15" hidden="false" customHeight="false" outlineLevel="0" collapsed="false">
      <c r="A702" s="2" t="s">
        <v>118</v>
      </c>
      <c r="B702" s="2" t="n">
        <v>5</v>
      </c>
      <c r="C702" s="2" t="s">
        <v>72</v>
      </c>
      <c r="D702" s="2" t="s">
        <v>37</v>
      </c>
      <c r="E702" s="2" t="str">
        <f aca="false">INDEX(Products!$B$2:$B$13,MATCH(D702,Products!$A$2:$A$13,0))</f>
        <v>FCC</v>
      </c>
      <c r="F702" s="15" t="n">
        <v>7.8</v>
      </c>
      <c r="G702" s="16" t="n">
        <f aca="false">IF(A702="2025",INDEX(Products!$C$2:$C$13,MATCH(D702,Products!$A$2:$A$13,0)),INDEX(Products!$E$2:$E$13,MATCH(D702,Products!$A$2:$A$13,0)))</f>
        <v>3530</v>
      </c>
      <c r="H702" s="13" t="n">
        <f aca="false">IF(A702="2025",INDEX(Customers!$D$2:$D$41,MATCH(C702,Customers!$A$2:$A$41,0)),INDEX(Customers!$F$2:$F$41,MATCH(C702,Customers!$A$2:$A$41,0)))</f>
        <v>0.047</v>
      </c>
      <c r="I702" s="16" t="n">
        <f aca="false">F702*G702</f>
        <v>27534</v>
      </c>
      <c r="J702" s="16" t="n">
        <f aca="false">I702*(1-H702)</f>
        <v>26239.902</v>
      </c>
      <c r="K702" s="16" t="n">
        <f aca="false">J702*INDEX(Customers!$G$2:$G$41,MATCH(C702,Customers!$A$2:$A$41,0))</f>
        <v>1311.9951</v>
      </c>
      <c r="L702" s="16" t="n">
        <f aca="false">F702*INDEX(Customers!$H$2:$H$41,MATCH(C702,Customers!$A$2:$A$41,0))</f>
        <v>1248</v>
      </c>
      <c r="M702" s="16" t="n">
        <f aca="false">J702*INDEX(Customers!$I$2:$I$41,MATCH(C702,Customers!$A$2:$A$41,0))/365*Assumptions!$B$6</f>
        <v>345.072683835616</v>
      </c>
      <c r="N702" s="16" t="n">
        <f aca="false">J702-K702-L702-M702</f>
        <v>23334.8342161644</v>
      </c>
      <c r="O702" s="16" t="n">
        <f aca="false">F702*IF(A702="2025",INDEX(Products!$D$2:$D$13,MATCH(D702,Products!$A$2:$A$13,0)),INDEX(Products!$F$2:$F$13,MATCH(D702,Products!$A$2:$A$13,0)))</f>
        <v>18798</v>
      </c>
      <c r="P702" s="16" t="n">
        <f aca="false">N702-O702</f>
        <v>4536.83421616438</v>
      </c>
    </row>
    <row r="703" customFormat="false" ht="15" hidden="false" customHeight="false" outlineLevel="0" collapsed="false">
      <c r="A703" s="2" t="s">
        <v>118</v>
      </c>
      <c r="B703" s="2" t="n">
        <v>6</v>
      </c>
      <c r="C703" s="2" t="s">
        <v>72</v>
      </c>
      <c r="D703" s="2" t="s">
        <v>37</v>
      </c>
      <c r="E703" s="2" t="str">
        <f aca="false">INDEX(Products!$B$2:$B$13,MATCH(D703,Products!$A$2:$A$13,0))</f>
        <v>FCC</v>
      </c>
      <c r="F703" s="15" t="n">
        <v>7.9</v>
      </c>
      <c r="G703" s="16" t="n">
        <f aca="false">IF(A703="2025",INDEX(Products!$C$2:$C$13,MATCH(D703,Products!$A$2:$A$13,0)),INDEX(Products!$E$2:$E$13,MATCH(D703,Products!$A$2:$A$13,0)))</f>
        <v>3530</v>
      </c>
      <c r="H703" s="13" t="n">
        <f aca="false">IF(A703="2025",INDEX(Customers!$D$2:$D$41,MATCH(C703,Customers!$A$2:$A$41,0)),INDEX(Customers!$F$2:$F$41,MATCH(C703,Customers!$A$2:$A$41,0)))</f>
        <v>0.047</v>
      </c>
      <c r="I703" s="16" t="n">
        <f aca="false">F703*G703</f>
        <v>27887</v>
      </c>
      <c r="J703" s="16" t="n">
        <f aca="false">I703*(1-H703)</f>
        <v>26576.311</v>
      </c>
      <c r="K703" s="16" t="n">
        <f aca="false">J703*INDEX(Customers!$G$2:$G$41,MATCH(C703,Customers!$A$2:$A$41,0))</f>
        <v>1328.81555</v>
      </c>
      <c r="L703" s="16" t="n">
        <f aca="false">F703*INDEX(Customers!$H$2:$H$41,MATCH(C703,Customers!$A$2:$A$41,0))</f>
        <v>1264</v>
      </c>
      <c r="M703" s="16" t="n">
        <f aca="false">J703*INDEX(Customers!$I$2:$I$41,MATCH(C703,Customers!$A$2:$A$41,0))/365*Assumptions!$B$6</f>
        <v>349.49669260274</v>
      </c>
      <c r="N703" s="16" t="n">
        <f aca="false">J703-K703-L703-M703</f>
        <v>23633.9987573973</v>
      </c>
      <c r="O703" s="16" t="n">
        <f aca="false">F703*IF(A703="2025",INDEX(Products!$D$2:$D$13,MATCH(D703,Products!$A$2:$A$13,0)),INDEX(Products!$F$2:$F$13,MATCH(D703,Products!$A$2:$A$13,0)))</f>
        <v>19039</v>
      </c>
      <c r="P703" s="16" t="n">
        <f aca="false">N703-O703</f>
        <v>4594.99875739726</v>
      </c>
    </row>
    <row r="704" customFormat="false" ht="15" hidden="false" customHeight="false" outlineLevel="0" collapsed="false">
      <c r="A704" s="2" t="s">
        <v>118</v>
      </c>
      <c r="B704" s="2" t="n">
        <v>7</v>
      </c>
      <c r="C704" s="2" t="s">
        <v>72</v>
      </c>
      <c r="D704" s="2" t="s">
        <v>37</v>
      </c>
      <c r="E704" s="2" t="str">
        <f aca="false">INDEX(Products!$B$2:$B$13,MATCH(D704,Products!$A$2:$A$13,0))</f>
        <v>FCC</v>
      </c>
      <c r="F704" s="15" t="n">
        <v>7.4</v>
      </c>
      <c r="G704" s="16" t="n">
        <f aca="false">IF(A704="2025",INDEX(Products!$C$2:$C$13,MATCH(D704,Products!$A$2:$A$13,0)),INDEX(Products!$E$2:$E$13,MATCH(D704,Products!$A$2:$A$13,0)))</f>
        <v>3530</v>
      </c>
      <c r="H704" s="13" t="n">
        <f aca="false">IF(A704="2025",INDEX(Customers!$D$2:$D$41,MATCH(C704,Customers!$A$2:$A$41,0)),INDEX(Customers!$F$2:$F$41,MATCH(C704,Customers!$A$2:$A$41,0)))</f>
        <v>0.047</v>
      </c>
      <c r="I704" s="16" t="n">
        <f aca="false">F704*G704</f>
        <v>26122</v>
      </c>
      <c r="J704" s="16" t="n">
        <f aca="false">I704*(1-H704)</f>
        <v>24894.266</v>
      </c>
      <c r="K704" s="16" t="n">
        <f aca="false">J704*INDEX(Customers!$G$2:$G$41,MATCH(C704,Customers!$A$2:$A$41,0))</f>
        <v>1244.7133</v>
      </c>
      <c r="L704" s="16" t="n">
        <f aca="false">F704*INDEX(Customers!$H$2:$H$41,MATCH(C704,Customers!$A$2:$A$41,0))</f>
        <v>1184</v>
      </c>
      <c r="M704" s="16" t="n">
        <f aca="false">J704*INDEX(Customers!$I$2:$I$41,MATCH(C704,Customers!$A$2:$A$41,0))/365*Assumptions!$B$6</f>
        <v>327.376648767123</v>
      </c>
      <c r="N704" s="16" t="n">
        <f aca="false">J704-K704-L704-M704</f>
        <v>22138.1760512329</v>
      </c>
      <c r="O704" s="16" t="n">
        <f aca="false">F704*IF(A704="2025",INDEX(Products!$D$2:$D$13,MATCH(D704,Products!$A$2:$A$13,0)),INDEX(Products!$F$2:$F$13,MATCH(D704,Products!$A$2:$A$13,0)))</f>
        <v>17834</v>
      </c>
      <c r="P704" s="16" t="n">
        <f aca="false">N704-O704</f>
        <v>4304.17605123288</v>
      </c>
    </row>
    <row r="705" customFormat="false" ht="15" hidden="false" customHeight="false" outlineLevel="0" collapsed="false">
      <c r="A705" s="2" t="s">
        <v>118</v>
      </c>
      <c r="B705" s="2" t="n">
        <v>8</v>
      </c>
      <c r="C705" s="2" t="s">
        <v>72</v>
      </c>
      <c r="D705" s="2" t="s">
        <v>37</v>
      </c>
      <c r="E705" s="2" t="str">
        <f aca="false">INDEX(Products!$B$2:$B$13,MATCH(D705,Products!$A$2:$A$13,0))</f>
        <v>FCC</v>
      </c>
      <c r="F705" s="15" t="n">
        <v>6.8</v>
      </c>
      <c r="G705" s="16" t="n">
        <f aca="false">IF(A705="2025",INDEX(Products!$C$2:$C$13,MATCH(D705,Products!$A$2:$A$13,0)),INDEX(Products!$E$2:$E$13,MATCH(D705,Products!$A$2:$A$13,0)))</f>
        <v>3530</v>
      </c>
      <c r="H705" s="13" t="n">
        <f aca="false">IF(A705="2025",INDEX(Customers!$D$2:$D$41,MATCH(C705,Customers!$A$2:$A$41,0)),INDEX(Customers!$F$2:$F$41,MATCH(C705,Customers!$A$2:$A$41,0)))</f>
        <v>0.047</v>
      </c>
      <c r="I705" s="16" t="n">
        <f aca="false">F705*G705</f>
        <v>24004</v>
      </c>
      <c r="J705" s="16" t="n">
        <f aca="false">I705*(1-H705)</f>
        <v>22875.812</v>
      </c>
      <c r="K705" s="16" t="n">
        <f aca="false">J705*INDEX(Customers!$G$2:$G$41,MATCH(C705,Customers!$A$2:$A$41,0))</f>
        <v>1143.7906</v>
      </c>
      <c r="L705" s="16" t="n">
        <f aca="false">F705*INDEX(Customers!$H$2:$H$41,MATCH(C705,Customers!$A$2:$A$41,0))</f>
        <v>1088</v>
      </c>
      <c r="M705" s="16" t="n">
        <f aca="false">J705*INDEX(Customers!$I$2:$I$41,MATCH(C705,Customers!$A$2:$A$41,0))/365*Assumptions!$B$6</f>
        <v>300.832596164384</v>
      </c>
      <c r="N705" s="16" t="n">
        <f aca="false">J705-K705-L705-M705</f>
        <v>20343.1888038356</v>
      </c>
      <c r="O705" s="16" t="n">
        <f aca="false">F705*IF(A705="2025",INDEX(Products!$D$2:$D$13,MATCH(D705,Products!$A$2:$A$13,0)),INDEX(Products!$F$2:$F$13,MATCH(D705,Products!$A$2:$A$13,0)))</f>
        <v>16388</v>
      </c>
      <c r="P705" s="16" t="n">
        <f aca="false">N705-O705</f>
        <v>3955.18880383562</v>
      </c>
    </row>
    <row r="706" customFormat="false" ht="15" hidden="false" customHeight="false" outlineLevel="0" collapsed="false">
      <c r="A706" s="2" t="s">
        <v>118</v>
      </c>
      <c r="B706" s="2" t="n">
        <v>9</v>
      </c>
      <c r="C706" s="2" t="s">
        <v>72</v>
      </c>
      <c r="D706" s="2" t="s">
        <v>37</v>
      </c>
      <c r="E706" s="2" t="str">
        <f aca="false">INDEX(Products!$B$2:$B$13,MATCH(D706,Products!$A$2:$A$13,0))</f>
        <v>FCC</v>
      </c>
      <c r="F706" s="15" t="n">
        <v>7.6</v>
      </c>
      <c r="G706" s="16" t="n">
        <f aca="false">IF(A706="2025",INDEX(Products!$C$2:$C$13,MATCH(D706,Products!$A$2:$A$13,0)),INDEX(Products!$E$2:$E$13,MATCH(D706,Products!$A$2:$A$13,0)))</f>
        <v>3530</v>
      </c>
      <c r="H706" s="13" t="n">
        <f aca="false">IF(A706="2025",INDEX(Customers!$D$2:$D$41,MATCH(C706,Customers!$A$2:$A$41,0)),INDEX(Customers!$F$2:$F$41,MATCH(C706,Customers!$A$2:$A$41,0)))</f>
        <v>0.047</v>
      </c>
      <c r="I706" s="16" t="n">
        <f aca="false">F706*G706</f>
        <v>26828</v>
      </c>
      <c r="J706" s="16" t="n">
        <f aca="false">I706*(1-H706)</f>
        <v>25567.084</v>
      </c>
      <c r="K706" s="16" t="n">
        <f aca="false">J706*INDEX(Customers!$G$2:$G$41,MATCH(C706,Customers!$A$2:$A$41,0))</f>
        <v>1278.3542</v>
      </c>
      <c r="L706" s="16" t="n">
        <f aca="false">F706*INDEX(Customers!$H$2:$H$41,MATCH(C706,Customers!$A$2:$A$41,0))</f>
        <v>1216</v>
      </c>
      <c r="M706" s="16" t="n">
        <f aca="false">J706*INDEX(Customers!$I$2:$I$41,MATCH(C706,Customers!$A$2:$A$41,0))/365*Assumptions!$B$6</f>
        <v>336.22466630137</v>
      </c>
      <c r="N706" s="16" t="n">
        <f aca="false">J706-K706-L706-M706</f>
        <v>22736.5051336986</v>
      </c>
      <c r="O706" s="16" t="n">
        <f aca="false">F706*IF(A706="2025",INDEX(Products!$D$2:$D$13,MATCH(D706,Products!$A$2:$A$13,0)),INDEX(Products!$F$2:$F$13,MATCH(D706,Products!$A$2:$A$13,0)))</f>
        <v>18316</v>
      </c>
      <c r="P706" s="16" t="n">
        <f aca="false">N706-O706</f>
        <v>4420.50513369863</v>
      </c>
    </row>
    <row r="707" customFormat="false" ht="15" hidden="false" customHeight="false" outlineLevel="0" collapsed="false">
      <c r="A707" s="2" t="s">
        <v>118</v>
      </c>
      <c r="B707" s="2" t="n">
        <v>10</v>
      </c>
      <c r="C707" s="2" t="s">
        <v>72</v>
      </c>
      <c r="D707" s="2" t="s">
        <v>37</v>
      </c>
      <c r="E707" s="2" t="str">
        <f aca="false">INDEX(Products!$B$2:$B$13,MATCH(D707,Products!$A$2:$A$13,0))</f>
        <v>FCC</v>
      </c>
      <c r="F707" s="15" t="n">
        <v>10.1</v>
      </c>
      <c r="G707" s="16" t="n">
        <f aca="false">IF(A707="2025",INDEX(Products!$C$2:$C$13,MATCH(D707,Products!$A$2:$A$13,0)),INDEX(Products!$E$2:$E$13,MATCH(D707,Products!$A$2:$A$13,0)))</f>
        <v>3530</v>
      </c>
      <c r="H707" s="13" t="n">
        <f aca="false">IF(A707="2025",INDEX(Customers!$D$2:$D$41,MATCH(C707,Customers!$A$2:$A$41,0)),INDEX(Customers!$F$2:$F$41,MATCH(C707,Customers!$A$2:$A$41,0)))</f>
        <v>0.047</v>
      </c>
      <c r="I707" s="16" t="n">
        <f aca="false">F707*G707</f>
        <v>35653</v>
      </c>
      <c r="J707" s="16" t="n">
        <f aca="false">I707*(1-H707)</f>
        <v>33977.309</v>
      </c>
      <c r="K707" s="16" t="n">
        <f aca="false">J707*INDEX(Customers!$G$2:$G$41,MATCH(C707,Customers!$A$2:$A$41,0))</f>
        <v>1698.86545</v>
      </c>
      <c r="L707" s="16" t="n">
        <f aca="false">F707*INDEX(Customers!$H$2:$H$41,MATCH(C707,Customers!$A$2:$A$41,0))</f>
        <v>1616</v>
      </c>
      <c r="M707" s="16" t="n">
        <f aca="false">J707*INDEX(Customers!$I$2:$I$41,MATCH(C707,Customers!$A$2:$A$41,0))/365*Assumptions!$B$6</f>
        <v>446.824885479452</v>
      </c>
      <c r="N707" s="16" t="n">
        <f aca="false">J707-K707-L707-M707</f>
        <v>30215.6186645206</v>
      </c>
      <c r="O707" s="16" t="n">
        <f aca="false">F707*IF(A707="2025",INDEX(Products!$D$2:$D$13,MATCH(D707,Products!$A$2:$A$13,0)),INDEX(Products!$F$2:$F$13,MATCH(D707,Products!$A$2:$A$13,0)))</f>
        <v>24341</v>
      </c>
      <c r="P707" s="16" t="n">
        <f aca="false">N707-O707</f>
        <v>5874.61866452055</v>
      </c>
    </row>
    <row r="708" customFormat="false" ht="15" hidden="false" customHeight="false" outlineLevel="0" collapsed="false">
      <c r="A708" s="2" t="s">
        <v>118</v>
      </c>
      <c r="B708" s="2" t="n">
        <v>11</v>
      </c>
      <c r="C708" s="2" t="s">
        <v>72</v>
      </c>
      <c r="D708" s="2" t="s">
        <v>37</v>
      </c>
      <c r="E708" s="2" t="str">
        <f aca="false">INDEX(Products!$B$2:$B$13,MATCH(D708,Products!$A$2:$A$13,0))</f>
        <v>FCC</v>
      </c>
      <c r="F708" s="15" t="n">
        <v>6.4</v>
      </c>
      <c r="G708" s="16" t="n">
        <f aca="false">IF(A708="2025",INDEX(Products!$C$2:$C$13,MATCH(D708,Products!$A$2:$A$13,0)),INDEX(Products!$E$2:$E$13,MATCH(D708,Products!$A$2:$A$13,0)))</f>
        <v>3530</v>
      </c>
      <c r="H708" s="13" t="n">
        <f aca="false">IF(A708="2025",INDEX(Customers!$D$2:$D$41,MATCH(C708,Customers!$A$2:$A$41,0)),INDEX(Customers!$F$2:$F$41,MATCH(C708,Customers!$A$2:$A$41,0)))</f>
        <v>0.047</v>
      </c>
      <c r="I708" s="16" t="n">
        <f aca="false">F708*G708</f>
        <v>22592</v>
      </c>
      <c r="J708" s="16" t="n">
        <f aca="false">I708*(1-H708)</f>
        <v>21530.176</v>
      </c>
      <c r="K708" s="16" t="n">
        <f aca="false">J708*INDEX(Customers!$G$2:$G$41,MATCH(C708,Customers!$A$2:$A$41,0))</f>
        <v>1076.5088</v>
      </c>
      <c r="L708" s="16" t="n">
        <f aca="false">F708*INDEX(Customers!$H$2:$H$41,MATCH(C708,Customers!$A$2:$A$41,0))</f>
        <v>1024</v>
      </c>
      <c r="M708" s="16" t="n">
        <f aca="false">J708*INDEX(Customers!$I$2:$I$41,MATCH(C708,Customers!$A$2:$A$41,0))/365*Assumptions!$B$6</f>
        <v>283.13656109589</v>
      </c>
      <c r="N708" s="16" t="n">
        <f aca="false">J708-K708-L708-M708</f>
        <v>19146.5306389041</v>
      </c>
      <c r="O708" s="16" t="n">
        <f aca="false">F708*IF(A708="2025",INDEX(Products!$D$2:$D$13,MATCH(D708,Products!$A$2:$A$13,0)),INDEX(Products!$F$2:$F$13,MATCH(D708,Products!$A$2:$A$13,0)))</f>
        <v>15424</v>
      </c>
      <c r="P708" s="16" t="n">
        <f aca="false">N708-O708</f>
        <v>3722.53063890411</v>
      </c>
    </row>
    <row r="709" customFormat="false" ht="15" hidden="false" customHeight="false" outlineLevel="0" collapsed="false">
      <c r="A709" s="2" t="s">
        <v>118</v>
      </c>
      <c r="B709" s="2" t="n">
        <v>12</v>
      </c>
      <c r="C709" s="2" t="s">
        <v>72</v>
      </c>
      <c r="D709" s="2" t="s">
        <v>37</v>
      </c>
      <c r="E709" s="2" t="str">
        <f aca="false">INDEX(Products!$B$2:$B$13,MATCH(D709,Products!$A$2:$A$13,0))</f>
        <v>FCC</v>
      </c>
      <c r="F709" s="15" t="n">
        <v>10.1</v>
      </c>
      <c r="G709" s="16" t="n">
        <f aca="false">IF(A709="2025",INDEX(Products!$C$2:$C$13,MATCH(D709,Products!$A$2:$A$13,0)),INDEX(Products!$E$2:$E$13,MATCH(D709,Products!$A$2:$A$13,0)))</f>
        <v>3530</v>
      </c>
      <c r="H709" s="13" t="n">
        <f aca="false">IF(A709="2025",INDEX(Customers!$D$2:$D$41,MATCH(C709,Customers!$A$2:$A$41,0)),INDEX(Customers!$F$2:$F$41,MATCH(C709,Customers!$A$2:$A$41,0)))</f>
        <v>0.047</v>
      </c>
      <c r="I709" s="16" t="n">
        <f aca="false">F709*G709</f>
        <v>35653</v>
      </c>
      <c r="J709" s="16" t="n">
        <f aca="false">I709*(1-H709)</f>
        <v>33977.309</v>
      </c>
      <c r="K709" s="16" t="n">
        <f aca="false">J709*INDEX(Customers!$G$2:$G$41,MATCH(C709,Customers!$A$2:$A$41,0))</f>
        <v>1698.86545</v>
      </c>
      <c r="L709" s="16" t="n">
        <f aca="false">F709*INDEX(Customers!$H$2:$H$41,MATCH(C709,Customers!$A$2:$A$41,0))</f>
        <v>1616</v>
      </c>
      <c r="M709" s="16" t="n">
        <f aca="false">J709*INDEX(Customers!$I$2:$I$41,MATCH(C709,Customers!$A$2:$A$41,0))/365*Assumptions!$B$6</f>
        <v>446.824885479452</v>
      </c>
      <c r="N709" s="16" t="n">
        <f aca="false">J709-K709-L709-M709</f>
        <v>30215.6186645206</v>
      </c>
      <c r="O709" s="16" t="n">
        <f aca="false">F709*IF(A709="2025",INDEX(Products!$D$2:$D$13,MATCH(D709,Products!$A$2:$A$13,0)),INDEX(Products!$F$2:$F$13,MATCH(D709,Products!$A$2:$A$13,0)))</f>
        <v>24341</v>
      </c>
      <c r="P709" s="16" t="n">
        <f aca="false">N709-O709</f>
        <v>5874.61866452055</v>
      </c>
    </row>
    <row r="710" customFormat="false" ht="15" hidden="false" customHeight="false" outlineLevel="0" collapsed="false">
      <c r="A710" s="2" t="s">
        <v>119</v>
      </c>
      <c r="B710" s="2" t="n">
        <v>1</v>
      </c>
      <c r="C710" s="2" t="s">
        <v>72</v>
      </c>
      <c r="D710" s="2" t="s">
        <v>37</v>
      </c>
      <c r="E710" s="2" t="str">
        <f aca="false">INDEX(Products!$B$2:$B$13,MATCH(D710,Products!$A$2:$A$13,0))</f>
        <v>FCC</v>
      </c>
      <c r="F710" s="15" t="n">
        <v>5.8</v>
      </c>
      <c r="G710" s="16" t="n">
        <f aca="false">IF(A710="2025",INDEX(Products!$C$2:$C$13,MATCH(D710,Products!$A$2:$A$13,0)),INDEX(Products!$E$2:$E$13,MATCH(D710,Products!$A$2:$A$13,0)))</f>
        <v>3706.5</v>
      </c>
      <c r="H710" s="13" t="n">
        <f aca="false">IF(A710="2025",INDEX(Customers!$D$2:$D$41,MATCH(C710,Customers!$A$2:$A$41,0)),INDEX(Customers!$F$2:$F$41,MATCH(C710,Customers!$A$2:$A$41,0)))</f>
        <v>0.103</v>
      </c>
      <c r="I710" s="16" t="n">
        <f aca="false">F710*G710</f>
        <v>21497.7</v>
      </c>
      <c r="J710" s="16" t="n">
        <f aca="false">I710*(1-H710)</f>
        <v>19283.4369</v>
      </c>
      <c r="K710" s="16" t="n">
        <f aca="false">J710*INDEX(Customers!$G$2:$G$41,MATCH(C710,Customers!$A$2:$A$41,0))</f>
        <v>964.171845</v>
      </c>
      <c r="L710" s="16" t="n">
        <f aca="false">F710*INDEX(Customers!$H$2:$H$41,MATCH(C710,Customers!$A$2:$A$41,0))</f>
        <v>928</v>
      </c>
      <c r="M710" s="16" t="n">
        <f aca="false">J710*INDEX(Customers!$I$2:$I$41,MATCH(C710,Customers!$A$2:$A$41,0))/365*Assumptions!$B$6</f>
        <v>253.590403068493</v>
      </c>
      <c r="N710" s="16" t="n">
        <f aca="false">J710-K710-L710-M710</f>
        <v>17137.6746519315</v>
      </c>
      <c r="O710" s="16" t="n">
        <f aca="false">F710*IF(A710="2025",INDEX(Products!$D$2:$D$13,MATCH(D710,Products!$A$2:$A$13,0)),INDEX(Products!$F$2:$F$13,MATCH(D710,Products!$A$2:$A$13,0)))</f>
        <v>14397.34</v>
      </c>
      <c r="P710" s="16" t="n">
        <f aca="false">N710-O710</f>
        <v>2740.33465193151</v>
      </c>
    </row>
    <row r="711" customFormat="false" ht="15" hidden="false" customHeight="false" outlineLevel="0" collapsed="false">
      <c r="A711" s="2" t="s">
        <v>119</v>
      </c>
      <c r="B711" s="2" t="n">
        <v>2</v>
      </c>
      <c r="C711" s="2" t="s">
        <v>72</v>
      </c>
      <c r="D711" s="2" t="s">
        <v>37</v>
      </c>
      <c r="E711" s="2" t="str">
        <f aca="false">INDEX(Products!$B$2:$B$13,MATCH(D711,Products!$A$2:$A$13,0))</f>
        <v>FCC</v>
      </c>
      <c r="F711" s="15" t="n">
        <v>8</v>
      </c>
      <c r="G711" s="16" t="n">
        <f aca="false">IF(A711="2025",INDEX(Products!$C$2:$C$13,MATCH(D711,Products!$A$2:$A$13,0)),INDEX(Products!$E$2:$E$13,MATCH(D711,Products!$A$2:$A$13,0)))</f>
        <v>3706.5</v>
      </c>
      <c r="H711" s="13" t="n">
        <f aca="false">IF(A711="2025",INDEX(Customers!$D$2:$D$41,MATCH(C711,Customers!$A$2:$A$41,0)),INDEX(Customers!$F$2:$F$41,MATCH(C711,Customers!$A$2:$A$41,0)))</f>
        <v>0.103</v>
      </c>
      <c r="I711" s="16" t="n">
        <f aca="false">F711*G711</f>
        <v>29652</v>
      </c>
      <c r="J711" s="16" t="n">
        <f aca="false">I711*(1-H711)</f>
        <v>26597.844</v>
      </c>
      <c r="K711" s="16" t="n">
        <f aca="false">J711*INDEX(Customers!$G$2:$G$41,MATCH(C711,Customers!$A$2:$A$41,0))</f>
        <v>1329.8922</v>
      </c>
      <c r="L711" s="16" t="n">
        <f aca="false">F711*INDEX(Customers!$H$2:$H$41,MATCH(C711,Customers!$A$2:$A$41,0))</f>
        <v>1280</v>
      </c>
      <c r="M711" s="16" t="n">
        <f aca="false">J711*INDEX(Customers!$I$2:$I$41,MATCH(C711,Customers!$A$2:$A$41,0))/365*Assumptions!$B$6</f>
        <v>349.77986630137</v>
      </c>
      <c r="N711" s="16" t="n">
        <f aca="false">J711-K711-L711-M711</f>
        <v>23638.1719336986</v>
      </c>
      <c r="O711" s="16" t="n">
        <f aca="false">F711*IF(A711="2025",INDEX(Products!$D$2:$D$13,MATCH(D711,Products!$A$2:$A$13,0)),INDEX(Products!$F$2:$F$13,MATCH(D711,Products!$A$2:$A$13,0)))</f>
        <v>19858.4</v>
      </c>
      <c r="P711" s="16" t="n">
        <f aca="false">N711-O711</f>
        <v>3779.77193369863</v>
      </c>
    </row>
    <row r="712" customFormat="false" ht="15" hidden="false" customHeight="false" outlineLevel="0" collapsed="false">
      <c r="A712" s="2" t="s">
        <v>119</v>
      </c>
      <c r="B712" s="2" t="n">
        <v>3</v>
      </c>
      <c r="C712" s="2" t="s">
        <v>72</v>
      </c>
      <c r="D712" s="2" t="s">
        <v>37</v>
      </c>
      <c r="E712" s="2" t="str">
        <f aca="false">INDEX(Products!$B$2:$B$13,MATCH(D712,Products!$A$2:$A$13,0))</f>
        <v>FCC</v>
      </c>
      <c r="F712" s="15" t="n">
        <v>9.1</v>
      </c>
      <c r="G712" s="16" t="n">
        <f aca="false">IF(A712="2025",INDEX(Products!$C$2:$C$13,MATCH(D712,Products!$A$2:$A$13,0)),INDEX(Products!$E$2:$E$13,MATCH(D712,Products!$A$2:$A$13,0)))</f>
        <v>3706.5</v>
      </c>
      <c r="H712" s="13" t="n">
        <f aca="false">IF(A712="2025",INDEX(Customers!$D$2:$D$41,MATCH(C712,Customers!$A$2:$A$41,0)),INDEX(Customers!$F$2:$F$41,MATCH(C712,Customers!$A$2:$A$41,0)))</f>
        <v>0.103</v>
      </c>
      <c r="I712" s="16" t="n">
        <f aca="false">F712*G712</f>
        <v>33729.15</v>
      </c>
      <c r="J712" s="16" t="n">
        <f aca="false">I712*(1-H712)</f>
        <v>30255.04755</v>
      </c>
      <c r="K712" s="16" t="n">
        <f aca="false">J712*INDEX(Customers!$G$2:$G$41,MATCH(C712,Customers!$A$2:$A$41,0))</f>
        <v>1512.7523775</v>
      </c>
      <c r="L712" s="16" t="n">
        <f aca="false">F712*INDEX(Customers!$H$2:$H$41,MATCH(C712,Customers!$A$2:$A$41,0))</f>
        <v>1456</v>
      </c>
      <c r="M712" s="16" t="n">
        <f aca="false">J712*INDEX(Customers!$I$2:$I$41,MATCH(C712,Customers!$A$2:$A$41,0))/365*Assumptions!$B$6</f>
        <v>397.874597917808</v>
      </c>
      <c r="N712" s="16" t="n">
        <f aca="false">J712-K712-L712-M712</f>
        <v>26888.4205745822</v>
      </c>
      <c r="O712" s="16" t="n">
        <f aca="false">F712*IF(A712="2025",INDEX(Products!$D$2:$D$13,MATCH(D712,Products!$A$2:$A$13,0)),INDEX(Products!$F$2:$F$13,MATCH(D712,Products!$A$2:$A$13,0)))</f>
        <v>22588.93</v>
      </c>
      <c r="P712" s="16" t="n">
        <f aca="false">N712-O712</f>
        <v>4299.49057458219</v>
      </c>
    </row>
    <row r="713" customFormat="false" ht="15" hidden="false" customHeight="false" outlineLevel="0" collapsed="false">
      <c r="A713" s="2" t="s">
        <v>119</v>
      </c>
      <c r="B713" s="2" t="n">
        <v>4</v>
      </c>
      <c r="C713" s="2" t="s">
        <v>72</v>
      </c>
      <c r="D713" s="2" t="s">
        <v>37</v>
      </c>
      <c r="E713" s="2" t="str">
        <f aca="false">INDEX(Products!$B$2:$B$13,MATCH(D713,Products!$A$2:$A$13,0))</f>
        <v>FCC</v>
      </c>
      <c r="F713" s="15" t="n">
        <v>7.1</v>
      </c>
      <c r="G713" s="16" t="n">
        <f aca="false">IF(A713="2025",INDEX(Products!$C$2:$C$13,MATCH(D713,Products!$A$2:$A$13,0)),INDEX(Products!$E$2:$E$13,MATCH(D713,Products!$A$2:$A$13,0)))</f>
        <v>3706.5</v>
      </c>
      <c r="H713" s="13" t="n">
        <f aca="false">IF(A713="2025",INDEX(Customers!$D$2:$D$41,MATCH(C713,Customers!$A$2:$A$41,0)),INDEX(Customers!$F$2:$F$41,MATCH(C713,Customers!$A$2:$A$41,0)))</f>
        <v>0.103</v>
      </c>
      <c r="I713" s="16" t="n">
        <f aca="false">F713*G713</f>
        <v>26316.15</v>
      </c>
      <c r="J713" s="16" t="n">
        <f aca="false">I713*(1-H713)</f>
        <v>23605.58655</v>
      </c>
      <c r="K713" s="16" t="n">
        <f aca="false">J713*INDEX(Customers!$G$2:$G$41,MATCH(C713,Customers!$A$2:$A$41,0))</f>
        <v>1180.2793275</v>
      </c>
      <c r="L713" s="16" t="n">
        <f aca="false">F713*INDEX(Customers!$H$2:$H$41,MATCH(C713,Customers!$A$2:$A$41,0))</f>
        <v>1136</v>
      </c>
      <c r="M713" s="16" t="n">
        <f aca="false">J713*INDEX(Customers!$I$2:$I$41,MATCH(C713,Customers!$A$2:$A$41,0))/365*Assumptions!$B$6</f>
        <v>310.429631342466</v>
      </c>
      <c r="N713" s="16" t="n">
        <f aca="false">J713-K713-L713-M713</f>
        <v>20978.8775911575</v>
      </c>
      <c r="O713" s="16" t="n">
        <f aca="false">F713*IF(A713="2025",INDEX(Products!$D$2:$D$13,MATCH(D713,Products!$A$2:$A$13,0)),INDEX(Products!$F$2:$F$13,MATCH(D713,Products!$A$2:$A$13,0)))</f>
        <v>17624.33</v>
      </c>
      <c r="P713" s="16" t="n">
        <f aca="false">N713-O713</f>
        <v>3354.54759115753</v>
      </c>
    </row>
    <row r="714" customFormat="false" ht="15" hidden="false" customHeight="false" outlineLevel="0" collapsed="false">
      <c r="A714" s="2" t="s">
        <v>119</v>
      </c>
      <c r="B714" s="2" t="n">
        <v>5</v>
      </c>
      <c r="C714" s="2" t="s">
        <v>72</v>
      </c>
      <c r="D714" s="2" t="s">
        <v>37</v>
      </c>
      <c r="E714" s="2" t="str">
        <f aca="false">INDEX(Products!$B$2:$B$13,MATCH(D714,Products!$A$2:$A$13,0))</f>
        <v>FCC</v>
      </c>
      <c r="F714" s="15" t="n">
        <v>9.6</v>
      </c>
      <c r="G714" s="16" t="n">
        <f aca="false">IF(A714="2025",INDEX(Products!$C$2:$C$13,MATCH(D714,Products!$A$2:$A$13,0)),INDEX(Products!$E$2:$E$13,MATCH(D714,Products!$A$2:$A$13,0)))</f>
        <v>3706.5</v>
      </c>
      <c r="H714" s="13" t="n">
        <f aca="false">IF(A714="2025",INDEX(Customers!$D$2:$D$41,MATCH(C714,Customers!$A$2:$A$41,0)),INDEX(Customers!$F$2:$F$41,MATCH(C714,Customers!$A$2:$A$41,0)))</f>
        <v>0.103</v>
      </c>
      <c r="I714" s="16" t="n">
        <f aca="false">F714*G714</f>
        <v>35582.4</v>
      </c>
      <c r="J714" s="16" t="n">
        <f aca="false">I714*(1-H714)</f>
        <v>31917.4128</v>
      </c>
      <c r="K714" s="16" t="n">
        <f aca="false">J714*INDEX(Customers!$G$2:$G$41,MATCH(C714,Customers!$A$2:$A$41,0))</f>
        <v>1595.87064</v>
      </c>
      <c r="L714" s="16" t="n">
        <f aca="false">F714*INDEX(Customers!$H$2:$H$41,MATCH(C714,Customers!$A$2:$A$41,0))</f>
        <v>1536</v>
      </c>
      <c r="M714" s="16" t="n">
        <f aca="false">J714*INDEX(Customers!$I$2:$I$41,MATCH(C714,Customers!$A$2:$A$41,0))/365*Assumptions!$B$6</f>
        <v>419.735839561644</v>
      </c>
      <c r="N714" s="16" t="n">
        <f aca="false">J714-K714-L714-M714</f>
        <v>28365.8063204384</v>
      </c>
      <c r="O714" s="16" t="n">
        <f aca="false">F714*IF(A714="2025",INDEX(Products!$D$2:$D$13,MATCH(D714,Products!$A$2:$A$13,0)),INDEX(Products!$F$2:$F$13,MATCH(D714,Products!$A$2:$A$13,0)))</f>
        <v>23830.08</v>
      </c>
      <c r="P714" s="16" t="n">
        <f aca="false">N714-O714</f>
        <v>4535.72632043836</v>
      </c>
    </row>
    <row r="715" customFormat="false" ht="15" hidden="false" customHeight="false" outlineLevel="0" collapsed="false">
      <c r="A715" s="2" t="s">
        <v>119</v>
      </c>
      <c r="B715" s="2" t="n">
        <v>6</v>
      </c>
      <c r="C715" s="2" t="s">
        <v>72</v>
      </c>
      <c r="D715" s="2" t="s">
        <v>37</v>
      </c>
      <c r="E715" s="2" t="str">
        <f aca="false">INDEX(Products!$B$2:$B$13,MATCH(D715,Products!$A$2:$A$13,0))</f>
        <v>FCC</v>
      </c>
      <c r="F715" s="15" t="n">
        <v>9.1</v>
      </c>
      <c r="G715" s="16" t="n">
        <f aca="false">IF(A715="2025",INDEX(Products!$C$2:$C$13,MATCH(D715,Products!$A$2:$A$13,0)),INDEX(Products!$E$2:$E$13,MATCH(D715,Products!$A$2:$A$13,0)))</f>
        <v>3706.5</v>
      </c>
      <c r="H715" s="13" t="n">
        <f aca="false">IF(A715="2025",INDEX(Customers!$D$2:$D$41,MATCH(C715,Customers!$A$2:$A$41,0)),INDEX(Customers!$F$2:$F$41,MATCH(C715,Customers!$A$2:$A$41,0)))</f>
        <v>0.103</v>
      </c>
      <c r="I715" s="16" t="n">
        <f aca="false">F715*G715</f>
        <v>33729.15</v>
      </c>
      <c r="J715" s="16" t="n">
        <f aca="false">I715*(1-H715)</f>
        <v>30255.04755</v>
      </c>
      <c r="K715" s="16" t="n">
        <f aca="false">J715*INDEX(Customers!$G$2:$G$41,MATCH(C715,Customers!$A$2:$A$41,0))</f>
        <v>1512.7523775</v>
      </c>
      <c r="L715" s="16" t="n">
        <f aca="false">F715*INDEX(Customers!$H$2:$H$41,MATCH(C715,Customers!$A$2:$A$41,0))</f>
        <v>1456</v>
      </c>
      <c r="M715" s="16" t="n">
        <f aca="false">J715*INDEX(Customers!$I$2:$I$41,MATCH(C715,Customers!$A$2:$A$41,0))/365*Assumptions!$B$6</f>
        <v>397.874597917808</v>
      </c>
      <c r="N715" s="16" t="n">
        <f aca="false">J715-K715-L715-M715</f>
        <v>26888.4205745822</v>
      </c>
      <c r="O715" s="16" t="n">
        <f aca="false">F715*IF(A715="2025",INDEX(Products!$D$2:$D$13,MATCH(D715,Products!$A$2:$A$13,0)),INDEX(Products!$F$2:$F$13,MATCH(D715,Products!$A$2:$A$13,0)))</f>
        <v>22588.93</v>
      </c>
      <c r="P715" s="16" t="n">
        <f aca="false">N715-O715</f>
        <v>4299.49057458219</v>
      </c>
    </row>
    <row r="716" customFormat="false" ht="15" hidden="false" customHeight="false" outlineLevel="0" collapsed="false">
      <c r="A716" s="2" t="s">
        <v>119</v>
      </c>
      <c r="B716" s="2" t="n">
        <v>7</v>
      </c>
      <c r="C716" s="2" t="s">
        <v>72</v>
      </c>
      <c r="D716" s="2" t="s">
        <v>37</v>
      </c>
      <c r="E716" s="2" t="str">
        <f aca="false">INDEX(Products!$B$2:$B$13,MATCH(D716,Products!$A$2:$A$13,0))</f>
        <v>FCC</v>
      </c>
      <c r="F716" s="15" t="n">
        <v>8.5</v>
      </c>
      <c r="G716" s="16" t="n">
        <f aca="false">IF(A716="2025",INDEX(Products!$C$2:$C$13,MATCH(D716,Products!$A$2:$A$13,0)),INDEX(Products!$E$2:$E$13,MATCH(D716,Products!$A$2:$A$13,0)))</f>
        <v>3706.5</v>
      </c>
      <c r="H716" s="13" t="n">
        <f aca="false">IF(A716="2025",INDEX(Customers!$D$2:$D$41,MATCH(C716,Customers!$A$2:$A$41,0)),INDEX(Customers!$F$2:$F$41,MATCH(C716,Customers!$A$2:$A$41,0)))</f>
        <v>0.103</v>
      </c>
      <c r="I716" s="16" t="n">
        <f aca="false">F716*G716</f>
        <v>31505.25</v>
      </c>
      <c r="J716" s="16" t="n">
        <f aca="false">I716*(1-H716)</f>
        <v>28260.20925</v>
      </c>
      <c r="K716" s="16" t="n">
        <f aca="false">J716*INDEX(Customers!$G$2:$G$41,MATCH(C716,Customers!$A$2:$A$41,0))</f>
        <v>1413.0104625</v>
      </c>
      <c r="L716" s="16" t="n">
        <f aca="false">F716*INDEX(Customers!$H$2:$H$41,MATCH(C716,Customers!$A$2:$A$41,0))</f>
        <v>1360</v>
      </c>
      <c r="M716" s="16" t="n">
        <f aca="false">J716*INDEX(Customers!$I$2:$I$41,MATCH(C716,Customers!$A$2:$A$41,0))/365*Assumptions!$B$6</f>
        <v>371.641107945205</v>
      </c>
      <c r="N716" s="16" t="n">
        <f aca="false">J716-K716-L716-M716</f>
        <v>25115.5576795548</v>
      </c>
      <c r="O716" s="16" t="n">
        <f aca="false">F716*IF(A716="2025",INDEX(Products!$D$2:$D$13,MATCH(D716,Products!$A$2:$A$13,0)),INDEX(Products!$F$2:$F$13,MATCH(D716,Products!$A$2:$A$13,0)))</f>
        <v>21099.55</v>
      </c>
      <c r="P716" s="16" t="n">
        <f aca="false">N716-O716</f>
        <v>4016.00767955479</v>
      </c>
    </row>
    <row r="717" customFormat="false" ht="15" hidden="false" customHeight="false" outlineLevel="0" collapsed="false">
      <c r="A717" s="2" t="s">
        <v>119</v>
      </c>
      <c r="B717" s="2" t="n">
        <v>8</v>
      </c>
      <c r="C717" s="2" t="s">
        <v>72</v>
      </c>
      <c r="D717" s="2" t="s">
        <v>37</v>
      </c>
      <c r="E717" s="2" t="str">
        <f aca="false">INDEX(Products!$B$2:$B$13,MATCH(D717,Products!$A$2:$A$13,0))</f>
        <v>FCC</v>
      </c>
      <c r="F717" s="15" t="n">
        <v>7.2</v>
      </c>
      <c r="G717" s="16" t="n">
        <f aca="false">IF(A717="2025",INDEX(Products!$C$2:$C$13,MATCH(D717,Products!$A$2:$A$13,0)),INDEX(Products!$E$2:$E$13,MATCH(D717,Products!$A$2:$A$13,0)))</f>
        <v>3706.5</v>
      </c>
      <c r="H717" s="13" t="n">
        <f aca="false">IF(A717="2025",INDEX(Customers!$D$2:$D$41,MATCH(C717,Customers!$A$2:$A$41,0)),INDEX(Customers!$F$2:$F$41,MATCH(C717,Customers!$A$2:$A$41,0)))</f>
        <v>0.103</v>
      </c>
      <c r="I717" s="16" t="n">
        <f aca="false">F717*G717</f>
        <v>26686.8</v>
      </c>
      <c r="J717" s="16" t="n">
        <f aca="false">I717*(1-H717)</f>
        <v>23938.0596</v>
      </c>
      <c r="K717" s="16" t="n">
        <f aca="false">J717*INDEX(Customers!$G$2:$G$41,MATCH(C717,Customers!$A$2:$A$41,0))</f>
        <v>1196.90298</v>
      </c>
      <c r="L717" s="16" t="n">
        <f aca="false">F717*INDEX(Customers!$H$2:$H$41,MATCH(C717,Customers!$A$2:$A$41,0))</f>
        <v>1152</v>
      </c>
      <c r="M717" s="16" t="n">
        <f aca="false">J717*INDEX(Customers!$I$2:$I$41,MATCH(C717,Customers!$A$2:$A$41,0))/365*Assumptions!$B$6</f>
        <v>314.801879671233</v>
      </c>
      <c r="N717" s="16" t="n">
        <f aca="false">J717-K717-L717-M717</f>
        <v>21274.3547403288</v>
      </c>
      <c r="O717" s="16" t="n">
        <f aca="false">F717*IF(A717="2025",INDEX(Products!$D$2:$D$13,MATCH(D717,Products!$A$2:$A$13,0)),INDEX(Products!$F$2:$F$13,MATCH(D717,Products!$A$2:$A$13,0)))</f>
        <v>17872.56</v>
      </c>
      <c r="P717" s="16" t="n">
        <f aca="false">N717-O717</f>
        <v>3401.79474032877</v>
      </c>
    </row>
    <row r="718" customFormat="false" ht="15" hidden="false" customHeight="false" outlineLevel="0" collapsed="false">
      <c r="A718" s="2" t="s">
        <v>119</v>
      </c>
      <c r="B718" s="2" t="n">
        <v>9</v>
      </c>
      <c r="C718" s="2" t="s">
        <v>72</v>
      </c>
      <c r="D718" s="2" t="s">
        <v>37</v>
      </c>
      <c r="E718" s="2" t="str">
        <f aca="false">INDEX(Products!$B$2:$B$13,MATCH(D718,Products!$A$2:$A$13,0))</f>
        <v>FCC</v>
      </c>
      <c r="F718" s="15" t="n">
        <v>6.1</v>
      </c>
      <c r="G718" s="16" t="n">
        <f aca="false">IF(A718="2025",INDEX(Products!$C$2:$C$13,MATCH(D718,Products!$A$2:$A$13,0)),INDEX(Products!$E$2:$E$13,MATCH(D718,Products!$A$2:$A$13,0)))</f>
        <v>3706.5</v>
      </c>
      <c r="H718" s="13" t="n">
        <f aca="false">IF(A718="2025",INDEX(Customers!$D$2:$D$41,MATCH(C718,Customers!$A$2:$A$41,0)),INDEX(Customers!$F$2:$F$41,MATCH(C718,Customers!$A$2:$A$41,0)))</f>
        <v>0.103</v>
      </c>
      <c r="I718" s="16" t="n">
        <f aca="false">F718*G718</f>
        <v>22609.65</v>
      </c>
      <c r="J718" s="16" t="n">
        <f aca="false">I718*(1-H718)</f>
        <v>20280.85605</v>
      </c>
      <c r="K718" s="16" t="n">
        <f aca="false">J718*INDEX(Customers!$G$2:$G$41,MATCH(C718,Customers!$A$2:$A$41,0))</f>
        <v>1014.0428025</v>
      </c>
      <c r="L718" s="16" t="n">
        <f aca="false">F718*INDEX(Customers!$H$2:$H$41,MATCH(C718,Customers!$A$2:$A$41,0))</f>
        <v>976</v>
      </c>
      <c r="M718" s="16" t="n">
        <f aca="false">J718*INDEX(Customers!$I$2:$I$41,MATCH(C718,Customers!$A$2:$A$41,0))/365*Assumptions!$B$6</f>
        <v>266.707148054795</v>
      </c>
      <c r="N718" s="16" t="n">
        <f aca="false">J718-K718-L718-M718</f>
        <v>18024.1060994452</v>
      </c>
      <c r="O718" s="16" t="n">
        <f aca="false">F718*IF(A718="2025",INDEX(Products!$D$2:$D$13,MATCH(D718,Products!$A$2:$A$13,0)),INDEX(Products!$F$2:$F$13,MATCH(D718,Products!$A$2:$A$13,0)))</f>
        <v>15142.03</v>
      </c>
      <c r="P718" s="16" t="n">
        <f aca="false">N718-O718</f>
        <v>2882.07609944521</v>
      </c>
    </row>
    <row r="719" customFormat="false" ht="15" hidden="false" customHeight="false" outlineLevel="0" collapsed="false">
      <c r="A719" s="2" t="s">
        <v>119</v>
      </c>
      <c r="B719" s="2" t="n">
        <v>10</v>
      </c>
      <c r="C719" s="2" t="s">
        <v>72</v>
      </c>
      <c r="D719" s="2" t="s">
        <v>37</v>
      </c>
      <c r="E719" s="2" t="str">
        <f aca="false">INDEX(Products!$B$2:$B$13,MATCH(D719,Products!$A$2:$A$13,0))</f>
        <v>FCC</v>
      </c>
      <c r="F719" s="15" t="n">
        <v>8.3</v>
      </c>
      <c r="G719" s="16" t="n">
        <f aca="false">IF(A719="2025",INDEX(Products!$C$2:$C$13,MATCH(D719,Products!$A$2:$A$13,0)),INDEX(Products!$E$2:$E$13,MATCH(D719,Products!$A$2:$A$13,0)))</f>
        <v>3706.5</v>
      </c>
      <c r="H719" s="13" t="n">
        <f aca="false">IF(A719="2025",INDEX(Customers!$D$2:$D$41,MATCH(C719,Customers!$A$2:$A$41,0)),INDEX(Customers!$F$2:$F$41,MATCH(C719,Customers!$A$2:$A$41,0)))</f>
        <v>0.103</v>
      </c>
      <c r="I719" s="16" t="n">
        <f aca="false">F719*G719</f>
        <v>30763.95</v>
      </c>
      <c r="J719" s="16" t="n">
        <f aca="false">I719*(1-H719)</f>
        <v>27595.26315</v>
      </c>
      <c r="K719" s="16" t="n">
        <f aca="false">J719*INDEX(Customers!$G$2:$G$41,MATCH(C719,Customers!$A$2:$A$41,0))</f>
        <v>1379.7631575</v>
      </c>
      <c r="L719" s="16" t="n">
        <f aca="false">F719*INDEX(Customers!$H$2:$H$41,MATCH(C719,Customers!$A$2:$A$41,0))</f>
        <v>1328</v>
      </c>
      <c r="M719" s="16" t="n">
        <f aca="false">J719*INDEX(Customers!$I$2:$I$41,MATCH(C719,Customers!$A$2:$A$41,0))/365*Assumptions!$B$6</f>
        <v>362.896611287671</v>
      </c>
      <c r="N719" s="16" t="n">
        <f aca="false">J719-K719-L719-M719</f>
        <v>24524.6033812123</v>
      </c>
      <c r="O719" s="16" t="n">
        <f aca="false">F719*IF(A719="2025",INDEX(Products!$D$2:$D$13,MATCH(D719,Products!$A$2:$A$13,0)),INDEX(Products!$F$2:$F$13,MATCH(D719,Products!$A$2:$A$13,0)))</f>
        <v>20603.09</v>
      </c>
      <c r="P719" s="16" t="n">
        <f aca="false">N719-O719</f>
        <v>3921.51338121233</v>
      </c>
    </row>
    <row r="720" customFormat="false" ht="15" hidden="false" customHeight="false" outlineLevel="0" collapsed="false">
      <c r="A720" s="2" t="s">
        <v>119</v>
      </c>
      <c r="B720" s="2" t="n">
        <v>11</v>
      </c>
      <c r="C720" s="2" t="s">
        <v>72</v>
      </c>
      <c r="D720" s="2" t="s">
        <v>37</v>
      </c>
      <c r="E720" s="2" t="str">
        <f aca="false">INDEX(Products!$B$2:$B$13,MATCH(D720,Products!$A$2:$A$13,0))</f>
        <v>FCC</v>
      </c>
      <c r="F720" s="15" t="n">
        <v>6.5</v>
      </c>
      <c r="G720" s="16" t="n">
        <f aca="false">IF(A720="2025",INDEX(Products!$C$2:$C$13,MATCH(D720,Products!$A$2:$A$13,0)),INDEX(Products!$E$2:$E$13,MATCH(D720,Products!$A$2:$A$13,0)))</f>
        <v>3706.5</v>
      </c>
      <c r="H720" s="13" t="n">
        <f aca="false">IF(A720="2025",INDEX(Customers!$D$2:$D$41,MATCH(C720,Customers!$A$2:$A$41,0)),INDEX(Customers!$F$2:$F$41,MATCH(C720,Customers!$A$2:$A$41,0)))</f>
        <v>0.103</v>
      </c>
      <c r="I720" s="16" t="n">
        <f aca="false">F720*G720</f>
        <v>24092.25</v>
      </c>
      <c r="J720" s="16" t="n">
        <f aca="false">I720*(1-H720)</f>
        <v>21610.74825</v>
      </c>
      <c r="K720" s="16" t="n">
        <f aca="false">J720*INDEX(Customers!$G$2:$G$41,MATCH(C720,Customers!$A$2:$A$41,0))</f>
        <v>1080.5374125</v>
      </c>
      <c r="L720" s="16" t="n">
        <f aca="false">F720*INDEX(Customers!$H$2:$H$41,MATCH(C720,Customers!$A$2:$A$41,0))</f>
        <v>1040</v>
      </c>
      <c r="M720" s="16" t="n">
        <f aca="false">J720*INDEX(Customers!$I$2:$I$41,MATCH(C720,Customers!$A$2:$A$41,0))/365*Assumptions!$B$6</f>
        <v>284.196141369863</v>
      </c>
      <c r="N720" s="16" t="n">
        <f aca="false">J720-K720-L720-M720</f>
        <v>19206.0146961301</v>
      </c>
      <c r="O720" s="16" t="n">
        <f aca="false">F720*IF(A720="2025",INDEX(Products!$D$2:$D$13,MATCH(D720,Products!$A$2:$A$13,0)),INDEX(Products!$F$2:$F$13,MATCH(D720,Products!$A$2:$A$13,0)))</f>
        <v>16134.95</v>
      </c>
      <c r="P720" s="16" t="n">
        <f aca="false">N720-O720</f>
        <v>3071.06469613014</v>
      </c>
    </row>
    <row r="721" customFormat="false" ht="15" hidden="false" customHeight="false" outlineLevel="0" collapsed="false">
      <c r="A721" s="2" t="s">
        <v>119</v>
      </c>
      <c r="B721" s="2" t="n">
        <v>12</v>
      </c>
      <c r="C721" s="2" t="s">
        <v>72</v>
      </c>
      <c r="D721" s="2" t="s">
        <v>37</v>
      </c>
      <c r="E721" s="2" t="str">
        <f aca="false">INDEX(Products!$B$2:$B$13,MATCH(D721,Products!$A$2:$A$13,0))</f>
        <v>FCC</v>
      </c>
      <c r="F721" s="15" t="n">
        <v>9.7</v>
      </c>
      <c r="G721" s="16" t="n">
        <f aca="false">IF(A721="2025",INDEX(Products!$C$2:$C$13,MATCH(D721,Products!$A$2:$A$13,0)),INDEX(Products!$E$2:$E$13,MATCH(D721,Products!$A$2:$A$13,0)))</f>
        <v>3706.5</v>
      </c>
      <c r="H721" s="13" t="n">
        <f aca="false">IF(A721="2025",INDEX(Customers!$D$2:$D$41,MATCH(C721,Customers!$A$2:$A$41,0)),INDEX(Customers!$F$2:$F$41,MATCH(C721,Customers!$A$2:$A$41,0)))</f>
        <v>0.103</v>
      </c>
      <c r="I721" s="16" t="n">
        <f aca="false">F721*G721</f>
        <v>35953.05</v>
      </c>
      <c r="J721" s="16" t="n">
        <f aca="false">I721*(1-H721)</f>
        <v>32249.88585</v>
      </c>
      <c r="K721" s="16" t="n">
        <f aca="false">J721*INDEX(Customers!$G$2:$G$41,MATCH(C721,Customers!$A$2:$A$41,0))</f>
        <v>1612.4942925</v>
      </c>
      <c r="L721" s="16" t="n">
        <f aca="false">F721*INDEX(Customers!$H$2:$H$41,MATCH(C721,Customers!$A$2:$A$41,0))</f>
        <v>1552</v>
      </c>
      <c r="M721" s="16" t="n">
        <f aca="false">J721*INDEX(Customers!$I$2:$I$41,MATCH(C721,Customers!$A$2:$A$41,0))/365*Assumptions!$B$6</f>
        <v>424.108087890411</v>
      </c>
      <c r="N721" s="16" t="n">
        <f aca="false">J721-K721-L721-M721</f>
        <v>28661.2834696096</v>
      </c>
      <c r="O721" s="16" t="n">
        <f aca="false">F721*IF(A721="2025",INDEX(Products!$D$2:$D$13,MATCH(D721,Products!$A$2:$A$13,0)),INDEX(Products!$F$2:$F$13,MATCH(D721,Products!$A$2:$A$13,0)))</f>
        <v>24078.31</v>
      </c>
      <c r="P721" s="16" t="n">
        <f aca="false">N721-O721</f>
        <v>4582.97346960958</v>
      </c>
    </row>
    <row r="722" customFormat="false" ht="15" hidden="false" customHeight="false" outlineLevel="0" collapsed="false">
      <c r="A722" s="2" t="s">
        <v>118</v>
      </c>
      <c r="B722" s="2" t="n">
        <v>1</v>
      </c>
      <c r="C722" s="2" t="s">
        <v>73</v>
      </c>
      <c r="D722" s="2" t="s">
        <v>48</v>
      </c>
      <c r="E722" s="2" t="str">
        <f aca="false">INDEX(Products!$B$2:$B$13,MATCH(D722,Products!$A$2:$A$13,0))</f>
        <v>Specialty</v>
      </c>
      <c r="F722" s="15" t="n">
        <v>2.9</v>
      </c>
      <c r="G722" s="16" t="n">
        <f aca="false">IF(A722="2025",INDEX(Products!$C$2:$C$13,MATCH(D722,Products!$A$2:$A$13,0)),INDEX(Products!$E$2:$E$13,MATCH(D722,Products!$A$2:$A$13,0)))</f>
        <v>33260</v>
      </c>
      <c r="H722" s="13" t="n">
        <f aca="false">IF(A722="2025",INDEX(Customers!$D$2:$D$41,MATCH(C722,Customers!$A$2:$A$41,0)),INDEX(Customers!$F$2:$F$41,MATCH(C722,Customers!$A$2:$A$41,0)))</f>
        <v>0.023</v>
      </c>
      <c r="I722" s="16" t="n">
        <f aca="false">F722*G722</f>
        <v>96454</v>
      </c>
      <c r="J722" s="16" t="n">
        <f aca="false">I722*(1-H722)</f>
        <v>94235.558</v>
      </c>
      <c r="K722" s="16" t="n">
        <f aca="false">J722*INDEX(Customers!$G$2:$G$41,MATCH(C722,Customers!$A$2:$A$41,0))</f>
        <v>1884.71116</v>
      </c>
      <c r="L722" s="16" t="n">
        <f aca="false">F722*INDEX(Customers!$H$2:$H$41,MATCH(C722,Customers!$A$2:$A$41,0))</f>
        <v>1073</v>
      </c>
      <c r="M722" s="16" t="n">
        <f aca="false">J722*INDEX(Customers!$I$2:$I$41,MATCH(C722,Customers!$A$2:$A$41,0))/365*Assumptions!$B$6</f>
        <v>1239.26213260274</v>
      </c>
      <c r="N722" s="16" t="n">
        <f aca="false">J722-K722-L722-M722</f>
        <v>90038.5847073973</v>
      </c>
      <c r="O722" s="16" t="n">
        <f aca="false">F722*IF(A722="2025",INDEX(Products!$D$2:$D$13,MATCH(D722,Products!$A$2:$A$13,0)),INDEX(Products!$F$2:$F$13,MATCH(D722,Products!$A$2:$A$13,0)))</f>
        <v>43558</v>
      </c>
      <c r="P722" s="16" t="n">
        <f aca="false">N722-O722</f>
        <v>46480.5847073973</v>
      </c>
    </row>
    <row r="723" customFormat="false" ht="15" hidden="false" customHeight="false" outlineLevel="0" collapsed="false">
      <c r="A723" s="2" t="s">
        <v>118</v>
      </c>
      <c r="B723" s="2" t="n">
        <v>2</v>
      </c>
      <c r="C723" s="2" t="s">
        <v>73</v>
      </c>
      <c r="D723" s="2" t="s">
        <v>48</v>
      </c>
      <c r="E723" s="2" t="str">
        <f aca="false">INDEX(Products!$B$2:$B$13,MATCH(D723,Products!$A$2:$A$13,0))</f>
        <v>Specialty</v>
      </c>
      <c r="F723" s="15" t="n">
        <v>3</v>
      </c>
      <c r="G723" s="16" t="n">
        <f aca="false">IF(A723="2025",INDEX(Products!$C$2:$C$13,MATCH(D723,Products!$A$2:$A$13,0)),INDEX(Products!$E$2:$E$13,MATCH(D723,Products!$A$2:$A$13,0)))</f>
        <v>33260</v>
      </c>
      <c r="H723" s="13" t="n">
        <f aca="false">IF(A723="2025",INDEX(Customers!$D$2:$D$41,MATCH(C723,Customers!$A$2:$A$41,0)),INDEX(Customers!$F$2:$F$41,MATCH(C723,Customers!$A$2:$A$41,0)))</f>
        <v>0.023</v>
      </c>
      <c r="I723" s="16" t="n">
        <f aca="false">F723*G723</f>
        <v>99780</v>
      </c>
      <c r="J723" s="16" t="n">
        <f aca="false">I723*(1-H723)</f>
        <v>97485.06</v>
      </c>
      <c r="K723" s="16" t="n">
        <f aca="false">J723*INDEX(Customers!$G$2:$G$41,MATCH(C723,Customers!$A$2:$A$41,0))</f>
        <v>1949.7012</v>
      </c>
      <c r="L723" s="16" t="n">
        <f aca="false">F723*INDEX(Customers!$H$2:$H$41,MATCH(C723,Customers!$A$2:$A$41,0))</f>
        <v>1110</v>
      </c>
      <c r="M723" s="16" t="n">
        <f aca="false">J723*INDEX(Customers!$I$2:$I$41,MATCH(C723,Customers!$A$2:$A$41,0))/365*Assumptions!$B$6</f>
        <v>1281.99530958904</v>
      </c>
      <c r="N723" s="16" t="n">
        <f aca="false">J723-K723-L723-M723</f>
        <v>93143.363490411</v>
      </c>
      <c r="O723" s="16" t="n">
        <f aca="false">F723*IF(A723="2025",INDEX(Products!$D$2:$D$13,MATCH(D723,Products!$A$2:$A$13,0)),INDEX(Products!$F$2:$F$13,MATCH(D723,Products!$A$2:$A$13,0)))</f>
        <v>45060</v>
      </c>
      <c r="P723" s="16" t="n">
        <f aca="false">N723-O723</f>
        <v>48083.363490411</v>
      </c>
    </row>
    <row r="724" customFormat="false" ht="15" hidden="false" customHeight="false" outlineLevel="0" collapsed="false">
      <c r="A724" s="2" t="s">
        <v>118</v>
      </c>
      <c r="B724" s="2" t="n">
        <v>3</v>
      </c>
      <c r="C724" s="2" t="s">
        <v>73</v>
      </c>
      <c r="D724" s="2" t="s">
        <v>48</v>
      </c>
      <c r="E724" s="2" t="str">
        <f aca="false">INDEX(Products!$B$2:$B$13,MATCH(D724,Products!$A$2:$A$13,0))</f>
        <v>Specialty</v>
      </c>
      <c r="F724" s="15" t="n">
        <v>2.4</v>
      </c>
      <c r="G724" s="16" t="n">
        <f aca="false">IF(A724="2025",INDEX(Products!$C$2:$C$13,MATCH(D724,Products!$A$2:$A$13,0)),INDEX(Products!$E$2:$E$13,MATCH(D724,Products!$A$2:$A$13,0)))</f>
        <v>33260</v>
      </c>
      <c r="H724" s="13" t="n">
        <f aca="false">IF(A724="2025",INDEX(Customers!$D$2:$D$41,MATCH(C724,Customers!$A$2:$A$41,0)),INDEX(Customers!$F$2:$F$41,MATCH(C724,Customers!$A$2:$A$41,0)))</f>
        <v>0.023</v>
      </c>
      <c r="I724" s="16" t="n">
        <f aca="false">F724*G724</f>
        <v>79824</v>
      </c>
      <c r="J724" s="16" t="n">
        <f aca="false">I724*(1-H724)</f>
        <v>77988.048</v>
      </c>
      <c r="K724" s="16" t="n">
        <f aca="false">J724*INDEX(Customers!$G$2:$G$41,MATCH(C724,Customers!$A$2:$A$41,0))</f>
        <v>1559.76096</v>
      </c>
      <c r="L724" s="16" t="n">
        <f aca="false">F724*INDEX(Customers!$H$2:$H$41,MATCH(C724,Customers!$A$2:$A$41,0))</f>
        <v>888</v>
      </c>
      <c r="M724" s="16" t="n">
        <f aca="false">J724*INDEX(Customers!$I$2:$I$41,MATCH(C724,Customers!$A$2:$A$41,0))/365*Assumptions!$B$6</f>
        <v>1025.59624767123</v>
      </c>
      <c r="N724" s="16" t="n">
        <f aca="false">J724-K724-L724-M724</f>
        <v>74514.6907923288</v>
      </c>
      <c r="O724" s="16" t="n">
        <f aca="false">F724*IF(A724="2025",INDEX(Products!$D$2:$D$13,MATCH(D724,Products!$A$2:$A$13,0)),INDEX(Products!$F$2:$F$13,MATCH(D724,Products!$A$2:$A$13,0)))</f>
        <v>36048</v>
      </c>
      <c r="P724" s="16" t="n">
        <f aca="false">N724-O724</f>
        <v>38466.6907923288</v>
      </c>
    </row>
    <row r="725" customFormat="false" ht="15" hidden="false" customHeight="false" outlineLevel="0" collapsed="false">
      <c r="A725" s="2" t="s">
        <v>118</v>
      </c>
      <c r="B725" s="2" t="n">
        <v>4</v>
      </c>
      <c r="C725" s="2" t="s">
        <v>73</v>
      </c>
      <c r="D725" s="2" t="s">
        <v>48</v>
      </c>
      <c r="E725" s="2" t="str">
        <f aca="false">INDEX(Products!$B$2:$B$13,MATCH(D725,Products!$A$2:$A$13,0))</f>
        <v>Specialty</v>
      </c>
      <c r="F725" s="15" t="n">
        <v>2.1</v>
      </c>
      <c r="G725" s="16" t="n">
        <f aca="false">IF(A725="2025",INDEX(Products!$C$2:$C$13,MATCH(D725,Products!$A$2:$A$13,0)),INDEX(Products!$E$2:$E$13,MATCH(D725,Products!$A$2:$A$13,0)))</f>
        <v>33260</v>
      </c>
      <c r="H725" s="13" t="n">
        <f aca="false">IF(A725="2025",INDEX(Customers!$D$2:$D$41,MATCH(C725,Customers!$A$2:$A$41,0)),INDEX(Customers!$F$2:$F$41,MATCH(C725,Customers!$A$2:$A$41,0)))</f>
        <v>0.023</v>
      </c>
      <c r="I725" s="16" t="n">
        <f aca="false">F725*G725</f>
        <v>69846</v>
      </c>
      <c r="J725" s="16" t="n">
        <f aca="false">I725*(1-H725)</f>
        <v>68239.542</v>
      </c>
      <c r="K725" s="16" t="n">
        <f aca="false">J725*INDEX(Customers!$G$2:$G$41,MATCH(C725,Customers!$A$2:$A$41,0))</f>
        <v>1364.79084</v>
      </c>
      <c r="L725" s="16" t="n">
        <f aca="false">F725*INDEX(Customers!$H$2:$H$41,MATCH(C725,Customers!$A$2:$A$41,0))</f>
        <v>777</v>
      </c>
      <c r="M725" s="16" t="n">
        <f aca="false">J725*INDEX(Customers!$I$2:$I$41,MATCH(C725,Customers!$A$2:$A$41,0))/365*Assumptions!$B$6</f>
        <v>897.396716712329</v>
      </c>
      <c r="N725" s="16" t="n">
        <f aca="false">J725-K725-L725-M725</f>
        <v>65200.3544432877</v>
      </c>
      <c r="O725" s="16" t="n">
        <f aca="false">F725*IF(A725="2025",INDEX(Products!$D$2:$D$13,MATCH(D725,Products!$A$2:$A$13,0)),INDEX(Products!$F$2:$F$13,MATCH(D725,Products!$A$2:$A$13,0)))</f>
        <v>31542</v>
      </c>
      <c r="P725" s="16" t="n">
        <f aca="false">N725-O725</f>
        <v>33658.3544432877</v>
      </c>
    </row>
    <row r="726" customFormat="false" ht="15" hidden="false" customHeight="false" outlineLevel="0" collapsed="false">
      <c r="A726" s="2" t="s">
        <v>118</v>
      </c>
      <c r="B726" s="2" t="n">
        <v>5</v>
      </c>
      <c r="C726" s="2" t="s">
        <v>73</v>
      </c>
      <c r="D726" s="2" t="s">
        <v>48</v>
      </c>
      <c r="E726" s="2" t="str">
        <f aca="false">INDEX(Products!$B$2:$B$13,MATCH(D726,Products!$A$2:$A$13,0))</f>
        <v>Specialty</v>
      </c>
      <c r="F726" s="15" t="n">
        <v>2.5</v>
      </c>
      <c r="G726" s="16" t="n">
        <f aca="false">IF(A726="2025",INDEX(Products!$C$2:$C$13,MATCH(D726,Products!$A$2:$A$13,0)),INDEX(Products!$E$2:$E$13,MATCH(D726,Products!$A$2:$A$13,0)))</f>
        <v>33260</v>
      </c>
      <c r="H726" s="13" t="n">
        <f aca="false">IF(A726="2025",INDEX(Customers!$D$2:$D$41,MATCH(C726,Customers!$A$2:$A$41,0)),INDEX(Customers!$F$2:$F$41,MATCH(C726,Customers!$A$2:$A$41,0)))</f>
        <v>0.023</v>
      </c>
      <c r="I726" s="16" t="n">
        <f aca="false">F726*G726</f>
        <v>83150</v>
      </c>
      <c r="J726" s="16" t="n">
        <f aca="false">I726*(1-H726)</f>
        <v>81237.55</v>
      </c>
      <c r="K726" s="16" t="n">
        <f aca="false">J726*INDEX(Customers!$G$2:$G$41,MATCH(C726,Customers!$A$2:$A$41,0))</f>
        <v>1624.751</v>
      </c>
      <c r="L726" s="16" t="n">
        <f aca="false">F726*INDEX(Customers!$H$2:$H$41,MATCH(C726,Customers!$A$2:$A$41,0))</f>
        <v>925</v>
      </c>
      <c r="M726" s="16" t="n">
        <f aca="false">J726*INDEX(Customers!$I$2:$I$41,MATCH(C726,Customers!$A$2:$A$41,0))/365*Assumptions!$B$6</f>
        <v>1068.32942465753</v>
      </c>
      <c r="N726" s="16" t="n">
        <f aca="false">J726-K726-L726-M726</f>
        <v>77619.4695753425</v>
      </c>
      <c r="O726" s="16" t="n">
        <f aca="false">F726*IF(A726="2025",INDEX(Products!$D$2:$D$13,MATCH(D726,Products!$A$2:$A$13,0)),INDEX(Products!$F$2:$F$13,MATCH(D726,Products!$A$2:$A$13,0)))</f>
        <v>37550</v>
      </c>
      <c r="P726" s="16" t="n">
        <f aca="false">N726-O726</f>
        <v>40069.4695753425</v>
      </c>
    </row>
    <row r="727" customFormat="false" ht="15" hidden="false" customHeight="false" outlineLevel="0" collapsed="false">
      <c r="A727" s="2" t="s">
        <v>118</v>
      </c>
      <c r="B727" s="2" t="n">
        <v>6</v>
      </c>
      <c r="C727" s="2" t="s">
        <v>73</v>
      </c>
      <c r="D727" s="2" t="s">
        <v>48</v>
      </c>
      <c r="E727" s="2" t="str">
        <f aca="false">INDEX(Products!$B$2:$B$13,MATCH(D727,Products!$A$2:$A$13,0))</f>
        <v>Specialty</v>
      </c>
      <c r="F727" s="15" t="n">
        <v>2.6</v>
      </c>
      <c r="G727" s="16" t="n">
        <f aca="false">IF(A727="2025",INDEX(Products!$C$2:$C$13,MATCH(D727,Products!$A$2:$A$13,0)),INDEX(Products!$E$2:$E$13,MATCH(D727,Products!$A$2:$A$13,0)))</f>
        <v>33260</v>
      </c>
      <c r="H727" s="13" t="n">
        <f aca="false">IF(A727="2025",INDEX(Customers!$D$2:$D$41,MATCH(C727,Customers!$A$2:$A$41,0)),INDEX(Customers!$F$2:$F$41,MATCH(C727,Customers!$A$2:$A$41,0)))</f>
        <v>0.023</v>
      </c>
      <c r="I727" s="16" t="n">
        <f aca="false">F727*G727</f>
        <v>86476</v>
      </c>
      <c r="J727" s="16" t="n">
        <f aca="false">I727*(1-H727)</f>
        <v>84487.052</v>
      </c>
      <c r="K727" s="16" t="n">
        <f aca="false">J727*INDEX(Customers!$G$2:$G$41,MATCH(C727,Customers!$A$2:$A$41,0))</f>
        <v>1689.74104</v>
      </c>
      <c r="L727" s="16" t="n">
        <f aca="false">F727*INDEX(Customers!$H$2:$H$41,MATCH(C727,Customers!$A$2:$A$41,0))</f>
        <v>962</v>
      </c>
      <c r="M727" s="16" t="n">
        <f aca="false">J727*INDEX(Customers!$I$2:$I$41,MATCH(C727,Customers!$A$2:$A$41,0))/365*Assumptions!$B$6</f>
        <v>1111.06260164384</v>
      </c>
      <c r="N727" s="16" t="n">
        <f aca="false">J727-K727-L727-M727</f>
        <v>80724.2483583562</v>
      </c>
      <c r="O727" s="16" t="n">
        <f aca="false">F727*IF(A727="2025",INDEX(Products!$D$2:$D$13,MATCH(D727,Products!$A$2:$A$13,0)),INDEX(Products!$F$2:$F$13,MATCH(D727,Products!$A$2:$A$13,0)))</f>
        <v>39052</v>
      </c>
      <c r="P727" s="16" t="n">
        <f aca="false">N727-O727</f>
        <v>41672.2483583562</v>
      </c>
    </row>
    <row r="728" customFormat="false" ht="15" hidden="false" customHeight="false" outlineLevel="0" collapsed="false">
      <c r="A728" s="2" t="s">
        <v>118</v>
      </c>
      <c r="B728" s="2" t="n">
        <v>7</v>
      </c>
      <c r="C728" s="2" t="s">
        <v>73</v>
      </c>
      <c r="D728" s="2" t="s">
        <v>48</v>
      </c>
      <c r="E728" s="2" t="str">
        <f aca="false">INDEX(Products!$B$2:$B$13,MATCH(D728,Products!$A$2:$A$13,0))</f>
        <v>Specialty</v>
      </c>
      <c r="F728" s="15" t="n">
        <v>2.9</v>
      </c>
      <c r="G728" s="16" t="n">
        <f aca="false">IF(A728="2025",INDEX(Products!$C$2:$C$13,MATCH(D728,Products!$A$2:$A$13,0)),INDEX(Products!$E$2:$E$13,MATCH(D728,Products!$A$2:$A$13,0)))</f>
        <v>33260</v>
      </c>
      <c r="H728" s="13" t="n">
        <f aca="false">IF(A728="2025",INDEX(Customers!$D$2:$D$41,MATCH(C728,Customers!$A$2:$A$41,0)),INDEX(Customers!$F$2:$F$41,MATCH(C728,Customers!$A$2:$A$41,0)))</f>
        <v>0.023</v>
      </c>
      <c r="I728" s="16" t="n">
        <f aca="false">F728*G728</f>
        <v>96454</v>
      </c>
      <c r="J728" s="16" t="n">
        <f aca="false">I728*(1-H728)</f>
        <v>94235.558</v>
      </c>
      <c r="K728" s="16" t="n">
        <f aca="false">J728*INDEX(Customers!$G$2:$G$41,MATCH(C728,Customers!$A$2:$A$41,0))</f>
        <v>1884.71116</v>
      </c>
      <c r="L728" s="16" t="n">
        <f aca="false">F728*INDEX(Customers!$H$2:$H$41,MATCH(C728,Customers!$A$2:$A$41,0))</f>
        <v>1073</v>
      </c>
      <c r="M728" s="16" t="n">
        <f aca="false">J728*INDEX(Customers!$I$2:$I$41,MATCH(C728,Customers!$A$2:$A$41,0))/365*Assumptions!$B$6</f>
        <v>1239.26213260274</v>
      </c>
      <c r="N728" s="16" t="n">
        <f aca="false">J728-K728-L728-M728</f>
        <v>90038.5847073973</v>
      </c>
      <c r="O728" s="16" t="n">
        <f aca="false">F728*IF(A728="2025",INDEX(Products!$D$2:$D$13,MATCH(D728,Products!$A$2:$A$13,0)),INDEX(Products!$F$2:$F$13,MATCH(D728,Products!$A$2:$A$13,0)))</f>
        <v>43558</v>
      </c>
      <c r="P728" s="16" t="n">
        <f aca="false">N728-O728</f>
        <v>46480.5847073973</v>
      </c>
    </row>
    <row r="729" customFormat="false" ht="15" hidden="false" customHeight="false" outlineLevel="0" collapsed="false">
      <c r="A729" s="2" t="s">
        <v>118</v>
      </c>
      <c r="B729" s="2" t="n">
        <v>8</v>
      </c>
      <c r="C729" s="2" t="s">
        <v>73</v>
      </c>
      <c r="D729" s="2" t="s">
        <v>48</v>
      </c>
      <c r="E729" s="2" t="str">
        <f aca="false">INDEX(Products!$B$2:$B$13,MATCH(D729,Products!$A$2:$A$13,0))</f>
        <v>Specialty</v>
      </c>
      <c r="F729" s="15" t="n">
        <v>2.9</v>
      </c>
      <c r="G729" s="16" t="n">
        <f aca="false">IF(A729="2025",INDEX(Products!$C$2:$C$13,MATCH(D729,Products!$A$2:$A$13,0)),INDEX(Products!$E$2:$E$13,MATCH(D729,Products!$A$2:$A$13,0)))</f>
        <v>33260</v>
      </c>
      <c r="H729" s="13" t="n">
        <f aca="false">IF(A729="2025",INDEX(Customers!$D$2:$D$41,MATCH(C729,Customers!$A$2:$A$41,0)),INDEX(Customers!$F$2:$F$41,MATCH(C729,Customers!$A$2:$A$41,0)))</f>
        <v>0.023</v>
      </c>
      <c r="I729" s="16" t="n">
        <f aca="false">F729*G729</f>
        <v>96454</v>
      </c>
      <c r="J729" s="16" t="n">
        <f aca="false">I729*(1-H729)</f>
        <v>94235.558</v>
      </c>
      <c r="K729" s="16" t="n">
        <f aca="false">J729*INDEX(Customers!$G$2:$G$41,MATCH(C729,Customers!$A$2:$A$41,0))</f>
        <v>1884.71116</v>
      </c>
      <c r="L729" s="16" t="n">
        <f aca="false">F729*INDEX(Customers!$H$2:$H$41,MATCH(C729,Customers!$A$2:$A$41,0))</f>
        <v>1073</v>
      </c>
      <c r="M729" s="16" t="n">
        <f aca="false">J729*INDEX(Customers!$I$2:$I$41,MATCH(C729,Customers!$A$2:$A$41,0))/365*Assumptions!$B$6</f>
        <v>1239.26213260274</v>
      </c>
      <c r="N729" s="16" t="n">
        <f aca="false">J729-K729-L729-M729</f>
        <v>90038.5847073973</v>
      </c>
      <c r="O729" s="16" t="n">
        <f aca="false">F729*IF(A729="2025",INDEX(Products!$D$2:$D$13,MATCH(D729,Products!$A$2:$A$13,0)),INDEX(Products!$F$2:$F$13,MATCH(D729,Products!$A$2:$A$13,0)))</f>
        <v>43558</v>
      </c>
      <c r="P729" s="16" t="n">
        <f aca="false">N729-O729</f>
        <v>46480.5847073973</v>
      </c>
    </row>
    <row r="730" customFormat="false" ht="15" hidden="false" customHeight="false" outlineLevel="0" collapsed="false">
      <c r="A730" s="2" t="s">
        <v>118</v>
      </c>
      <c r="B730" s="2" t="n">
        <v>9</v>
      </c>
      <c r="C730" s="2" t="s">
        <v>73</v>
      </c>
      <c r="D730" s="2" t="s">
        <v>48</v>
      </c>
      <c r="E730" s="2" t="str">
        <f aca="false">INDEX(Products!$B$2:$B$13,MATCH(D730,Products!$A$2:$A$13,0))</f>
        <v>Specialty</v>
      </c>
      <c r="F730" s="15" t="n">
        <v>1.9</v>
      </c>
      <c r="G730" s="16" t="n">
        <f aca="false">IF(A730="2025",INDEX(Products!$C$2:$C$13,MATCH(D730,Products!$A$2:$A$13,0)),INDEX(Products!$E$2:$E$13,MATCH(D730,Products!$A$2:$A$13,0)))</f>
        <v>33260</v>
      </c>
      <c r="H730" s="13" t="n">
        <f aca="false">IF(A730="2025",INDEX(Customers!$D$2:$D$41,MATCH(C730,Customers!$A$2:$A$41,0)),INDEX(Customers!$F$2:$F$41,MATCH(C730,Customers!$A$2:$A$41,0)))</f>
        <v>0.023</v>
      </c>
      <c r="I730" s="16" t="n">
        <f aca="false">F730*G730</f>
        <v>63194</v>
      </c>
      <c r="J730" s="16" t="n">
        <f aca="false">I730*(1-H730)</f>
        <v>61740.538</v>
      </c>
      <c r="K730" s="16" t="n">
        <f aca="false">J730*INDEX(Customers!$G$2:$G$41,MATCH(C730,Customers!$A$2:$A$41,0))</f>
        <v>1234.81076</v>
      </c>
      <c r="L730" s="16" t="n">
        <f aca="false">F730*INDEX(Customers!$H$2:$H$41,MATCH(C730,Customers!$A$2:$A$41,0))</f>
        <v>703</v>
      </c>
      <c r="M730" s="16" t="n">
        <f aca="false">J730*INDEX(Customers!$I$2:$I$41,MATCH(C730,Customers!$A$2:$A$41,0))/365*Assumptions!$B$6</f>
        <v>811.930362739726</v>
      </c>
      <c r="N730" s="16" t="n">
        <f aca="false">J730-K730-L730-M730</f>
        <v>58990.7968772603</v>
      </c>
      <c r="O730" s="16" t="n">
        <f aca="false">F730*IF(A730="2025",INDEX(Products!$D$2:$D$13,MATCH(D730,Products!$A$2:$A$13,0)),INDEX(Products!$F$2:$F$13,MATCH(D730,Products!$A$2:$A$13,0)))</f>
        <v>28538</v>
      </c>
      <c r="P730" s="16" t="n">
        <f aca="false">N730-O730</f>
        <v>30452.7968772603</v>
      </c>
    </row>
    <row r="731" customFormat="false" ht="15" hidden="false" customHeight="false" outlineLevel="0" collapsed="false">
      <c r="A731" s="2" t="s">
        <v>118</v>
      </c>
      <c r="B731" s="2" t="n">
        <v>10</v>
      </c>
      <c r="C731" s="2" t="s">
        <v>73</v>
      </c>
      <c r="D731" s="2" t="s">
        <v>48</v>
      </c>
      <c r="E731" s="2" t="str">
        <f aca="false">INDEX(Products!$B$2:$B$13,MATCH(D731,Products!$A$2:$A$13,0))</f>
        <v>Specialty</v>
      </c>
      <c r="F731" s="15" t="n">
        <v>3.3</v>
      </c>
      <c r="G731" s="16" t="n">
        <f aca="false">IF(A731="2025",INDEX(Products!$C$2:$C$13,MATCH(D731,Products!$A$2:$A$13,0)),INDEX(Products!$E$2:$E$13,MATCH(D731,Products!$A$2:$A$13,0)))</f>
        <v>33260</v>
      </c>
      <c r="H731" s="13" t="n">
        <f aca="false">IF(A731="2025",INDEX(Customers!$D$2:$D$41,MATCH(C731,Customers!$A$2:$A$41,0)),INDEX(Customers!$F$2:$F$41,MATCH(C731,Customers!$A$2:$A$41,0)))</f>
        <v>0.023</v>
      </c>
      <c r="I731" s="16" t="n">
        <f aca="false">F731*G731</f>
        <v>109758</v>
      </c>
      <c r="J731" s="16" t="n">
        <f aca="false">I731*(1-H731)</f>
        <v>107233.566</v>
      </c>
      <c r="K731" s="16" t="n">
        <f aca="false">J731*INDEX(Customers!$G$2:$G$41,MATCH(C731,Customers!$A$2:$A$41,0))</f>
        <v>2144.67132</v>
      </c>
      <c r="L731" s="16" t="n">
        <f aca="false">F731*INDEX(Customers!$H$2:$H$41,MATCH(C731,Customers!$A$2:$A$41,0))</f>
        <v>1221</v>
      </c>
      <c r="M731" s="16" t="n">
        <f aca="false">J731*INDEX(Customers!$I$2:$I$41,MATCH(C731,Customers!$A$2:$A$41,0))/365*Assumptions!$B$6</f>
        <v>1410.19484054795</v>
      </c>
      <c r="N731" s="16" t="n">
        <f aca="false">J731-K731-L731-M731</f>
        <v>102457.699839452</v>
      </c>
      <c r="O731" s="16" t="n">
        <f aca="false">F731*IF(A731="2025",INDEX(Products!$D$2:$D$13,MATCH(D731,Products!$A$2:$A$13,0)),INDEX(Products!$F$2:$F$13,MATCH(D731,Products!$A$2:$A$13,0)))</f>
        <v>49566</v>
      </c>
      <c r="P731" s="16" t="n">
        <f aca="false">N731-O731</f>
        <v>52891.6998394521</v>
      </c>
    </row>
    <row r="732" customFormat="false" ht="15" hidden="false" customHeight="false" outlineLevel="0" collapsed="false">
      <c r="A732" s="2" t="s">
        <v>118</v>
      </c>
      <c r="B732" s="2" t="n">
        <v>11</v>
      </c>
      <c r="C732" s="2" t="s">
        <v>73</v>
      </c>
      <c r="D732" s="2" t="s">
        <v>48</v>
      </c>
      <c r="E732" s="2" t="str">
        <f aca="false">INDEX(Products!$B$2:$B$13,MATCH(D732,Products!$A$2:$A$13,0))</f>
        <v>Specialty</v>
      </c>
      <c r="F732" s="15" t="n">
        <v>2.2</v>
      </c>
      <c r="G732" s="16" t="n">
        <f aca="false">IF(A732="2025",INDEX(Products!$C$2:$C$13,MATCH(D732,Products!$A$2:$A$13,0)),INDEX(Products!$E$2:$E$13,MATCH(D732,Products!$A$2:$A$13,0)))</f>
        <v>33260</v>
      </c>
      <c r="H732" s="13" t="n">
        <f aca="false">IF(A732="2025",INDEX(Customers!$D$2:$D$41,MATCH(C732,Customers!$A$2:$A$41,0)),INDEX(Customers!$F$2:$F$41,MATCH(C732,Customers!$A$2:$A$41,0)))</f>
        <v>0.023</v>
      </c>
      <c r="I732" s="16" t="n">
        <f aca="false">F732*G732</f>
        <v>73172</v>
      </c>
      <c r="J732" s="16" t="n">
        <f aca="false">I732*(1-H732)</f>
        <v>71489.044</v>
      </c>
      <c r="K732" s="16" t="n">
        <f aca="false">J732*INDEX(Customers!$G$2:$G$41,MATCH(C732,Customers!$A$2:$A$41,0))</f>
        <v>1429.78088</v>
      </c>
      <c r="L732" s="16" t="n">
        <f aca="false">F732*INDEX(Customers!$H$2:$H$41,MATCH(C732,Customers!$A$2:$A$41,0))</f>
        <v>814</v>
      </c>
      <c r="M732" s="16" t="n">
        <f aca="false">J732*INDEX(Customers!$I$2:$I$41,MATCH(C732,Customers!$A$2:$A$41,0))/365*Assumptions!$B$6</f>
        <v>940.12989369863</v>
      </c>
      <c r="N732" s="16" t="n">
        <f aca="false">J732-K732-L732-M732</f>
        <v>68305.1332263014</v>
      </c>
      <c r="O732" s="16" t="n">
        <f aca="false">F732*IF(A732="2025",INDEX(Products!$D$2:$D$13,MATCH(D732,Products!$A$2:$A$13,0)),INDEX(Products!$F$2:$F$13,MATCH(D732,Products!$A$2:$A$13,0)))</f>
        <v>33044</v>
      </c>
      <c r="P732" s="16" t="n">
        <f aca="false">N732-O732</f>
        <v>35261.1332263014</v>
      </c>
    </row>
    <row r="733" customFormat="false" ht="15" hidden="false" customHeight="false" outlineLevel="0" collapsed="false">
      <c r="A733" s="2" t="s">
        <v>118</v>
      </c>
      <c r="B733" s="2" t="n">
        <v>12</v>
      </c>
      <c r="C733" s="2" t="s">
        <v>73</v>
      </c>
      <c r="D733" s="2" t="s">
        <v>48</v>
      </c>
      <c r="E733" s="2" t="str">
        <f aca="false">INDEX(Products!$B$2:$B$13,MATCH(D733,Products!$A$2:$A$13,0))</f>
        <v>Specialty</v>
      </c>
      <c r="F733" s="15" t="n">
        <v>2.2</v>
      </c>
      <c r="G733" s="16" t="n">
        <f aca="false">IF(A733="2025",INDEX(Products!$C$2:$C$13,MATCH(D733,Products!$A$2:$A$13,0)),INDEX(Products!$E$2:$E$13,MATCH(D733,Products!$A$2:$A$13,0)))</f>
        <v>33260</v>
      </c>
      <c r="H733" s="13" t="n">
        <f aca="false">IF(A733="2025",INDEX(Customers!$D$2:$D$41,MATCH(C733,Customers!$A$2:$A$41,0)),INDEX(Customers!$F$2:$F$41,MATCH(C733,Customers!$A$2:$A$41,0)))</f>
        <v>0.023</v>
      </c>
      <c r="I733" s="16" t="n">
        <f aca="false">F733*G733</f>
        <v>73172</v>
      </c>
      <c r="J733" s="16" t="n">
        <f aca="false">I733*(1-H733)</f>
        <v>71489.044</v>
      </c>
      <c r="K733" s="16" t="n">
        <f aca="false">J733*INDEX(Customers!$G$2:$G$41,MATCH(C733,Customers!$A$2:$A$41,0))</f>
        <v>1429.78088</v>
      </c>
      <c r="L733" s="16" t="n">
        <f aca="false">F733*INDEX(Customers!$H$2:$H$41,MATCH(C733,Customers!$A$2:$A$41,0))</f>
        <v>814</v>
      </c>
      <c r="M733" s="16" t="n">
        <f aca="false">J733*INDEX(Customers!$I$2:$I$41,MATCH(C733,Customers!$A$2:$A$41,0))/365*Assumptions!$B$6</f>
        <v>940.12989369863</v>
      </c>
      <c r="N733" s="16" t="n">
        <f aca="false">J733-K733-L733-M733</f>
        <v>68305.1332263014</v>
      </c>
      <c r="O733" s="16" t="n">
        <f aca="false">F733*IF(A733="2025",INDEX(Products!$D$2:$D$13,MATCH(D733,Products!$A$2:$A$13,0)),INDEX(Products!$F$2:$F$13,MATCH(D733,Products!$A$2:$A$13,0)))</f>
        <v>33044</v>
      </c>
      <c r="P733" s="16" t="n">
        <f aca="false">N733-O733</f>
        <v>35261.1332263014</v>
      </c>
    </row>
    <row r="734" customFormat="false" ht="15" hidden="false" customHeight="false" outlineLevel="0" collapsed="false">
      <c r="A734" s="2" t="s">
        <v>119</v>
      </c>
      <c r="B734" s="2" t="n">
        <v>1</v>
      </c>
      <c r="C734" s="2" t="s">
        <v>73</v>
      </c>
      <c r="D734" s="2" t="s">
        <v>48</v>
      </c>
      <c r="E734" s="2" t="str">
        <f aca="false">INDEX(Products!$B$2:$B$13,MATCH(D734,Products!$A$2:$A$13,0))</f>
        <v>Specialty</v>
      </c>
      <c r="F734" s="15" t="n">
        <v>2.6</v>
      </c>
      <c r="G734" s="16" t="n">
        <f aca="false">IF(A734="2025",INDEX(Products!$C$2:$C$13,MATCH(D734,Products!$A$2:$A$13,0)),INDEX(Products!$E$2:$E$13,MATCH(D734,Products!$A$2:$A$13,0)))</f>
        <v>34923</v>
      </c>
      <c r="H734" s="13" t="n">
        <f aca="false">IF(A734="2025",INDEX(Customers!$D$2:$D$41,MATCH(C734,Customers!$A$2:$A$41,0)),INDEX(Customers!$F$2:$F$41,MATCH(C734,Customers!$A$2:$A$41,0)))</f>
        <v>0.023</v>
      </c>
      <c r="I734" s="16" t="n">
        <f aca="false">F734*G734</f>
        <v>90799.8</v>
      </c>
      <c r="J734" s="16" t="n">
        <f aca="false">I734*(1-H734)</f>
        <v>88711.4046</v>
      </c>
      <c r="K734" s="16" t="n">
        <f aca="false">J734*INDEX(Customers!$G$2:$G$41,MATCH(C734,Customers!$A$2:$A$41,0))</f>
        <v>1774.228092</v>
      </c>
      <c r="L734" s="16" t="n">
        <f aca="false">F734*INDEX(Customers!$H$2:$H$41,MATCH(C734,Customers!$A$2:$A$41,0))</f>
        <v>962</v>
      </c>
      <c r="M734" s="16" t="n">
        <f aca="false">J734*INDEX(Customers!$I$2:$I$41,MATCH(C734,Customers!$A$2:$A$41,0))/365*Assumptions!$B$6</f>
        <v>1166.61573172603</v>
      </c>
      <c r="N734" s="16" t="n">
        <f aca="false">J734-K734-L734-M734</f>
        <v>84808.560776274</v>
      </c>
      <c r="O734" s="16" t="n">
        <f aca="false">F734*IF(A734="2025",INDEX(Products!$D$2:$D$13,MATCH(D734,Products!$A$2:$A$13,0)),INDEX(Products!$F$2:$F$13,MATCH(D734,Products!$A$2:$A$13,0)))</f>
        <v>40223.56</v>
      </c>
      <c r="P734" s="16" t="n">
        <f aca="false">N734-O734</f>
        <v>44585.000776274</v>
      </c>
    </row>
    <row r="735" customFormat="false" ht="15" hidden="false" customHeight="false" outlineLevel="0" collapsed="false">
      <c r="A735" s="2" t="s">
        <v>119</v>
      </c>
      <c r="B735" s="2" t="n">
        <v>2</v>
      </c>
      <c r="C735" s="2" t="s">
        <v>73</v>
      </c>
      <c r="D735" s="2" t="s">
        <v>48</v>
      </c>
      <c r="E735" s="2" t="str">
        <f aca="false">INDEX(Products!$B$2:$B$13,MATCH(D735,Products!$A$2:$A$13,0))</f>
        <v>Specialty</v>
      </c>
      <c r="F735" s="15" t="n">
        <v>3.4</v>
      </c>
      <c r="G735" s="16" t="n">
        <f aca="false">IF(A735="2025",INDEX(Products!$C$2:$C$13,MATCH(D735,Products!$A$2:$A$13,0)),INDEX(Products!$E$2:$E$13,MATCH(D735,Products!$A$2:$A$13,0)))</f>
        <v>34923</v>
      </c>
      <c r="H735" s="13" t="n">
        <f aca="false">IF(A735="2025",INDEX(Customers!$D$2:$D$41,MATCH(C735,Customers!$A$2:$A$41,0)),INDEX(Customers!$F$2:$F$41,MATCH(C735,Customers!$A$2:$A$41,0)))</f>
        <v>0.023</v>
      </c>
      <c r="I735" s="16" t="n">
        <f aca="false">F735*G735</f>
        <v>118738.2</v>
      </c>
      <c r="J735" s="16" t="n">
        <f aca="false">I735*(1-H735)</f>
        <v>116007.2214</v>
      </c>
      <c r="K735" s="16" t="n">
        <f aca="false">J735*INDEX(Customers!$G$2:$G$41,MATCH(C735,Customers!$A$2:$A$41,0))</f>
        <v>2320.144428</v>
      </c>
      <c r="L735" s="16" t="n">
        <f aca="false">F735*INDEX(Customers!$H$2:$H$41,MATCH(C735,Customers!$A$2:$A$41,0))</f>
        <v>1258</v>
      </c>
      <c r="M735" s="16" t="n">
        <f aca="false">J735*INDEX(Customers!$I$2:$I$41,MATCH(C735,Customers!$A$2:$A$41,0))/365*Assumptions!$B$6</f>
        <v>1525.57441841096</v>
      </c>
      <c r="N735" s="16" t="n">
        <f aca="false">J735-K735-L735-M735</f>
        <v>110903.502553589</v>
      </c>
      <c r="O735" s="16" t="n">
        <f aca="false">F735*IF(A735="2025",INDEX(Products!$D$2:$D$13,MATCH(D735,Products!$A$2:$A$13,0)),INDEX(Products!$F$2:$F$13,MATCH(D735,Products!$A$2:$A$13,0)))</f>
        <v>52600.04</v>
      </c>
      <c r="P735" s="16" t="n">
        <f aca="false">N735-O735</f>
        <v>58303.462553589</v>
      </c>
    </row>
    <row r="736" customFormat="false" ht="15" hidden="false" customHeight="false" outlineLevel="0" collapsed="false">
      <c r="A736" s="2" t="s">
        <v>119</v>
      </c>
      <c r="B736" s="2" t="n">
        <v>3</v>
      </c>
      <c r="C736" s="2" t="s">
        <v>73</v>
      </c>
      <c r="D736" s="2" t="s">
        <v>48</v>
      </c>
      <c r="E736" s="2" t="str">
        <f aca="false">INDEX(Products!$B$2:$B$13,MATCH(D736,Products!$A$2:$A$13,0))</f>
        <v>Specialty</v>
      </c>
      <c r="F736" s="15" t="n">
        <v>4.3</v>
      </c>
      <c r="G736" s="16" t="n">
        <f aca="false">IF(A736="2025",INDEX(Products!$C$2:$C$13,MATCH(D736,Products!$A$2:$A$13,0)),INDEX(Products!$E$2:$E$13,MATCH(D736,Products!$A$2:$A$13,0)))</f>
        <v>34923</v>
      </c>
      <c r="H736" s="13" t="n">
        <f aca="false">IF(A736="2025",INDEX(Customers!$D$2:$D$41,MATCH(C736,Customers!$A$2:$A$41,0)),INDEX(Customers!$F$2:$F$41,MATCH(C736,Customers!$A$2:$A$41,0)))</f>
        <v>0.023</v>
      </c>
      <c r="I736" s="16" t="n">
        <f aca="false">F736*G736</f>
        <v>150168.9</v>
      </c>
      <c r="J736" s="16" t="n">
        <f aca="false">I736*(1-H736)</f>
        <v>146715.0153</v>
      </c>
      <c r="K736" s="16" t="n">
        <f aca="false">J736*INDEX(Customers!$G$2:$G$41,MATCH(C736,Customers!$A$2:$A$41,0))</f>
        <v>2934.300306</v>
      </c>
      <c r="L736" s="16" t="n">
        <f aca="false">F736*INDEX(Customers!$H$2:$H$41,MATCH(C736,Customers!$A$2:$A$41,0))</f>
        <v>1591</v>
      </c>
      <c r="M736" s="16" t="n">
        <f aca="false">J736*INDEX(Customers!$I$2:$I$41,MATCH(C736,Customers!$A$2:$A$41,0))/365*Assumptions!$B$6</f>
        <v>1929.40294093151</v>
      </c>
      <c r="N736" s="16" t="n">
        <f aca="false">J736-K736-L736-M736</f>
        <v>140260.312053069</v>
      </c>
      <c r="O736" s="16" t="n">
        <f aca="false">F736*IF(A736="2025",INDEX(Products!$D$2:$D$13,MATCH(D736,Products!$A$2:$A$13,0)),INDEX(Products!$F$2:$F$13,MATCH(D736,Products!$A$2:$A$13,0)))</f>
        <v>66523.58</v>
      </c>
      <c r="P736" s="16" t="n">
        <f aca="false">N736-O736</f>
        <v>73736.7320530685</v>
      </c>
    </row>
    <row r="737" customFormat="false" ht="15" hidden="false" customHeight="false" outlineLevel="0" collapsed="false">
      <c r="A737" s="2" t="s">
        <v>119</v>
      </c>
      <c r="B737" s="2" t="n">
        <v>4</v>
      </c>
      <c r="C737" s="2" t="s">
        <v>73</v>
      </c>
      <c r="D737" s="2" t="s">
        <v>48</v>
      </c>
      <c r="E737" s="2" t="str">
        <f aca="false">INDEX(Products!$B$2:$B$13,MATCH(D737,Products!$A$2:$A$13,0))</f>
        <v>Specialty</v>
      </c>
      <c r="F737" s="15" t="n">
        <v>3.8</v>
      </c>
      <c r="G737" s="16" t="n">
        <f aca="false">IF(A737="2025",INDEX(Products!$C$2:$C$13,MATCH(D737,Products!$A$2:$A$13,0)),INDEX(Products!$E$2:$E$13,MATCH(D737,Products!$A$2:$A$13,0)))</f>
        <v>34923</v>
      </c>
      <c r="H737" s="13" t="n">
        <f aca="false">IF(A737="2025",INDEX(Customers!$D$2:$D$41,MATCH(C737,Customers!$A$2:$A$41,0)),INDEX(Customers!$F$2:$F$41,MATCH(C737,Customers!$A$2:$A$41,0)))</f>
        <v>0.023</v>
      </c>
      <c r="I737" s="16" t="n">
        <f aca="false">F737*G737</f>
        <v>132707.4</v>
      </c>
      <c r="J737" s="16" t="n">
        <f aca="false">I737*(1-H737)</f>
        <v>129655.1298</v>
      </c>
      <c r="K737" s="16" t="n">
        <f aca="false">J737*INDEX(Customers!$G$2:$G$41,MATCH(C737,Customers!$A$2:$A$41,0))</f>
        <v>2593.102596</v>
      </c>
      <c r="L737" s="16" t="n">
        <f aca="false">F737*INDEX(Customers!$H$2:$H$41,MATCH(C737,Customers!$A$2:$A$41,0))</f>
        <v>1406</v>
      </c>
      <c r="M737" s="16" t="n">
        <f aca="false">J737*INDEX(Customers!$I$2:$I$41,MATCH(C737,Customers!$A$2:$A$41,0))/365*Assumptions!$B$6</f>
        <v>1705.05376175342</v>
      </c>
      <c r="N737" s="16" t="n">
        <f aca="false">J737-K737-L737-M737</f>
        <v>123950.973442247</v>
      </c>
      <c r="O737" s="16" t="n">
        <f aca="false">F737*IF(A737="2025",INDEX(Products!$D$2:$D$13,MATCH(D737,Products!$A$2:$A$13,0)),INDEX(Products!$F$2:$F$13,MATCH(D737,Products!$A$2:$A$13,0)))</f>
        <v>58788.28</v>
      </c>
      <c r="P737" s="16" t="n">
        <f aca="false">N737-O737</f>
        <v>65162.6934422466</v>
      </c>
    </row>
    <row r="738" customFormat="false" ht="15" hidden="false" customHeight="false" outlineLevel="0" collapsed="false">
      <c r="A738" s="2" t="s">
        <v>119</v>
      </c>
      <c r="B738" s="2" t="n">
        <v>5</v>
      </c>
      <c r="C738" s="2" t="s">
        <v>73</v>
      </c>
      <c r="D738" s="2" t="s">
        <v>48</v>
      </c>
      <c r="E738" s="2" t="str">
        <f aca="false">INDEX(Products!$B$2:$B$13,MATCH(D738,Products!$A$2:$A$13,0))</f>
        <v>Specialty</v>
      </c>
      <c r="F738" s="15" t="n">
        <v>3.4</v>
      </c>
      <c r="G738" s="16" t="n">
        <f aca="false">IF(A738="2025",INDEX(Products!$C$2:$C$13,MATCH(D738,Products!$A$2:$A$13,0)),INDEX(Products!$E$2:$E$13,MATCH(D738,Products!$A$2:$A$13,0)))</f>
        <v>34923</v>
      </c>
      <c r="H738" s="13" t="n">
        <f aca="false">IF(A738="2025",INDEX(Customers!$D$2:$D$41,MATCH(C738,Customers!$A$2:$A$41,0)),INDEX(Customers!$F$2:$F$41,MATCH(C738,Customers!$A$2:$A$41,0)))</f>
        <v>0.023</v>
      </c>
      <c r="I738" s="16" t="n">
        <f aca="false">F738*G738</f>
        <v>118738.2</v>
      </c>
      <c r="J738" s="16" t="n">
        <f aca="false">I738*(1-H738)</f>
        <v>116007.2214</v>
      </c>
      <c r="K738" s="16" t="n">
        <f aca="false">J738*INDEX(Customers!$G$2:$G$41,MATCH(C738,Customers!$A$2:$A$41,0))</f>
        <v>2320.144428</v>
      </c>
      <c r="L738" s="16" t="n">
        <f aca="false">F738*INDEX(Customers!$H$2:$H$41,MATCH(C738,Customers!$A$2:$A$41,0))</f>
        <v>1258</v>
      </c>
      <c r="M738" s="16" t="n">
        <f aca="false">J738*INDEX(Customers!$I$2:$I$41,MATCH(C738,Customers!$A$2:$A$41,0))/365*Assumptions!$B$6</f>
        <v>1525.57441841096</v>
      </c>
      <c r="N738" s="16" t="n">
        <f aca="false">J738-K738-L738-M738</f>
        <v>110903.502553589</v>
      </c>
      <c r="O738" s="16" t="n">
        <f aca="false">F738*IF(A738="2025",INDEX(Products!$D$2:$D$13,MATCH(D738,Products!$A$2:$A$13,0)),INDEX(Products!$F$2:$F$13,MATCH(D738,Products!$A$2:$A$13,0)))</f>
        <v>52600.04</v>
      </c>
      <c r="P738" s="16" t="n">
        <f aca="false">N738-O738</f>
        <v>58303.462553589</v>
      </c>
    </row>
    <row r="739" customFormat="false" ht="15" hidden="false" customHeight="false" outlineLevel="0" collapsed="false">
      <c r="A739" s="2" t="s">
        <v>119</v>
      </c>
      <c r="B739" s="2" t="n">
        <v>6</v>
      </c>
      <c r="C739" s="2" t="s">
        <v>73</v>
      </c>
      <c r="D739" s="2" t="s">
        <v>48</v>
      </c>
      <c r="E739" s="2" t="str">
        <f aca="false">INDEX(Products!$B$2:$B$13,MATCH(D739,Products!$A$2:$A$13,0))</f>
        <v>Specialty</v>
      </c>
      <c r="F739" s="15" t="n">
        <v>4.2</v>
      </c>
      <c r="G739" s="16" t="n">
        <f aca="false">IF(A739="2025",INDEX(Products!$C$2:$C$13,MATCH(D739,Products!$A$2:$A$13,0)),INDEX(Products!$E$2:$E$13,MATCH(D739,Products!$A$2:$A$13,0)))</f>
        <v>34923</v>
      </c>
      <c r="H739" s="13" t="n">
        <f aca="false">IF(A739="2025",INDEX(Customers!$D$2:$D$41,MATCH(C739,Customers!$A$2:$A$41,0)),INDEX(Customers!$F$2:$F$41,MATCH(C739,Customers!$A$2:$A$41,0)))</f>
        <v>0.023</v>
      </c>
      <c r="I739" s="16" t="n">
        <f aca="false">F739*G739</f>
        <v>146676.6</v>
      </c>
      <c r="J739" s="16" t="n">
        <f aca="false">I739*(1-H739)</f>
        <v>143303.0382</v>
      </c>
      <c r="K739" s="16" t="n">
        <f aca="false">J739*INDEX(Customers!$G$2:$G$41,MATCH(C739,Customers!$A$2:$A$41,0))</f>
        <v>2866.060764</v>
      </c>
      <c r="L739" s="16" t="n">
        <f aca="false">F739*INDEX(Customers!$H$2:$H$41,MATCH(C739,Customers!$A$2:$A$41,0))</f>
        <v>1554</v>
      </c>
      <c r="M739" s="16" t="n">
        <f aca="false">J739*INDEX(Customers!$I$2:$I$41,MATCH(C739,Customers!$A$2:$A$41,0))/365*Assumptions!$B$6</f>
        <v>1884.53310509589</v>
      </c>
      <c r="N739" s="16" t="n">
        <f aca="false">J739-K739-L739-M739</f>
        <v>136998.444330904</v>
      </c>
      <c r="O739" s="16" t="n">
        <f aca="false">F739*IF(A739="2025",INDEX(Products!$D$2:$D$13,MATCH(D739,Products!$A$2:$A$13,0)),INDEX(Products!$F$2:$F$13,MATCH(D739,Products!$A$2:$A$13,0)))</f>
        <v>64976.52</v>
      </c>
      <c r="P739" s="16" t="n">
        <f aca="false">N739-O739</f>
        <v>72021.9243309041</v>
      </c>
    </row>
    <row r="740" customFormat="false" ht="15" hidden="false" customHeight="false" outlineLevel="0" collapsed="false">
      <c r="A740" s="2" t="s">
        <v>119</v>
      </c>
      <c r="B740" s="2" t="n">
        <v>7</v>
      </c>
      <c r="C740" s="2" t="s">
        <v>73</v>
      </c>
      <c r="D740" s="2" t="s">
        <v>48</v>
      </c>
      <c r="E740" s="2" t="str">
        <f aca="false">INDEX(Products!$B$2:$B$13,MATCH(D740,Products!$A$2:$A$13,0))</f>
        <v>Specialty</v>
      </c>
      <c r="F740" s="15" t="n">
        <v>4.4</v>
      </c>
      <c r="G740" s="16" t="n">
        <f aca="false">IF(A740="2025",INDEX(Products!$C$2:$C$13,MATCH(D740,Products!$A$2:$A$13,0)),INDEX(Products!$E$2:$E$13,MATCH(D740,Products!$A$2:$A$13,0)))</f>
        <v>34923</v>
      </c>
      <c r="H740" s="13" t="n">
        <f aca="false">IF(A740="2025",INDEX(Customers!$D$2:$D$41,MATCH(C740,Customers!$A$2:$A$41,0)),INDEX(Customers!$F$2:$F$41,MATCH(C740,Customers!$A$2:$A$41,0)))</f>
        <v>0.023</v>
      </c>
      <c r="I740" s="16" t="n">
        <f aca="false">F740*G740</f>
        <v>153661.2</v>
      </c>
      <c r="J740" s="16" t="n">
        <f aca="false">I740*(1-H740)</f>
        <v>150126.9924</v>
      </c>
      <c r="K740" s="16" t="n">
        <f aca="false">J740*INDEX(Customers!$G$2:$G$41,MATCH(C740,Customers!$A$2:$A$41,0))</f>
        <v>3002.539848</v>
      </c>
      <c r="L740" s="16" t="n">
        <f aca="false">F740*INDEX(Customers!$H$2:$H$41,MATCH(C740,Customers!$A$2:$A$41,0))</f>
        <v>1628</v>
      </c>
      <c r="M740" s="16" t="n">
        <f aca="false">J740*INDEX(Customers!$I$2:$I$41,MATCH(C740,Customers!$A$2:$A$41,0))/365*Assumptions!$B$6</f>
        <v>1974.27277676712</v>
      </c>
      <c r="N740" s="16" t="n">
        <f aca="false">J740-K740-L740-M740</f>
        <v>143522.179775233</v>
      </c>
      <c r="O740" s="16" t="n">
        <f aca="false">F740*IF(A740="2025",INDEX(Products!$D$2:$D$13,MATCH(D740,Products!$A$2:$A$13,0)),INDEX(Products!$F$2:$F$13,MATCH(D740,Products!$A$2:$A$13,0)))</f>
        <v>68070.64</v>
      </c>
      <c r="P740" s="16" t="n">
        <f aca="false">N740-O740</f>
        <v>75451.5397752329</v>
      </c>
    </row>
    <row r="741" customFormat="false" ht="15" hidden="false" customHeight="false" outlineLevel="0" collapsed="false">
      <c r="A741" s="2" t="s">
        <v>119</v>
      </c>
      <c r="B741" s="2" t="n">
        <v>8</v>
      </c>
      <c r="C741" s="2" t="s">
        <v>73</v>
      </c>
      <c r="D741" s="2" t="s">
        <v>48</v>
      </c>
      <c r="E741" s="2" t="str">
        <f aca="false">INDEX(Products!$B$2:$B$13,MATCH(D741,Products!$A$2:$A$13,0))</f>
        <v>Specialty</v>
      </c>
      <c r="F741" s="15" t="n">
        <v>3.6</v>
      </c>
      <c r="G741" s="16" t="n">
        <f aca="false">IF(A741="2025",INDEX(Products!$C$2:$C$13,MATCH(D741,Products!$A$2:$A$13,0)),INDEX(Products!$E$2:$E$13,MATCH(D741,Products!$A$2:$A$13,0)))</f>
        <v>34923</v>
      </c>
      <c r="H741" s="13" t="n">
        <f aca="false">IF(A741="2025",INDEX(Customers!$D$2:$D$41,MATCH(C741,Customers!$A$2:$A$41,0)),INDEX(Customers!$F$2:$F$41,MATCH(C741,Customers!$A$2:$A$41,0)))</f>
        <v>0.023</v>
      </c>
      <c r="I741" s="16" t="n">
        <f aca="false">F741*G741</f>
        <v>125722.8</v>
      </c>
      <c r="J741" s="16" t="n">
        <f aca="false">I741*(1-H741)</f>
        <v>122831.1756</v>
      </c>
      <c r="K741" s="16" t="n">
        <f aca="false">J741*INDEX(Customers!$G$2:$G$41,MATCH(C741,Customers!$A$2:$A$41,0))</f>
        <v>2456.623512</v>
      </c>
      <c r="L741" s="16" t="n">
        <f aca="false">F741*INDEX(Customers!$H$2:$H$41,MATCH(C741,Customers!$A$2:$A$41,0))</f>
        <v>1332</v>
      </c>
      <c r="M741" s="16" t="n">
        <f aca="false">J741*INDEX(Customers!$I$2:$I$41,MATCH(C741,Customers!$A$2:$A$41,0))/365*Assumptions!$B$6</f>
        <v>1615.31409008219</v>
      </c>
      <c r="N741" s="16" t="n">
        <f aca="false">J741-K741-L741-M741</f>
        <v>117427.237997918</v>
      </c>
      <c r="O741" s="16" t="n">
        <f aca="false">F741*IF(A741="2025",INDEX(Products!$D$2:$D$13,MATCH(D741,Products!$A$2:$A$13,0)),INDEX(Products!$F$2:$F$13,MATCH(D741,Products!$A$2:$A$13,0)))</f>
        <v>55694.16</v>
      </c>
      <c r="P741" s="16" t="n">
        <f aca="false">N741-O741</f>
        <v>61733.0779979178</v>
      </c>
    </row>
    <row r="742" customFormat="false" ht="15" hidden="false" customHeight="false" outlineLevel="0" collapsed="false">
      <c r="A742" s="2" t="s">
        <v>119</v>
      </c>
      <c r="B742" s="2" t="n">
        <v>9</v>
      </c>
      <c r="C742" s="2" t="s">
        <v>73</v>
      </c>
      <c r="D742" s="2" t="s">
        <v>48</v>
      </c>
      <c r="E742" s="2" t="str">
        <f aca="false">INDEX(Products!$B$2:$B$13,MATCH(D742,Products!$A$2:$A$13,0))</f>
        <v>Specialty</v>
      </c>
      <c r="F742" s="15" t="n">
        <v>4</v>
      </c>
      <c r="G742" s="16" t="n">
        <f aca="false">IF(A742="2025",INDEX(Products!$C$2:$C$13,MATCH(D742,Products!$A$2:$A$13,0)),INDEX(Products!$E$2:$E$13,MATCH(D742,Products!$A$2:$A$13,0)))</f>
        <v>34923</v>
      </c>
      <c r="H742" s="13" t="n">
        <f aca="false">IF(A742="2025",INDEX(Customers!$D$2:$D$41,MATCH(C742,Customers!$A$2:$A$41,0)),INDEX(Customers!$F$2:$F$41,MATCH(C742,Customers!$A$2:$A$41,0)))</f>
        <v>0.023</v>
      </c>
      <c r="I742" s="16" t="n">
        <f aca="false">F742*G742</f>
        <v>139692</v>
      </c>
      <c r="J742" s="16" t="n">
        <f aca="false">I742*(1-H742)</f>
        <v>136479.084</v>
      </c>
      <c r="K742" s="16" t="n">
        <f aca="false">J742*INDEX(Customers!$G$2:$G$41,MATCH(C742,Customers!$A$2:$A$41,0))</f>
        <v>2729.58168</v>
      </c>
      <c r="L742" s="16" t="n">
        <f aca="false">F742*INDEX(Customers!$H$2:$H$41,MATCH(C742,Customers!$A$2:$A$41,0))</f>
        <v>1480</v>
      </c>
      <c r="M742" s="16" t="n">
        <f aca="false">J742*INDEX(Customers!$I$2:$I$41,MATCH(C742,Customers!$A$2:$A$41,0))/365*Assumptions!$B$6</f>
        <v>1794.79343342466</v>
      </c>
      <c r="N742" s="16" t="n">
        <f aca="false">J742-K742-L742-M742</f>
        <v>130474.708886575</v>
      </c>
      <c r="O742" s="16" t="n">
        <f aca="false">F742*IF(A742="2025",INDEX(Products!$D$2:$D$13,MATCH(D742,Products!$A$2:$A$13,0)),INDEX(Products!$F$2:$F$13,MATCH(D742,Products!$A$2:$A$13,0)))</f>
        <v>61882.4</v>
      </c>
      <c r="P742" s="16" t="n">
        <f aca="false">N742-O742</f>
        <v>68592.3088865753</v>
      </c>
    </row>
    <row r="743" customFormat="false" ht="15" hidden="false" customHeight="false" outlineLevel="0" collapsed="false">
      <c r="A743" s="2" t="s">
        <v>119</v>
      </c>
      <c r="B743" s="2" t="n">
        <v>10</v>
      </c>
      <c r="C743" s="2" t="s">
        <v>73</v>
      </c>
      <c r="D743" s="2" t="s">
        <v>48</v>
      </c>
      <c r="E743" s="2" t="str">
        <f aca="false">INDEX(Products!$B$2:$B$13,MATCH(D743,Products!$A$2:$A$13,0))</f>
        <v>Specialty</v>
      </c>
      <c r="F743" s="15" t="n">
        <v>4.4</v>
      </c>
      <c r="G743" s="16" t="n">
        <f aca="false">IF(A743="2025",INDEX(Products!$C$2:$C$13,MATCH(D743,Products!$A$2:$A$13,0)),INDEX(Products!$E$2:$E$13,MATCH(D743,Products!$A$2:$A$13,0)))</f>
        <v>34923</v>
      </c>
      <c r="H743" s="13" t="n">
        <f aca="false">IF(A743="2025",INDEX(Customers!$D$2:$D$41,MATCH(C743,Customers!$A$2:$A$41,0)),INDEX(Customers!$F$2:$F$41,MATCH(C743,Customers!$A$2:$A$41,0)))</f>
        <v>0.023</v>
      </c>
      <c r="I743" s="16" t="n">
        <f aca="false">F743*G743</f>
        <v>153661.2</v>
      </c>
      <c r="J743" s="16" t="n">
        <f aca="false">I743*(1-H743)</f>
        <v>150126.9924</v>
      </c>
      <c r="K743" s="16" t="n">
        <f aca="false">J743*INDEX(Customers!$G$2:$G$41,MATCH(C743,Customers!$A$2:$A$41,0))</f>
        <v>3002.539848</v>
      </c>
      <c r="L743" s="16" t="n">
        <f aca="false">F743*INDEX(Customers!$H$2:$H$41,MATCH(C743,Customers!$A$2:$A$41,0))</f>
        <v>1628</v>
      </c>
      <c r="M743" s="16" t="n">
        <f aca="false">J743*INDEX(Customers!$I$2:$I$41,MATCH(C743,Customers!$A$2:$A$41,0))/365*Assumptions!$B$6</f>
        <v>1974.27277676712</v>
      </c>
      <c r="N743" s="16" t="n">
        <f aca="false">J743-K743-L743-M743</f>
        <v>143522.179775233</v>
      </c>
      <c r="O743" s="16" t="n">
        <f aca="false">F743*IF(A743="2025",INDEX(Products!$D$2:$D$13,MATCH(D743,Products!$A$2:$A$13,0)),INDEX(Products!$F$2:$F$13,MATCH(D743,Products!$A$2:$A$13,0)))</f>
        <v>68070.64</v>
      </c>
      <c r="P743" s="16" t="n">
        <f aca="false">N743-O743</f>
        <v>75451.5397752329</v>
      </c>
    </row>
    <row r="744" customFormat="false" ht="15" hidden="false" customHeight="false" outlineLevel="0" collapsed="false">
      <c r="A744" s="2" t="s">
        <v>119</v>
      </c>
      <c r="B744" s="2" t="n">
        <v>11</v>
      </c>
      <c r="C744" s="2" t="s">
        <v>73</v>
      </c>
      <c r="D744" s="2" t="s">
        <v>48</v>
      </c>
      <c r="E744" s="2" t="str">
        <f aca="false">INDEX(Products!$B$2:$B$13,MATCH(D744,Products!$A$2:$A$13,0))</f>
        <v>Specialty</v>
      </c>
      <c r="F744" s="15" t="n">
        <v>2.5</v>
      </c>
      <c r="G744" s="16" t="n">
        <f aca="false">IF(A744="2025",INDEX(Products!$C$2:$C$13,MATCH(D744,Products!$A$2:$A$13,0)),INDEX(Products!$E$2:$E$13,MATCH(D744,Products!$A$2:$A$13,0)))</f>
        <v>34923</v>
      </c>
      <c r="H744" s="13" t="n">
        <f aca="false">IF(A744="2025",INDEX(Customers!$D$2:$D$41,MATCH(C744,Customers!$A$2:$A$41,0)),INDEX(Customers!$F$2:$F$41,MATCH(C744,Customers!$A$2:$A$41,0)))</f>
        <v>0.023</v>
      </c>
      <c r="I744" s="16" t="n">
        <f aca="false">F744*G744</f>
        <v>87307.5</v>
      </c>
      <c r="J744" s="16" t="n">
        <f aca="false">I744*(1-H744)</f>
        <v>85299.4275</v>
      </c>
      <c r="K744" s="16" t="n">
        <f aca="false">J744*INDEX(Customers!$G$2:$G$41,MATCH(C744,Customers!$A$2:$A$41,0))</f>
        <v>1705.98855</v>
      </c>
      <c r="L744" s="16" t="n">
        <f aca="false">F744*INDEX(Customers!$H$2:$H$41,MATCH(C744,Customers!$A$2:$A$41,0))</f>
        <v>925</v>
      </c>
      <c r="M744" s="16" t="n">
        <f aca="false">J744*INDEX(Customers!$I$2:$I$41,MATCH(C744,Customers!$A$2:$A$41,0))/365*Assumptions!$B$6</f>
        <v>1121.74589589041</v>
      </c>
      <c r="N744" s="16" t="n">
        <f aca="false">J744-K744-L744-M744</f>
        <v>81546.6930541096</v>
      </c>
      <c r="O744" s="16" t="n">
        <f aca="false">F744*IF(A744="2025",INDEX(Products!$D$2:$D$13,MATCH(D744,Products!$A$2:$A$13,0)),INDEX(Products!$F$2:$F$13,MATCH(D744,Products!$A$2:$A$13,0)))</f>
        <v>38676.5</v>
      </c>
      <c r="P744" s="16" t="n">
        <f aca="false">N744-O744</f>
        <v>42870.1930541096</v>
      </c>
    </row>
    <row r="745" customFormat="false" ht="15" hidden="false" customHeight="false" outlineLevel="0" collapsed="false">
      <c r="A745" s="2" t="s">
        <v>119</v>
      </c>
      <c r="B745" s="2" t="n">
        <v>12</v>
      </c>
      <c r="C745" s="2" t="s">
        <v>73</v>
      </c>
      <c r="D745" s="2" t="s">
        <v>48</v>
      </c>
      <c r="E745" s="2" t="str">
        <f aca="false">INDEX(Products!$B$2:$B$13,MATCH(D745,Products!$A$2:$A$13,0))</f>
        <v>Specialty</v>
      </c>
      <c r="F745" s="15" t="n">
        <v>3.6</v>
      </c>
      <c r="G745" s="16" t="n">
        <f aca="false">IF(A745="2025",INDEX(Products!$C$2:$C$13,MATCH(D745,Products!$A$2:$A$13,0)),INDEX(Products!$E$2:$E$13,MATCH(D745,Products!$A$2:$A$13,0)))</f>
        <v>34923</v>
      </c>
      <c r="H745" s="13" t="n">
        <f aca="false">IF(A745="2025",INDEX(Customers!$D$2:$D$41,MATCH(C745,Customers!$A$2:$A$41,0)),INDEX(Customers!$F$2:$F$41,MATCH(C745,Customers!$A$2:$A$41,0)))</f>
        <v>0.023</v>
      </c>
      <c r="I745" s="16" t="n">
        <f aca="false">F745*G745</f>
        <v>125722.8</v>
      </c>
      <c r="J745" s="16" t="n">
        <f aca="false">I745*(1-H745)</f>
        <v>122831.1756</v>
      </c>
      <c r="K745" s="16" t="n">
        <f aca="false">J745*INDEX(Customers!$G$2:$G$41,MATCH(C745,Customers!$A$2:$A$41,0))</f>
        <v>2456.623512</v>
      </c>
      <c r="L745" s="16" t="n">
        <f aca="false">F745*INDEX(Customers!$H$2:$H$41,MATCH(C745,Customers!$A$2:$A$41,0))</f>
        <v>1332</v>
      </c>
      <c r="M745" s="16" t="n">
        <f aca="false">J745*INDEX(Customers!$I$2:$I$41,MATCH(C745,Customers!$A$2:$A$41,0))/365*Assumptions!$B$6</f>
        <v>1615.31409008219</v>
      </c>
      <c r="N745" s="16" t="n">
        <f aca="false">J745-K745-L745-M745</f>
        <v>117427.237997918</v>
      </c>
      <c r="O745" s="16" t="n">
        <f aca="false">F745*IF(A745="2025",INDEX(Products!$D$2:$D$13,MATCH(D745,Products!$A$2:$A$13,0)),INDEX(Products!$F$2:$F$13,MATCH(D745,Products!$A$2:$A$13,0)))</f>
        <v>55694.16</v>
      </c>
      <c r="P745" s="16" t="n">
        <f aca="false">N745-O745</f>
        <v>61733.0779979178</v>
      </c>
    </row>
    <row r="746" customFormat="false" ht="15" hidden="false" customHeight="false" outlineLevel="0" collapsed="false">
      <c r="A746" s="2" t="s">
        <v>118</v>
      </c>
      <c r="B746" s="2" t="n">
        <v>1</v>
      </c>
      <c r="C746" s="2" t="s">
        <v>73</v>
      </c>
      <c r="D746" s="2" t="s">
        <v>37</v>
      </c>
      <c r="E746" s="2" t="str">
        <f aca="false">INDEX(Products!$B$2:$B$13,MATCH(D746,Products!$A$2:$A$13,0))</f>
        <v>FCC</v>
      </c>
      <c r="F746" s="15" t="n">
        <v>11.2</v>
      </c>
      <c r="G746" s="16" t="n">
        <f aca="false">IF(A746="2025",INDEX(Products!$C$2:$C$13,MATCH(D746,Products!$A$2:$A$13,0)),INDEX(Products!$E$2:$E$13,MATCH(D746,Products!$A$2:$A$13,0)))</f>
        <v>3530</v>
      </c>
      <c r="H746" s="13" t="n">
        <f aca="false">IF(A746="2025",INDEX(Customers!$D$2:$D$41,MATCH(C746,Customers!$A$2:$A$41,0)),INDEX(Customers!$F$2:$F$41,MATCH(C746,Customers!$A$2:$A$41,0)))</f>
        <v>0.023</v>
      </c>
      <c r="I746" s="16" t="n">
        <f aca="false">F746*G746</f>
        <v>39536</v>
      </c>
      <c r="J746" s="16" t="n">
        <f aca="false">I746*(1-H746)</f>
        <v>38626.672</v>
      </c>
      <c r="K746" s="16" t="n">
        <f aca="false">J746*INDEX(Customers!$G$2:$G$41,MATCH(C746,Customers!$A$2:$A$41,0))</f>
        <v>772.53344</v>
      </c>
      <c r="L746" s="16" t="n">
        <f aca="false">F746*INDEX(Customers!$H$2:$H$41,MATCH(C746,Customers!$A$2:$A$41,0))</f>
        <v>4144</v>
      </c>
      <c r="M746" s="16" t="n">
        <f aca="false">J746*INDEX(Customers!$I$2:$I$41,MATCH(C746,Customers!$A$2:$A$41,0))/365*Assumptions!$B$6</f>
        <v>507.967193424658</v>
      </c>
      <c r="N746" s="16" t="n">
        <f aca="false">J746-K746-L746-M746</f>
        <v>33202.1713665753</v>
      </c>
      <c r="O746" s="16" t="n">
        <f aca="false">F746*IF(A746="2025",INDEX(Products!$D$2:$D$13,MATCH(D746,Products!$A$2:$A$13,0)),INDEX(Products!$F$2:$F$13,MATCH(D746,Products!$A$2:$A$13,0)))</f>
        <v>26992</v>
      </c>
      <c r="P746" s="16" t="n">
        <f aca="false">N746-O746</f>
        <v>6210.17136657534</v>
      </c>
    </row>
    <row r="747" customFormat="false" ht="15" hidden="false" customHeight="false" outlineLevel="0" collapsed="false">
      <c r="A747" s="2" t="s">
        <v>118</v>
      </c>
      <c r="B747" s="2" t="n">
        <v>2</v>
      </c>
      <c r="C747" s="2" t="s">
        <v>73</v>
      </c>
      <c r="D747" s="2" t="s">
        <v>37</v>
      </c>
      <c r="E747" s="2" t="str">
        <f aca="false">INDEX(Products!$B$2:$B$13,MATCH(D747,Products!$A$2:$A$13,0))</f>
        <v>FCC</v>
      </c>
      <c r="F747" s="15" t="n">
        <v>10.4</v>
      </c>
      <c r="G747" s="16" t="n">
        <f aca="false">IF(A747="2025",INDEX(Products!$C$2:$C$13,MATCH(D747,Products!$A$2:$A$13,0)),INDEX(Products!$E$2:$E$13,MATCH(D747,Products!$A$2:$A$13,0)))</f>
        <v>3530</v>
      </c>
      <c r="H747" s="13" t="n">
        <f aca="false">IF(A747="2025",INDEX(Customers!$D$2:$D$41,MATCH(C747,Customers!$A$2:$A$41,0)),INDEX(Customers!$F$2:$F$41,MATCH(C747,Customers!$A$2:$A$41,0)))</f>
        <v>0.023</v>
      </c>
      <c r="I747" s="16" t="n">
        <f aca="false">F747*G747</f>
        <v>36712</v>
      </c>
      <c r="J747" s="16" t="n">
        <f aca="false">I747*(1-H747)</f>
        <v>35867.624</v>
      </c>
      <c r="K747" s="16" t="n">
        <f aca="false">J747*INDEX(Customers!$G$2:$G$41,MATCH(C747,Customers!$A$2:$A$41,0))</f>
        <v>717.35248</v>
      </c>
      <c r="L747" s="16" t="n">
        <f aca="false">F747*INDEX(Customers!$H$2:$H$41,MATCH(C747,Customers!$A$2:$A$41,0))</f>
        <v>3848</v>
      </c>
      <c r="M747" s="16" t="n">
        <f aca="false">J747*INDEX(Customers!$I$2:$I$41,MATCH(C747,Customers!$A$2:$A$41,0))/365*Assumptions!$B$6</f>
        <v>471.683822465753</v>
      </c>
      <c r="N747" s="16" t="n">
        <f aca="false">J747-K747-L747-M747</f>
        <v>30830.5876975342</v>
      </c>
      <c r="O747" s="16" t="n">
        <f aca="false">F747*IF(A747="2025",INDEX(Products!$D$2:$D$13,MATCH(D747,Products!$A$2:$A$13,0)),INDEX(Products!$F$2:$F$13,MATCH(D747,Products!$A$2:$A$13,0)))</f>
        <v>25064</v>
      </c>
      <c r="P747" s="16" t="n">
        <f aca="false">N747-O747</f>
        <v>5766.58769753424</v>
      </c>
    </row>
    <row r="748" customFormat="false" ht="15" hidden="false" customHeight="false" outlineLevel="0" collapsed="false">
      <c r="A748" s="2" t="s">
        <v>118</v>
      </c>
      <c r="B748" s="2" t="n">
        <v>3</v>
      </c>
      <c r="C748" s="2" t="s">
        <v>73</v>
      </c>
      <c r="D748" s="2" t="s">
        <v>37</v>
      </c>
      <c r="E748" s="2" t="str">
        <f aca="false">INDEX(Products!$B$2:$B$13,MATCH(D748,Products!$A$2:$A$13,0))</f>
        <v>FCC</v>
      </c>
      <c r="F748" s="15" t="n">
        <v>8.9</v>
      </c>
      <c r="G748" s="16" t="n">
        <f aca="false">IF(A748="2025",INDEX(Products!$C$2:$C$13,MATCH(D748,Products!$A$2:$A$13,0)),INDEX(Products!$E$2:$E$13,MATCH(D748,Products!$A$2:$A$13,0)))</f>
        <v>3530</v>
      </c>
      <c r="H748" s="13" t="n">
        <f aca="false">IF(A748="2025",INDEX(Customers!$D$2:$D$41,MATCH(C748,Customers!$A$2:$A$41,0)),INDEX(Customers!$F$2:$F$41,MATCH(C748,Customers!$A$2:$A$41,0)))</f>
        <v>0.023</v>
      </c>
      <c r="I748" s="16" t="n">
        <f aca="false">F748*G748</f>
        <v>31417</v>
      </c>
      <c r="J748" s="16" t="n">
        <f aca="false">I748*(1-H748)</f>
        <v>30694.409</v>
      </c>
      <c r="K748" s="16" t="n">
        <f aca="false">J748*INDEX(Customers!$G$2:$G$41,MATCH(C748,Customers!$A$2:$A$41,0))</f>
        <v>613.88818</v>
      </c>
      <c r="L748" s="16" t="n">
        <f aca="false">F748*INDEX(Customers!$H$2:$H$41,MATCH(C748,Customers!$A$2:$A$41,0))</f>
        <v>3293</v>
      </c>
      <c r="M748" s="16" t="n">
        <f aca="false">J748*INDEX(Customers!$I$2:$I$41,MATCH(C748,Customers!$A$2:$A$41,0))/365*Assumptions!$B$6</f>
        <v>403.652501917808</v>
      </c>
      <c r="N748" s="16" t="n">
        <f aca="false">J748-K748-L748-M748</f>
        <v>26383.8683180822</v>
      </c>
      <c r="O748" s="16" t="n">
        <f aca="false">F748*IF(A748="2025",INDEX(Products!$D$2:$D$13,MATCH(D748,Products!$A$2:$A$13,0)),INDEX(Products!$F$2:$F$13,MATCH(D748,Products!$A$2:$A$13,0)))</f>
        <v>21449</v>
      </c>
      <c r="P748" s="16" t="n">
        <f aca="false">N748-O748</f>
        <v>4934.86831808219</v>
      </c>
    </row>
    <row r="749" customFormat="false" ht="15" hidden="false" customHeight="false" outlineLevel="0" collapsed="false">
      <c r="A749" s="2" t="s">
        <v>118</v>
      </c>
      <c r="B749" s="2" t="n">
        <v>4</v>
      </c>
      <c r="C749" s="2" t="s">
        <v>73</v>
      </c>
      <c r="D749" s="2" t="s">
        <v>37</v>
      </c>
      <c r="E749" s="2" t="str">
        <f aca="false">INDEX(Products!$B$2:$B$13,MATCH(D749,Products!$A$2:$A$13,0))</f>
        <v>FCC</v>
      </c>
      <c r="F749" s="15" t="n">
        <v>8.7</v>
      </c>
      <c r="G749" s="16" t="n">
        <f aca="false">IF(A749="2025",INDEX(Products!$C$2:$C$13,MATCH(D749,Products!$A$2:$A$13,0)),INDEX(Products!$E$2:$E$13,MATCH(D749,Products!$A$2:$A$13,0)))</f>
        <v>3530</v>
      </c>
      <c r="H749" s="13" t="n">
        <f aca="false">IF(A749="2025",INDEX(Customers!$D$2:$D$41,MATCH(C749,Customers!$A$2:$A$41,0)),INDEX(Customers!$F$2:$F$41,MATCH(C749,Customers!$A$2:$A$41,0)))</f>
        <v>0.023</v>
      </c>
      <c r="I749" s="16" t="n">
        <f aca="false">F749*G749</f>
        <v>30711</v>
      </c>
      <c r="J749" s="16" t="n">
        <f aca="false">I749*(1-H749)</f>
        <v>30004.647</v>
      </c>
      <c r="K749" s="16" t="n">
        <f aca="false">J749*INDEX(Customers!$G$2:$G$41,MATCH(C749,Customers!$A$2:$A$41,0))</f>
        <v>600.09294</v>
      </c>
      <c r="L749" s="16" t="n">
        <f aca="false">F749*INDEX(Customers!$H$2:$H$41,MATCH(C749,Customers!$A$2:$A$41,0))</f>
        <v>3219</v>
      </c>
      <c r="M749" s="16" t="n">
        <f aca="false">J749*INDEX(Customers!$I$2:$I$41,MATCH(C749,Customers!$A$2:$A$41,0))/365*Assumptions!$B$6</f>
        <v>394.581659178082</v>
      </c>
      <c r="N749" s="16" t="n">
        <f aca="false">J749-K749-L749-M749</f>
        <v>25790.9724008219</v>
      </c>
      <c r="O749" s="16" t="n">
        <f aca="false">F749*IF(A749="2025",INDEX(Products!$D$2:$D$13,MATCH(D749,Products!$A$2:$A$13,0)),INDEX(Products!$F$2:$F$13,MATCH(D749,Products!$A$2:$A$13,0)))</f>
        <v>20967</v>
      </c>
      <c r="P749" s="16" t="n">
        <f aca="false">N749-O749</f>
        <v>4823.97240082192</v>
      </c>
    </row>
    <row r="750" customFormat="false" ht="15" hidden="false" customHeight="false" outlineLevel="0" collapsed="false">
      <c r="A750" s="2" t="s">
        <v>118</v>
      </c>
      <c r="B750" s="2" t="n">
        <v>5</v>
      </c>
      <c r="C750" s="2" t="s">
        <v>73</v>
      </c>
      <c r="D750" s="2" t="s">
        <v>37</v>
      </c>
      <c r="E750" s="2" t="str">
        <f aca="false">INDEX(Products!$B$2:$B$13,MATCH(D750,Products!$A$2:$A$13,0))</f>
        <v>FCC</v>
      </c>
      <c r="F750" s="15" t="n">
        <v>12.4</v>
      </c>
      <c r="G750" s="16" t="n">
        <f aca="false">IF(A750="2025",INDEX(Products!$C$2:$C$13,MATCH(D750,Products!$A$2:$A$13,0)),INDEX(Products!$E$2:$E$13,MATCH(D750,Products!$A$2:$A$13,0)))</f>
        <v>3530</v>
      </c>
      <c r="H750" s="13" t="n">
        <f aca="false">IF(A750="2025",INDEX(Customers!$D$2:$D$41,MATCH(C750,Customers!$A$2:$A$41,0)),INDEX(Customers!$F$2:$F$41,MATCH(C750,Customers!$A$2:$A$41,0)))</f>
        <v>0.023</v>
      </c>
      <c r="I750" s="16" t="n">
        <f aca="false">F750*G750</f>
        <v>43772</v>
      </c>
      <c r="J750" s="16" t="n">
        <f aca="false">I750*(1-H750)</f>
        <v>42765.244</v>
      </c>
      <c r="K750" s="16" t="n">
        <f aca="false">J750*INDEX(Customers!$G$2:$G$41,MATCH(C750,Customers!$A$2:$A$41,0))</f>
        <v>855.30488</v>
      </c>
      <c r="L750" s="16" t="n">
        <f aca="false">F750*INDEX(Customers!$H$2:$H$41,MATCH(C750,Customers!$A$2:$A$41,0))</f>
        <v>4588</v>
      </c>
      <c r="M750" s="16" t="n">
        <f aca="false">J750*INDEX(Customers!$I$2:$I$41,MATCH(C750,Customers!$A$2:$A$41,0))/365*Assumptions!$B$6</f>
        <v>562.392249863014</v>
      </c>
      <c r="N750" s="16" t="n">
        <f aca="false">J750-K750-L750-M750</f>
        <v>36759.546870137</v>
      </c>
      <c r="O750" s="16" t="n">
        <f aca="false">F750*IF(A750="2025",INDEX(Products!$D$2:$D$13,MATCH(D750,Products!$A$2:$A$13,0)),INDEX(Products!$F$2:$F$13,MATCH(D750,Products!$A$2:$A$13,0)))</f>
        <v>29884</v>
      </c>
      <c r="P750" s="16" t="n">
        <f aca="false">N750-O750</f>
        <v>6875.54687013698</v>
      </c>
    </row>
    <row r="751" customFormat="false" ht="15" hidden="false" customHeight="false" outlineLevel="0" collapsed="false">
      <c r="A751" s="2" t="s">
        <v>118</v>
      </c>
      <c r="B751" s="2" t="n">
        <v>6</v>
      </c>
      <c r="C751" s="2" t="s">
        <v>73</v>
      </c>
      <c r="D751" s="2" t="s">
        <v>37</v>
      </c>
      <c r="E751" s="2" t="str">
        <f aca="false">INDEX(Products!$B$2:$B$13,MATCH(D751,Products!$A$2:$A$13,0))</f>
        <v>FCC</v>
      </c>
      <c r="F751" s="15" t="n">
        <v>12.4</v>
      </c>
      <c r="G751" s="16" t="n">
        <f aca="false">IF(A751="2025",INDEX(Products!$C$2:$C$13,MATCH(D751,Products!$A$2:$A$13,0)),INDEX(Products!$E$2:$E$13,MATCH(D751,Products!$A$2:$A$13,0)))</f>
        <v>3530</v>
      </c>
      <c r="H751" s="13" t="n">
        <f aca="false">IF(A751="2025",INDEX(Customers!$D$2:$D$41,MATCH(C751,Customers!$A$2:$A$41,0)),INDEX(Customers!$F$2:$F$41,MATCH(C751,Customers!$A$2:$A$41,0)))</f>
        <v>0.023</v>
      </c>
      <c r="I751" s="16" t="n">
        <f aca="false">F751*G751</f>
        <v>43772</v>
      </c>
      <c r="J751" s="16" t="n">
        <f aca="false">I751*(1-H751)</f>
        <v>42765.244</v>
      </c>
      <c r="K751" s="16" t="n">
        <f aca="false">J751*INDEX(Customers!$G$2:$G$41,MATCH(C751,Customers!$A$2:$A$41,0))</f>
        <v>855.30488</v>
      </c>
      <c r="L751" s="16" t="n">
        <f aca="false">F751*INDEX(Customers!$H$2:$H$41,MATCH(C751,Customers!$A$2:$A$41,0))</f>
        <v>4588</v>
      </c>
      <c r="M751" s="16" t="n">
        <f aca="false">J751*INDEX(Customers!$I$2:$I$41,MATCH(C751,Customers!$A$2:$A$41,0))/365*Assumptions!$B$6</f>
        <v>562.392249863014</v>
      </c>
      <c r="N751" s="16" t="n">
        <f aca="false">J751-K751-L751-M751</f>
        <v>36759.546870137</v>
      </c>
      <c r="O751" s="16" t="n">
        <f aca="false">F751*IF(A751="2025",INDEX(Products!$D$2:$D$13,MATCH(D751,Products!$A$2:$A$13,0)),INDEX(Products!$F$2:$F$13,MATCH(D751,Products!$A$2:$A$13,0)))</f>
        <v>29884</v>
      </c>
      <c r="P751" s="16" t="n">
        <f aca="false">N751-O751</f>
        <v>6875.54687013698</v>
      </c>
    </row>
    <row r="752" customFormat="false" ht="15" hidden="false" customHeight="false" outlineLevel="0" collapsed="false">
      <c r="A752" s="2" t="s">
        <v>118</v>
      </c>
      <c r="B752" s="2" t="n">
        <v>7</v>
      </c>
      <c r="C752" s="2" t="s">
        <v>73</v>
      </c>
      <c r="D752" s="2" t="s">
        <v>37</v>
      </c>
      <c r="E752" s="2" t="str">
        <f aca="false">INDEX(Products!$B$2:$B$13,MATCH(D752,Products!$A$2:$A$13,0))</f>
        <v>FCC</v>
      </c>
      <c r="F752" s="15" t="n">
        <v>7.9</v>
      </c>
      <c r="G752" s="16" t="n">
        <f aca="false">IF(A752="2025",INDEX(Products!$C$2:$C$13,MATCH(D752,Products!$A$2:$A$13,0)),INDEX(Products!$E$2:$E$13,MATCH(D752,Products!$A$2:$A$13,0)))</f>
        <v>3530</v>
      </c>
      <c r="H752" s="13" t="n">
        <f aca="false">IF(A752="2025",INDEX(Customers!$D$2:$D$41,MATCH(C752,Customers!$A$2:$A$41,0)),INDEX(Customers!$F$2:$F$41,MATCH(C752,Customers!$A$2:$A$41,0)))</f>
        <v>0.023</v>
      </c>
      <c r="I752" s="16" t="n">
        <f aca="false">F752*G752</f>
        <v>27887</v>
      </c>
      <c r="J752" s="16" t="n">
        <f aca="false">I752*(1-H752)</f>
        <v>27245.599</v>
      </c>
      <c r="K752" s="16" t="n">
        <f aca="false">J752*INDEX(Customers!$G$2:$G$41,MATCH(C752,Customers!$A$2:$A$41,0))</f>
        <v>544.91198</v>
      </c>
      <c r="L752" s="16" t="n">
        <f aca="false">F752*INDEX(Customers!$H$2:$H$41,MATCH(C752,Customers!$A$2:$A$41,0))</f>
        <v>2923</v>
      </c>
      <c r="M752" s="16" t="n">
        <f aca="false">J752*INDEX(Customers!$I$2:$I$41,MATCH(C752,Customers!$A$2:$A$41,0))/365*Assumptions!$B$6</f>
        <v>358.298288219178</v>
      </c>
      <c r="N752" s="16" t="n">
        <f aca="false">J752-K752-L752-M752</f>
        <v>23419.3887317808</v>
      </c>
      <c r="O752" s="16" t="n">
        <f aca="false">F752*IF(A752="2025",INDEX(Products!$D$2:$D$13,MATCH(D752,Products!$A$2:$A$13,0)),INDEX(Products!$F$2:$F$13,MATCH(D752,Products!$A$2:$A$13,0)))</f>
        <v>19039</v>
      </c>
      <c r="P752" s="16" t="n">
        <f aca="false">N752-O752</f>
        <v>4380.38873178082</v>
      </c>
    </row>
    <row r="753" customFormat="false" ht="15" hidden="false" customHeight="false" outlineLevel="0" collapsed="false">
      <c r="A753" s="2" t="s">
        <v>118</v>
      </c>
      <c r="B753" s="2" t="n">
        <v>8</v>
      </c>
      <c r="C753" s="2" t="s">
        <v>73</v>
      </c>
      <c r="D753" s="2" t="s">
        <v>37</v>
      </c>
      <c r="E753" s="2" t="str">
        <f aca="false">INDEX(Products!$B$2:$B$13,MATCH(D753,Products!$A$2:$A$13,0))</f>
        <v>FCC</v>
      </c>
      <c r="F753" s="15" t="n">
        <v>11.6</v>
      </c>
      <c r="G753" s="16" t="n">
        <f aca="false">IF(A753="2025",INDEX(Products!$C$2:$C$13,MATCH(D753,Products!$A$2:$A$13,0)),INDEX(Products!$E$2:$E$13,MATCH(D753,Products!$A$2:$A$13,0)))</f>
        <v>3530</v>
      </c>
      <c r="H753" s="13" t="n">
        <f aca="false">IF(A753="2025",INDEX(Customers!$D$2:$D$41,MATCH(C753,Customers!$A$2:$A$41,0)),INDEX(Customers!$F$2:$F$41,MATCH(C753,Customers!$A$2:$A$41,0)))</f>
        <v>0.023</v>
      </c>
      <c r="I753" s="16" t="n">
        <f aca="false">F753*G753</f>
        <v>40948</v>
      </c>
      <c r="J753" s="16" t="n">
        <f aca="false">I753*(1-H753)</f>
        <v>40006.196</v>
      </c>
      <c r="K753" s="16" t="n">
        <f aca="false">J753*INDEX(Customers!$G$2:$G$41,MATCH(C753,Customers!$A$2:$A$41,0))</f>
        <v>800.12392</v>
      </c>
      <c r="L753" s="16" t="n">
        <f aca="false">F753*INDEX(Customers!$H$2:$H$41,MATCH(C753,Customers!$A$2:$A$41,0))</f>
        <v>4292</v>
      </c>
      <c r="M753" s="16" t="n">
        <f aca="false">J753*INDEX(Customers!$I$2:$I$41,MATCH(C753,Customers!$A$2:$A$41,0))/365*Assumptions!$B$6</f>
        <v>526.10887890411</v>
      </c>
      <c r="N753" s="16" t="n">
        <f aca="false">J753-K753-L753-M753</f>
        <v>34387.9632010959</v>
      </c>
      <c r="O753" s="16" t="n">
        <f aca="false">F753*IF(A753="2025",INDEX(Products!$D$2:$D$13,MATCH(D753,Products!$A$2:$A$13,0)),INDEX(Products!$F$2:$F$13,MATCH(D753,Products!$A$2:$A$13,0)))</f>
        <v>27956</v>
      </c>
      <c r="P753" s="16" t="n">
        <f aca="false">N753-O753</f>
        <v>6431.96320109589</v>
      </c>
    </row>
    <row r="754" customFormat="false" ht="15" hidden="false" customHeight="false" outlineLevel="0" collapsed="false">
      <c r="A754" s="2" t="s">
        <v>118</v>
      </c>
      <c r="B754" s="2" t="n">
        <v>9</v>
      </c>
      <c r="C754" s="2" t="s">
        <v>73</v>
      </c>
      <c r="D754" s="2" t="s">
        <v>37</v>
      </c>
      <c r="E754" s="2" t="str">
        <f aca="false">INDEX(Products!$B$2:$B$13,MATCH(D754,Products!$A$2:$A$13,0))</f>
        <v>FCC</v>
      </c>
      <c r="F754" s="15" t="n">
        <v>11.3</v>
      </c>
      <c r="G754" s="16" t="n">
        <f aca="false">IF(A754="2025",INDEX(Products!$C$2:$C$13,MATCH(D754,Products!$A$2:$A$13,0)),INDEX(Products!$E$2:$E$13,MATCH(D754,Products!$A$2:$A$13,0)))</f>
        <v>3530</v>
      </c>
      <c r="H754" s="13" t="n">
        <f aca="false">IF(A754="2025",INDEX(Customers!$D$2:$D$41,MATCH(C754,Customers!$A$2:$A$41,0)),INDEX(Customers!$F$2:$F$41,MATCH(C754,Customers!$A$2:$A$41,0)))</f>
        <v>0.023</v>
      </c>
      <c r="I754" s="16" t="n">
        <f aca="false">F754*G754</f>
        <v>39889</v>
      </c>
      <c r="J754" s="16" t="n">
        <f aca="false">I754*(1-H754)</f>
        <v>38971.553</v>
      </c>
      <c r="K754" s="16" t="n">
        <f aca="false">J754*INDEX(Customers!$G$2:$G$41,MATCH(C754,Customers!$A$2:$A$41,0))</f>
        <v>779.43106</v>
      </c>
      <c r="L754" s="16" t="n">
        <f aca="false">F754*INDEX(Customers!$H$2:$H$41,MATCH(C754,Customers!$A$2:$A$41,0))</f>
        <v>4181</v>
      </c>
      <c r="M754" s="16" t="n">
        <f aca="false">J754*INDEX(Customers!$I$2:$I$41,MATCH(C754,Customers!$A$2:$A$41,0))/365*Assumptions!$B$6</f>
        <v>512.502614794521</v>
      </c>
      <c r="N754" s="16" t="n">
        <f aca="false">J754-K754-L754-M754</f>
        <v>33498.6193252055</v>
      </c>
      <c r="O754" s="16" t="n">
        <f aca="false">F754*IF(A754="2025",INDEX(Products!$D$2:$D$13,MATCH(D754,Products!$A$2:$A$13,0)),INDEX(Products!$F$2:$F$13,MATCH(D754,Products!$A$2:$A$13,0)))</f>
        <v>27233</v>
      </c>
      <c r="P754" s="16" t="n">
        <f aca="false">N754-O754</f>
        <v>6265.61932520548</v>
      </c>
    </row>
    <row r="755" customFormat="false" ht="15" hidden="false" customHeight="false" outlineLevel="0" collapsed="false">
      <c r="A755" s="2" t="s">
        <v>118</v>
      </c>
      <c r="B755" s="2" t="n">
        <v>10</v>
      </c>
      <c r="C755" s="2" t="s">
        <v>73</v>
      </c>
      <c r="D755" s="2" t="s">
        <v>37</v>
      </c>
      <c r="E755" s="2" t="str">
        <f aca="false">INDEX(Products!$B$2:$B$13,MATCH(D755,Products!$A$2:$A$13,0))</f>
        <v>FCC</v>
      </c>
      <c r="F755" s="15" t="n">
        <v>9.9</v>
      </c>
      <c r="G755" s="16" t="n">
        <f aca="false">IF(A755="2025",INDEX(Products!$C$2:$C$13,MATCH(D755,Products!$A$2:$A$13,0)),INDEX(Products!$E$2:$E$13,MATCH(D755,Products!$A$2:$A$13,0)))</f>
        <v>3530</v>
      </c>
      <c r="H755" s="13" t="n">
        <f aca="false">IF(A755="2025",INDEX(Customers!$D$2:$D$41,MATCH(C755,Customers!$A$2:$A$41,0)),INDEX(Customers!$F$2:$F$41,MATCH(C755,Customers!$A$2:$A$41,0)))</f>
        <v>0.023</v>
      </c>
      <c r="I755" s="16" t="n">
        <f aca="false">F755*G755</f>
        <v>34947</v>
      </c>
      <c r="J755" s="16" t="n">
        <f aca="false">I755*(1-H755)</f>
        <v>34143.219</v>
      </c>
      <c r="K755" s="16" t="n">
        <f aca="false">J755*INDEX(Customers!$G$2:$G$41,MATCH(C755,Customers!$A$2:$A$41,0))</f>
        <v>682.86438</v>
      </c>
      <c r="L755" s="16" t="n">
        <f aca="false">F755*INDEX(Customers!$H$2:$H$41,MATCH(C755,Customers!$A$2:$A$41,0))</f>
        <v>3663</v>
      </c>
      <c r="M755" s="16" t="n">
        <f aca="false">J755*INDEX(Customers!$I$2:$I$41,MATCH(C755,Customers!$A$2:$A$41,0))/365*Assumptions!$B$6</f>
        <v>449.006715616438</v>
      </c>
      <c r="N755" s="16" t="n">
        <f aca="false">J755-K755-L755-M755</f>
        <v>29348.3479043836</v>
      </c>
      <c r="O755" s="16" t="n">
        <f aca="false">F755*IF(A755="2025",INDEX(Products!$D$2:$D$13,MATCH(D755,Products!$A$2:$A$13,0)),INDEX(Products!$F$2:$F$13,MATCH(D755,Products!$A$2:$A$13,0)))</f>
        <v>23859</v>
      </c>
      <c r="P755" s="16" t="n">
        <f aca="false">N755-O755</f>
        <v>5489.34790438356</v>
      </c>
    </row>
    <row r="756" customFormat="false" ht="15" hidden="false" customHeight="false" outlineLevel="0" collapsed="false">
      <c r="A756" s="2" t="s">
        <v>118</v>
      </c>
      <c r="B756" s="2" t="n">
        <v>11</v>
      </c>
      <c r="C756" s="2" t="s">
        <v>73</v>
      </c>
      <c r="D756" s="2" t="s">
        <v>37</v>
      </c>
      <c r="E756" s="2" t="str">
        <f aca="false">INDEX(Products!$B$2:$B$13,MATCH(D756,Products!$A$2:$A$13,0))</f>
        <v>FCC</v>
      </c>
      <c r="F756" s="15" t="n">
        <v>9.5</v>
      </c>
      <c r="G756" s="16" t="n">
        <f aca="false">IF(A756="2025",INDEX(Products!$C$2:$C$13,MATCH(D756,Products!$A$2:$A$13,0)),INDEX(Products!$E$2:$E$13,MATCH(D756,Products!$A$2:$A$13,0)))</f>
        <v>3530</v>
      </c>
      <c r="H756" s="13" t="n">
        <f aca="false">IF(A756="2025",INDEX(Customers!$D$2:$D$41,MATCH(C756,Customers!$A$2:$A$41,0)),INDEX(Customers!$F$2:$F$41,MATCH(C756,Customers!$A$2:$A$41,0)))</f>
        <v>0.023</v>
      </c>
      <c r="I756" s="16" t="n">
        <f aca="false">F756*G756</f>
        <v>33535</v>
      </c>
      <c r="J756" s="16" t="n">
        <f aca="false">I756*(1-H756)</f>
        <v>32763.695</v>
      </c>
      <c r="K756" s="16" t="n">
        <f aca="false">J756*INDEX(Customers!$G$2:$G$41,MATCH(C756,Customers!$A$2:$A$41,0))</f>
        <v>655.2739</v>
      </c>
      <c r="L756" s="16" t="n">
        <f aca="false">F756*INDEX(Customers!$H$2:$H$41,MATCH(C756,Customers!$A$2:$A$41,0))</f>
        <v>3515</v>
      </c>
      <c r="M756" s="16" t="n">
        <f aca="false">J756*INDEX(Customers!$I$2:$I$41,MATCH(C756,Customers!$A$2:$A$41,0))/365*Assumptions!$B$6</f>
        <v>430.865030136986</v>
      </c>
      <c r="N756" s="16" t="n">
        <f aca="false">J756-K756-L756-M756</f>
        <v>28162.556069863</v>
      </c>
      <c r="O756" s="16" t="n">
        <f aca="false">F756*IF(A756="2025",INDEX(Products!$D$2:$D$13,MATCH(D756,Products!$A$2:$A$13,0)),INDEX(Products!$F$2:$F$13,MATCH(D756,Products!$A$2:$A$13,0)))</f>
        <v>22895</v>
      </c>
      <c r="P756" s="16" t="n">
        <f aca="false">N756-O756</f>
        <v>5267.55606986301</v>
      </c>
    </row>
    <row r="757" customFormat="false" ht="15" hidden="false" customHeight="false" outlineLevel="0" collapsed="false">
      <c r="A757" s="2" t="s">
        <v>118</v>
      </c>
      <c r="B757" s="2" t="n">
        <v>12</v>
      </c>
      <c r="C757" s="2" t="s">
        <v>73</v>
      </c>
      <c r="D757" s="2" t="s">
        <v>37</v>
      </c>
      <c r="E757" s="2" t="str">
        <f aca="false">INDEX(Products!$B$2:$B$13,MATCH(D757,Products!$A$2:$A$13,0))</f>
        <v>FCC</v>
      </c>
      <c r="F757" s="15" t="n">
        <v>9</v>
      </c>
      <c r="G757" s="16" t="n">
        <f aca="false">IF(A757="2025",INDEX(Products!$C$2:$C$13,MATCH(D757,Products!$A$2:$A$13,0)),INDEX(Products!$E$2:$E$13,MATCH(D757,Products!$A$2:$A$13,0)))</f>
        <v>3530</v>
      </c>
      <c r="H757" s="13" t="n">
        <f aca="false">IF(A757="2025",INDEX(Customers!$D$2:$D$41,MATCH(C757,Customers!$A$2:$A$41,0)),INDEX(Customers!$F$2:$F$41,MATCH(C757,Customers!$A$2:$A$41,0)))</f>
        <v>0.023</v>
      </c>
      <c r="I757" s="16" t="n">
        <f aca="false">F757*G757</f>
        <v>31770</v>
      </c>
      <c r="J757" s="16" t="n">
        <f aca="false">I757*(1-H757)</f>
        <v>31039.29</v>
      </c>
      <c r="K757" s="16" t="n">
        <f aca="false">J757*INDEX(Customers!$G$2:$G$41,MATCH(C757,Customers!$A$2:$A$41,0))</f>
        <v>620.7858</v>
      </c>
      <c r="L757" s="16" t="n">
        <f aca="false">F757*INDEX(Customers!$H$2:$H$41,MATCH(C757,Customers!$A$2:$A$41,0))</f>
        <v>3330</v>
      </c>
      <c r="M757" s="16" t="n">
        <f aca="false">J757*INDEX(Customers!$I$2:$I$41,MATCH(C757,Customers!$A$2:$A$41,0))/365*Assumptions!$B$6</f>
        <v>408.187923287671</v>
      </c>
      <c r="N757" s="16" t="n">
        <f aca="false">J757-K757-L757-M757</f>
        <v>26680.3162767123</v>
      </c>
      <c r="O757" s="16" t="n">
        <f aca="false">F757*IF(A757="2025",INDEX(Products!$D$2:$D$13,MATCH(D757,Products!$A$2:$A$13,0)),INDEX(Products!$F$2:$F$13,MATCH(D757,Products!$A$2:$A$13,0)))</f>
        <v>21690</v>
      </c>
      <c r="P757" s="16" t="n">
        <f aca="false">N757-O757</f>
        <v>4990.31627671233</v>
      </c>
    </row>
    <row r="758" customFormat="false" ht="15" hidden="false" customHeight="false" outlineLevel="0" collapsed="false">
      <c r="A758" s="2" t="s">
        <v>119</v>
      </c>
      <c r="B758" s="2" t="n">
        <v>1</v>
      </c>
      <c r="C758" s="2" t="s">
        <v>73</v>
      </c>
      <c r="D758" s="2" t="s">
        <v>37</v>
      </c>
      <c r="E758" s="2" t="str">
        <f aca="false">INDEX(Products!$B$2:$B$13,MATCH(D758,Products!$A$2:$A$13,0))</f>
        <v>FCC</v>
      </c>
      <c r="F758" s="15" t="n">
        <v>12.9</v>
      </c>
      <c r="G758" s="16" t="n">
        <f aca="false">IF(A758="2025",INDEX(Products!$C$2:$C$13,MATCH(D758,Products!$A$2:$A$13,0)),INDEX(Products!$E$2:$E$13,MATCH(D758,Products!$A$2:$A$13,0)))</f>
        <v>3706.5</v>
      </c>
      <c r="H758" s="13" t="n">
        <f aca="false">IF(A758="2025",INDEX(Customers!$D$2:$D$41,MATCH(C758,Customers!$A$2:$A$41,0)),INDEX(Customers!$F$2:$F$41,MATCH(C758,Customers!$A$2:$A$41,0)))</f>
        <v>0.023</v>
      </c>
      <c r="I758" s="16" t="n">
        <f aca="false">F758*G758</f>
        <v>47813.85</v>
      </c>
      <c r="J758" s="16" t="n">
        <f aca="false">I758*(1-H758)</f>
        <v>46714.13145</v>
      </c>
      <c r="K758" s="16" t="n">
        <f aca="false">J758*INDEX(Customers!$G$2:$G$41,MATCH(C758,Customers!$A$2:$A$41,0))</f>
        <v>934.282629</v>
      </c>
      <c r="L758" s="16" t="n">
        <f aca="false">F758*INDEX(Customers!$H$2:$H$41,MATCH(C758,Customers!$A$2:$A$41,0))</f>
        <v>4773</v>
      </c>
      <c r="M758" s="16" t="n">
        <f aca="false">J758*INDEX(Customers!$I$2:$I$41,MATCH(C758,Customers!$A$2:$A$41,0))/365*Assumptions!$B$6</f>
        <v>614.322824547945</v>
      </c>
      <c r="N758" s="16" t="n">
        <f aca="false">J758-K758-L758-M758</f>
        <v>40392.5259964521</v>
      </c>
      <c r="O758" s="16" t="n">
        <f aca="false">F758*IF(A758="2025",INDEX(Products!$D$2:$D$13,MATCH(D758,Products!$A$2:$A$13,0)),INDEX(Products!$F$2:$F$13,MATCH(D758,Products!$A$2:$A$13,0)))</f>
        <v>32021.67</v>
      </c>
      <c r="P758" s="16" t="n">
        <f aca="false">N758-O758</f>
        <v>8370.85599645205</v>
      </c>
    </row>
    <row r="759" customFormat="false" ht="15" hidden="false" customHeight="false" outlineLevel="0" collapsed="false">
      <c r="A759" s="2" t="s">
        <v>119</v>
      </c>
      <c r="B759" s="2" t="n">
        <v>2</v>
      </c>
      <c r="C759" s="2" t="s">
        <v>73</v>
      </c>
      <c r="D759" s="2" t="s">
        <v>37</v>
      </c>
      <c r="E759" s="2" t="str">
        <f aca="false">INDEX(Products!$B$2:$B$13,MATCH(D759,Products!$A$2:$A$13,0))</f>
        <v>FCC</v>
      </c>
      <c r="F759" s="15" t="n">
        <v>11.1</v>
      </c>
      <c r="G759" s="16" t="n">
        <f aca="false">IF(A759="2025",INDEX(Products!$C$2:$C$13,MATCH(D759,Products!$A$2:$A$13,0)),INDEX(Products!$E$2:$E$13,MATCH(D759,Products!$A$2:$A$13,0)))</f>
        <v>3706.5</v>
      </c>
      <c r="H759" s="13" t="n">
        <f aca="false">IF(A759="2025",INDEX(Customers!$D$2:$D$41,MATCH(C759,Customers!$A$2:$A$41,0)),INDEX(Customers!$F$2:$F$41,MATCH(C759,Customers!$A$2:$A$41,0)))</f>
        <v>0.023</v>
      </c>
      <c r="I759" s="16" t="n">
        <f aca="false">F759*G759</f>
        <v>41142.15</v>
      </c>
      <c r="J759" s="16" t="n">
        <f aca="false">I759*(1-H759)</f>
        <v>40195.88055</v>
      </c>
      <c r="K759" s="16" t="n">
        <f aca="false">J759*INDEX(Customers!$G$2:$G$41,MATCH(C759,Customers!$A$2:$A$41,0))</f>
        <v>803.917611</v>
      </c>
      <c r="L759" s="16" t="n">
        <f aca="false">F759*INDEX(Customers!$H$2:$H$41,MATCH(C759,Customers!$A$2:$A$41,0))</f>
        <v>4107</v>
      </c>
      <c r="M759" s="16" t="n">
        <f aca="false">J759*INDEX(Customers!$I$2:$I$41,MATCH(C759,Customers!$A$2:$A$41,0))/365*Assumptions!$B$6</f>
        <v>528.603360657534</v>
      </c>
      <c r="N759" s="16" t="n">
        <f aca="false">J759-K759-L759-M759</f>
        <v>34756.3595783425</v>
      </c>
      <c r="O759" s="16" t="n">
        <f aca="false">F759*IF(A759="2025",INDEX(Products!$D$2:$D$13,MATCH(D759,Products!$A$2:$A$13,0)),INDEX(Products!$F$2:$F$13,MATCH(D759,Products!$A$2:$A$13,0)))</f>
        <v>27553.53</v>
      </c>
      <c r="P759" s="16" t="n">
        <f aca="false">N759-O759</f>
        <v>7202.82957834247</v>
      </c>
    </row>
    <row r="760" customFormat="false" ht="15" hidden="false" customHeight="false" outlineLevel="0" collapsed="false">
      <c r="A760" s="2" t="s">
        <v>119</v>
      </c>
      <c r="B760" s="2" t="n">
        <v>3</v>
      </c>
      <c r="C760" s="2" t="s">
        <v>73</v>
      </c>
      <c r="D760" s="2" t="s">
        <v>37</v>
      </c>
      <c r="E760" s="2" t="str">
        <f aca="false">INDEX(Products!$B$2:$B$13,MATCH(D760,Products!$A$2:$A$13,0))</f>
        <v>FCC</v>
      </c>
      <c r="F760" s="15" t="n">
        <v>12.7</v>
      </c>
      <c r="G760" s="16" t="n">
        <f aca="false">IF(A760="2025",INDEX(Products!$C$2:$C$13,MATCH(D760,Products!$A$2:$A$13,0)),INDEX(Products!$E$2:$E$13,MATCH(D760,Products!$A$2:$A$13,0)))</f>
        <v>3706.5</v>
      </c>
      <c r="H760" s="13" t="n">
        <f aca="false">IF(A760="2025",INDEX(Customers!$D$2:$D$41,MATCH(C760,Customers!$A$2:$A$41,0)),INDEX(Customers!$F$2:$F$41,MATCH(C760,Customers!$A$2:$A$41,0)))</f>
        <v>0.023</v>
      </c>
      <c r="I760" s="16" t="n">
        <f aca="false">F760*G760</f>
        <v>47072.55</v>
      </c>
      <c r="J760" s="16" t="n">
        <f aca="false">I760*(1-H760)</f>
        <v>45989.88135</v>
      </c>
      <c r="K760" s="16" t="n">
        <f aca="false">J760*INDEX(Customers!$G$2:$G$41,MATCH(C760,Customers!$A$2:$A$41,0))</f>
        <v>919.797627</v>
      </c>
      <c r="L760" s="16" t="n">
        <f aca="false">F760*INDEX(Customers!$H$2:$H$41,MATCH(C760,Customers!$A$2:$A$41,0))</f>
        <v>4699</v>
      </c>
      <c r="M760" s="16" t="n">
        <f aca="false">J760*INDEX(Customers!$I$2:$I$41,MATCH(C760,Customers!$A$2:$A$41,0))/365*Assumptions!$B$6</f>
        <v>604.798439671233</v>
      </c>
      <c r="N760" s="16" t="n">
        <f aca="false">J760-K760-L760-M760</f>
        <v>39766.2852833288</v>
      </c>
      <c r="O760" s="16" t="n">
        <f aca="false">F760*IF(A760="2025",INDEX(Products!$D$2:$D$13,MATCH(D760,Products!$A$2:$A$13,0)),INDEX(Products!$F$2:$F$13,MATCH(D760,Products!$A$2:$A$13,0)))</f>
        <v>31525.21</v>
      </c>
      <c r="P760" s="16" t="n">
        <f aca="false">N760-O760</f>
        <v>8241.07528332876</v>
      </c>
    </row>
    <row r="761" customFormat="false" ht="15" hidden="false" customHeight="false" outlineLevel="0" collapsed="false">
      <c r="A761" s="2" t="s">
        <v>119</v>
      </c>
      <c r="B761" s="2" t="n">
        <v>4</v>
      </c>
      <c r="C761" s="2" t="s">
        <v>73</v>
      </c>
      <c r="D761" s="2" t="s">
        <v>37</v>
      </c>
      <c r="E761" s="2" t="str">
        <f aca="false">INDEX(Products!$B$2:$B$13,MATCH(D761,Products!$A$2:$A$13,0))</f>
        <v>FCC</v>
      </c>
      <c r="F761" s="15" t="n">
        <v>12.8</v>
      </c>
      <c r="G761" s="16" t="n">
        <f aca="false">IF(A761="2025",INDEX(Products!$C$2:$C$13,MATCH(D761,Products!$A$2:$A$13,0)),INDEX(Products!$E$2:$E$13,MATCH(D761,Products!$A$2:$A$13,0)))</f>
        <v>3706.5</v>
      </c>
      <c r="H761" s="13" t="n">
        <f aca="false">IF(A761="2025",INDEX(Customers!$D$2:$D$41,MATCH(C761,Customers!$A$2:$A$41,0)),INDEX(Customers!$F$2:$F$41,MATCH(C761,Customers!$A$2:$A$41,0)))</f>
        <v>0.023</v>
      </c>
      <c r="I761" s="16" t="n">
        <f aca="false">F761*G761</f>
        <v>47443.2</v>
      </c>
      <c r="J761" s="16" t="n">
        <f aca="false">I761*(1-H761)</f>
        <v>46352.0064</v>
      </c>
      <c r="K761" s="16" t="n">
        <f aca="false">J761*INDEX(Customers!$G$2:$G$41,MATCH(C761,Customers!$A$2:$A$41,0))</f>
        <v>927.040128</v>
      </c>
      <c r="L761" s="16" t="n">
        <f aca="false">F761*INDEX(Customers!$H$2:$H$41,MATCH(C761,Customers!$A$2:$A$41,0))</f>
        <v>4736</v>
      </c>
      <c r="M761" s="16" t="n">
        <f aca="false">J761*INDEX(Customers!$I$2:$I$41,MATCH(C761,Customers!$A$2:$A$41,0))/365*Assumptions!$B$6</f>
        <v>609.560632109589</v>
      </c>
      <c r="N761" s="16" t="n">
        <f aca="false">J761-K761-L761-M761</f>
        <v>40079.4056398904</v>
      </c>
      <c r="O761" s="16" t="n">
        <f aca="false">F761*IF(A761="2025",INDEX(Products!$D$2:$D$13,MATCH(D761,Products!$A$2:$A$13,0)),INDEX(Products!$F$2:$F$13,MATCH(D761,Products!$A$2:$A$13,0)))</f>
        <v>31773.44</v>
      </c>
      <c r="P761" s="16" t="n">
        <f aca="false">N761-O761</f>
        <v>8305.96563989041</v>
      </c>
    </row>
    <row r="762" customFormat="false" ht="15" hidden="false" customHeight="false" outlineLevel="0" collapsed="false">
      <c r="A762" s="2" t="s">
        <v>119</v>
      </c>
      <c r="B762" s="2" t="n">
        <v>5</v>
      </c>
      <c r="C762" s="2" t="s">
        <v>73</v>
      </c>
      <c r="D762" s="2" t="s">
        <v>37</v>
      </c>
      <c r="E762" s="2" t="str">
        <f aca="false">INDEX(Products!$B$2:$B$13,MATCH(D762,Products!$A$2:$A$13,0))</f>
        <v>FCC</v>
      </c>
      <c r="F762" s="15" t="n">
        <v>14.8</v>
      </c>
      <c r="G762" s="16" t="n">
        <f aca="false">IF(A762="2025",INDEX(Products!$C$2:$C$13,MATCH(D762,Products!$A$2:$A$13,0)),INDEX(Products!$E$2:$E$13,MATCH(D762,Products!$A$2:$A$13,0)))</f>
        <v>3706.5</v>
      </c>
      <c r="H762" s="13" t="n">
        <f aca="false">IF(A762="2025",INDEX(Customers!$D$2:$D$41,MATCH(C762,Customers!$A$2:$A$41,0)),INDEX(Customers!$F$2:$F$41,MATCH(C762,Customers!$A$2:$A$41,0)))</f>
        <v>0.023</v>
      </c>
      <c r="I762" s="16" t="n">
        <f aca="false">F762*G762</f>
        <v>54856.2</v>
      </c>
      <c r="J762" s="16" t="n">
        <f aca="false">I762*(1-H762)</f>
        <v>53594.5074</v>
      </c>
      <c r="K762" s="16" t="n">
        <f aca="false">J762*INDEX(Customers!$G$2:$G$41,MATCH(C762,Customers!$A$2:$A$41,0))</f>
        <v>1071.890148</v>
      </c>
      <c r="L762" s="16" t="n">
        <f aca="false">F762*INDEX(Customers!$H$2:$H$41,MATCH(C762,Customers!$A$2:$A$41,0))</f>
        <v>5476</v>
      </c>
      <c r="M762" s="16" t="n">
        <f aca="false">J762*INDEX(Customers!$I$2:$I$41,MATCH(C762,Customers!$A$2:$A$41,0))/365*Assumptions!$B$6</f>
        <v>704.804480876712</v>
      </c>
      <c r="N762" s="16" t="n">
        <f aca="false">J762-K762-L762-M762</f>
        <v>46341.8127711233</v>
      </c>
      <c r="O762" s="16" t="n">
        <f aca="false">F762*IF(A762="2025",INDEX(Products!$D$2:$D$13,MATCH(D762,Products!$A$2:$A$13,0)),INDEX(Products!$F$2:$F$13,MATCH(D762,Products!$A$2:$A$13,0)))</f>
        <v>36738.04</v>
      </c>
      <c r="P762" s="16" t="n">
        <f aca="false">N762-O762</f>
        <v>9603.77277112329</v>
      </c>
    </row>
    <row r="763" customFormat="false" ht="15" hidden="false" customHeight="false" outlineLevel="0" collapsed="false">
      <c r="A763" s="2" t="s">
        <v>119</v>
      </c>
      <c r="B763" s="2" t="n">
        <v>6</v>
      </c>
      <c r="C763" s="2" t="s">
        <v>73</v>
      </c>
      <c r="D763" s="2" t="s">
        <v>37</v>
      </c>
      <c r="E763" s="2" t="str">
        <f aca="false">INDEX(Products!$B$2:$B$13,MATCH(D763,Products!$A$2:$A$13,0))</f>
        <v>FCC</v>
      </c>
      <c r="F763" s="15" t="n">
        <v>12.7</v>
      </c>
      <c r="G763" s="16" t="n">
        <f aca="false">IF(A763="2025",INDEX(Products!$C$2:$C$13,MATCH(D763,Products!$A$2:$A$13,0)),INDEX(Products!$E$2:$E$13,MATCH(D763,Products!$A$2:$A$13,0)))</f>
        <v>3706.5</v>
      </c>
      <c r="H763" s="13" t="n">
        <f aca="false">IF(A763="2025",INDEX(Customers!$D$2:$D$41,MATCH(C763,Customers!$A$2:$A$41,0)),INDEX(Customers!$F$2:$F$41,MATCH(C763,Customers!$A$2:$A$41,0)))</f>
        <v>0.023</v>
      </c>
      <c r="I763" s="16" t="n">
        <f aca="false">F763*G763</f>
        <v>47072.55</v>
      </c>
      <c r="J763" s="16" t="n">
        <f aca="false">I763*(1-H763)</f>
        <v>45989.88135</v>
      </c>
      <c r="K763" s="16" t="n">
        <f aca="false">J763*INDEX(Customers!$G$2:$G$41,MATCH(C763,Customers!$A$2:$A$41,0))</f>
        <v>919.797627</v>
      </c>
      <c r="L763" s="16" t="n">
        <f aca="false">F763*INDEX(Customers!$H$2:$H$41,MATCH(C763,Customers!$A$2:$A$41,0))</f>
        <v>4699</v>
      </c>
      <c r="M763" s="16" t="n">
        <f aca="false">J763*INDEX(Customers!$I$2:$I$41,MATCH(C763,Customers!$A$2:$A$41,0))/365*Assumptions!$B$6</f>
        <v>604.798439671233</v>
      </c>
      <c r="N763" s="16" t="n">
        <f aca="false">J763-K763-L763-M763</f>
        <v>39766.2852833288</v>
      </c>
      <c r="O763" s="16" t="n">
        <f aca="false">F763*IF(A763="2025",INDEX(Products!$D$2:$D$13,MATCH(D763,Products!$A$2:$A$13,0)),INDEX(Products!$F$2:$F$13,MATCH(D763,Products!$A$2:$A$13,0)))</f>
        <v>31525.21</v>
      </c>
      <c r="P763" s="16" t="n">
        <f aca="false">N763-O763</f>
        <v>8241.07528332876</v>
      </c>
    </row>
    <row r="764" customFormat="false" ht="15" hidden="false" customHeight="false" outlineLevel="0" collapsed="false">
      <c r="A764" s="2" t="s">
        <v>119</v>
      </c>
      <c r="B764" s="2" t="n">
        <v>7</v>
      </c>
      <c r="C764" s="2" t="s">
        <v>73</v>
      </c>
      <c r="D764" s="2" t="s">
        <v>37</v>
      </c>
      <c r="E764" s="2" t="str">
        <f aca="false">INDEX(Products!$B$2:$B$13,MATCH(D764,Products!$A$2:$A$13,0))</f>
        <v>FCC</v>
      </c>
      <c r="F764" s="15" t="n">
        <v>8.6</v>
      </c>
      <c r="G764" s="16" t="n">
        <f aca="false">IF(A764="2025",INDEX(Products!$C$2:$C$13,MATCH(D764,Products!$A$2:$A$13,0)),INDEX(Products!$E$2:$E$13,MATCH(D764,Products!$A$2:$A$13,0)))</f>
        <v>3706.5</v>
      </c>
      <c r="H764" s="13" t="n">
        <f aca="false">IF(A764="2025",INDEX(Customers!$D$2:$D$41,MATCH(C764,Customers!$A$2:$A$41,0)),INDEX(Customers!$F$2:$F$41,MATCH(C764,Customers!$A$2:$A$41,0)))</f>
        <v>0.023</v>
      </c>
      <c r="I764" s="16" t="n">
        <f aca="false">F764*G764</f>
        <v>31875.9</v>
      </c>
      <c r="J764" s="16" t="n">
        <f aca="false">I764*(1-H764)</f>
        <v>31142.7543</v>
      </c>
      <c r="K764" s="16" t="n">
        <f aca="false">J764*INDEX(Customers!$G$2:$G$41,MATCH(C764,Customers!$A$2:$A$41,0))</f>
        <v>622.855086</v>
      </c>
      <c r="L764" s="16" t="n">
        <f aca="false">F764*INDEX(Customers!$H$2:$H$41,MATCH(C764,Customers!$A$2:$A$41,0))</f>
        <v>3182</v>
      </c>
      <c r="M764" s="16" t="n">
        <f aca="false">J764*INDEX(Customers!$I$2:$I$41,MATCH(C764,Customers!$A$2:$A$41,0))/365*Assumptions!$B$6</f>
        <v>409.54854969863</v>
      </c>
      <c r="N764" s="16" t="n">
        <f aca="false">J764-K764-L764-M764</f>
        <v>26928.3506643014</v>
      </c>
      <c r="O764" s="16" t="n">
        <f aca="false">F764*IF(A764="2025",INDEX(Products!$D$2:$D$13,MATCH(D764,Products!$A$2:$A$13,0)),INDEX(Products!$F$2:$F$13,MATCH(D764,Products!$A$2:$A$13,0)))</f>
        <v>21347.78</v>
      </c>
      <c r="P764" s="16" t="n">
        <f aca="false">N764-O764</f>
        <v>5580.57066430137</v>
      </c>
    </row>
    <row r="765" customFormat="false" ht="15" hidden="false" customHeight="false" outlineLevel="0" collapsed="false">
      <c r="A765" s="2" t="s">
        <v>119</v>
      </c>
      <c r="B765" s="2" t="n">
        <v>8</v>
      </c>
      <c r="C765" s="2" t="s">
        <v>73</v>
      </c>
      <c r="D765" s="2" t="s">
        <v>37</v>
      </c>
      <c r="E765" s="2" t="str">
        <f aca="false">INDEX(Products!$B$2:$B$13,MATCH(D765,Products!$A$2:$A$13,0))</f>
        <v>FCC</v>
      </c>
      <c r="F765" s="15" t="n">
        <v>9.5</v>
      </c>
      <c r="G765" s="16" t="n">
        <f aca="false">IF(A765="2025",INDEX(Products!$C$2:$C$13,MATCH(D765,Products!$A$2:$A$13,0)),INDEX(Products!$E$2:$E$13,MATCH(D765,Products!$A$2:$A$13,0)))</f>
        <v>3706.5</v>
      </c>
      <c r="H765" s="13" t="n">
        <f aca="false">IF(A765="2025",INDEX(Customers!$D$2:$D$41,MATCH(C765,Customers!$A$2:$A$41,0)),INDEX(Customers!$F$2:$F$41,MATCH(C765,Customers!$A$2:$A$41,0)))</f>
        <v>0.023</v>
      </c>
      <c r="I765" s="16" t="n">
        <f aca="false">F765*G765</f>
        <v>35211.75</v>
      </c>
      <c r="J765" s="16" t="n">
        <f aca="false">I765*(1-H765)</f>
        <v>34401.87975</v>
      </c>
      <c r="K765" s="16" t="n">
        <f aca="false">J765*INDEX(Customers!$G$2:$G$41,MATCH(C765,Customers!$A$2:$A$41,0))</f>
        <v>688.037595</v>
      </c>
      <c r="L765" s="16" t="n">
        <f aca="false">F765*INDEX(Customers!$H$2:$H$41,MATCH(C765,Customers!$A$2:$A$41,0))</f>
        <v>3515</v>
      </c>
      <c r="M765" s="16" t="n">
        <f aca="false">J765*INDEX(Customers!$I$2:$I$41,MATCH(C765,Customers!$A$2:$A$41,0))/365*Assumptions!$B$6</f>
        <v>452.408281643836</v>
      </c>
      <c r="N765" s="16" t="n">
        <f aca="false">J765-K765-L765-M765</f>
        <v>29746.4338733562</v>
      </c>
      <c r="O765" s="16" t="n">
        <f aca="false">F765*IF(A765="2025",INDEX(Products!$D$2:$D$13,MATCH(D765,Products!$A$2:$A$13,0)),INDEX(Products!$F$2:$F$13,MATCH(D765,Products!$A$2:$A$13,0)))</f>
        <v>23581.85</v>
      </c>
      <c r="P765" s="16" t="n">
        <f aca="false">N765-O765</f>
        <v>6164.58387335616</v>
      </c>
    </row>
    <row r="766" customFormat="false" ht="15" hidden="false" customHeight="false" outlineLevel="0" collapsed="false">
      <c r="A766" s="2" t="s">
        <v>119</v>
      </c>
      <c r="B766" s="2" t="n">
        <v>9</v>
      </c>
      <c r="C766" s="2" t="s">
        <v>73</v>
      </c>
      <c r="D766" s="2" t="s">
        <v>37</v>
      </c>
      <c r="E766" s="2" t="str">
        <f aca="false">INDEX(Products!$B$2:$B$13,MATCH(D766,Products!$A$2:$A$13,0))</f>
        <v>FCC</v>
      </c>
      <c r="F766" s="15" t="n">
        <v>12.1</v>
      </c>
      <c r="G766" s="16" t="n">
        <f aca="false">IF(A766="2025",INDEX(Products!$C$2:$C$13,MATCH(D766,Products!$A$2:$A$13,0)),INDEX(Products!$E$2:$E$13,MATCH(D766,Products!$A$2:$A$13,0)))</f>
        <v>3706.5</v>
      </c>
      <c r="H766" s="13" t="n">
        <f aca="false">IF(A766="2025",INDEX(Customers!$D$2:$D$41,MATCH(C766,Customers!$A$2:$A$41,0)),INDEX(Customers!$F$2:$F$41,MATCH(C766,Customers!$A$2:$A$41,0)))</f>
        <v>0.023</v>
      </c>
      <c r="I766" s="16" t="n">
        <f aca="false">F766*G766</f>
        <v>44848.65</v>
      </c>
      <c r="J766" s="16" t="n">
        <f aca="false">I766*(1-H766)</f>
        <v>43817.13105</v>
      </c>
      <c r="K766" s="16" t="n">
        <f aca="false">J766*INDEX(Customers!$G$2:$G$41,MATCH(C766,Customers!$A$2:$A$41,0))</f>
        <v>876.342621</v>
      </c>
      <c r="L766" s="16" t="n">
        <f aca="false">F766*INDEX(Customers!$H$2:$H$41,MATCH(C766,Customers!$A$2:$A$41,0))</f>
        <v>4477</v>
      </c>
      <c r="M766" s="16" t="n">
        <f aca="false">J766*INDEX(Customers!$I$2:$I$41,MATCH(C766,Customers!$A$2:$A$41,0))/365*Assumptions!$B$6</f>
        <v>576.225285041096</v>
      </c>
      <c r="N766" s="16" t="n">
        <f aca="false">J766-K766-L766-M766</f>
        <v>37887.5631439589</v>
      </c>
      <c r="O766" s="16" t="n">
        <f aca="false">F766*IF(A766="2025",INDEX(Products!$D$2:$D$13,MATCH(D766,Products!$A$2:$A$13,0)),INDEX(Products!$F$2:$F$13,MATCH(D766,Products!$A$2:$A$13,0)))</f>
        <v>30035.83</v>
      </c>
      <c r="P766" s="16" t="n">
        <f aca="false">N766-O766</f>
        <v>7851.7331439589</v>
      </c>
    </row>
    <row r="767" customFormat="false" ht="15" hidden="false" customHeight="false" outlineLevel="0" collapsed="false">
      <c r="A767" s="2" t="s">
        <v>119</v>
      </c>
      <c r="B767" s="2" t="n">
        <v>10</v>
      </c>
      <c r="C767" s="2" t="s">
        <v>73</v>
      </c>
      <c r="D767" s="2" t="s">
        <v>37</v>
      </c>
      <c r="E767" s="2" t="str">
        <f aca="false">INDEX(Products!$B$2:$B$13,MATCH(D767,Products!$A$2:$A$13,0))</f>
        <v>FCC</v>
      </c>
      <c r="F767" s="15" t="n">
        <v>8.2</v>
      </c>
      <c r="G767" s="16" t="n">
        <f aca="false">IF(A767="2025",INDEX(Products!$C$2:$C$13,MATCH(D767,Products!$A$2:$A$13,0)),INDEX(Products!$E$2:$E$13,MATCH(D767,Products!$A$2:$A$13,0)))</f>
        <v>3706.5</v>
      </c>
      <c r="H767" s="13" t="n">
        <f aca="false">IF(A767="2025",INDEX(Customers!$D$2:$D$41,MATCH(C767,Customers!$A$2:$A$41,0)),INDEX(Customers!$F$2:$F$41,MATCH(C767,Customers!$A$2:$A$41,0)))</f>
        <v>0.023</v>
      </c>
      <c r="I767" s="16" t="n">
        <f aca="false">F767*G767</f>
        <v>30393.3</v>
      </c>
      <c r="J767" s="16" t="n">
        <f aca="false">I767*(1-H767)</f>
        <v>29694.2541</v>
      </c>
      <c r="K767" s="16" t="n">
        <f aca="false">J767*INDEX(Customers!$G$2:$G$41,MATCH(C767,Customers!$A$2:$A$41,0))</f>
        <v>593.885082</v>
      </c>
      <c r="L767" s="16" t="n">
        <f aca="false">F767*INDEX(Customers!$H$2:$H$41,MATCH(C767,Customers!$A$2:$A$41,0))</f>
        <v>3034</v>
      </c>
      <c r="M767" s="16" t="n">
        <f aca="false">J767*INDEX(Customers!$I$2:$I$41,MATCH(C767,Customers!$A$2:$A$41,0))/365*Assumptions!$B$6</f>
        <v>390.499779945205</v>
      </c>
      <c r="N767" s="16" t="n">
        <f aca="false">J767-K767-L767-M767</f>
        <v>25675.8692380548</v>
      </c>
      <c r="O767" s="16" t="n">
        <f aca="false">F767*IF(A767="2025",INDEX(Products!$D$2:$D$13,MATCH(D767,Products!$A$2:$A$13,0)),INDEX(Products!$F$2:$F$13,MATCH(D767,Products!$A$2:$A$13,0)))</f>
        <v>20354.86</v>
      </c>
      <c r="P767" s="16" t="n">
        <f aca="false">N767-O767</f>
        <v>5321.00923805479</v>
      </c>
    </row>
    <row r="768" customFormat="false" ht="15" hidden="false" customHeight="false" outlineLevel="0" collapsed="false">
      <c r="A768" s="2" t="s">
        <v>119</v>
      </c>
      <c r="B768" s="2" t="n">
        <v>11</v>
      </c>
      <c r="C768" s="2" t="s">
        <v>73</v>
      </c>
      <c r="D768" s="2" t="s">
        <v>37</v>
      </c>
      <c r="E768" s="2" t="str">
        <f aca="false">INDEX(Products!$B$2:$B$13,MATCH(D768,Products!$A$2:$A$13,0))</f>
        <v>FCC</v>
      </c>
      <c r="F768" s="15" t="n">
        <v>11.1</v>
      </c>
      <c r="G768" s="16" t="n">
        <f aca="false">IF(A768="2025",INDEX(Products!$C$2:$C$13,MATCH(D768,Products!$A$2:$A$13,0)),INDEX(Products!$E$2:$E$13,MATCH(D768,Products!$A$2:$A$13,0)))</f>
        <v>3706.5</v>
      </c>
      <c r="H768" s="13" t="n">
        <f aca="false">IF(A768="2025",INDEX(Customers!$D$2:$D$41,MATCH(C768,Customers!$A$2:$A$41,0)),INDEX(Customers!$F$2:$F$41,MATCH(C768,Customers!$A$2:$A$41,0)))</f>
        <v>0.023</v>
      </c>
      <c r="I768" s="16" t="n">
        <f aca="false">F768*G768</f>
        <v>41142.15</v>
      </c>
      <c r="J768" s="16" t="n">
        <f aca="false">I768*(1-H768)</f>
        <v>40195.88055</v>
      </c>
      <c r="K768" s="16" t="n">
        <f aca="false">J768*INDEX(Customers!$G$2:$G$41,MATCH(C768,Customers!$A$2:$A$41,0))</f>
        <v>803.917611</v>
      </c>
      <c r="L768" s="16" t="n">
        <f aca="false">F768*INDEX(Customers!$H$2:$H$41,MATCH(C768,Customers!$A$2:$A$41,0))</f>
        <v>4107</v>
      </c>
      <c r="M768" s="16" t="n">
        <f aca="false">J768*INDEX(Customers!$I$2:$I$41,MATCH(C768,Customers!$A$2:$A$41,0))/365*Assumptions!$B$6</f>
        <v>528.603360657534</v>
      </c>
      <c r="N768" s="16" t="n">
        <f aca="false">J768-K768-L768-M768</f>
        <v>34756.3595783425</v>
      </c>
      <c r="O768" s="16" t="n">
        <f aca="false">F768*IF(A768="2025",INDEX(Products!$D$2:$D$13,MATCH(D768,Products!$A$2:$A$13,0)),INDEX(Products!$F$2:$F$13,MATCH(D768,Products!$A$2:$A$13,0)))</f>
        <v>27553.53</v>
      </c>
      <c r="P768" s="16" t="n">
        <f aca="false">N768-O768</f>
        <v>7202.82957834247</v>
      </c>
    </row>
    <row r="769" customFormat="false" ht="15" hidden="false" customHeight="false" outlineLevel="0" collapsed="false">
      <c r="A769" s="2" t="s">
        <v>119</v>
      </c>
      <c r="B769" s="2" t="n">
        <v>12</v>
      </c>
      <c r="C769" s="2" t="s">
        <v>73</v>
      </c>
      <c r="D769" s="2" t="s">
        <v>37</v>
      </c>
      <c r="E769" s="2" t="str">
        <f aca="false">INDEX(Products!$B$2:$B$13,MATCH(D769,Products!$A$2:$A$13,0))</f>
        <v>FCC</v>
      </c>
      <c r="F769" s="15" t="n">
        <v>10.1</v>
      </c>
      <c r="G769" s="16" t="n">
        <f aca="false">IF(A769="2025",INDEX(Products!$C$2:$C$13,MATCH(D769,Products!$A$2:$A$13,0)),INDEX(Products!$E$2:$E$13,MATCH(D769,Products!$A$2:$A$13,0)))</f>
        <v>3706.5</v>
      </c>
      <c r="H769" s="13" t="n">
        <f aca="false">IF(A769="2025",INDEX(Customers!$D$2:$D$41,MATCH(C769,Customers!$A$2:$A$41,0)),INDEX(Customers!$F$2:$F$41,MATCH(C769,Customers!$A$2:$A$41,0)))</f>
        <v>0.023</v>
      </c>
      <c r="I769" s="16" t="n">
        <f aca="false">F769*G769</f>
        <v>37435.65</v>
      </c>
      <c r="J769" s="16" t="n">
        <f aca="false">I769*(1-H769)</f>
        <v>36574.63005</v>
      </c>
      <c r="K769" s="16" t="n">
        <f aca="false">J769*INDEX(Customers!$G$2:$G$41,MATCH(C769,Customers!$A$2:$A$41,0))</f>
        <v>731.492601</v>
      </c>
      <c r="L769" s="16" t="n">
        <f aca="false">F769*INDEX(Customers!$H$2:$H$41,MATCH(C769,Customers!$A$2:$A$41,0))</f>
        <v>3737</v>
      </c>
      <c r="M769" s="16" t="n">
        <f aca="false">J769*INDEX(Customers!$I$2:$I$41,MATCH(C769,Customers!$A$2:$A$41,0))/365*Assumptions!$B$6</f>
        <v>480.981436273973</v>
      </c>
      <c r="N769" s="16" t="n">
        <f aca="false">J769-K769-L769-M769</f>
        <v>31625.156012726</v>
      </c>
      <c r="O769" s="16" t="n">
        <f aca="false">F769*IF(A769="2025",INDEX(Products!$D$2:$D$13,MATCH(D769,Products!$A$2:$A$13,0)),INDEX(Products!$F$2:$F$13,MATCH(D769,Products!$A$2:$A$13,0)))</f>
        <v>25071.23</v>
      </c>
      <c r="P769" s="16" t="n">
        <f aca="false">N769-O769</f>
        <v>6553.92601272603</v>
      </c>
    </row>
    <row r="770" customFormat="false" ht="15" hidden="false" customHeight="false" outlineLevel="0" collapsed="false">
      <c r="A770" s="2" t="s">
        <v>118</v>
      </c>
      <c r="B770" s="2" t="n">
        <v>1</v>
      </c>
      <c r="C770" s="2" t="s">
        <v>73</v>
      </c>
      <c r="D770" s="2" t="s">
        <v>39</v>
      </c>
      <c r="E770" s="2" t="str">
        <f aca="false">INDEX(Products!$B$2:$B$13,MATCH(D770,Products!$A$2:$A$13,0))</f>
        <v>Hydroprocessing</v>
      </c>
      <c r="F770" s="15" t="n">
        <v>3.8</v>
      </c>
      <c r="G770" s="16" t="n">
        <f aca="false">IF(A770="2025",INDEX(Products!$C$2:$C$13,MATCH(D770,Products!$A$2:$A$13,0)),INDEX(Products!$E$2:$E$13,MATCH(D770,Products!$A$2:$A$13,0)))</f>
        <v>12570</v>
      </c>
      <c r="H770" s="13" t="n">
        <f aca="false">IF(A770="2025",INDEX(Customers!$D$2:$D$41,MATCH(C770,Customers!$A$2:$A$41,0)),INDEX(Customers!$F$2:$F$41,MATCH(C770,Customers!$A$2:$A$41,0)))</f>
        <v>0.023</v>
      </c>
      <c r="I770" s="16" t="n">
        <f aca="false">F770*G770</f>
        <v>47766</v>
      </c>
      <c r="J770" s="16" t="n">
        <f aca="false">I770*(1-H770)</f>
        <v>46667.382</v>
      </c>
      <c r="K770" s="16" t="n">
        <f aca="false">J770*INDEX(Customers!$G$2:$G$41,MATCH(C770,Customers!$A$2:$A$41,0))</f>
        <v>933.34764</v>
      </c>
      <c r="L770" s="16" t="n">
        <f aca="false">F770*INDEX(Customers!$H$2:$H$41,MATCH(C770,Customers!$A$2:$A$41,0))</f>
        <v>1406</v>
      </c>
      <c r="M770" s="16" t="n">
        <f aca="false">J770*INDEX(Customers!$I$2:$I$41,MATCH(C770,Customers!$A$2:$A$41,0))/365*Assumptions!$B$6</f>
        <v>613.708037260274</v>
      </c>
      <c r="N770" s="16" t="n">
        <f aca="false">J770-K770-L770-M770</f>
        <v>43714.3263227397</v>
      </c>
      <c r="O770" s="16" t="n">
        <f aca="false">F770*IF(A770="2025",INDEX(Products!$D$2:$D$13,MATCH(D770,Products!$A$2:$A$13,0)),INDEX(Products!$F$2:$F$13,MATCH(D770,Products!$A$2:$A$13,0)))</f>
        <v>27702</v>
      </c>
      <c r="P770" s="16" t="n">
        <f aca="false">N770-O770</f>
        <v>16012.3263227397</v>
      </c>
    </row>
    <row r="771" customFormat="false" ht="15" hidden="false" customHeight="false" outlineLevel="0" collapsed="false">
      <c r="A771" s="2" t="s">
        <v>118</v>
      </c>
      <c r="B771" s="2" t="n">
        <v>2</v>
      </c>
      <c r="C771" s="2" t="s">
        <v>73</v>
      </c>
      <c r="D771" s="2" t="s">
        <v>39</v>
      </c>
      <c r="E771" s="2" t="str">
        <f aca="false">INDEX(Products!$B$2:$B$13,MATCH(D771,Products!$A$2:$A$13,0))</f>
        <v>Hydroprocessing</v>
      </c>
      <c r="F771" s="15" t="n">
        <v>3.4</v>
      </c>
      <c r="G771" s="16" t="n">
        <f aca="false">IF(A771="2025",INDEX(Products!$C$2:$C$13,MATCH(D771,Products!$A$2:$A$13,0)),INDEX(Products!$E$2:$E$13,MATCH(D771,Products!$A$2:$A$13,0)))</f>
        <v>12570</v>
      </c>
      <c r="H771" s="13" t="n">
        <f aca="false">IF(A771="2025",INDEX(Customers!$D$2:$D$41,MATCH(C771,Customers!$A$2:$A$41,0)),INDEX(Customers!$F$2:$F$41,MATCH(C771,Customers!$A$2:$A$41,0)))</f>
        <v>0.023</v>
      </c>
      <c r="I771" s="16" t="n">
        <f aca="false">F771*G771</f>
        <v>42738</v>
      </c>
      <c r="J771" s="16" t="n">
        <f aca="false">I771*(1-H771)</f>
        <v>41755.026</v>
      </c>
      <c r="K771" s="16" t="n">
        <f aca="false">J771*INDEX(Customers!$G$2:$G$41,MATCH(C771,Customers!$A$2:$A$41,0))</f>
        <v>835.10052</v>
      </c>
      <c r="L771" s="16" t="n">
        <f aca="false">F771*INDEX(Customers!$H$2:$H$41,MATCH(C771,Customers!$A$2:$A$41,0))</f>
        <v>1258</v>
      </c>
      <c r="M771" s="16" t="n">
        <f aca="false">J771*INDEX(Customers!$I$2:$I$41,MATCH(C771,Customers!$A$2:$A$41,0))/365*Assumptions!$B$6</f>
        <v>549.107191232877</v>
      </c>
      <c r="N771" s="16" t="n">
        <f aca="false">J771-K771-L771-M771</f>
        <v>39112.8182887671</v>
      </c>
      <c r="O771" s="16" t="n">
        <f aca="false">F771*IF(A771="2025",INDEX(Products!$D$2:$D$13,MATCH(D771,Products!$A$2:$A$13,0)),INDEX(Products!$F$2:$F$13,MATCH(D771,Products!$A$2:$A$13,0)))</f>
        <v>24786</v>
      </c>
      <c r="P771" s="16" t="n">
        <f aca="false">N771-O771</f>
        <v>14326.8182887671</v>
      </c>
    </row>
    <row r="772" customFormat="false" ht="15" hidden="false" customHeight="false" outlineLevel="0" collapsed="false">
      <c r="A772" s="2" t="s">
        <v>118</v>
      </c>
      <c r="B772" s="2" t="n">
        <v>3</v>
      </c>
      <c r="C772" s="2" t="s">
        <v>73</v>
      </c>
      <c r="D772" s="2" t="s">
        <v>39</v>
      </c>
      <c r="E772" s="2" t="str">
        <f aca="false">INDEX(Products!$B$2:$B$13,MATCH(D772,Products!$A$2:$A$13,0))</f>
        <v>Hydroprocessing</v>
      </c>
      <c r="F772" s="15" t="n">
        <v>3.3</v>
      </c>
      <c r="G772" s="16" t="n">
        <f aca="false">IF(A772="2025",INDEX(Products!$C$2:$C$13,MATCH(D772,Products!$A$2:$A$13,0)),INDEX(Products!$E$2:$E$13,MATCH(D772,Products!$A$2:$A$13,0)))</f>
        <v>12570</v>
      </c>
      <c r="H772" s="13" t="n">
        <f aca="false">IF(A772="2025",INDEX(Customers!$D$2:$D$41,MATCH(C772,Customers!$A$2:$A$41,0)),INDEX(Customers!$F$2:$F$41,MATCH(C772,Customers!$A$2:$A$41,0)))</f>
        <v>0.023</v>
      </c>
      <c r="I772" s="16" t="n">
        <f aca="false">F772*G772</f>
        <v>41481</v>
      </c>
      <c r="J772" s="16" t="n">
        <f aca="false">I772*(1-H772)</f>
        <v>40526.937</v>
      </c>
      <c r="K772" s="16" t="n">
        <f aca="false">J772*INDEX(Customers!$G$2:$G$41,MATCH(C772,Customers!$A$2:$A$41,0))</f>
        <v>810.53874</v>
      </c>
      <c r="L772" s="16" t="n">
        <f aca="false">F772*INDEX(Customers!$H$2:$H$41,MATCH(C772,Customers!$A$2:$A$41,0))</f>
        <v>1221</v>
      </c>
      <c r="M772" s="16" t="n">
        <f aca="false">J772*INDEX(Customers!$I$2:$I$41,MATCH(C772,Customers!$A$2:$A$41,0))/365*Assumptions!$B$6</f>
        <v>532.956979726027</v>
      </c>
      <c r="N772" s="16" t="n">
        <f aca="false">J772-K772-L772-M772</f>
        <v>37962.441280274</v>
      </c>
      <c r="O772" s="16" t="n">
        <f aca="false">F772*IF(A772="2025",INDEX(Products!$D$2:$D$13,MATCH(D772,Products!$A$2:$A$13,0)),INDEX(Products!$F$2:$F$13,MATCH(D772,Products!$A$2:$A$13,0)))</f>
        <v>24057</v>
      </c>
      <c r="P772" s="16" t="n">
        <f aca="false">N772-O772</f>
        <v>13905.441280274</v>
      </c>
    </row>
    <row r="773" customFormat="false" ht="15" hidden="false" customHeight="false" outlineLevel="0" collapsed="false">
      <c r="A773" s="2" t="s">
        <v>118</v>
      </c>
      <c r="B773" s="2" t="n">
        <v>4</v>
      </c>
      <c r="C773" s="2" t="s">
        <v>73</v>
      </c>
      <c r="D773" s="2" t="s">
        <v>39</v>
      </c>
      <c r="E773" s="2" t="str">
        <f aca="false">INDEX(Products!$B$2:$B$13,MATCH(D773,Products!$A$2:$A$13,0))</f>
        <v>Hydroprocessing</v>
      </c>
      <c r="F773" s="15" t="n">
        <v>3.8</v>
      </c>
      <c r="G773" s="16" t="n">
        <f aca="false">IF(A773="2025",INDEX(Products!$C$2:$C$13,MATCH(D773,Products!$A$2:$A$13,0)),INDEX(Products!$E$2:$E$13,MATCH(D773,Products!$A$2:$A$13,0)))</f>
        <v>12570</v>
      </c>
      <c r="H773" s="13" t="n">
        <f aca="false">IF(A773="2025",INDEX(Customers!$D$2:$D$41,MATCH(C773,Customers!$A$2:$A$41,0)),INDEX(Customers!$F$2:$F$41,MATCH(C773,Customers!$A$2:$A$41,0)))</f>
        <v>0.023</v>
      </c>
      <c r="I773" s="16" t="n">
        <f aca="false">F773*G773</f>
        <v>47766</v>
      </c>
      <c r="J773" s="16" t="n">
        <f aca="false">I773*(1-H773)</f>
        <v>46667.382</v>
      </c>
      <c r="K773" s="16" t="n">
        <f aca="false">J773*INDEX(Customers!$G$2:$G$41,MATCH(C773,Customers!$A$2:$A$41,0))</f>
        <v>933.34764</v>
      </c>
      <c r="L773" s="16" t="n">
        <f aca="false">F773*INDEX(Customers!$H$2:$H$41,MATCH(C773,Customers!$A$2:$A$41,0))</f>
        <v>1406</v>
      </c>
      <c r="M773" s="16" t="n">
        <f aca="false">J773*INDEX(Customers!$I$2:$I$41,MATCH(C773,Customers!$A$2:$A$41,0))/365*Assumptions!$B$6</f>
        <v>613.708037260274</v>
      </c>
      <c r="N773" s="16" t="n">
        <f aca="false">J773-K773-L773-M773</f>
        <v>43714.3263227397</v>
      </c>
      <c r="O773" s="16" t="n">
        <f aca="false">F773*IF(A773="2025",INDEX(Products!$D$2:$D$13,MATCH(D773,Products!$A$2:$A$13,0)),INDEX(Products!$F$2:$F$13,MATCH(D773,Products!$A$2:$A$13,0)))</f>
        <v>27702</v>
      </c>
      <c r="P773" s="16" t="n">
        <f aca="false">N773-O773</f>
        <v>16012.3263227397</v>
      </c>
    </row>
    <row r="774" customFormat="false" ht="15" hidden="false" customHeight="false" outlineLevel="0" collapsed="false">
      <c r="A774" s="2" t="s">
        <v>118</v>
      </c>
      <c r="B774" s="2" t="n">
        <v>5</v>
      </c>
      <c r="C774" s="2" t="s">
        <v>73</v>
      </c>
      <c r="D774" s="2" t="s">
        <v>39</v>
      </c>
      <c r="E774" s="2" t="str">
        <f aca="false">INDEX(Products!$B$2:$B$13,MATCH(D774,Products!$A$2:$A$13,0))</f>
        <v>Hydroprocessing</v>
      </c>
      <c r="F774" s="15" t="n">
        <v>6</v>
      </c>
      <c r="G774" s="16" t="n">
        <f aca="false">IF(A774="2025",INDEX(Products!$C$2:$C$13,MATCH(D774,Products!$A$2:$A$13,0)),INDEX(Products!$E$2:$E$13,MATCH(D774,Products!$A$2:$A$13,0)))</f>
        <v>12570</v>
      </c>
      <c r="H774" s="13" t="n">
        <f aca="false">IF(A774="2025",INDEX(Customers!$D$2:$D$41,MATCH(C774,Customers!$A$2:$A$41,0)),INDEX(Customers!$F$2:$F$41,MATCH(C774,Customers!$A$2:$A$41,0)))</f>
        <v>0.023</v>
      </c>
      <c r="I774" s="16" t="n">
        <f aca="false">F774*G774</f>
        <v>75420</v>
      </c>
      <c r="J774" s="16" t="n">
        <f aca="false">I774*(1-H774)</f>
        <v>73685.34</v>
      </c>
      <c r="K774" s="16" t="n">
        <f aca="false">J774*INDEX(Customers!$G$2:$G$41,MATCH(C774,Customers!$A$2:$A$41,0))</f>
        <v>1473.7068</v>
      </c>
      <c r="L774" s="16" t="n">
        <f aca="false">F774*INDEX(Customers!$H$2:$H$41,MATCH(C774,Customers!$A$2:$A$41,0))</f>
        <v>2220</v>
      </c>
      <c r="M774" s="16" t="n">
        <f aca="false">J774*INDEX(Customers!$I$2:$I$41,MATCH(C774,Customers!$A$2:$A$41,0))/365*Assumptions!$B$6</f>
        <v>969.012690410959</v>
      </c>
      <c r="N774" s="16" t="n">
        <f aca="false">J774-K774-L774-M774</f>
        <v>69022.620509589</v>
      </c>
      <c r="O774" s="16" t="n">
        <f aca="false">F774*IF(A774="2025",INDEX(Products!$D$2:$D$13,MATCH(D774,Products!$A$2:$A$13,0)),INDEX(Products!$F$2:$F$13,MATCH(D774,Products!$A$2:$A$13,0)))</f>
        <v>43740</v>
      </c>
      <c r="P774" s="16" t="n">
        <f aca="false">N774-O774</f>
        <v>25282.620509589</v>
      </c>
    </row>
    <row r="775" customFormat="false" ht="15" hidden="false" customHeight="false" outlineLevel="0" collapsed="false">
      <c r="A775" s="2" t="s">
        <v>118</v>
      </c>
      <c r="B775" s="2" t="n">
        <v>6</v>
      </c>
      <c r="C775" s="2" t="s">
        <v>73</v>
      </c>
      <c r="D775" s="2" t="s">
        <v>39</v>
      </c>
      <c r="E775" s="2" t="str">
        <f aca="false">INDEX(Products!$B$2:$B$13,MATCH(D775,Products!$A$2:$A$13,0))</f>
        <v>Hydroprocessing</v>
      </c>
      <c r="F775" s="15" t="n">
        <v>4.2</v>
      </c>
      <c r="G775" s="16" t="n">
        <f aca="false">IF(A775="2025",INDEX(Products!$C$2:$C$13,MATCH(D775,Products!$A$2:$A$13,0)),INDEX(Products!$E$2:$E$13,MATCH(D775,Products!$A$2:$A$13,0)))</f>
        <v>12570</v>
      </c>
      <c r="H775" s="13" t="n">
        <f aca="false">IF(A775="2025",INDEX(Customers!$D$2:$D$41,MATCH(C775,Customers!$A$2:$A$41,0)),INDEX(Customers!$F$2:$F$41,MATCH(C775,Customers!$A$2:$A$41,0)))</f>
        <v>0.023</v>
      </c>
      <c r="I775" s="16" t="n">
        <f aca="false">F775*G775</f>
        <v>52794</v>
      </c>
      <c r="J775" s="16" t="n">
        <f aca="false">I775*(1-H775)</f>
        <v>51579.738</v>
      </c>
      <c r="K775" s="16" t="n">
        <f aca="false">J775*INDEX(Customers!$G$2:$G$41,MATCH(C775,Customers!$A$2:$A$41,0))</f>
        <v>1031.59476</v>
      </c>
      <c r="L775" s="16" t="n">
        <f aca="false">F775*INDEX(Customers!$H$2:$H$41,MATCH(C775,Customers!$A$2:$A$41,0))</f>
        <v>1554</v>
      </c>
      <c r="M775" s="16" t="n">
        <f aca="false">J775*INDEX(Customers!$I$2:$I$41,MATCH(C775,Customers!$A$2:$A$41,0))/365*Assumptions!$B$6</f>
        <v>678.308883287671</v>
      </c>
      <c r="N775" s="16" t="n">
        <f aca="false">J775-K775-L775-M775</f>
        <v>48315.8343567123</v>
      </c>
      <c r="O775" s="16" t="n">
        <f aca="false">F775*IF(A775="2025",INDEX(Products!$D$2:$D$13,MATCH(D775,Products!$A$2:$A$13,0)),INDEX(Products!$F$2:$F$13,MATCH(D775,Products!$A$2:$A$13,0)))</f>
        <v>30618</v>
      </c>
      <c r="P775" s="16" t="n">
        <f aca="false">N775-O775</f>
        <v>17697.8343567123</v>
      </c>
    </row>
    <row r="776" customFormat="false" ht="15" hidden="false" customHeight="false" outlineLevel="0" collapsed="false">
      <c r="A776" s="2" t="s">
        <v>118</v>
      </c>
      <c r="B776" s="2" t="n">
        <v>7</v>
      </c>
      <c r="C776" s="2" t="s">
        <v>73</v>
      </c>
      <c r="D776" s="2" t="s">
        <v>39</v>
      </c>
      <c r="E776" s="2" t="str">
        <f aca="false">INDEX(Products!$B$2:$B$13,MATCH(D776,Products!$A$2:$A$13,0))</f>
        <v>Hydroprocessing</v>
      </c>
      <c r="F776" s="15" t="n">
        <v>6</v>
      </c>
      <c r="G776" s="16" t="n">
        <f aca="false">IF(A776="2025",INDEX(Products!$C$2:$C$13,MATCH(D776,Products!$A$2:$A$13,0)),INDEX(Products!$E$2:$E$13,MATCH(D776,Products!$A$2:$A$13,0)))</f>
        <v>12570</v>
      </c>
      <c r="H776" s="13" t="n">
        <f aca="false">IF(A776="2025",INDEX(Customers!$D$2:$D$41,MATCH(C776,Customers!$A$2:$A$41,0)),INDEX(Customers!$F$2:$F$41,MATCH(C776,Customers!$A$2:$A$41,0)))</f>
        <v>0.023</v>
      </c>
      <c r="I776" s="16" t="n">
        <f aca="false">F776*G776</f>
        <v>75420</v>
      </c>
      <c r="J776" s="16" t="n">
        <f aca="false">I776*(1-H776)</f>
        <v>73685.34</v>
      </c>
      <c r="K776" s="16" t="n">
        <f aca="false">J776*INDEX(Customers!$G$2:$G$41,MATCH(C776,Customers!$A$2:$A$41,0))</f>
        <v>1473.7068</v>
      </c>
      <c r="L776" s="16" t="n">
        <f aca="false">F776*INDEX(Customers!$H$2:$H$41,MATCH(C776,Customers!$A$2:$A$41,0))</f>
        <v>2220</v>
      </c>
      <c r="M776" s="16" t="n">
        <f aca="false">J776*INDEX(Customers!$I$2:$I$41,MATCH(C776,Customers!$A$2:$A$41,0))/365*Assumptions!$B$6</f>
        <v>969.012690410959</v>
      </c>
      <c r="N776" s="16" t="n">
        <f aca="false">J776-K776-L776-M776</f>
        <v>69022.620509589</v>
      </c>
      <c r="O776" s="16" t="n">
        <f aca="false">F776*IF(A776="2025",INDEX(Products!$D$2:$D$13,MATCH(D776,Products!$A$2:$A$13,0)),INDEX(Products!$F$2:$F$13,MATCH(D776,Products!$A$2:$A$13,0)))</f>
        <v>43740</v>
      </c>
      <c r="P776" s="16" t="n">
        <f aca="false">N776-O776</f>
        <v>25282.620509589</v>
      </c>
    </row>
    <row r="777" customFormat="false" ht="15" hidden="false" customHeight="false" outlineLevel="0" collapsed="false">
      <c r="A777" s="2" t="s">
        <v>118</v>
      </c>
      <c r="B777" s="2" t="n">
        <v>8</v>
      </c>
      <c r="C777" s="2" t="s">
        <v>73</v>
      </c>
      <c r="D777" s="2" t="s">
        <v>39</v>
      </c>
      <c r="E777" s="2" t="str">
        <f aca="false">INDEX(Products!$B$2:$B$13,MATCH(D777,Products!$A$2:$A$13,0))</f>
        <v>Hydroprocessing</v>
      </c>
      <c r="F777" s="15" t="n">
        <v>3.6</v>
      </c>
      <c r="G777" s="16" t="n">
        <f aca="false">IF(A777="2025",INDEX(Products!$C$2:$C$13,MATCH(D777,Products!$A$2:$A$13,0)),INDEX(Products!$E$2:$E$13,MATCH(D777,Products!$A$2:$A$13,0)))</f>
        <v>12570</v>
      </c>
      <c r="H777" s="13" t="n">
        <f aca="false">IF(A777="2025",INDEX(Customers!$D$2:$D$41,MATCH(C777,Customers!$A$2:$A$41,0)),INDEX(Customers!$F$2:$F$41,MATCH(C777,Customers!$A$2:$A$41,0)))</f>
        <v>0.023</v>
      </c>
      <c r="I777" s="16" t="n">
        <f aca="false">F777*G777</f>
        <v>45252</v>
      </c>
      <c r="J777" s="16" t="n">
        <f aca="false">I777*(1-H777)</f>
        <v>44211.204</v>
      </c>
      <c r="K777" s="16" t="n">
        <f aca="false">J777*INDEX(Customers!$G$2:$G$41,MATCH(C777,Customers!$A$2:$A$41,0))</f>
        <v>884.22408</v>
      </c>
      <c r="L777" s="16" t="n">
        <f aca="false">F777*INDEX(Customers!$H$2:$H$41,MATCH(C777,Customers!$A$2:$A$41,0))</f>
        <v>1332</v>
      </c>
      <c r="M777" s="16" t="n">
        <f aca="false">J777*INDEX(Customers!$I$2:$I$41,MATCH(C777,Customers!$A$2:$A$41,0))/365*Assumptions!$B$6</f>
        <v>581.407614246575</v>
      </c>
      <c r="N777" s="16" t="n">
        <f aca="false">J777-K777-L777-M777</f>
        <v>41413.5723057534</v>
      </c>
      <c r="O777" s="16" t="n">
        <f aca="false">F777*IF(A777="2025",INDEX(Products!$D$2:$D$13,MATCH(D777,Products!$A$2:$A$13,0)),INDEX(Products!$F$2:$F$13,MATCH(D777,Products!$A$2:$A$13,0)))</f>
        <v>26244</v>
      </c>
      <c r="P777" s="16" t="n">
        <f aca="false">N777-O777</f>
        <v>15169.5723057534</v>
      </c>
    </row>
    <row r="778" customFormat="false" ht="15" hidden="false" customHeight="false" outlineLevel="0" collapsed="false">
      <c r="A778" s="2" t="s">
        <v>118</v>
      </c>
      <c r="B778" s="2" t="n">
        <v>9</v>
      </c>
      <c r="C778" s="2" t="s">
        <v>73</v>
      </c>
      <c r="D778" s="2" t="s">
        <v>39</v>
      </c>
      <c r="E778" s="2" t="str">
        <f aca="false">INDEX(Products!$B$2:$B$13,MATCH(D778,Products!$A$2:$A$13,0))</f>
        <v>Hydroprocessing</v>
      </c>
      <c r="F778" s="15" t="n">
        <v>5</v>
      </c>
      <c r="G778" s="16" t="n">
        <f aca="false">IF(A778="2025",INDEX(Products!$C$2:$C$13,MATCH(D778,Products!$A$2:$A$13,0)),INDEX(Products!$E$2:$E$13,MATCH(D778,Products!$A$2:$A$13,0)))</f>
        <v>12570</v>
      </c>
      <c r="H778" s="13" t="n">
        <f aca="false">IF(A778="2025",INDEX(Customers!$D$2:$D$41,MATCH(C778,Customers!$A$2:$A$41,0)),INDEX(Customers!$F$2:$F$41,MATCH(C778,Customers!$A$2:$A$41,0)))</f>
        <v>0.023</v>
      </c>
      <c r="I778" s="16" t="n">
        <f aca="false">F778*G778</f>
        <v>62850</v>
      </c>
      <c r="J778" s="16" t="n">
        <f aca="false">I778*(1-H778)</f>
        <v>61404.45</v>
      </c>
      <c r="K778" s="16" t="n">
        <f aca="false">J778*INDEX(Customers!$G$2:$G$41,MATCH(C778,Customers!$A$2:$A$41,0))</f>
        <v>1228.089</v>
      </c>
      <c r="L778" s="16" t="n">
        <f aca="false">F778*INDEX(Customers!$H$2:$H$41,MATCH(C778,Customers!$A$2:$A$41,0))</f>
        <v>1850</v>
      </c>
      <c r="M778" s="16" t="n">
        <f aca="false">J778*INDEX(Customers!$I$2:$I$41,MATCH(C778,Customers!$A$2:$A$41,0))/365*Assumptions!$B$6</f>
        <v>807.510575342466</v>
      </c>
      <c r="N778" s="16" t="n">
        <f aca="false">J778-K778-L778-M778</f>
        <v>57518.8504246575</v>
      </c>
      <c r="O778" s="16" t="n">
        <f aca="false">F778*IF(A778="2025",INDEX(Products!$D$2:$D$13,MATCH(D778,Products!$A$2:$A$13,0)),INDEX(Products!$F$2:$F$13,MATCH(D778,Products!$A$2:$A$13,0)))</f>
        <v>36450</v>
      </c>
      <c r="P778" s="16" t="n">
        <f aca="false">N778-O778</f>
        <v>21068.8504246575</v>
      </c>
    </row>
    <row r="779" customFormat="false" ht="15" hidden="false" customHeight="false" outlineLevel="0" collapsed="false">
      <c r="A779" s="2" t="s">
        <v>118</v>
      </c>
      <c r="B779" s="2" t="n">
        <v>10</v>
      </c>
      <c r="C779" s="2" t="s">
        <v>73</v>
      </c>
      <c r="D779" s="2" t="s">
        <v>39</v>
      </c>
      <c r="E779" s="2" t="str">
        <f aca="false">INDEX(Products!$B$2:$B$13,MATCH(D779,Products!$A$2:$A$13,0))</f>
        <v>Hydroprocessing</v>
      </c>
      <c r="F779" s="15" t="n">
        <v>4.8</v>
      </c>
      <c r="G779" s="16" t="n">
        <f aca="false">IF(A779="2025",INDEX(Products!$C$2:$C$13,MATCH(D779,Products!$A$2:$A$13,0)),INDEX(Products!$E$2:$E$13,MATCH(D779,Products!$A$2:$A$13,0)))</f>
        <v>12570</v>
      </c>
      <c r="H779" s="13" t="n">
        <f aca="false">IF(A779="2025",INDEX(Customers!$D$2:$D$41,MATCH(C779,Customers!$A$2:$A$41,0)),INDEX(Customers!$F$2:$F$41,MATCH(C779,Customers!$A$2:$A$41,0)))</f>
        <v>0.023</v>
      </c>
      <c r="I779" s="16" t="n">
        <f aca="false">F779*G779</f>
        <v>60336</v>
      </c>
      <c r="J779" s="16" t="n">
        <f aca="false">I779*(1-H779)</f>
        <v>58948.272</v>
      </c>
      <c r="K779" s="16" t="n">
        <f aca="false">J779*INDEX(Customers!$G$2:$G$41,MATCH(C779,Customers!$A$2:$A$41,0))</f>
        <v>1178.96544</v>
      </c>
      <c r="L779" s="16" t="n">
        <f aca="false">F779*INDEX(Customers!$H$2:$H$41,MATCH(C779,Customers!$A$2:$A$41,0))</f>
        <v>1776</v>
      </c>
      <c r="M779" s="16" t="n">
        <f aca="false">J779*INDEX(Customers!$I$2:$I$41,MATCH(C779,Customers!$A$2:$A$41,0))/365*Assumptions!$B$6</f>
        <v>775.210152328767</v>
      </c>
      <c r="N779" s="16" t="n">
        <f aca="false">J779-K779-L779-M779</f>
        <v>55218.0964076712</v>
      </c>
      <c r="O779" s="16" t="n">
        <f aca="false">F779*IF(A779="2025",INDEX(Products!$D$2:$D$13,MATCH(D779,Products!$A$2:$A$13,0)),INDEX(Products!$F$2:$F$13,MATCH(D779,Products!$A$2:$A$13,0)))</f>
        <v>34992</v>
      </c>
      <c r="P779" s="16" t="n">
        <f aca="false">N779-O779</f>
        <v>20226.0964076712</v>
      </c>
    </row>
    <row r="780" customFormat="false" ht="15" hidden="false" customHeight="false" outlineLevel="0" collapsed="false">
      <c r="A780" s="2" t="s">
        <v>118</v>
      </c>
      <c r="B780" s="2" t="n">
        <v>11</v>
      </c>
      <c r="C780" s="2" t="s">
        <v>73</v>
      </c>
      <c r="D780" s="2" t="s">
        <v>39</v>
      </c>
      <c r="E780" s="2" t="str">
        <f aca="false">INDEX(Products!$B$2:$B$13,MATCH(D780,Products!$A$2:$A$13,0))</f>
        <v>Hydroprocessing</v>
      </c>
      <c r="F780" s="15" t="n">
        <v>5.1</v>
      </c>
      <c r="G780" s="16" t="n">
        <f aca="false">IF(A780="2025",INDEX(Products!$C$2:$C$13,MATCH(D780,Products!$A$2:$A$13,0)),INDEX(Products!$E$2:$E$13,MATCH(D780,Products!$A$2:$A$13,0)))</f>
        <v>12570</v>
      </c>
      <c r="H780" s="13" t="n">
        <f aca="false">IF(A780="2025",INDEX(Customers!$D$2:$D$41,MATCH(C780,Customers!$A$2:$A$41,0)),INDEX(Customers!$F$2:$F$41,MATCH(C780,Customers!$A$2:$A$41,0)))</f>
        <v>0.023</v>
      </c>
      <c r="I780" s="16" t="n">
        <f aca="false">F780*G780</f>
        <v>64107</v>
      </c>
      <c r="J780" s="16" t="n">
        <f aca="false">I780*(1-H780)</f>
        <v>62632.539</v>
      </c>
      <c r="K780" s="16" t="n">
        <f aca="false">J780*INDEX(Customers!$G$2:$G$41,MATCH(C780,Customers!$A$2:$A$41,0))</f>
        <v>1252.65078</v>
      </c>
      <c r="L780" s="16" t="n">
        <f aca="false">F780*INDEX(Customers!$H$2:$H$41,MATCH(C780,Customers!$A$2:$A$41,0))</f>
        <v>1887</v>
      </c>
      <c r="M780" s="16" t="n">
        <f aca="false">J780*INDEX(Customers!$I$2:$I$41,MATCH(C780,Customers!$A$2:$A$41,0))/365*Assumptions!$B$6</f>
        <v>823.660786849315</v>
      </c>
      <c r="N780" s="16" t="n">
        <f aca="false">J780-K780-L780-M780</f>
        <v>58669.2274331507</v>
      </c>
      <c r="O780" s="16" t="n">
        <f aca="false">F780*IF(A780="2025",INDEX(Products!$D$2:$D$13,MATCH(D780,Products!$A$2:$A$13,0)),INDEX(Products!$F$2:$F$13,MATCH(D780,Products!$A$2:$A$13,0)))</f>
        <v>37179</v>
      </c>
      <c r="P780" s="16" t="n">
        <f aca="false">N780-O780</f>
        <v>21490.2274331507</v>
      </c>
    </row>
    <row r="781" customFormat="false" ht="15" hidden="false" customHeight="false" outlineLevel="0" collapsed="false">
      <c r="A781" s="2" t="s">
        <v>118</v>
      </c>
      <c r="B781" s="2" t="n">
        <v>12</v>
      </c>
      <c r="C781" s="2" t="s">
        <v>73</v>
      </c>
      <c r="D781" s="2" t="s">
        <v>39</v>
      </c>
      <c r="E781" s="2" t="str">
        <f aca="false">INDEX(Products!$B$2:$B$13,MATCH(D781,Products!$A$2:$A$13,0))</f>
        <v>Hydroprocessing</v>
      </c>
      <c r="F781" s="15" t="n">
        <v>5.7</v>
      </c>
      <c r="G781" s="16" t="n">
        <f aca="false">IF(A781="2025",INDEX(Products!$C$2:$C$13,MATCH(D781,Products!$A$2:$A$13,0)),INDEX(Products!$E$2:$E$13,MATCH(D781,Products!$A$2:$A$13,0)))</f>
        <v>12570</v>
      </c>
      <c r="H781" s="13" t="n">
        <f aca="false">IF(A781="2025",INDEX(Customers!$D$2:$D$41,MATCH(C781,Customers!$A$2:$A$41,0)),INDEX(Customers!$F$2:$F$41,MATCH(C781,Customers!$A$2:$A$41,0)))</f>
        <v>0.023</v>
      </c>
      <c r="I781" s="16" t="n">
        <f aca="false">F781*G781</f>
        <v>71649</v>
      </c>
      <c r="J781" s="16" t="n">
        <f aca="false">I781*(1-H781)</f>
        <v>70001.073</v>
      </c>
      <c r="K781" s="16" t="n">
        <f aca="false">J781*INDEX(Customers!$G$2:$G$41,MATCH(C781,Customers!$A$2:$A$41,0))</f>
        <v>1400.02146</v>
      </c>
      <c r="L781" s="16" t="n">
        <f aca="false">F781*INDEX(Customers!$H$2:$H$41,MATCH(C781,Customers!$A$2:$A$41,0))</f>
        <v>2109</v>
      </c>
      <c r="M781" s="16" t="n">
        <f aca="false">J781*INDEX(Customers!$I$2:$I$41,MATCH(C781,Customers!$A$2:$A$41,0))/365*Assumptions!$B$6</f>
        <v>920.562055890411</v>
      </c>
      <c r="N781" s="16" t="n">
        <f aca="false">J781-K781-L781-M781</f>
        <v>65571.4894841096</v>
      </c>
      <c r="O781" s="16" t="n">
        <f aca="false">F781*IF(A781="2025",INDEX(Products!$D$2:$D$13,MATCH(D781,Products!$A$2:$A$13,0)),INDEX(Products!$F$2:$F$13,MATCH(D781,Products!$A$2:$A$13,0)))</f>
        <v>41553</v>
      </c>
      <c r="P781" s="16" t="n">
        <f aca="false">N781-O781</f>
        <v>24018.4894841096</v>
      </c>
    </row>
    <row r="782" customFormat="false" ht="15" hidden="false" customHeight="false" outlineLevel="0" collapsed="false">
      <c r="A782" s="2" t="s">
        <v>119</v>
      </c>
      <c r="B782" s="2" t="n">
        <v>1</v>
      </c>
      <c r="C782" s="2" t="s">
        <v>73</v>
      </c>
      <c r="D782" s="2" t="s">
        <v>39</v>
      </c>
      <c r="E782" s="2" t="str">
        <f aca="false">INDEX(Products!$B$2:$B$13,MATCH(D782,Products!$A$2:$A$13,0))</f>
        <v>Hydroprocessing</v>
      </c>
      <c r="F782" s="15" t="n">
        <v>5</v>
      </c>
      <c r="G782" s="16" t="n">
        <f aca="false">IF(A782="2025",INDEX(Products!$C$2:$C$13,MATCH(D782,Products!$A$2:$A$13,0)),INDEX(Products!$E$2:$E$13,MATCH(D782,Products!$A$2:$A$13,0)))</f>
        <v>13198.5</v>
      </c>
      <c r="H782" s="13" t="n">
        <f aca="false">IF(A782="2025",INDEX(Customers!$D$2:$D$41,MATCH(C782,Customers!$A$2:$A$41,0)),INDEX(Customers!$F$2:$F$41,MATCH(C782,Customers!$A$2:$A$41,0)))</f>
        <v>0.023</v>
      </c>
      <c r="I782" s="16" t="n">
        <f aca="false">F782*G782</f>
        <v>65992.5</v>
      </c>
      <c r="J782" s="16" t="n">
        <f aca="false">I782*(1-H782)</f>
        <v>64474.6725</v>
      </c>
      <c r="K782" s="16" t="n">
        <f aca="false">J782*INDEX(Customers!$G$2:$G$41,MATCH(C782,Customers!$A$2:$A$41,0))</f>
        <v>1289.49345</v>
      </c>
      <c r="L782" s="16" t="n">
        <f aca="false">F782*INDEX(Customers!$H$2:$H$41,MATCH(C782,Customers!$A$2:$A$41,0))</f>
        <v>1850</v>
      </c>
      <c r="M782" s="16" t="n">
        <f aca="false">J782*INDEX(Customers!$I$2:$I$41,MATCH(C782,Customers!$A$2:$A$41,0))/365*Assumptions!$B$6</f>
        <v>847.886104109589</v>
      </c>
      <c r="N782" s="16" t="n">
        <f aca="false">J782-K782-L782-M782</f>
        <v>60487.2929458904</v>
      </c>
      <c r="O782" s="16" t="n">
        <f aca="false">F782*IF(A782="2025",INDEX(Products!$D$2:$D$13,MATCH(D782,Products!$A$2:$A$13,0)),INDEX(Products!$F$2:$F$13,MATCH(D782,Products!$A$2:$A$13,0)))</f>
        <v>37543.5</v>
      </c>
      <c r="P782" s="16" t="n">
        <f aca="false">N782-O782</f>
        <v>22943.7929458904</v>
      </c>
    </row>
    <row r="783" customFormat="false" ht="15" hidden="false" customHeight="false" outlineLevel="0" collapsed="false">
      <c r="A783" s="2" t="s">
        <v>119</v>
      </c>
      <c r="B783" s="2" t="n">
        <v>2</v>
      </c>
      <c r="C783" s="2" t="s">
        <v>73</v>
      </c>
      <c r="D783" s="2" t="s">
        <v>39</v>
      </c>
      <c r="E783" s="2" t="str">
        <f aca="false">INDEX(Products!$B$2:$B$13,MATCH(D783,Products!$A$2:$A$13,0))</f>
        <v>Hydroprocessing</v>
      </c>
      <c r="F783" s="15" t="n">
        <v>5.9</v>
      </c>
      <c r="G783" s="16" t="n">
        <f aca="false">IF(A783="2025",INDEX(Products!$C$2:$C$13,MATCH(D783,Products!$A$2:$A$13,0)),INDEX(Products!$E$2:$E$13,MATCH(D783,Products!$A$2:$A$13,0)))</f>
        <v>13198.5</v>
      </c>
      <c r="H783" s="13" t="n">
        <f aca="false">IF(A783="2025",INDEX(Customers!$D$2:$D$41,MATCH(C783,Customers!$A$2:$A$41,0)),INDEX(Customers!$F$2:$F$41,MATCH(C783,Customers!$A$2:$A$41,0)))</f>
        <v>0.023</v>
      </c>
      <c r="I783" s="16" t="n">
        <f aca="false">F783*G783</f>
        <v>77871.15</v>
      </c>
      <c r="J783" s="16" t="n">
        <f aca="false">I783*(1-H783)</f>
        <v>76080.11355</v>
      </c>
      <c r="K783" s="16" t="n">
        <f aca="false">J783*INDEX(Customers!$G$2:$G$41,MATCH(C783,Customers!$A$2:$A$41,0))</f>
        <v>1521.602271</v>
      </c>
      <c r="L783" s="16" t="n">
        <f aca="false">F783*INDEX(Customers!$H$2:$H$41,MATCH(C783,Customers!$A$2:$A$41,0))</f>
        <v>2183</v>
      </c>
      <c r="M783" s="16" t="n">
        <f aca="false">J783*INDEX(Customers!$I$2:$I$41,MATCH(C783,Customers!$A$2:$A$41,0))/365*Assumptions!$B$6</f>
        <v>1000.50560284932</v>
      </c>
      <c r="N783" s="16" t="n">
        <f aca="false">J783-K783-L783-M783</f>
        <v>71375.0056761507</v>
      </c>
      <c r="O783" s="16" t="n">
        <f aca="false">F783*IF(A783="2025",INDEX(Products!$D$2:$D$13,MATCH(D783,Products!$A$2:$A$13,0)),INDEX(Products!$F$2:$F$13,MATCH(D783,Products!$A$2:$A$13,0)))</f>
        <v>44301.33</v>
      </c>
      <c r="P783" s="16" t="n">
        <f aca="false">N783-O783</f>
        <v>27073.6756761507</v>
      </c>
    </row>
    <row r="784" customFormat="false" ht="15" hidden="false" customHeight="false" outlineLevel="0" collapsed="false">
      <c r="A784" s="2" t="s">
        <v>119</v>
      </c>
      <c r="B784" s="2" t="n">
        <v>3</v>
      </c>
      <c r="C784" s="2" t="s">
        <v>73</v>
      </c>
      <c r="D784" s="2" t="s">
        <v>39</v>
      </c>
      <c r="E784" s="2" t="str">
        <f aca="false">INDEX(Products!$B$2:$B$13,MATCH(D784,Products!$A$2:$A$13,0))</f>
        <v>Hydroprocessing</v>
      </c>
      <c r="F784" s="15" t="n">
        <v>4.4</v>
      </c>
      <c r="G784" s="16" t="n">
        <f aca="false">IF(A784="2025",INDEX(Products!$C$2:$C$13,MATCH(D784,Products!$A$2:$A$13,0)),INDEX(Products!$E$2:$E$13,MATCH(D784,Products!$A$2:$A$13,0)))</f>
        <v>13198.5</v>
      </c>
      <c r="H784" s="13" t="n">
        <f aca="false">IF(A784="2025",INDEX(Customers!$D$2:$D$41,MATCH(C784,Customers!$A$2:$A$41,0)),INDEX(Customers!$F$2:$F$41,MATCH(C784,Customers!$A$2:$A$41,0)))</f>
        <v>0.023</v>
      </c>
      <c r="I784" s="16" t="n">
        <f aca="false">F784*G784</f>
        <v>58073.4</v>
      </c>
      <c r="J784" s="16" t="n">
        <f aca="false">I784*(1-H784)</f>
        <v>56737.7118</v>
      </c>
      <c r="K784" s="16" t="n">
        <f aca="false">J784*INDEX(Customers!$G$2:$G$41,MATCH(C784,Customers!$A$2:$A$41,0))</f>
        <v>1134.754236</v>
      </c>
      <c r="L784" s="16" t="n">
        <f aca="false">F784*INDEX(Customers!$H$2:$H$41,MATCH(C784,Customers!$A$2:$A$41,0))</f>
        <v>1628</v>
      </c>
      <c r="M784" s="16" t="n">
        <f aca="false">J784*INDEX(Customers!$I$2:$I$41,MATCH(C784,Customers!$A$2:$A$41,0))/365*Assumptions!$B$6</f>
        <v>746.139771616438</v>
      </c>
      <c r="N784" s="16" t="n">
        <f aca="false">J784-K784-L784-M784</f>
        <v>53228.8177923836</v>
      </c>
      <c r="O784" s="16" t="n">
        <f aca="false">F784*IF(A784="2025",INDEX(Products!$D$2:$D$13,MATCH(D784,Products!$A$2:$A$13,0)),INDEX(Products!$F$2:$F$13,MATCH(D784,Products!$A$2:$A$13,0)))</f>
        <v>33038.28</v>
      </c>
      <c r="P784" s="16" t="n">
        <f aca="false">N784-O784</f>
        <v>20190.5377923836</v>
      </c>
    </row>
    <row r="785" customFormat="false" ht="15" hidden="false" customHeight="false" outlineLevel="0" collapsed="false">
      <c r="A785" s="2" t="s">
        <v>119</v>
      </c>
      <c r="B785" s="2" t="n">
        <v>4</v>
      </c>
      <c r="C785" s="2" t="s">
        <v>73</v>
      </c>
      <c r="D785" s="2" t="s">
        <v>39</v>
      </c>
      <c r="E785" s="2" t="str">
        <f aca="false">INDEX(Products!$B$2:$B$13,MATCH(D785,Products!$A$2:$A$13,0))</f>
        <v>Hydroprocessing</v>
      </c>
      <c r="F785" s="15" t="n">
        <v>6.3</v>
      </c>
      <c r="G785" s="16" t="n">
        <f aca="false">IF(A785="2025",INDEX(Products!$C$2:$C$13,MATCH(D785,Products!$A$2:$A$13,0)),INDEX(Products!$E$2:$E$13,MATCH(D785,Products!$A$2:$A$13,0)))</f>
        <v>13198.5</v>
      </c>
      <c r="H785" s="13" t="n">
        <f aca="false">IF(A785="2025",INDEX(Customers!$D$2:$D$41,MATCH(C785,Customers!$A$2:$A$41,0)),INDEX(Customers!$F$2:$F$41,MATCH(C785,Customers!$A$2:$A$41,0)))</f>
        <v>0.023</v>
      </c>
      <c r="I785" s="16" t="n">
        <f aca="false">F785*G785</f>
        <v>83150.55</v>
      </c>
      <c r="J785" s="16" t="n">
        <f aca="false">I785*(1-H785)</f>
        <v>81238.08735</v>
      </c>
      <c r="K785" s="16" t="n">
        <f aca="false">J785*INDEX(Customers!$G$2:$G$41,MATCH(C785,Customers!$A$2:$A$41,0))</f>
        <v>1624.761747</v>
      </c>
      <c r="L785" s="16" t="n">
        <f aca="false">F785*INDEX(Customers!$H$2:$H$41,MATCH(C785,Customers!$A$2:$A$41,0))</f>
        <v>2331</v>
      </c>
      <c r="M785" s="16" t="n">
        <f aca="false">J785*INDEX(Customers!$I$2:$I$41,MATCH(C785,Customers!$A$2:$A$41,0))/365*Assumptions!$B$6</f>
        <v>1068.33649117808</v>
      </c>
      <c r="N785" s="16" t="n">
        <f aca="false">J785-K785-L785-M785</f>
        <v>76213.9891118219</v>
      </c>
      <c r="O785" s="16" t="n">
        <f aca="false">F785*IF(A785="2025",INDEX(Products!$D$2:$D$13,MATCH(D785,Products!$A$2:$A$13,0)),INDEX(Products!$F$2:$F$13,MATCH(D785,Products!$A$2:$A$13,0)))</f>
        <v>47304.81</v>
      </c>
      <c r="P785" s="16" t="n">
        <f aca="false">N785-O785</f>
        <v>28909.1791118219</v>
      </c>
    </row>
    <row r="786" customFormat="false" ht="15" hidden="false" customHeight="false" outlineLevel="0" collapsed="false">
      <c r="A786" s="2" t="s">
        <v>119</v>
      </c>
      <c r="B786" s="2" t="n">
        <v>5</v>
      </c>
      <c r="C786" s="2" t="s">
        <v>73</v>
      </c>
      <c r="D786" s="2" t="s">
        <v>39</v>
      </c>
      <c r="E786" s="2" t="str">
        <f aca="false">INDEX(Products!$B$2:$B$13,MATCH(D786,Products!$A$2:$A$13,0))</f>
        <v>Hydroprocessing</v>
      </c>
      <c r="F786" s="15" t="n">
        <v>5.5</v>
      </c>
      <c r="G786" s="16" t="n">
        <f aca="false">IF(A786="2025",INDEX(Products!$C$2:$C$13,MATCH(D786,Products!$A$2:$A$13,0)),INDEX(Products!$E$2:$E$13,MATCH(D786,Products!$A$2:$A$13,0)))</f>
        <v>13198.5</v>
      </c>
      <c r="H786" s="13" t="n">
        <f aca="false">IF(A786="2025",INDEX(Customers!$D$2:$D$41,MATCH(C786,Customers!$A$2:$A$41,0)),INDEX(Customers!$F$2:$F$41,MATCH(C786,Customers!$A$2:$A$41,0)))</f>
        <v>0.023</v>
      </c>
      <c r="I786" s="16" t="n">
        <f aca="false">F786*G786</f>
        <v>72591.75</v>
      </c>
      <c r="J786" s="16" t="n">
        <f aca="false">I786*(1-H786)</f>
        <v>70922.13975</v>
      </c>
      <c r="K786" s="16" t="n">
        <f aca="false">J786*INDEX(Customers!$G$2:$G$41,MATCH(C786,Customers!$A$2:$A$41,0))</f>
        <v>1418.442795</v>
      </c>
      <c r="L786" s="16" t="n">
        <f aca="false">F786*INDEX(Customers!$H$2:$H$41,MATCH(C786,Customers!$A$2:$A$41,0))</f>
        <v>2035</v>
      </c>
      <c r="M786" s="16" t="n">
        <f aca="false">J786*INDEX(Customers!$I$2:$I$41,MATCH(C786,Customers!$A$2:$A$41,0))/365*Assumptions!$B$6</f>
        <v>932.674714520548</v>
      </c>
      <c r="N786" s="16" t="n">
        <f aca="false">J786-K786-L786-M786</f>
        <v>66536.0222404795</v>
      </c>
      <c r="O786" s="16" t="n">
        <f aca="false">F786*IF(A786="2025",INDEX(Products!$D$2:$D$13,MATCH(D786,Products!$A$2:$A$13,0)),INDEX(Products!$F$2:$F$13,MATCH(D786,Products!$A$2:$A$13,0)))</f>
        <v>41297.85</v>
      </c>
      <c r="P786" s="16" t="n">
        <f aca="false">N786-O786</f>
        <v>25238.1722404795</v>
      </c>
    </row>
    <row r="787" customFormat="false" ht="15" hidden="false" customHeight="false" outlineLevel="0" collapsed="false">
      <c r="A787" s="2" t="s">
        <v>119</v>
      </c>
      <c r="B787" s="2" t="n">
        <v>6</v>
      </c>
      <c r="C787" s="2" t="s">
        <v>73</v>
      </c>
      <c r="D787" s="2" t="s">
        <v>39</v>
      </c>
      <c r="E787" s="2" t="str">
        <f aca="false">INDEX(Products!$B$2:$B$13,MATCH(D787,Products!$A$2:$A$13,0))</f>
        <v>Hydroprocessing</v>
      </c>
      <c r="F787" s="15" t="n">
        <v>4</v>
      </c>
      <c r="G787" s="16" t="n">
        <f aca="false">IF(A787="2025",INDEX(Products!$C$2:$C$13,MATCH(D787,Products!$A$2:$A$13,0)),INDEX(Products!$E$2:$E$13,MATCH(D787,Products!$A$2:$A$13,0)))</f>
        <v>13198.5</v>
      </c>
      <c r="H787" s="13" t="n">
        <f aca="false">IF(A787="2025",INDEX(Customers!$D$2:$D$41,MATCH(C787,Customers!$A$2:$A$41,0)),INDEX(Customers!$F$2:$F$41,MATCH(C787,Customers!$A$2:$A$41,0)))</f>
        <v>0.023</v>
      </c>
      <c r="I787" s="16" t="n">
        <f aca="false">F787*G787</f>
        <v>52794</v>
      </c>
      <c r="J787" s="16" t="n">
        <f aca="false">I787*(1-H787)</f>
        <v>51579.738</v>
      </c>
      <c r="K787" s="16" t="n">
        <f aca="false">J787*INDEX(Customers!$G$2:$G$41,MATCH(C787,Customers!$A$2:$A$41,0))</f>
        <v>1031.59476</v>
      </c>
      <c r="L787" s="16" t="n">
        <f aca="false">F787*INDEX(Customers!$H$2:$H$41,MATCH(C787,Customers!$A$2:$A$41,0))</f>
        <v>1480</v>
      </c>
      <c r="M787" s="16" t="n">
        <f aca="false">J787*INDEX(Customers!$I$2:$I$41,MATCH(C787,Customers!$A$2:$A$41,0))/365*Assumptions!$B$6</f>
        <v>678.308883287671</v>
      </c>
      <c r="N787" s="16" t="n">
        <f aca="false">J787-K787-L787-M787</f>
        <v>48389.8343567123</v>
      </c>
      <c r="O787" s="16" t="n">
        <f aca="false">F787*IF(A787="2025",INDEX(Products!$D$2:$D$13,MATCH(D787,Products!$A$2:$A$13,0)),INDEX(Products!$F$2:$F$13,MATCH(D787,Products!$A$2:$A$13,0)))</f>
        <v>30034.8</v>
      </c>
      <c r="P787" s="16" t="n">
        <f aca="false">N787-O787</f>
        <v>18355.0343567123</v>
      </c>
    </row>
    <row r="788" customFormat="false" ht="15" hidden="false" customHeight="false" outlineLevel="0" collapsed="false">
      <c r="A788" s="2" t="s">
        <v>119</v>
      </c>
      <c r="B788" s="2" t="n">
        <v>7</v>
      </c>
      <c r="C788" s="2" t="s">
        <v>73</v>
      </c>
      <c r="D788" s="2" t="s">
        <v>39</v>
      </c>
      <c r="E788" s="2" t="str">
        <f aca="false">INDEX(Products!$B$2:$B$13,MATCH(D788,Products!$A$2:$A$13,0))</f>
        <v>Hydroprocessing</v>
      </c>
      <c r="F788" s="15" t="n">
        <v>4.7</v>
      </c>
      <c r="G788" s="16" t="n">
        <f aca="false">IF(A788="2025",INDEX(Products!$C$2:$C$13,MATCH(D788,Products!$A$2:$A$13,0)),INDEX(Products!$E$2:$E$13,MATCH(D788,Products!$A$2:$A$13,0)))</f>
        <v>13198.5</v>
      </c>
      <c r="H788" s="13" t="n">
        <f aca="false">IF(A788="2025",INDEX(Customers!$D$2:$D$41,MATCH(C788,Customers!$A$2:$A$41,0)),INDEX(Customers!$F$2:$F$41,MATCH(C788,Customers!$A$2:$A$41,0)))</f>
        <v>0.023</v>
      </c>
      <c r="I788" s="16" t="n">
        <f aca="false">F788*G788</f>
        <v>62032.95</v>
      </c>
      <c r="J788" s="16" t="n">
        <f aca="false">I788*(1-H788)</f>
        <v>60606.19215</v>
      </c>
      <c r="K788" s="16" t="n">
        <f aca="false">J788*INDEX(Customers!$G$2:$G$41,MATCH(C788,Customers!$A$2:$A$41,0))</f>
        <v>1212.123843</v>
      </c>
      <c r="L788" s="16" t="n">
        <f aca="false">F788*INDEX(Customers!$H$2:$H$41,MATCH(C788,Customers!$A$2:$A$41,0))</f>
        <v>1739</v>
      </c>
      <c r="M788" s="16" t="n">
        <f aca="false">J788*INDEX(Customers!$I$2:$I$41,MATCH(C788,Customers!$A$2:$A$41,0))/365*Assumptions!$B$6</f>
        <v>797.012937863014</v>
      </c>
      <c r="N788" s="16" t="n">
        <f aca="false">J788-K788-L788-M788</f>
        <v>56858.055369137</v>
      </c>
      <c r="O788" s="16" t="n">
        <f aca="false">F788*IF(A788="2025",INDEX(Products!$D$2:$D$13,MATCH(D788,Products!$A$2:$A$13,0)),INDEX(Products!$F$2:$F$13,MATCH(D788,Products!$A$2:$A$13,0)))</f>
        <v>35290.89</v>
      </c>
      <c r="P788" s="16" t="n">
        <f aca="false">N788-O788</f>
        <v>21567.165369137</v>
      </c>
    </row>
    <row r="789" customFormat="false" ht="15" hidden="false" customHeight="false" outlineLevel="0" collapsed="false">
      <c r="A789" s="2" t="s">
        <v>119</v>
      </c>
      <c r="B789" s="2" t="n">
        <v>8</v>
      </c>
      <c r="C789" s="2" t="s">
        <v>73</v>
      </c>
      <c r="D789" s="2" t="s">
        <v>39</v>
      </c>
      <c r="E789" s="2" t="str">
        <f aca="false">INDEX(Products!$B$2:$B$13,MATCH(D789,Products!$A$2:$A$13,0))</f>
        <v>Hydroprocessing</v>
      </c>
      <c r="F789" s="15" t="n">
        <v>4.2</v>
      </c>
      <c r="G789" s="16" t="n">
        <f aca="false">IF(A789="2025",INDEX(Products!$C$2:$C$13,MATCH(D789,Products!$A$2:$A$13,0)),INDEX(Products!$E$2:$E$13,MATCH(D789,Products!$A$2:$A$13,0)))</f>
        <v>13198.5</v>
      </c>
      <c r="H789" s="13" t="n">
        <f aca="false">IF(A789="2025",INDEX(Customers!$D$2:$D$41,MATCH(C789,Customers!$A$2:$A$41,0)),INDEX(Customers!$F$2:$F$41,MATCH(C789,Customers!$A$2:$A$41,0)))</f>
        <v>0.023</v>
      </c>
      <c r="I789" s="16" t="n">
        <f aca="false">F789*G789</f>
        <v>55433.7</v>
      </c>
      <c r="J789" s="16" t="n">
        <f aca="false">I789*(1-H789)</f>
        <v>54158.7249</v>
      </c>
      <c r="K789" s="16" t="n">
        <f aca="false">J789*INDEX(Customers!$G$2:$G$41,MATCH(C789,Customers!$A$2:$A$41,0))</f>
        <v>1083.174498</v>
      </c>
      <c r="L789" s="16" t="n">
        <f aca="false">F789*INDEX(Customers!$H$2:$H$41,MATCH(C789,Customers!$A$2:$A$41,0))</f>
        <v>1554</v>
      </c>
      <c r="M789" s="16" t="n">
        <f aca="false">J789*INDEX(Customers!$I$2:$I$41,MATCH(C789,Customers!$A$2:$A$41,0))/365*Assumptions!$B$6</f>
        <v>712.224327452055</v>
      </c>
      <c r="N789" s="16" t="n">
        <f aca="false">J789-K789-L789-M789</f>
        <v>50809.326074548</v>
      </c>
      <c r="O789" s="16" t="n">
        <f aca="false">F789*IF(A789="2025",INDEX(Products!$D$2:$D$13,MATCH(D789,Products!$A$2:$A$13,0)),INDEX(Products!$F$2:$F$13,MATCH(D789,Products!$A$2:$A$13,0)))</f>
        <v>31536.54</v>
      </c>
      <c r="P789" s="16" t="n">
        <f aca="false">N789-O789</f>
        <v>19272.786074548</v>
      </c>
    </row>
    <row r="790" customFormat="false" ht="15" hidden="false" customHeight="false" outlineLevel="0" collapsed="false">
      <c r="A790" s="2" t="s">
        <v>119</v>
      </c>
      <c r="B790" s="2" t="n">
        <v>9</v>
      </c>
      <c r="C790" s="2" t="s">
        <v>73</v>
      </c>
      <c r="D790" s="2" t="s">
        <v>39</v>
      </c>
      <c r="E790" s="2" t="str">
        <f aca="false">INDEX(Products!$B$2:$B$13,MATCH(D790,Products!$A$2:$A$13,0))</f>
        <v>Hydroprocessing</v>
      </c>
      <c r="F790" s="15" t="n">
        <v>6.1</v>
      </c>
      <c r="G790" s="16" t="n">
        <f aca="false">IF(A790="2025",INDEX(Products!$C$2:$C$13,MATCH(D790,Products!$A$2:$A$13,0)),INDEX(Products!$E$2:$E$13,MATCH(D790,Products!$A$2:$A$13,0)))</f>
        <v>13198.5</v>
      </c>
      <c r="H790" s="13" t="n">
        <f aca="false">IF(A790="2025",INDEX(Customers!$D$2:$D$41,MATCH(C790,Customers!$A$2:$A$41,0)),INDEX(Customers!$F$2:$F$41,MATCH(C790,Customers!$A$2:$A$41,0)))</f>
        <v>0.023</v>
      </c>
      <c r="I790" s="16" t="n">
        <f aca="false">F790*G790</f>
        <v>80510.85</v>
      </c>
      <c r="J790" s="16" t="n">
        <f aca="false">I790*(1-H790)</f>
        <v>78659.10045</v>
      </c>
      <c r="K790" s="16" t="n">
        <f aca="false">J790*INDEX(Customers!$G$2:$G$41,MATCH(C790,Customers!$A$2:$A$41,0))</f>
        <v>1573.182009</v>
      </c>
      <c r="L790" s="16" t="n">
        <f aca="false">F790*INDEX(Customers!$H$2:$H$41,MATCH(C790,Customers!$A$2:$A$41,0))</f>
        <v>2257</v>
      </c>
      <c r="M790" s="16" t="n">
        <f aca="false">J790*INDEX(Customers!$I$2:$I$41,MATCH(C790,Customers!$A$2:$A$41,0))/365*Assumptions!$B$6</f>
        <v>1034.4210470137</v>
      </c>
      <c r="N790" s="16" t="n">
        <f aca="false">J790-K790-L790-M790</f>
        <v>73794.4973939863</v>
      </c>
      <c r="O790" s="16" t="n">
        <f aca="false">F790*IF(A790="2025",INDEX(Products!$D$2:$D$13,MATCH(D790,Products!$A$2:$A$13,0)),INDEX(Products!$F$2:$F$13,MATCH(D790,Products!$A$2:$A$13,0)))</f>
        <v>45803.07</v>
      </c>
      <c r="P790" s="16" t="n">
        <f aca="false">N790-O790</f>
        <v>27991.4273939863</v>
      </c>
    </row>
    <row r="791" customFormat="false" ht="15" hidden="false" customHeight="false" outlineLevel="0" collapsed="false">
      <c r="A791" s="2" t="s">
        <v>119</v>
      </c>
      <c r="B791" s="2" t="n">
        <v>10</v>
      </c>
      <c r="C791" s="2" t="s">
        <v>73</v>
      </c>
      <c r="D791" s="2" t="s">
        <v>39</v>
      </c>
      <c r="E791" s="2" t="str">
        <f aca="false">INDEX(Products!$B$2:$B$13,MATCH(D791,Products!$A$2:$A$13,0))</f>
        <v>Hydroprocessing</v>
      </c>
      <c r="F791" s="15" t="n">
        <v>5</v>
      </c>
      <c r="G791" s="16" t="n">
        <f aca="false">IF(A791="2025",INDEX(Products!$C$2:$C$13,MATCH(D791,Products!$A$2:$A$13,0)),INDEX(Products!$E$2:$E$13,MATCH(D791,Products!$A$2:$A$13,0)))</f>
        <v>13198.5</v>
      </c>
      <c r="H791" s="13" t="n">
        <f aca="false">IF(A791="2025",INDEX(Customers!$D$2:$D$41,MATCH(C791,Customers!$A$2:$A$41,0)),INDEX(Customers!$F$2:$F$41,MATCH(C791,Customers!$A$2:$A$41,0)))</f>
        <v>0.023</v>
      </c>
      <c r="I791" s="16" t="n">
        <f aca="false">F791*G791</f>
        <v>65992.5</v>
      </c>
      <c r="J791" s="16" t="n">
        <f aca="false">I791*(1-H791)</f>
        <v>64474.6725</v>
      </c>
      <c r="K791" s="16" t="n">
        <f aca="false">J791*INDEX(Customers!$G$2:$G$41,MATCH(C791,Customers!$A$2:$A$41,0))</f>
        <v>1289.49345</v>
      </c>
      <c r="L791" s="16" t="n">
        <f aca="false">F791*INDEX(Customers!$H$2:$H$41,MATCH(C791,Customers!$A$2:$A$41,0))</f>
        <v>1850</v>
      </c>
      <c r="M791" s="16" t="n">
        <f aca="false">J791*INDEX(Customers!$I$2:$I$41,MATCH(C791,Customers!$A$2:$A$41,0))/365*Assumptions!$B$6</f>
        <v>847.886104109589</v>
      </c>
      <c r="N791" s="16" t="n">
        <f aca="false">J791-K791-L791-M791</f>
        <v>60487.2929458904</v>
      </c>
      <c r="O791" s="16" t="n">
        <f aca="false">F791*IF(A791="2025",INDEX(Products!$D$2:$D$13,MATCH(D791,Products!$A$2:$A$13,0)),INDEX(Products!$F$2:$F$13,MATCH(D791,Products!$A$2:$A$13,0)))</f>
        <v>37543.5</v>
      </c>
      <c r="P791" s="16" t="n">
        <f aca="false">N791-O791</f>
        <v>22943.7929458904</v>
      </c>
    </row>
    <row r="792" customFormat="false" ht="15" hidden="false" customHeight="false" outlineLevel="0" collapsed="false">
      <c r="A792" s="2" t="s">
        <v>119</v>
      </c>
      <c r="B792" s="2" t="n">
        <v>11</v>
      </c>
      <c r="C792" s="2" t="s">
        <v>73</v>
      </c>
      <c r="D792" s="2" t="s">
        <v>39</v>
      </c>
      <c r="E792" s="2" t="str">
        <f aca="false">INDEX(Products!$B$2:$B$13,MATCH(D792,Products!$A$2:$A$13,0))</f>
        <v>Hydroprocessing</v>
      </c>
      <c r="F792" s="15" t="n">
        <v>5.4</v>
      </c>
      <c r="G792" s="16" t="n">
        <f aca="false">IF(A792="2025",INDEX(Products!$C$2:$C$13,MATCH(D792,Products!$A$2:$A$13,0)),INDEX(Products!$E$2:$E$13,MATCH(D792,Products!$A$2:$A$13,0)))</f>
        <v>13198.5</v>
      </c>
      <c r="H792" s="13" t="n">
        <f aca="false">IF(A792="2025",INDEX(Customers!$D$2:$D$41,MATCH(C792,Customers!$A$2:$A$41,0)),INDEX(Customers!$F$2:$F$41,MATCH(C792,Customers!$A$2:$A$41,0)))</f>
        <v>0.023</v>
      </c>
      <c r="I792" s="16" t="n">
        <f aca="false">F792*G792</f>
        <v>71271.9</v>
      </c>
      <c r="J792" s="16" t="n">
        <f aca="false">I792*(1-H792)</f>
        <v>69632.6463</v>
      </c>
      <c r="K792" s="16" t="n">
        <f aca="false">J792*INDEX(Customers!$G$2:$G$41,MATCH(C792,Customers!$A$2:$A$41,0))</f>
        <v>1392.652926</v>
      </c>
      <c r="L792" s="16" t="n">
        <f aca="false">F792*INDEX(Customers!$H$2:$H$41,MATCH(C792,Customers!$A$2:$A$41,0))</f>
        <v>1998</v>
      </c>
      <c r="M792" s="16" t="n">
        <f aca="false">J792*INDEX(Customers!$I$2:$I$41,MATCH(C792,Customers!$A$2:$A$41,0))/365*Assumptions!$B$6</f>
        <v>915.716992438356</v>
      </c>
      <c r="N792" s="16" t="n">
        <f aca="false">J792-K792-L792-M792</f>
        <v>65326.2763815617</v>
      </c>
      <c r="O792" s="16" t="n">
        <f aca="false">F792*IF(A792="2025",INDEX(Products!$D$2:$D$13,MATCH(D792,Products!$A$2:$A$13,0)),INDEX(Products!$F$2:$F$13,MATCH(D792,Products!$A$2:$A$13,0)))</f>
        <v>40546.98</v>
      </c>
      <c r="P792" s="16" t="n">
        <f aca="false">N792-O792</f>
        <v>24779.2963815617</v>
      </c>
    </row>
    <row r="793" customFormat="false" ht="15" hidden="false" customHeight="false" outlineLevel="0" collapsed="false">
      <c r="A793" s="2" t="s">
        <v>119</v>
      </c>
      <c r="B793" s="2" t="n">
        <v>12</v>
      </c>
      <c r="C793" s="2" t="s">
        <v>73</v>
      </c>
      <c r="D793" s="2" t="s">
        <v>39</v>
      </c>
      <c r="E793" s="2" t="str">
        <f aca="false">INDEX(Products!$B$2:$B$13,MATCH(D793,Products!$A$2:$A$13,0))</f>
        <v>Hydroprocessing</v>
      </c>
      <c r="F793" s="15" t="n">
        <v>5.7</v>
      </c>
      <c r="G793" s="16" t="n">
        <f aca="false">IF(A793="2025",INDEX(Products!$C$2:$C$13,MATCH(D793,Products!$A$2:$A$13,0)),INDEX(Products!$E$2:$E$13,MATCH(D793,Products!$A$2:$A$13,0)))</f>
        <v>13198.5</v>
      </c>
      <c r="H793" s="13" t="n">
        <f aca="false">IF(A793="2025",INDEX(Customers!$D$2:$D$41,MATCH(C793,Customers!$A$2:$A$41,0)),INDEX(Customers!$F$2:$F$41,MATCH(C793,Customers!$A$2:$A$41,0)))</f>
        <v>0.023</v>
      </c>
      <c r="I793" s="16" t="n">
        <f aca="false">F793*G793</f>
        <v>75231.45</v>
      </c>
      <c r="J793" s="16" t="n">
        <f aca="false">I793*(1-H793)</f>
        <v>73501.12665</v>
      </c>
      <c r="K793" s="16" t="n">
        <f aca="false">J793*INDEX(Customers!$G$2:$G$41,MATCH(C793,Customers!$A$2:$A$41,0))</f>
        <v>1470.022533</v>
      </c>
      <c r="L793" s="16" t="n">
        <f aca="false">F793*INDEX(Customers!$H$2:$H$41,MATCH(C793,Customers!$A$2:$A$41,0))</f>
        <v>2109</v>
      </c>
      <c r="M793" s="16" t="n">
        <f aca="false">J793*INDEX(Customers!$I$2:$I$41,MATCH(C793,Customers!$A$2:$A$41,0))/365*Assumptions!$B$6</f>
        <v>966.590158684931</v>
      </c>
      <c r="N793" s="16" t="n">
        <f aca="false">J793-K793-L793-M793</f>
        <v>68955.5139583151</v>
      </c>
      <c r="O793" s="16" t="n">
        <f aca="false">F793*IF(A793="2025",INDEX(Products!$D$2:$D$13,MATCH(D793,Products!$A$2:$A$13,0)),INDEX(Products!$F$2:$F$13,MATCH(D793,Products!$A$2:$A$13,0)))</f>
        <v>42799.59</v>
      </c>
      <c r="P793" s="16" t="n">
        <f aca="false">N793-O793</f>
        <v>26155.9239583151</v>
      </c>
    </row>
    <row r="794" customFormat="false" ht="15" hidden="false" customHeight="false" outlineLevel="0" collapsed="false">
      <c r="A794" s="2" t="s">
        <v>118</v>
      </c>
      <c r="B794" s="2" t="n">
        <v>1</v>
      </c>
      <c r="C794" s="2" t="s">
        <v>73</v>
      </c>
      <c r="D794" s="2" t="s">
        <v>42</v>
      </c>
      <c r="E794" s="2" t="str">
        <f aca="false">INDEX(Products!$B$2:$B$13,MATCH(D794,Products!$A$2:$A$13,0))</f>
        <v>Hydroprocessing</v>
      </c>
      <c r="F794" s="15" t="n">
        <v>4.4</v>
      </c>
      <c r="G794" s="16" t="n">
        <f aca="false">IF(A794="2025",INDEX(Products!$C$2:$C$13,MATCH(D794,Products!$A$2:$A$13,0)),INDEX(Products!$E$2:$E$13,MATCH(D794,Products!$A$2:$A$13,0)))</f>
        <v>12450</v>
      </c>
      <c r="H794" s="13" t="n">
        <f aca="false">IF(A794="2025",INDEX(Customers!$D$2:$D$41,MATCH(C794,Customers!$A$2:$A$41,0)),INDEX(Customers!$F$2:$F$41,MATCH(C794,Customers!$A$2:$A$41,0)))</f>
        <v>0.023</v>
      </c>
      <c r="I794" s="16" t="n">
        <f aca="false">F794*G794</f>
        <v>54780</v>
      </c>
      <c r="J794" s="16" t="n">
        <f aca="false">I794*(1-H794)</f>
        <v>53520.06</v>
      </c>
      <c r="K794" s="16" t="n">
        <f aca="false">J794*INDEX(Customers!$G$2:$G$41,MATCH(C794,Customers!$A$2:$A$41,0))</f>
        <v>1070.4012</v>
      </c>
      <c r="L794" s="16" t="n">
        <f aca="false">F794*INDEX(Customers!$H$2:$H$41,MATCH(C794,Customers!$A$2:$A$41,0))</f>
        <v>1628</v>
      </c>
      <c r="M794" s="16" t="n">
        <f aca="false">J794*INDEX(Customers!$I$2:$I$41,MATCH(C794,Customers!$A$2:$A$41,0))/365*Assumptions!$B$6</f>
        <v>703.825446575343</v>
      </c>
      <c r="N794" s="16" t="n">
        <f aca="false">J794-K794-L794-M794</f>
        <v>50117.8333534247</v>
      </c>
      <c r="O794" s="16" t="n">
        <f aca="false">F794*IF(A794="2025",INDEX(Products!$D$2:$D$13,MATCH(D794,Products!$A$2:$A$13,0)),INDEX(Products!$F$2:$F$13,MATCH(D794,Products!$A$2:$A$13,0)))</f>
        <v>34232</v>
      </c>
      <c r="P794" s="16" t="n">
        <f aca="false">N794-O794</f>
        <v>15885.8333534247</v>
      </c>
    </row>
    <row r="795" customFormat="false" ht="15" hidden="false" customHeight="false" outlineLevel="0" collapsed="false">
      <c r="A795" s="2" t="s">
        <v>118</v>
      </c>
      <c r="B795" s="2" t="n">
        <v>2</v>
      </c>
      <c r="C795" s="2" t="s">
        <v>73</v>
      </c>
      <c r="D795" s="2" t="s">
        <v>42</v>
      </c>
      <c r="E795" s="2" t="str">
        <f aca="false">INDEX(Products!$B$2:$B$13,MATCH(D795,Products!$A$2:$A$13,0))</f>
        <v>Hydroprocessing</v>
      </c>
      <c r="F795" s="15" t="n">
        <v>6.1</v>
      </c>
      <c r="G795" s="16" t="n">
        <f aca="false">IF(A795="2025",INDEX(Products!$C$2:$C$13,MATCH(D795,Products!$A$2:$A$13,0)),INDEX(Products!$E$2:$E$13,MATCH(D795,Products!$A$2:$A$13,0)))</f>
        <v>12450</v>
      </c>
      <c r="H795" s="13" t="n">
        <f aca="false">IF(A795="2025",INDEX(Customers!$D$2:$D$41,MATCH(C795,Customers!$A$2:$A$41,0)),INDEX(Customers!$F$2:$F$41,MATCH(C795,Customers!$A$2:$A$41,0)))</f>
        <v>0.023</v>
      </c>
      <c r="I795" s="16" t="n">
        <f aca="false">F795*G795</f>
        <v>75945</v>
      </c>
      <c r="J795" s="16" t="n">
        <f aca="false">I795*(1-H795)</f>
        <v>74198.265</v>
      </c>
      <c r="K795" s="16" t="n">
        <f aca="false">J795*INDEX(Customers!$G$2:$G$41,MATCH(C795,Customers!$A$2:$A$41,0))</f>
        <v>1483.9653</v>
      </c>
      <c r="L795" s="16" t="n">
        <f aca="false">F795*INDEX(Customers!$H$2:$H$41,MATCH(C795,Customers!$A$2:$A$41,0))</f>
        <v>2257</v>
      </c>
      <c r="M795" s="16" t="n">
        <f aca="false">J795*INDEX(Customers!$I$2:$I$41,MATCH(C795,Customers!$A$2:$A$41,0))/365*Assumptions!$B$6</f>
        <v>975.758005479452</v>
      </c>
      <c r="N795" s="16" t="n">
        <f aca="false">J795-K795-L795-M795</f>
        <v>69481.5416945206</v>
      </c>
      <c r="O795" s="16" t="n">
        <f aca="false">F795*IF(A795="2025",INDEX(Products!$D$2:$D$13,MATCH(D795,Products!$A$2:$A$13,0)),INDEX(Products!$F$2:$F$13,MATCH(D795,Products!$A$2:$A$13,0)))</f>
        <v>47458</v>
      </c>
      <c r="P795" s="16" t="n">
        <f aca="false">N795-O795</f>
        <v>22023.5416945206</v>
      </c>
    </row>
    <row r="796" customFormat="false" ht="15" hidden="false" customHeight="false" outlineLevel="0" collapsed="false">
      <c r="A796" s="2" t="s">
        <v>118</v>
      </c>
      <c r="B796" s="2" t="n">
        <v>3</v>
      </c>
      <c r="C796" s="2" t="s">
        <v>73</v>
      </c>
      <c r="D796" s="2" t="s">
        <v>42</v>
      </c>
      <c r="E796" s="2" t="str">
        <f aca="false">INDEX(Products!$B$2:$B$13,MATCH(D796,Products!$A$2:$A$13,0))</f>
        <v>Hydroprocessing</v>
      </c>
      <c r="F796" s="15" t="n">
        <v>5.5</v>
      </c>
      <c r="G796" s="16" t="n">
        <f aca="false">IF(A796="2025",INDEX(Products!$C$2:$C$13,MATCH(D796,Products!$A$2:$A$13,0)),INDEX(Products!$E$2:$E$13,MATCH(D796,Products!$A$2:$A$13,0)))</f>
        <v>12450</v>
      </c>
      <c r="H796" s="13" t="n">
        <f aca="false">IF(A796="2025",INDEX(Customers!$D$2:$D$41,MATCH(C796,Customers!$A$2:$A$41,0)),INDEX(Customers!$F$2:$F$41,MATCH(C796,Customers!$A$2:$A$41,0)))</f>
        <v>0.023</v>
      </c>
      <c r="I796" s="16" t="n">
        <f aca="false">F796*G796</f>
        <v>68475</v>
      </c>
      <c r="J796" s="16" t="n">
        <f aca="false">I796*(1-H796)</f>
        <v>66900.075</v>
      </c>
      <c r="K796" s="16" t="n">
        <f aca="false">J796*INDEX(Customers!$G$2:$G$41,MATCH(C796,Customers!$A$2:$A$41,0))</f>
        <v>1338.0015</v>
      </c>
      <c r="L796" s="16" t="n">
        <f aca="false">F796*INDEX(Customers!$H$2:$H$41,MATCH(C796,Customers!$A$2:$A$41,0))</f>
        <v>2035</v>
      </c>
      <c r="M796" s="16" t="n">
        <f aca="false">J796*INDEX(Customers!$I$2:$I$41,MATCH(C796,Customers!$A$2:$A$41,0))/365*Assumptions!$B$6</f>
        <v>879.781808219178</v>
      </c>
      <c r="N796" s="16" t="n">
        <f aca="false">J796-K796-L796-M796</f>
        <v>62647.2916917808</v>
      </c>
      <c r="O796" s="16" t="n">
        <f aca="false">F796*IF(A796="2025",INDEX(Products!$D$2:$D$13,MATCH(D796,Products!$A$2:$A$13,0)),INDEX(Products!$F$2:$F$13,MATCH(D796,Products!$A$2:$A$13,0)))</f>
        <v>42790</v>
      </c>
      <c r="P796" s="16" t="n">
        <f aca="false">N796-O796</f>
        <v>19857.2916917808</v>
      </c>
    </row>
    <row r="797" customFormat="false" ht="15" hidden="false" customHeight="false" outlineLevel="0" collapsed="false">
      <c r="A797" s="2" t="s">
        <v>118</v>
      </c>
      <c r="B797" s="2" t="n">
        <v>4</v>
      </c>
      <c r="C797" s="2" t="s">
        <v>73</v>
      </c>
      <c r="D797" s="2" t="s">
        <v>42</v>
      </c>
      <c r="E797" s="2" t="str">
        <f aca="false">INDEX(Products!$B$2:$B$13,MATCH(D797,Products!$A$2:$A$13,0))</f>
        <v>Hydroprocessing</v>
      </c>
      <c r="F797" s="15" t="n">
        <v>5.2</v>
      </c>
      <c r="G797" s="16" t="n">
        <f aca="false">IF(A797="2025",INDEX(Products!$C$2:$C$13,MATCH(D797,Products!$A$2:$A$13,0)),INDEX(Products!$E$2:$E$13,MATCH(D797,Products!$A$2:$A$13,0)))</f>
        <v>12450</v>
      </c>
      <c r="H797" s="13" t="n">
        <f aca="false">IF(A797="2025",INDEX(Customers!$D$2:$D$41,MATCH(C797,Customers!$A$2:$A$41,0)),INDEX(Customers!$F$2:$F$41,MATCH(C797,Customers!$A$2:$A$41,0)))</f>
        <v>0.023</v>
      </c>
      <c r="I797" s="16" t="n">
        <f aca="false">F797*G797</f>
        <v>64740</v>
      </c>
      <c r="J797" s="16" t="n">
        <f aca="false">I797*(1-H797)</f>
        <v>63250.98</v>
      </c>
      <c r="K797" s="16" t="n">
        <f aca="false">J797*INDEX(Customers!$G$2:$G$41,MATCH(C797,Customers!$A$2:$A$41,0))</f>
        <v>1265.0196</v>
      </c>
      <c r="L797" s="16" t="n">
        <f aca="false">F797*INDEX(Customers!$H$2:$H$41,MATCH(C797,Customers!$A$2:$A$41,0))</f>
        <v>1924</v>
      </c>
      <c r="M797" s="16" t="n">
        <f aca="false">J797*INDEX(Customers!$I$2:$I$41,MATCH(C797,Customers!$A$2:$A$41,0))/365*Assumptions!$B$6</f>
        <v>831.793709589041</v>
      </c>
      <c r="N797" s="16" t="n">
        <f aca="false">J797-K797-L797-M797</f>
        <v>59230.166690411</v>
      </c>
      <c r="O797" s="16" t="n">
        <f aca="false">F797*IF(A797="2025",INDEX(Products!$D$2:$D$13,MATCH(D797,Products!$A$2:$A$13,0)),INDEX(Products!$F$2:$F$13,MATCH(D797,Products!$A$2:$A$13,0)))</f>
        <v>40456</v>
      </c>
      <c r="P797" s="16" t="n">
        <f aca="false">N797-O797</f>
        <v>18774.166690411</v>
      </c>
    </row>
    <row r="798" customFormat="false" ht="15" hidden="false" customHeight="false" outlineLevel="0" collapsed="false">
      <c r="A798" s="2" t="s">
        <v>118</v>
      </c>
      <c r="B798" s="2" t="n">
        <v>5</v>
      </c>
      <c r="C798" s="2" t="s">
        <v>73</v>
      </c>
      <c r="D798" s="2" t="s">
        <v>42</v>
      </c>
      <c r="E798" s="2" t="str">
        <f aca="false">INDEX(Products!$B$2:$B$13,MATCH(D798,Products!$A$2:$A$13,0))</f>
        <v>Hydroprocessing</v>
      </c>
      <c r="F798" s="15" t="n">
        <v>3.8</v>
      </c>
      <c r="G798" s="16" t="n">
        <f aca="false">IF(A798="2025",INDEX(Products!$C$2:$C$13,MATCH(D798,Products!$A$2:$A$13,0)),INDEX(Products!$E$2:$E$13,MATCH(D798,Products!$A$2:$A$13,0)))</f>
        <v>12450</v>
      </c>
      <c r="H798" s="13" t="n">
        <f aca="false">IF(A798="2025",INDEX(Customers!$D$2:$D$41,MATCH(C798,Customers!$A$2:$A$41,0)),INDEX(Customers!$F$2:$F$41,MATCH(C798,Customers!$A$2:$A$41,0)))</f>
        <v>0.023</v>
      </c>
      <c r="I798" s="16" t="n">
        <f aca="false">F798*G798</f>
        <v>47310</v>
      </c>
      <c r="J798" s="16" t="n">
        <f aca="false">I798*(1-H798)</f>
        <v>46221.87</v>
      </c>
      <c r="K798" s="16" t="n">
        <f aca="false">J798*INDEX(Customers!$G$2:$G$41,MATCH(C798,Customers!$A$2:$A$41,0))</f>
        <v>924.4374</v>
      </c>
      <c r="L798" s="16" t="n">
        <f aca="false">F798*INDEX(Customers!$H$2:$H$41,MATCH(C798,Customers!$A$2:$A$41,0))</f>
        <v>1406</v>
      </c>
      <c r="M798" s="16" t="n">
        <f aca="false">J798*INDEX(Customers!$I$2:$I$41,MATCH(C798,Customers!$A$2:$A$41,0))/365*Assumptions!$B$6</f>
        <v>607.849249315069</v>
      </c>
      <c r="N798" s="16" t="n">
        <f aca="false">J798-K798-L798-M798</f>
        <v>43283.5833506849</v>
      </c>
      <c r="O798" s="16" t="n">
        <f aca="false">F798*IF(A798="2025",INDEX(Products!$D$2:$D$13,MATCH(D798,Products!$A$2:$A$13,0)),INDEX(Products!$F$2:$F$13,MATCH(D798,Products!$A$2:$A$13,0)))</f>
        <v>29564</v>
      </c>
      <c r="P798" s="16" t="n">
        <f aca="false">N798-O798</f>
        <v>13719.5833506849</v>
      </c>
    </row>
    <row r="799" customFormat="false" ht="15" hidden="false" customHeight="false" outlineLevel="0" collapsed="false">
      <c r="A799" s="2" t="s">
        <v>118</v>
      </c>
      <c r="B799" s="2" t="n">
        <v>6</v>
      </c>
      <c r="C799" s="2" t="s">
        <v>73</v>
      </c>
      <c r="D799" s="2" t="s">
        <v>42</v>
      </c>
      <c r="E799" s="2" t="str">
        <f aca="false">INDEX(Products!$B$2:$B$13,MATCH(D799,Products!$A$2:$A$13,0))</f>
        <v>Hydroprocessing</v>
      </c>
      <c r="F799" s="15" t="n">
        <v>4.4</v>
      </c>
      <c r="G799" s="16" t="n">
        <f aca="false">IF(A799="2025",INDEX(Products!$C$2:$C$13,MATCH(D799,Products!$A$2:$A$13,0)),INDEX(Products!$E$2:$E$13,MATCH(D799,Products!$A$2:$A$13,0)))</f>
        <v>12450</v>
      </c>
      <c r="H799" s="13" t="n">
        <f aca="false">IF(A799="2025",INDEX(Customers!$D$2:$D$41,MATCH(C799,Customers!$A$2:$A$41,0)),INDEX(Customers!$F$2:$F$41,MATCH(C799,Customers!$A$2:$A$41,0)))</f>
        <v>0.023</v>
      </c>
      <c r="I799" s="16" t="n">
        <f aca="false">F799*G799</f>
        <v>54780</v>
      </c>
      <c r="J799" s="16" t="n">
        <f aca="false">I799*(1-H799)</f>
        <v>53520.06</v>
      </c>
      <c r="K799" s="16" t="n">
        <f aca="false">J799*INDEX(Customers!$G$2:$G$41,MATCH(C799,Customers!$A$2:$A$41,0))</f>
        <v>1070.4012</v>
      </c>
      <c r="L799" s="16" t="n">
        <f aca="false">F799*INDEX(Customers!$H$2:$H$41,MATCH(C799,Customers!$A$2:$A$41,0))</f>
        <v>1628</v>
      </c>
      <c r="M799" s="16" t="n">
        <f aca="false">J799*INDEX(Customers!$I$2:$I$41,MATCH(C799,Customers!$A$2:$A$41,0))/365*Assumptions!$B$6</f>
        <v>703.825446575343</v>
      </c>
      <c r="N799" s="16" t="n">
        <f aca="false">J799-K799-L799-M799</f>
        <v>50117.8333534247</v>
      </c>
      <c r="O799" s="16" t="n">
        <f aca="false">F799*IF(A799="2025",INDEX(Products!$D$2:$D$13,MATCH(D799,Products!$A$2:$A$13,0)),INDEX(Products!$F$2:$F$13,MATCH(D799,Products!$A$2:$A$13,0)))</f>
        <v>34232</v>
      </c>
      <c r="P799" s="16" t="n">
        <f aca="false">N799-O799</f>
        <v>15885.8333534247</v>
      </c>
    </row>
    <row r="800" customFormat="false" ht="15" hidden="false" customHeight="false" outlineLevel="0" collapsed="false">
      <c r="A800" s="2" t="s">
        <v>118</v>
      </c>
      <c r="B800" s="2" t="n">
        <v>7</v>
      </c>
      <c r="C800" s="2" t="s">
        <v>73</v>
      </c>
      <c r="D800" s="2" t="s">
        <v>42</v>
      </c>
      <c r="E800" s="2" t="str">
        <f aca="false">INDEX(Products!$B$2:$B$13,MATCH(D800,Products!$A$2:$A$13,0))</f>
        <v>Hydroprocessing</v>
      </c>
      <c r="F800" s="15" t="n">
        <v>4.4</v>
      </c>
      <c r="G800" s="16" t="n">
        <f aca="false">IF(A800="2025",INDEX(Products!$C$2:$C$13,MATCH(D800,Products!$A$2:$A$13,0)),INDEX(Products!$E$2:$E$13,MATCH(D800,Products!$A$2:$A$13,0)))</f>
        <v>12450</v>
      </c>
      <c r="H800" s="13" t="n">
        <f aca="false">IF(A800="2025",INDEX(Customers!$D$2:$D$41,MATCH(C800,Customers!$A$2:$A$41,0)),INDEX(Customers!$F$2:$F$41,MATCH(C800,Customers!$A$2:$A$41,0)))</f>
        <v>0.023</v>
      </c>
      <c r="I800" s="16" t="n">
        <f aca="false">F800*G800</f>
        <v>54780</v>
      </c>
      <c r="J800" s="16" t="n">
        <f aca="false">I800*(1-H800)</f>
        <v>53520.06</v>
      </c>
      <c r="K800" s="16" t="n">
        <f aca="false">J800*INDEX(Customers!$G$2:$G$41,MATCH(C800,Customers!$A$2:$A$41,0))</f>
        <v>1070.4012</v>
      </c>
      <c r="L800" s="16" t="n">
        <f aca="false">F800*INDEX(Customers!$H$2:$H$41,MATCH(C800,Customers!$A$2:$A$41,0))</f>
        <v>1628</v>
      </c>
      <c r="M800" s="16" t="n">
        <f aca="false">J800*INDEX(Customers!$I$2:$I$41,MATCH(C800,Customers!$A$2:$A$41,0))/365*Assumptions!$B$6</f>
        <v>703.825446575343</v>
      </c>
      <c r="N800" s="16" t="n">
        <f aca="false">J800-K800-L800-M800</f>
        <v>50117.8333534247</v>
      </c>
      <c r="O800" s="16" t="n">
        <f aca="false">F800*IF(A800="2025",INDEX(Products!$D$2:$D$13,MATCH(D800,Products!$A$2:$A$13,0)),INDEX(Products!$F$2:$F$13,MATCH(D800,Products!$A$2:$A$13,0)))</f>
        <v>34232</v>
      </c>
      <c r="P800" s="16" t="n">
        <f aca="false">N800-O800</f>
        <v>15885.8333534247</v>
      </c>
    </row>
    <row r="801" customFormat="false" ht="15" hidden="false" customHeight="false" outlineLevel="0" collapsed="false">
      <c r="A801" s="2" t="s">
        <v>118</v>
      </c>
      <c r="B801" s="2" t="n">
        <v>8</v>
      </c>
      <c r="C801" s="2" t="s">
        <v>73</v>
      </c>
      <c r="D801" s="2" t="s">
        <v>42</v>
      </c>
      <c r="E801" s="2" t="str">
        <f aca="false">INDEX(Products!$B$2:$B$13,MATCH(D801,Products!$A$2:$A$13,0))</f>
        <v>Hydroprocessing</v>
      </c>
      <c r="F801" s="15" t="n">
        <v>5.3</v>
      </c>
      <c r="G801" s="16" t="n">
        <f aca="false">IF(A801="2025",INDEX(Products!$C$2:$C$13,MATCH(D801,Products!$A$2:$A$13,0)),INDEX(Products!$E$2:$E$13,MATCH(D801,Products!$A$2:$A$13,0)))</f>
        <v>12450</v>
      </c>
      <c r="H801" s="13" t="n">
        <f aca="false">IF(A801="2025",INDEX(Customers!$D$2:$D$41,MATCH(C801,Customers!$A$2:$A$41,0)),INDEX(Customers!$F$2:$F$41,MATCH(C801,Customers!$A$2:$A$41,0)))</f>
        <v>0.023</v>
      </c>
      <c r="I801" s="16" t="n">
        <f aca="false">F801*G801</f>
        <v>65985</v>
      </c>
      <c r="J801" s="16" t="n">
        <f aca="false">I801*(1-H801)</f>
        <v>64467.345</v>
      </c>
      <c r="K801" s="16" t="n">
        <f aca="false">J801*INDEX(Customers!$G$2:$G$41,MATCH(C801,Customers!$A$2:$A$41,0))</f>
        <v>1289.3469</v>
      </c>
      <c r="L801" s="16" t="n">
        <f aca="false">F801*INDEX(Customers!$H$2:$H$41,MATCH(C801,Customers!$A$2:$A$41,0))</f>
        <v>1961</v>
      </c>
      <c r="M801" s="16" t="n">
        <f aca="false">J801*INDEX(Customers!$I$2:$I$41,MATCH(C801,Customers!$A$2:$A$41,0))/365*Assumptions!$B$6</f>
        <v>847.789742465754</v>
      </c>
      <c r="N801" s="16" t="n">
        <f aca="false">J801-K801-L801-M801</f>
        <v>60369.2083575343</v>
      </c>
      <c r="O801" s="16" t="n">
        <f aca="false">F801*IF(A801="2025",INDEX(Products!$D$2:$D$13,MATCH(D801,Products!$A$2:$A$13,0)),INDEX(Products!$F$2:$F$13,MATCH(D801,Products!$A$2:$A$13,0)))</f>
        <v>41234</v>
      </c>
      <c r="P801" s="16" t="n">
        <f aca="false">N801-O801</f>
        <v>19135.2083575342</v>
      </c>
    </row>
    <row r="802" customFormat="false" ht="15" hidden="false" customHeight="false" outlineLevel="0" collapsed="false">
      <c r="A802" s="2" t="s">
        <v>118</v>
      </c>
      <c r="B802" s="2" t="n">
        <v>9</v>
      </c>
      <c r="C802" s="2" t="s">
        <v>73</v>
      </c>
      <c r="D802" s="2" t="s">
        <v>42</v>
      </c>
      <c r="E802" s="2" t="str">
        <f aca="false">INDEX(Products!$B$2:$B$13,MATCH(D802,Products!$A$2:$A$13,0))</f>
        <v>Hydroprocessing</v>
      </c>
      <c r="F802" s="15" t="n">
        <v>3.6</v>
      </c>
      <c r="G802" s="16" t="n">
        <f aca="false">IF(A802="2025",INDEX(Products!$C$2:$C$13,MATCH(D802,Products!$A$2:$A$13,0)),INDEX(Products!$E$2:$E$13,MATCH(D802,Products!$A$2:$A$13,0)))</f>
        <v>12450</v>
      </c>
      <c r="H802" s="13" t="n">
        <f aca="false">IF(A802="2025",INDEX(Customers!$D$2:$D$41,MATCH(C802,Customers!$A$2:$A$41,0)),INDEX(Customers!$F$2:$F$41,MATCH(C802,Customers!$A$2:$A$41,0)))</f>
        <v>0.023</v>
      </c>
      <c r="I802" s="16" t="n">
        <f aca="false">F802*G802</f>
        <v>44820</v>
      </c>
      <c r="J802" s="16" t="n">
        <f aca="false">I802*(1-H802)</f>
        <v>43789.14</v>
      </c>
      <c r="K802" s="16" t="n">
        <f aca="false">J802*INDEX(Customers!$G$2:$G$41,MATCH(C802,Customers!$A$2:$A$41,0))</f>
        <v>875.7828</v>
      </c>
      <c r="L802" s="16" t="n">
        <f aca="false">F802*INDEX(Customers!$H$2:$H$41,MATCH(C802,Customers!$A$2:$A$41,0))</f>
        <v>1332</v>
      </c>
      <c r="M802" s="16" t="n">
        <f aca="false">J802*INDEX(Customers!$I$2:$I$41,MATCH(C802,Customers!$A$2:$A$41,0))/365*Assumptions!$B$6</f>
        <v>575.857183561644</v>
      </c>
      <c r="N802" s="16" t="n">
        <f aca="false">J802-K802-L802-M802</f>
        <v>41005.5000164384</v>
      </c>
      <c r="O802" s="16" t="n">
        <f aca="false">F802*IF(A802="2025",INDEX(Products!$D$2:$D$13,MATCH(D802,Products!$A$2:$A$13,0)),INDEX(Products!$F$2:$F$13,MATCH(D802,Products!$A$2:$A$13,0)))</f>
        <v>28008</v>
      </c>
      <c r="P802" s="16" t="n">
        <f aca="false">N802-O802</f>
        <v>12997.5000164384</v>
      </c>
    </row>
    <row r="803" customFormat="false" ht="15" hidden="false" customHeight="false" outlineLevel="0" collapsed="false">
      <c r="A803" s="2" t="s">
        <v>118</v>
      </c>
      <c r="B803" s="2" t="n">
        <v>10</v>
      </c>
      <c r="C803" s="2" t="s">
        <v>73</v>
      </c>
      <c r="D803" s="2" t="s">
        <v>42</v>
      </c>
      <c r="E803" s="2" t="str">
        <f aca="false">INDEX(Products!$B$2:$B$13,MATCH(D803,Products!$A$2:$A$13,0))</f>
        <v>Hydroprocessing</v>
      </c>
      <c r="F803" s="15" t="n">
        <v>3.7</v>
      </c>
      <c r="G803" s="16" t="n">
        <f aca="false">IF(A803="2025",INDEX(Products!$C$2:$C$13,MATCH(D803,Products!$A$2:$A$13,0)),INDEX(Products!$E$2:$E$13,MATCH(D803,Products!$A$2:$A$13,0)))</f>
        <v>12450</v>
      </c>
      <c r="H803" s="13" t="n">
        <f aca="false">IF(A803="2025",INDEX(Customers!$D$2:$D$41,MATCH(C803,Customers!$A$2:$A$41,0)),INDEX(Customers!$F$2:$F$41,MATCH(C803,Customers!$A$2:$A$41,0)))</f>
        <v>0.023</v>
      </c>
      <c r="I803" s="16" t="n">
        <f aca="false">F803*G803</f>
        <v>46065</v>
      </c>
      <c r="J803" s="16" t="n">
        <f aca="false">I803*(1-H803)</f>
        <v>45005.505</v>
      </c>
      <c r="K803" s="16" t="n">
        <f aca="false">J803*INDEX(Customers!$G$2:$G$41,MATCH(C803,Customers!$A$2:$A$41,0))</f>
        <v>900.1101</v>
      </c>
      <c r="L803" s="16" t="n">
        <f aca="false">F803*INDEX(Customers!$H$2:$H$41,MATCH(C803,Customers!$A$2:$A$41,0))</f>
        <v>1369</v>
      </c>
      <c r="M803" s="16" t="n">
        <f aca="false">J803*INDEX(Customers!$I$2:$I$41,MATCH(C803,Customers!$A$2:$A$41,0))/365*Assumptions!$B$6</f>
        <v>591.853216438356</v>
      </c>
      <c r="N803" s="16" t="n">
        <f aca="false">J803-K803-L803-M803</f>
        <v>42144.5416835616</v>
      </c>
      <c r="O803" s="16" t="n">
        <f aca="false">F803*IF(A803="2025",INDEX(Products!$D$2:$D$13,MATCH(D803,Products!$A$2:$A$13,0)),INDEX(Products!$F$2:$F$13,MATCH(D803,Products!$A$2:$A$13,0)))</f>
        <v>28786</v>
      </c>
      <c r="P803" s="16" t="n">
        <f aca="false">N803-O803</f>
        <v>13358.5416835616</v>
      </c>
    </row>
    <row r="804" customFormat="false" ht="15" hidden="false" customHeight="false" outlineLevel="0" collapsed="false">
      <c r="A804" s="2" t="s">
        <v>118</v>
      </c>
      <c r="B804" s="2" t="n">
        <v>11</v>
      </c>
      <c r="C804" s="2" t="s">
        <v>73</v>
      </c>
      <c r="D804" s="2" t="s">
        <v>42</v>
      </c>
      <c r="E804" s="2" t="str">
        <f aca="false">INDEX(Products!$B$2:$B$13,MATCH(D804,Products!$A$2:$A$13,0))</f>
        <v>Hydroprocessing</v>
      </c>
      <c r="F804" s="15" t="n">
        <v>5.6</v>
      </c>
      <c r="G804" s="16" t="n">
        <f aca="false">IF(A804="2025",INDEX(Products!$C$2:$C$13,MATCH(D804,Products!$A$2:$A$13,0)),INDEX(Products!$E$2:$E$13,MATCH(D804,Products!$A$2:$A$13,0)))</f>
        <v>12450</v>
      </c>
      <c r="H804" s="13" t="n">
        <f aca="false">IF(A804="2025",INDEX(Customers!$D$2:$D$41,MATCH(C804,Customers!$A$2:$A$41,0)),INDEX(Customers!$F$2:$F$41,MATCH(C804,Customers!$A$2:$A$41,0)))</f>
        <v>0.023</v>
      </c>
      <c r="I804" s="16" t="n">
        <f aca="false">F804*G804</f>
        <v>69720</v>
      </c>
      <c r="J804" s="16" t="n">
        <f aca="false">I804*(1-H804)</f>
        <v>68116.44</v>
      </c>
      <c r="K804" s="16" t="n">
        <f aca="false">J804*INDEX(Customers!$G$2:$G$41,MATCH(C804,Customers!$A$2:$A$41,0))</f>
        <v>1362.3288</v>
      </c>
      <c r="L804" s="16" t="n">
        <f aca="false">F804*INDEX(Customers!$H$2:$H$41,MATCH(C804,Customers!$A$2:$A$41,0))</f>
        <v>2072</v>
      </c>
      <c r="M804" s="16" t="n">
        <f aca="false">J804*INDEX(Customers!$I$2:$I$41,MATCH(C804,Customers!$A$2:$A$41,0))/365*Assumptions!$B$6</f>
        <v>895.777841095891</v>
      </c>
      <c r="N804" s="16" t="n">
        <f aca="false">J804-K804-L804-M804</f>
        <v>63786.3333589041</v>
      </c>
      <c r="O804" s="16" t="n">
        <f aca="false">F804*IF(A804="2025",INDEX(Products!$D$2:$D$13,MATCH(D804,Products!$A$2:$A$13,0)),INDEX(Products!$F$2:$F$13,MATCH(D804,Products!$A$2:$A$13,0)))</f>
        <v>43568</v>
      </c>
      <c r="P804" s="16" t="n">
        <f aca="false">N804-O804</f>
        <v>20218.3333589041</v>
      </c>
    </row>
    <row r="805" customFormat="false" ht="15" hidden="false" customHeight="false" outlineLevel="0" collapsed="false">
      <c r="A805" s="2" t="s">
        <v>118</v>
      </c>
      <c r="B805" s="2" t="n">
        <v>12</v>
      </c>
      <c r="C805" s="2" t="s">
        <v>73</v>
      </c>
      <c r="D805" s="2" t="s">
        <v>42</v>
      </c>
      <c r="E805" s="2" t="str">
        <f aca="false">INDEX(Products!$B$2:$B$13,MATCH(D805,Products!$A$2:$A$13,0))</f>
        <v>Hydroprocessing</v>
      </c>
      <c r="F805" s="15" t="n">
        <v>4.4</v>
      </c>
      <c r="G805" s="16" t="n">
        <f aca="false">IF(A805="2025",INDEX(Products!$C$2:$C$13,MATCH(D805,Products!$A$2:$A$13,0)),INDEX(Products!$E$2:$E$13,MATCH(D805,Products!$A$2:$A$13,0)))</f>
        <v>12450</v>
      </c>
      <c r="H805" s="13" t="n">
        <f aca="false">IF(A805="2025",INDEX(Customers!$D$2:$D$41,MATCH(C805,Customers!$A$2:$A$41,0)),INDEX(Customers!$F$2:$F$41,MATCH(C805,Customers!$A$2:$A$41,0)))</f>
        <v>0.023</v>
      </c>
      <c r="I805" s="16" t="n">
        <f aca="false">F805*G805</f>
        <v>54780</v>
      </c>
      <c r="J805" s="16" t="n">
        <f aca="false">I805*(1-H805)</f>
        <v>53520.06</v>
      </c>
      <c r="K805" s="16" t="n">
        <f aca="false">J805*INDEX(Customers!$G$2:$G$41,MATCH(C805,Customers!$A$2:$A$41,0))</f>
        <v>1070.4012</v>
      </c>
      <c r="L805" s="16" t="n">
        <f aca="false">F805*INDEX(Customers!$H$2:$H$41,MATCH(C805,Customers!$A$2:$A$41,0))</f>
        <v>1628</v>
      </c>
      <c r="M805" s="16" t="n">
        <f aca="false">J805*INDEX(Customers!$I$2:$I$41,MATCH(C805,Customers!$A$2:$A$41,0))/365*Assumptions!$B$6</f>
        <v>703.825446575343</v>
      </c>
      <c r="N805" s="16" t="n">
        <f aca="false">J805-K805-L805-M805</f>
        <v>50117.8333534247</v>
      </c>
      <c r="O805" s="16" t="n">
        <f aca="false">F805*IF(A805="2025",INDEX(Products!$D$2:$D$13,MATCH(D805,Products!$A$2:$A$13,0)),INDEX(Products!$F$2:$F$13,MATCH(D805,Products!$A$2:$A$13,0)))</f>
        <v>34232</v>
      </c>
      <c r="P805" s="16" t="n">
        <f aca="false">N805-O805</f>
        <v>15885.8333534247</v>
      </c>
    </row>
    <row r="806" customFormat="false" ht="15" hidden="false" customHeight="false" outlineLevel="0" collapsed="false">
      <c r="A806" s="2" t="s">
        <v>119</v>
      </c>
      <c r="B806" s="2" t="n">
        <v>1</v>
      </c>
      <c r="C806" s="2" t="s">
        <v>73</v>
      </c>
      <c r="D806" s="2" t="s">
        <v>42</v>
      </c>
      <c r="E806" s="2" t="str">
        <f aca="false">INDEX(Products!$B$2:$B$13,MATCH(D806,Products!$A$2:$A$13,0))</f>
        <v>Hydroprocessing</v>
      </c>
      <c r="F806" s="15" t="n">
        <v>4.7</v>
      </c>
      <c r="G806" s="16" t="n">
        <f aca="false">IF(A806="2025",INDEX(Products!$C$2:$C$13,MATCH(D806,Products!$A$2:$A$13,0)),INDEX(Products!$E$2:$E$13,MATCH(D806,Products!$A$2:$A$13,0)))</f>
        <v>13072.5</v>
      </c>
      <c r="H806" s="13" t="n">
        <f aca="false">IF(A806="2025",INDEX(Customers!$D$2:$D$41,MATCH(C806,Customers!$A$2:$A$41,0)),INDEX(Customers!$F$2:$F$41,MATCH(C806,Customers!$A$2:$A$41,0)))</f>
        <v>0.023</v>
      </c>
      <c r="I806" s="16" t="n">
        <f aca="false">F806*G806</f>
        <v>61440.75</v>
      </c>
      <c r="J806" s="16" t="n">
        <f aca="false">I806*(1-H806)</f>
        <v>60027.61275</v>
      </c>
      <c r="K806" s="16" t="n">
        <f aca="false">J806*INDEX(Customers!$G$2:$G$41,MATCH(C806,Customers!$A$2:$A$41,0))</f>
        <v>1200.552255</v>
      </c>
      <c r="L806" s="16" t="n">
        <f aca="false">F806*INDEX(Customers!$H$2:$H$41,MATCH(C806,Customers!$A$2:$A$41,0))</f>
        <v>1739</v>
      </c>
      <c r="M806" s="16" t="n">
        <f aca="false">J806*INDEX(Customers!$I$2:$I$41,MATCH(C806,Customers!$A$2:$A$41,0))/365*Assumptions!$B$6</f>
        <v>789.404222465753</v>
      </c>
      <c r="N806" s="16" t="n">
        <f aca="false">J806-K806-L806-M806</f>
        <v>56298.6562725342</v>
      </c>
      <c r="O806" s="16" t="n">
        <f aca="false">F806*IF(A806="2025",INDEX(Products!$D$2:$D$13,MATCH(D806,Products!$A$2:$A$13,0)),INDEX(Products!$F$2:$F$13,MATCH(D806,Products!$A$2:$A$13,0)))</f>
        <v>37662.98</v>
      </c>
      <c r="P806" s="16" t="n">
        <f aca="false">N806-O806</f>
        <v>18635.6762725342</v>
      </c>
    </row>
    <row r="807" customFormat="false" ht="15" hidden="false" customHeight="false" outlineLevel="0" collapsed="false">
      <c r="A807" s="2" t="s">
        <v>119</v>
      </c>
      <c r="B807" s="2" t="n">
        <v>2</v>
      </c>
      <c r="C807" s="2" t="s">
        <v>73</v>
      </c>
      <c r="D807" s="2" t="s">
        <v>42</v>
      </c>
      <c r="E807" s="2" t="str">
        <f aca="false">INDEX(Products!$B$2:$B$13,MATCH(D807,Products!$A$2:$A$13,0))</f>
        <v>Hydroprocessing</v>
      </c>
      <c r="F807" s="15" t="n">
        <v>4.1</v>
      </c>
      <c r="G807" s="16" t="n">
        <f aca="false">IF(A807="2025",INDEX(Products!$C$2:$C$13,MATCH(D807,Products!$A$2:$A$13,0)),INDEX(Products!$E$2:$E$13,MATCH(D807,Products!$A$2:$A$13,0)))</f>
        <v>13072.5</v>
      </c>
      <c r="H807" s="13" t="n">
        <f aca="false">IF(A807="2025",INDEX(Customers!$D$2:$D$41,MATCH(C807,Customers!$A$2:$A$41,0)),INDEX(Customers!$F$2:$F$41,MATCH(C807,Customers!$A$2:$A$41,0)))</f>
        <v>0.023</v>
      </c>
      <c r="I807" s="16" t="n">
        <f aca="false">F807*G807</f>
        <v>53597.25</v>
      </c>
      <c r="J807" s="16" t="n">
        <f aca="false">I807*(1-H807)</f>
        <v>52364.51325</v>
      </c>
      <c r="K807" s="16" t="n">
        <f aca="false">J807*INDEX(Customers!$G$2:$G$41,MATCH(C807,Customers!$A$2:$A$41,0))</f>
        <v>1047.290265</v>
      </c>
      <c r="L807" s="16" t="n">
        <f aca="false">F807*INDEX(Customers!$H$2:$H$41,MATCH(C807,Customers!$A$2:$A$41,0))</f>
        <v>1517</v>
      </c>
      <c r="M807" s="16" t="n">
        <f aca="false">J807*INDEX(Customers!$I$2:$I$41,MATCH(C807,Customers!$A$2:$A$41,0))/365*Assumptions!$B$6</f>
        <v>688.629215342466</v>
      </c>
      <c r="N807" s="16" t="n">
        <f aca="false">J807-K807-L807-M807</f>
        <v>49111.5937696575</v>
      </c>
      <c r="O807" s="16" t="n">
        <f aca="false">F807*IF(A807="2025",INDEX(Products!$D$2:$D$13,MATCH(D807,Products!$A$2:$A$13,0)),INDEX(Products!$F$2:$F$13,MATCH(D807,Products!$A$2:$A$13,0)))</f>
        <v>32854.94</v>
      </c>
      <c r="P807" s="16" t="n">
        <f aca="false">N807-O807</f>
        <v>16256.6537696575</v>
      </c>
    </row>
    <row r="808" customFormat="false" ht="15" hidden="false" customHeight="false" outlineLevel="0" collapsed="false">
      <c r="A808" s="2" t="s">
        <v>119</v>
      </c>
      <c r="B808" s="2" t="n">
        <v>3</v>
      </c>
      <c r="C808" s="2" t="s">
        <v>73</v>
      </c>
      <c r="D808" s="2" t="s">
        <v>42</v>
      </c>
      <c r="E808" s="2" t="str">
        <f aca="false">INDEX(Products!$B$2:$B$13,MATCH(D808,Products!$A$2:$A$13,0))</f>
        <v>Hydroprocessing</v>
      </c>
      <c r="F808" s="15" t="n">
        <v>4</v>
      </c>
      <c r="G808" s="16" t="n">
        <f aca="false">IF(A808="2025",INDEX(Products!$C$2:$C$13,MATCH(D808,Products!$A$2:$A$13,0)),INDEX(Products!$E$2:$E$13,MATCH(D808,Products!$A$2:$A$13,0)))</f>
        <v>13072.5</v>
      </c>
      <c r="H808" s="13" t="n">
        <f aca="false">IF(A808="2025",INDEX(Customers!$D$2:$D$41,MATCH(C808,Customers!$A$2:$A$41,0)),INDEX(Customers!$F$2:$F$41,MATCH(C808,Customers!$A$2:$A$41,0)))</f>
        <v>0.023</v>
      </c>
      <c r="I808" s="16" t="n">
        <f aca="false">F808*G808</f>
        <v>52290</v>
      </c>
      <c r="J808" s="16" t="n">
        <f aca="false">I808*(1-H808)</f>
        <v>51087.33</v>
      </c>
      <c r="K808" s="16" t="n">
        <f aca="false">J808*INDEX(Customers!$G$2:$G$41,MATCH(C808,Customers!$A$2:$A$41,0))</f>
        <v>1021.7466</v>
      </c>
      <c r="L808" s="16" t="n">
        <f aca="false">F808*INDEX(Customers!$H$2:$H$41,MATCH(C808,Customers!$A$2:$A$41,0))</f>
        <v>1480</v>
      </c>
      <c r="M808" s="16" t="n">
        <f aca="false">J808*INDEX(Customers!$I$2:$I$41,MATCH(C808,Customers!$A$2:$A$41,0))/365*Assumptions!$B$6</f>
        <v>671.833380821918</v>
      </c>
      <c r="N808" s="16" t="n">
        <f aca="false">J808-K808-L808-M808</f>
        <v>47913.7500191781</v>
      </c>
      <c r="O808" s="16" t="n">
        <f aca="false">F808*IF(A808="2025",INDEX(Products!$D$2:$D$13,MATCH(D808,Products!$A$2:$A$13,0)),INDEX(Products!$F$2:$F$13,MATCH(D808,Products!$A$2:$A$13,0)))</f>
        <v>32053.6</v>
      </c>
      <c r="P808" s="16" t="n">
        <f aca="false">N808-O808</f>
        <v>15860.1500191781</v>
      </c>
    </row>
    <row r="809" customFormat="false" ht="15" hidden="false" customHeight="false" outlineLevel="0" collapsed="false">
      <c r="A809" s="2" t="s">
        <v>119</v>
      </c>
      <c r="B809" s="2" t="n">
        <v>4</v>
      </c>
      <c r="C809" s="2" t="s">
        <v>73</v>
      </c>
      <c r="D809" s="2" t="s">
        <v>42</v>
      </c>
      <c r="E809" s="2" t="str">
        <f aca="false">INDEX(Products!$B$2:$B$13,MATCH(D809,Products!$A$2:$A$13,0))</f>
        <v>Hydroprocessing</v>
      </c>
      <c r="F809" s="15" t="n">
        <v>5.1</v>
      </c>
      <c r="G809" s="16" t="n">
        <f aca="false">IF(A809="2025",INDEX(Products!$C$2:$C$13,MATCH(D809,Products!$A$2:$A$13,0)),INDEX(Products!$E$2:$E$13,MATCH(D809,Products!$A$2:$A$13,0)))</f>
        <v>13072.5</v>
      </c>
      <c r="H809" s="13" t="n">
        <f aca="false">IF(A809="2025",INDEX(Customers!$D$2:$D$41,MATCH(C809,Customers!$A$2:$A$41,0)),INDEX(Customers!$F$2:$F$41,MATCH(C809,Customers!$A$2:$A$41,0)))</f>
        <v>0.023</v>
      </c>
      <c r="I809" s="16" t="n">
        <f aca="false">F809*G809</f>
        <v>66669.75</v>
      </c>
      <c r="J809" s="16" t="n">
        <f aca="false">I809*(1-H809)</f>
        <v>65136.34575</v>
      </c>
      <c r="K809" s="16" t="n">
        <f aca="false">J809*INDEX(Customers!$G$2:$G$41,MATCH(C809,Customers!$A$2:$A$41,0))</f>
        <v>1302.726915</v>
      </c>
      <c r="L809" s="16" t="n">
        <f aca="false">F809*INDEX(Customers!$H$2:$H$41,MATCH(C809,Customers!$A$2:$A$41,0))</f>
        <v>1887</v>
      </c>
      <c r="M809" s="16" t="n">
        <f aca="false">J809*INDEX(Customers!$I$2:$I$41,MATCH(C809,Customers!$A$2:$A$41,0))/365*Assumptions!$B$6</f>
        <v>856.587560547945</v>
      </c>
      <c r="N809" s="16" t="n">
        <f aca="false">J809-K809-L809-M809</f>
        <v>61090.0312744521</v>
      </c>
      <c r="O809" s="16" t="n">
        <f aca="false">F809*IF(A809="2025",INDEX(Products!$D$2:$D$13,MATCH(D809,Products!$A$2:$A$13,0)),INDEX(Products!$F$2:$F$13,MATCH(D809,Products!$A$2:$A$13,0)))</f>
        <v>40868.34</v>
      </c>
      <c r="P809" s="16" t="n">
        <f aca="false">N809-O809</f>
        <v>20221.6912744521</v>
      </c>
    </row>
    <row r="810" customFormat="false" ht="15" hidden="false" customHeight="false" outlineLevel="0" collapsed="false">
      <c r="A810" s="2" t="s">
        <v>119</v>
      </c>
      <c r="B810" s="2" t="n">
        <v>5</v>
      </c>
      <c r="C810" s="2" t="s">
        <v>73</v>
      </c>
      <c r="D810" s="2" t="s">
        <v>42</v>
      </c>
      <c r="E810" s="2" t="str">
        <f aca="false">INDEX(Products!$B$2:$B$13,MATCH(D810,Products!$A$2:$A$13,0))</f>
        <v>Hydroprocessing</v>
      </c>
      <c r="F810" s="15" t="n">
        <v>5.2</v>
      </c>
      <c r="G810" s="16" t="n">
        <f aca="false">IF(A810="2025",INDEX(Products!$C$2:$C$13,MATCH(D810,Products!$A$2:$A$13,0)),INDEX(Products!$E$2:$E$13,MATCH(D810,Products!$A$2:$A$13,0)))</f>
        <v>13072.5</v>
      </c>
      <c r="H810" s="13" t="n">
        <f aca="false">IF(A810="2025",INDEX(Customers!$D$2:$D$41,MATCH(C810,Customers!$A$2:$A$41,0)),INDEX(Customers!$F$2:$F$41,MATCH(C810,Customers!$A$2:$A$41,0)))</f>
        <v>0.023</v>
      </c>
      <c r="I810" s="16" t="n">
        <f aca="false">F810*G810</f>
        <v>67977</v>
      </c>
      <c r="J810" s="16" t="n">
        <f aca="false">I810*(1-H810)</f>
        <v>66413.529</v>
      </c>
      <c r="K810" s="16" t="n">
        <f aca="false">J810*INDEX(Customers!$G$2:$G$41,MATCH(C810,Customers!$A$2:$A$41,0))</f>
        <v>1328.27058</v>
      </c>
      <c r="L810" s="16" t="n">
        <f aca="false">F810*INDEX(Customers!$H$2:$H$41,MATCH(C810,Customers!$A$2:$A$41,0))</f>
        <v>1924</v>
      </c>
      <c r="M810" s="16" t="n">
        <f aca="false">J810*INDEX(Customers!$I$2:$I$41,MATCH(C810,Customers!$A$2:$A$41,0))/365*Assumptions!$B$6</f>
        <v>873.383395068493</v>
      </c>
      <c r="N810" s="16" t="n">
        <f aca="false">J810-K810-L810-M810</f>
        <v>62287.8750249315</v>
      </c>
      <c r="O810" s="16" t="n">
        <f aca="false">F810*IF(A810="2025",INDEX(Products!$D$2:$D$13,MATCH(D810,Products!$A$2:$A$13,0)),INDEX(Products!$F$2:$F$13,MATCH(D810,Products!$A$2:$A$13,0)))</f>
        <v>41669.68</v>
      </c>
      <c r="P810" s="16" t="n">
        <f aca="false">N810-O810</f>
        <v>20618.1950249315</v>
      </c>
    </row>
    <row r="811" customFormat="false" ht="15" hidden="false" customHeight="false" outlineLevel="0" collapsed="false">
      <c r="A811" s="2" t="s">
        <v>119</v>
      </c>
      <c r="B811" s="2" t="n">
        <v>6</v>
      </c>
      <c r="C811" s="2" t="s">
        <v>73</v>
      </c>
      <c r="D811" s="2" t="s">
        <v>42</v>
      </c>
      <c r="E811" s="2" t="str">
        <f aca="false">INDEX(Products!$B$2:$B$13,MATCH(D811,Products!$A$2:$A$13,0))</f>
        <v>Hydroprocessing</v>
      </c>
      <c r="F811" s="15" t="n">
        <v>6.9</v>
      </c>
      <c r="G811" s="16" t="n">
        <f aca="false">IF(A811="2025",INDEX(Products!$C$2:$C$13,MATCH(D811,Products!$A$2:$A$13,0)),INDEX(Products!$E$2:$E$13,MATCH(D811,Products!$A$2:$A$13,0)))</f>
        <v>13072.5</v>
      </c>
      <c r="H811" s="13" t="n">
        <f aca="false">IF(A811="2025",INDEX(Customers!$D$2:$D$41,MATCH(C811,Customers!$A$2:$A$41,0)),INDEX(Customers!$F$2:$F$41,MATCH(C811,Customers!$A$2:$A$41,0)))</f>
        <v>0.023</v>
      </c>
      <c r="I811" s="16" t="n">
        <f aca="false">F811*G811</f>
        <v>90200.25</v>
      </c>
      <c r="J811" s="16" t="n">
        <f aca="false">I811*(1-H811)</f>
        <v>88125.64425</v>
      </c>
      <c r="K811" s="16" t="n">
        <f aca="false">J811*INDEX(Customers!$G$2:$G$41,MATCH(C811,Customers!$A$2:$A$41,0))</f>
        <v>1762.512885</v>
      </c>
      <c r="L811" s="16" t="n">
        <f aca="false">F811*INDEX(Customers!$H$2:$H$41,MATCH(C811,Customers!$A$2:$A$41,0))</f>
        <v>2553</v>
      </c>
      <c r="M811" s="16" t="n">
        <f aca="false">J811*INDEX(Customers!$I$2:$I$41,MATCH(C811,Customers!$A$2:$A$41,0))/365*Assumptions!$B$6</f>
        <v>1158.91258191781</v>
      </c>
      <c r="N811" s="16" t="n">
        <f aca="false">J811-K811-L811-M811</f>
        <v>82651.2187830822</v>
      </c>
      <c r="O811" s="16" t="n">
        <f aca="false">F811*IF(A811="2025",INDEX(Products!$D$2:$D$13,MATCH(D811,Products!$A$2:$A$13,0)),INDEX(Products!$F$2:$F$13,MATCH(D811,Products!$A$2:$A$13,0)))</f>
        <v>55292.46</v>
      </c>
      <c r="P811" s="16" t="n">
        <f aca="false">N811-O811</f>
        <v>27358.7587830822</v>
      </c>
    </row>
    <row r="812" customFormat="false" ht="15" hidden="false" customHeight="false" outlineLevel="0" collapsed="false">
      <c r="A812" s="2" t="s">
        <v>119</v>
      </c>
      <c r="B812" s="2" t="n">
        <v>7</v>
      </c>
      <c r="C812" s="2" t="s">
        <v>73</v>
      </c>
      <c r="D812" s="2" t="s">
        <v>42</v>
      </c>
      <c r="E812" s="2" t="str">
        <f aca="false">INDEX(Products!$B$2:$B$13,MATCH(D812,Products!$A$2:$A$13,0))</f>
        <v>Hydroprocessing</v>
      </c>
      <c r="F812" s="15" t="n">
        <v>5.9</v>
      </c>
      <c r="G812" s="16" t="n">
        <f aca="false">IF(A812="2025",INDEX(Products!$C$2:$C$13,MATCH(D812,Products!$A$2:$A$13,0)),INDEX(Products!$E$2:$E$13,MATCH(D812,Products!$A$2:$A$13,0)))</f>
        <v>13072.5</v>
      </c>
      <c r="H812" s="13" t="n">
        <f aca="false">IF(A812="2025",INDEX(Customers!$D$2:$D$41,MATCH(C812,Customers!$A$2:$A$41,0)),INDEX(Customers!$F$2:$F$41,MATCH(C812,Customers!$A$2:$A$41,0)))</f>
        <v>0.023</v>
      </c>
      <c r="I812" s="16" t="n">
        <f aca="false">F812*G812</f>
        <v>77127.75</v>
      </c>
      <c r="J812" s="16" t="n">
        <f aca="false">I812*(1-H812)</f>
        <v>75353.81175</v>
      </c>
      <c r="K812" s="16" t="n">
        <f aca="false">J812*INDEX(Customers!$G$2:$G$41,MATCH(C812,Customers!$A$2:$A$41,0))</f>
        <v>1507.076235</v>
      </c>
      <c r="L812" s="16" t="n">
        <f aca="false">F812*INDEX(Customers!$H$2:$H$41,MATCH(C812,Customers!$A$2:$A$41,0))</f>
        <v>2183</v>
      </c>
      <c r="M812" s="16" t="n">
        <f aca="false">J812*INDEX(Customers!$I$2:$I$41,MATCH(C812,Customers!$A$2:$A$41,0))/365*Assumptions!$B$6</f>
        <v>990.954236712329</v>
      </c>
      <c r="N812" s="16" t="n">
        <f aca="false">J812-K812-L812-M812</f>
        <v>70672.7812782877</v>
      </c>
      <c r="O812" s="16" t="n">
        <f aca="false">F812*IF(A812="2025",INDEX(Products!$D$2:$D$13,MATCH(D812,Products!$A$2:$A$13,0)),INDEX(Products!$F$2:$F$13,MATCH(D812,Products!$A$2:$A$13,0)))</f>
        <v>47279.06</v>
      </c>
      <c r="P812" s="16" t="n">
        <f aca="false">N812-O812</f>
        <v>23393.7212782877</v>
      </c>
    </row>
    <row r="813" customFormat="false" ht="15" hidden="false" customHeight="false" outlineLevel="0" collapsed="false">
      <c r="A813" s="2" t="s">
        <v>119</v>
      </c>
      <c r="B813" s="2" t="n">
        <v>8</v>
      </c>
      <c r="C813" s="2" t="s">
        <v>73</v>
      </c>
      <c r="D813" s="2" t="s">
        <v>42</v>
      </c>
      <c r="E813" s="2" t="str">
        <f aca="false">INDEX(Products!$B$2:$B$13,MATCH(D813,Products!$A$2:$A$13,0))</f>
        <v>Hydroprocessing</v>
      </c>
      <c r="F813" s="15" t="n">
        <v>4.5</v>
      </c>
      <c r="G813" s="16" t="n">
        <f aca="false">IF(A813="2025",INDEX(Products!$C$2:$C$13,MATCH(D813,Products!$A$2:$A$13,0)),INDEX(Products!$E$2:$E$13,MATCH(D813,Products!$A$2:$A$13,0)))</f>
        <v>13072.5</v>
      </c>
      <c r="H813" s="13" t="n">
        <f aca="false">IF(A813="2025",INDEX(Customers!$D$2:$D$41,MATCH(C813,Customers!$A$2:$A$41,0)),INDEX(Customers!$F$2:$F$41,MATCH(C813,Customers!$A$2:$A$41,0)))</f>
        <v>0.023</v>
      </c>
      <c r="I813" s="16" t="n">
        <f aca="false">F813*G813</f>
        <v>58826.25</v>
      </c>
      <c r="J813" s="16" t="n">
        <f aca="false">I813*(1-H813)</f>
        <v>57473.24625</v>
      </c>
      <c r="K813" s="16" t="n">
        <f aca="false">J813*INDEX(Customers!$G$2:$G$41,MATCH(C813,Customers!$A$2:$A$41,0))</f>
        <v>1149.464925</v>
      </c>
      <c r="L813" s="16" t="n">
        <f aca="false">F813*INDEX(Customers!$H$2:$H$41,MATCH(C813,Customers!$A$2:$A$41,0))</f>
        <v>1665</v>
      </c>
      <c r="M813" s="16" t="n">
        <f aca="false">J813*INDEX(Customers!$I$2:$I$41,MATCH(C813,Customers!$A$2:$A$41,0))/365*Assumptions!$B$6</f>
        <v>755.812553424658</v>
      </c>
      <c r="N813" s="16" t="n">
        <f aca="false">J813-K813-L813-M813</f>
        <v>53902.9687715753</v>
      </c>
      <c r="O813" s="16" t="n">
        <f aca="false">F813*IF(A813="2025",INDEX(Products!$D$2:$D$13,MATCH(D813,Products!$A$2:$A$13,0)),INDEX(Products!$F$2:$F$13,MATCH(D813,Products!$A$2:$A$13,0)))</f>
        <v>36060.3</v>
      </c>
      <c r="P813" s="16" t="n">
        <f aca="false">N813-O813</f>
        <v>17842.6687715753</v>
      </c>
    </row>
    <row r="814" customFormat="false" ht="15" hidden="false" customHeight="false" outlineLevel="0" collapsed="false">
      <c r="A814" s="2" t="s">
        <v>119</v>
      </c>
      <c r="B814" s="2" t="n">
        <v>9</v>
      </c>
      <c r="C814" s="2" t="s">
        <v>73</v>
      </c>
      <c r="D814" s="2" t="s">
        <v>42</v>
      </c>
      <c r="E814" s="2" t="str">
        <f aca="false">INDEX(Products!$B$2:$B$13,MATCH(D814,Products!$A$2:$A$13,0))</f>
        <v>Hydroprocessing</v>
      </c>
      <c r="F814" s="15" t="n">
        <v>6</v>
      </c>
      <c r="G814" s="16" t="n">
        <f aca="false">IF(A814="2025",INDEX(Products!$C$2:$C$13,MATCH(D814,Products!$A$2:$A$13,0)),INDEX(Products!$E$2:$E$13,MATCH(D814,Products!$A$2:$A$13,0)))</f>
        <v>13072.5</v>
      </c>
      <c r="H814" s="13" t="n">
        <f aca="false">IF(A814="2025",INDEX(Customers!$D$2:$D$41,MATCH(C814,Customers!$A$2:$A$41,0)),INDEX(Customers!$F$2:$F$41,MATCH(C814,Customers!$A$2:$A$41,0)))</f>
        <v>0.023</v>
      </c>
      <c r="I814" s="16" t="n">
        <f aca="false">F814*G814</f>
        <v>78435</v>
      </c>
      <c r="J814" s="16" t="n">
        <f aca="false">I814*(1-H814)</f>
        <v>76630.995</v>
      </c>
      <c r="K814" s="16" t="n">
        <f aca="false">J814*INDEX(Customers!$G$2:$G$41,MATCH(C814,Customers!$A$2:$A$41,0))</f>
        <v>1532.6199</v>
      </c>
      <c r="L814" s="16" t="n">
        <f aca="false">F814*INDEX(Customers!$H$2:$H$41,MATCH(C814,Customers!$A$2:$A$41,0))</f>
        <v>2220</v>
      </c>
      <c r="M814" s="16" t="n">
        <f aca="false">J814*INDEX(Customers!$I$2:$I$41,MATCH(C814,Customers!$A$2:$A$41,0))/365*Assumptions!$B$6</f>
        <v>1007.75007123288</v>
      </c>
      <c r="N814" s="16" t="n">
        <f aca="false">J814-K814-L814-M814</f>
        <v>71870.6250287671</v>
      </c>
      <c r="O814" s="16" t="n">
        <f aca="false">F814*IF(A814="2025",INDEX(Products!$D$2:$D$13,MATCH(D814,Products!$A$2:$A$13,0)),INDEX(Products!$F$2:$F$13,MATCH(D814,Products!$A$2:$A$13,0)))</f>
        <v>48080.4</v>
      </c>
      <c r="P814" s="16" t="n">
        <f aca="false">N814-O814</f>
        <v>23790.2250287671</v>
      </c>
    </row>
    <row r="815" customFormat="false" ht="15" hidden="false" customHeight="false" outlineLevel="0" collapsed="false">
      <c r="A815" s="2" t="s">
        <v>119</v>
      </c>
      <c r="B815" s="2" t="n">
        <v>10</v>
      </c>
      <c r="C815" s="2" t="s">
        <v>73</v>
      </c>
      <c r="D815" s="2" t="s">
        <v>42</v>
      </c>
      <c r="E815" s="2" t="str">
        <f aca="false">INDEX(Products!$B$2:$B$13,MATCH(D815,Products!$A$2:$A$13,0))</f>
        <v>Hydroprocessing</v>
      </c>
      <c r="F815" s="15" t="n">
        <v>3.8</v>
      </c>
      <c r="G815" s="16" t="n">
        <f aca="false">IF(A815="2025",INDEX(Products!$C$2:$C$13,MATCH(D815,Products!$A$2:$A$13,0)),INDEX(Products!$E$2:$E$13,MATCH(D815,Products!$A$2:$A$13,0)))</f>
        <v>13072.5</v>
      </c>
      <c r="H815" s="13" t="n">
        <f aca="false">IF(A815="2025",INDEX(Customers!$D$2:$D$41,MATCH(C815,Customers!$A$2:$A$41,0)),INDEX(Customers!$F$2:$F$41,MATCH(C815,Customers!$A$2:$A$41,0)))</f>
        <v>0.023</v>
      </c>
      <c r="I815" s="16" t="n">
        <f aca="false">F815*G815</f>
        <v>49675.5</v>
      </c>
      <c r="J815" s="16" t="n">
        <f aca="false">I815*(1-H815)</f>
        <v>48532.9635</v>
      </c>
      <c r="K815" s="16" t="n">
        <f aca="false">J815*INDEX(Customers!$G$2:$G$41,MATCH(C815,Customers!$A$2:$A$41,0))</f>
        <v>970.65927</v>
      </c>
      <c r="L815" s="16" t="n">
        <f aca="false">F815*INDEX(Customers!$H$2:$H$41,MATCH(C815,Customers!$A$2:$A$41,0))</f>
        <v>1406</v>
      </c>
      <c r="M815" s="16" t="n">
        <f aca="false">J815*INDEX(Customers!$I$2:$I$41,MATCH(C815,Customers!$A$2:$A$41,0))/365*Assumptions!$B$6</f>
        <v>638.241711780822</v>
      </c>
      <c r="N815" s="16" t="n">
        <f aca="false">J815-K815-L815-M815</f>
        <v>45518.0625182192</v>
      </c>
      <c r="O815" s="16" t="n">
        <f aca="false">F815*IF(A815="2025",INDEX(Products!$D$2:$D$13,MATCH(D815,Products!$A$2:$A$13,0)),INDEX(Products!$F$2:$F$13,MATCH(D815,Products!$A$2:$A$13,0)))</f>
        <v>30450.92</v>
      </c>
      <c r="P815" s="16" t="n">
        <f aca="false">N815-O815</f>
        <v>15067.1425182192</v>
      </c>
    </row>
    <row r="816" customFormat="false" ht="15" hidden="false" customHeight="false" outlineLevel="0" collapsed="false">
      <c r="A816" s="2" t="s">
        <v>119</v>
      </c>
      <c r="B816" s="2" t="n">
        <v>11</v>
      </c>
      <c r="C816" s="2" t="s">
        <v>73</v>
      </c>
      <c r="D816" s="2" t="s">
        <v>42</v>
      </c>
      <c r="E816" s="2" t="str">
        <f aca="false">INDEX(Products!$B$2:$B$13,MATCH(D816,Products!$A$2:$A$13,0))</f>
        <v>Hydroprocessing</v>
      </c>
      <c r="F816" s="15" t="n">
        <v>6.2</v>
      </c>
      <c r="G816" s="16" t="n">
        <f aca="false">IF(A816="2025",INDEX(Products!$C$2:$C$13,MATCH(D816,Products!$A$2:$A$13,0)),INDEX(Products!$E$2:$E$13,MATCH(D816,Products!$A$2:$A$13,0)))</f>
        <v>13072.5</v>
      </c>
      <c r="H816" s="13" t="n">
        <f aca="false">IF(A816="2025",INDEX(Customers!$D$2:$D$41,MATCH(C816,Customers!$A$2:$A$41,0)),INDEX(Customers!$F$2:$F$41,MATCH(C816,Customers!$A$2:$A$41,0)))</f>
        <v>0.023</v>
      </c>
      <c r="I816" s="16" t="n">
        <f aca="false">F816*G816</f>
        <v>81049.5</v>
      </c>
      <c r="J816" s="16" t="n">
        <f aca="false">I816*(1-H816)</f>
        <v>79185.3615</v>
      </c>
      <c r="K816" s="16" t="n">
        <f aca="false">J816*INDEX(Customers!$G$2:$G$41,MATCH(C816,Customers!$A$2:$A$41,0))</f>
        <v>1583.70723</v>
      </c>
      <c r="L816" s="16" t="n">
        <f aca="false">F816*INDEX(Customers!$H$2:$H$41,MATCH(C816,Customers!$A$2:$A$41,0))</f>
        <v>2294</v>
      </c>
      <c r="M816" s="16" t="n">
        <f aca="false">J816*INDEX(Customers!$I$2:$I$41,MATCH(C816,Customers!$A$2:$A$41,0))/365*Assumptions!$B$6</f>
        <v>1041.34174027397</v>
      </c>
      <c r="N816" s="16" t="n">
        <f aca="false">J816-K816-L816-M816</f>
        <v>74266.312529726</v>
      </c>
      <c r="O816" s="16" t="n">
        <f aca="false">F816*IF(A816="2025",INDEX(Products!$D$2:$D$13,MATCH(D816,Products!$A$2:$A$13,0)),INDEX(Products!$F$2:$F$13,MATCH(D816,Products!$A$2:$A$13,0)))</f>
        <v>49683.08</v>
      </c>
      <c r="P816" s="16" t="n">
        <f aca="false">N816-O816</f>
        <v>24583.232529726</v>
      </c>
    </row>
    <row r="817" customFormat="false" ht="15" hidden="false" customHeight="false" outlineLevel="0" collapsed="false">
      <c r="A817" s="2" t="s">
        <v>119</v>
      </c>
      <c r="B817" s="2" t="n">
        <v>12</v>
      </c>
      <c r="C817" s="2" t="s">
        <v>73</v>
      </c>
      <c r="D817" s="2" t="s">
        <v>42</v>
      </c>
      <c r="E817" s="2" t="str">
        <f aca="false">INDEX(Products!$B$2:$B$13,MATCH(D817,Products!$A$2:$A$13,0))</f>
        <v>Hydroprocessing</v>
      </c>
      <c r="F817" s="15" t="n">
        <v>4.8</v>
      </c>
      <c r="G817" s="16" t="n">
        <f aca="false">IF(A817="2025",INDEX(Products!$C$2:$C$13,MATCH(D817,Products!$A$2:$A$13,0)),INDEX(Products!$E$2:$E$13,MATCH(D817,Products!$A$2:$A$13,0)))</f>
        <v>13072.5</v>
      </c>
      <c r="H817" s="13" t="n">
        <f aca="false">IF(A817="2025",INDEX(Customers!$D$2:$D$41,MATCH(C817,Customers!$A$2:$A$41,0)),INDEX(Customers!$F$2:$F$41,MATCH(C817,Customers!$A$2:$A$41,0)))</f>
        <v>0.023</v>
      </c>
      <c r="I817" s="16" t="n">
        <f aca="false">F817*G817</f>
        <v>62748</v>
      </c>
      <c r="J817" s="16" t="n">
        <f aca="false">I817*(1-H817)</f>
        <v>61304.796</v>
      </c>
      <c r="K817" s="16" t="n">
        <f aca="false">J817*INDEX(Customers!$G$2:$G$41,MATCH(C817,Customers!$A$2:$A$41,0))</f>
        <v>1226.09592</v>
      </c>
      <c r="L817" s="16" t="n">
        <f aca="false">F817*INDEX(Customers!$H$2:$H$41,MATCH(C817,Customers!$A$2:$A$41,0))</f>
        <v>1776</v>
      </c>
      <c r="M817" s="16" t="n">
        <f aca="false">J817*INDEX(Customers!$I$2:$I$41,MATCH(C817,Customers!$A$2:$A$41,0))/365*Assumptions!$B$6</f>
        <v>806.200056986301</v>
      </c>
      <c r="N817" s="16" t="n">
        <f aca="false">J817-K817-L817-M817</f>
        <v>57496.5000230137</v>
      </c>
      <c r="O817" s="16" t="n">
        <f aca="false">F817*IF(A817="2025",INDEX(Products!$D$2:$D$13,MATCH(D817,Products!$A$2:$A$13,0)),INDEX(Products!$F$2:$F$13,MATCH(D817,Products!$A$2:$A$13,0)))</f>
        <v>38464.32</v>
      </c>
      <c r="P817" s="16" t="n">
        <f aca="false">N817-O817</f>
        <v>19032.1800230137</v>
      </c>
    </row>
    <row r="818" customFormat="false" ht="15" hidden="false" customHeight="false" outlineLevel="0" collapsed="false">
      <c r="A818" s="2" t="s">
        <v>118</v>
      </c>
      <c r="B818" s="2" t="n">
        <v>1</v>
      </c>
      <c r="C818" s="2" t="s">
        <v>74</v>
      </c>
      <c r="D818" s="2" t="s">
        <v>37</v>
      </c>
      <c r="E818" s="2" t="str">
        <f aca="false">INDEX(Products!$B$2:$B$13,MATCH(D818,Products!$A$2:$A$13,0))</f>
        <v>FCC</v>
      </c>
      <c r="F818" s="15" t="n">
        <v>22.5</v>
      </c>
      <c r="G818" s="16" t="n">
        <f aca="false">IF(A818="2025",INDEX(Products!$C$2:$C$13,MATCH(D818,Products!$A$2:$A$13,0)),INDEX(Products!$E$2:$E$13,MATCH(D818,Products!$A$2:$A$13,0)))</f>
        <v>3530</v>
      </c>
      <c r="H818" s="13" t="n">
        <f aca="false">IF(A818="2025",INDEX(Customers!$D$2:$D$41,MATCH(C818,Customers!$A$2:$A$41,0)),INDEX(Customers!$F$2:$F$41,MATCH(C818,Customers!$A$2:$A$41,0)))</f>
        <v>0.026</v>
      </c>
      <c r="I818" s="16" t="n">
        <f aca="false">F818*G818</f>
        <v>79425</v>
      </c>
      <c r="J818" s="16" t="n">
        <f aca="false">I818*(1-H818)</f>
        <v>77359.95</v>
      </c>
      <c r="K818" s="16" t="n">
        <f aca="false">J818*INDEX(Customers!$G$2:$G$41,MATCH(C818,Customers!$A$2:$A$41,0))</f>
        <v>0</v>
      </c>
      <c r="L818" s="16" t="n">
        <f aca="false">F818*INDEX(Customers!$H$2:$H$41,MATCH(C818,Customers!$A$2:$A$41,0))</f>
        <v>2025</v>
      </c>
      <c r="M818" s="16" t="n">
        <f aca="false">J818*INDEX(Customers!$I$2:$I$41,MATCH(C818,Customers!$A$2:$A$41,0))/365*Assumptions!$B$6</f>
        <v>508.668164383562</v>
      </c>
      <c r="N818" s="16" t="n">
        <f aca="false">J818-K818-L818-M818</f>
        <v>74826.2818356164</v>
      </c>
      <c r="O818" s="16" t="n">
        <f aca="false">F818*IF(A818="2025",INDEX(Products!$D$2:$D$13,MATCH(D818,Products!$A$2:$A$13,0)),INDEX(Products!$F$2:$F$13,MATCH(D818,Products!$A$2:$A$13,0)))</f>
        <v>54225</v>
      </c>
      <c r="P818" s="16" t="n">
        <f aca="false">N818-O818</f>
        <v>20601.2818356164</v>
      </c>
    </row>
    <row r="819" customFormat="false" ht="15" hidden="false" customHeight="false" outlineLevel="0" collapsed="false">
      <c r="A819" s="2" t="s">
        <v>118</v>
      </c>
      <c r="B819" s="2" t="n">
        <v>2</v>
      </c>
      <c r="C819" s="2" t="s">
        <v>74</v>
      </c>
      <c r="D819" s="2" t="s">
        <v>37</v>
      </c>
      <c r="E819" s="2" t="str">
        <f aca="false">INDEX(Products!$B$2:$B$13,MATCH(D819,Products!$A$2:$A$13,0))</f>
        <v>FCC</v>
      </c>
      <c r="F819" s="15" t="n">
        <v>18</v>
      </c>
      <c r="G819" s="16" t="n">
        <f aca="false">IF(A819="2025",INDEX(Products!$C$2:$C$13,MATCH(D819,Products!$A$2:$A$13,0)),INDEX(Products!$E$2:$E$13,MATCH(D819,Products!$A$2:$A$13,0)))</f>
        <v>3530</v>
      </c>
      <c r="H819" s="13" t="n">
        <f aca="false">IF(A819="2025",INDEX(Customers!$D$2:$D$41,MATCH(C819,Customers!$A$2:$A$41,0)),INDEX(Customers!$F$2:$F$41,MATCH(C819,Customers!$A$2:$A$41,0)))</f>
        <v>0.026</v>
      </c>
      <c r="I819" s="16" t="n">
        <f aca="false">F819*G819</f>
        <v>63540</v>
      </c>
      <c r="J819" s="16" t="n">
        <f aca="false">I819*(1-H819)</f>
        <v>61887.96</v>
      </c>
      <c r="K819" s="16" t="n">
        <f aca="false">J819*INDEX(Customers!$G$2:$G$41,MATCH(C819,Customers!$A$2:$A$41,0))</f>
        <v>0</v>
      </c>
      <c r="L819" s="16" t="n">
        <f aca="false">F819*INDEX(Customers!$H$2:$H$41,MATCH(C819,Customers!$A$2:$A$41,0))</f>
        <v>1620</v>
      </c>
      <c r="M819" s="16" t="n">
        <f aca="false">J819*INDEX(Customers!$I$2:$I$41,MATCH(C819,Customers!$A$2:$A$41,0))/365*Assumptions!$B$6</f>
        <v>406.934531506849</v>
      </c>
      <c r="N819" s="16" t="n">
        <f aca="false">J819-K819-L819-M819</f>
        <v>59861.0254684932</v>
      </c>
      <c r="O819" s="16" t="n">
        <f aca="false">F819*IF(A819="2025",INDEX(Products!$D$2:$D$13,MATCH(D819,Products!$A$2:$A$13,0)),INDEX(Products!$F$2:$F$13,MATCH(D819,Products!$A$2:$A$13,0)))</f>
        <v>43380</v>
      </c>
      <c r="P819" s="16" t="n">
        <f aca="false">N819-O819</f>
        <v>16481.0254684932</v>
      </c>
    </row>
    <row r="820" customFormat="false" ht="15" hidden="false" customHeight="false" outlineLevel="0" collapsed="false">
      <c r="A820" s="2" t="s">
        <v>118</v>
      </c>
      <c r="B820" s="2" t="n">
        <v>3</v>
      </c>
      <c r="C820" s="2" t="s">
        <v>74</v>
      </c>
      <c r="D820" s="2" t="s">
        <v>37</v>
      </c>
      <c r="E820" s="2" t="str">
        <f aca="false">INDEX(Products!$B$2:$B$13,MATCH(D820,Products!$A$2:$A$13,0))</f>
        <v>FCC</v>
      </c>
      <c r="F820" s="15" t="n">
        <v>12.9</v>
      </c>
      <c r="G820" s="16" t="n">
        <f aca="false">IF(A820="2025",INDEX(Products!$C$2:$C$13,MATCH(D820,Products!$A$2:$A$13,0)),INDEX(Products!$E$2:$E$13,MATCH(D820,Products!$A$2:$A$13,0)))</f>
        <v>3530</v>
      </c>
      <c r="H820" s="13" t="n">
        <f aca="false">IF(A820="2025",INDEX(Customers!$D$2:$D$41,MATCH(C820,Customers!$A$2:$A$41,0)),INDEX(Customers!$F$2:$F$41,MATCH(C820,Customers!$A$2:$A$41,0)))</f>
        <v>0.026</v>
      </c>
      <c r="I820" s="16" t="n">
        <f aca="false">F820*G820</f>
        <v>45537</v>
      </c>
      <c r="J820" s="16" t="n">
        <f aca="false">I820*(1-H820)</f>
        <v>44353.038</v>
      </c>
      <c r="K820" s="16" t="n">
        <f aca="false">J820*INDEX(Customers!$G$2:$G$41,MATCH(C820,Customers!$A$2:$A$41,0))</f>
        <v>0</v>
      </c>
      <c r="L820" s="16" t="n">
        <f aca="false">F820*INDEX(Customers!$H$2:$H$41,MATCH(C820,Customers!$A$2:$A$41,0))</f>
        <v>1161</v>
      </c>
      <c r="M820" s="16" t="n">
        <f aca="false">J820*INDEX(Customers!$I$2:$I$41,MATCH(C820,Customers!$A$2:$A$41,0))/365*Assumptions!$B$6</f>
        <v>291.636414246575</v>
      </c>
      <c r="N820" s="16" t="n">
        <f aca="false">J820-K820-L820-M820</f>
        <v>42900.4015857534</v>
      </c>
      <c r="O820" s="16" t="n">
        <f aca="false">F820*IF(A820="2025",INDEX(Products!$D$2:$D$13,MATCH(D820,Products!$A$2:$A$13,0)),INDEX(Products!$F$2:$F$13,MATCH(D820,Products!$A$2:$A$13,0)))</f>
        <v>31089</v>
      </c>
      <c r="P820" s="16" t="n">
        <f aca="false">N820-O820</f>
        <v>11811.4015857534</v>
      </c>
    </row>
    <row r="821" customFormat="false" ht="15" hidden="false" customHeight="false" outlineLevel="0" collapsed="false">
      <c r="A821" s="2" t="s">
        <v>118</v>
      </c>
      <c r="B821" s="2" t="n">
        <v>4</v>
      </c>
      <c r="C821" s="2" t="s">
        <v>74</v>
      </c>
      <c r="D821" s="2" t="s">
        <v>37</v>
      </c>
      <c r="E821" s="2" t="str">
        <f aca="false">INDEX(Products!$B$2:$B$13,MATCH(D821,Products!$A$2:$A$13,0))</f>
        <v>FCC</v>
      </c>
      <c r="F821" s="15" t="n">
        <v>12.8</v>
      </c>
      <c r="G821" s="16" t="n">
        <f aca="false">IF(A821="2025",INDEX(Products!$C$2:$C$13,MATCH(D821,Products!$A$2:$A$13,0)),INDEX(Products!$E$2:$E$13,MATCH(D821,Products!$A$2:$A$13,0)))</f>
        <v>3530</v>
      </c>
      <c r="H821" s="13" t="n">
        <f aca="false">IF(A821="2025",INDEX(Customers!$D$2:$D$41,MATCH(C821,Customers!$A$2:$A$41,0)),INDEX(Customers!$F$2:$F$41,MATCH(C821,Customers!$A$2:$A$41,0)))</f>
        <v>0.026</v>
      </c>
      <c r="I821" s="16" t="n">
        <f aca="false">F821*G821</f>
        <v>45184</v>
      </c>
      <c r="J821" s="16" t="n">
        <f aca="false">I821*(1-H821)</f>
        <v>44009.216</v>
      </c>
      <c r="K821" s="16" t="n">
        <f aca="false">J821*INDEX(Customers!$G$2:$G$41,MATCH(C821,Customers!$A$2:$A$41,0))</f>
        <v>0</v>
      </c>
      <c r="L821" s="16" t="n">
        <f aca="false">F821*INDEX(Customers!$H$2:$H$41,MATCH(C821,Customers!$A$2:$A$41,0))</f>
        <v>1152</v>
      </c>
      <c r="M821" s="16" t="n">
        <f aca="false">J821*INDEX(Customers!$I$2:$I$41,MATCH(C821,Customers!$A$2:$A$41,0))/365*Assumptions!$B$6</f>
        <v>289.375666849315</v>
      </c>
      <c r="N821" s="16" t="n">
        <f aca="false">J821-K821-L821-M821</f>
        <v>42567.8403331507</v>
      </c>
      <c r="O821" s="16" t="n">
        <f aca="false">F821*IF(A821="2025",INDEX(Products!$D$2:$D$13,MATCH(D821,Products!$A$2:$A$13,0)),INDEX(Products!$F$2:$F$13,MATCH(D821,Products!$A$2:$A$13,0)))</f>
        <v>30848</v>
      </c>
      <c r="P821" s="16" t="n">
        <f aca="false">N821-O821</f>
        <v>11719.8403331507</v>
      </c>
    </row>
    <row r="822" customFormat="false" ht="15" hidden="false" customHeight="false" outlineLevel="0" collapsed="false">
      <c r="A822" s="2" t="s">
        <v>118</v>
      </c>
      <c r="B822" s="2" t="n">
        <v>5</v>
      </c>
      <c r="C822" s="2" t="s">
        <v>74</v>
      </c>
      <c r="D822" s="2" t="s">
        <v>37</v>
      </c>
      <c r="E822" s="2" t="str">
        <f aca="false">INDEX(Products!$B$2:$B$13,MATCH(D822,Products!$A$2:$A$13,0))</f>
        <v>FCC</v>
      </c>
      <c r="F822" s="15" t="n">
        <v>15</v>
      </c>
      <c r="G822" s="16" t="n">
        <f aca="false">IF(A822="2025",INDEX(Products!$C$2:$C$13,MATCH(D822,Products!$A$2:$A$13,0)),INDEX(Products!$E$2:$E$13,MATCH(D822,Products!$A$2:$A$13,0)))</f>
        <v>3530</v>
      </c>
      <c r="H822" s="13" t="n">
        <f aca="false">IF(A822="2025",INDEX(Customers!$D$2:$D$41,MATCH(C822,Customers!$A$2:$A$41,0)),INDEX(Customers!$F$2:$F$41,MATCH(C822,Customers!$A$2:$A$41,0)))</f>
        <v>0.026</v>
      </c>
      <c r="I822" s="16" t="n">
        <f aca="false">F822*G822</f>
        <v>52950</v>
      </c>
      <c r="J822" s="16" t="n">
        <f aca="false">I822*(1-H822)</f>
        <v>51573.3</v>
      </c>
      <c r="K822" s="16" t="n">
        <f aca="false">J822*INDEX(Customers!$G$2:$G$41,MATCH(C822,Customers!$A$2:$A$41,0))</f>
        <v>0</v>
      </c>
      <c r="L822" s="16" t="n">
        <f aca="false">F822*INDEX(Customers!$H$2:$H$41,MATCH(C822,Customers!$A$2:$A$41,0))</f>
        <v>1350</v>
      </c>
      <c r="M822" s="16" t="n">
        <f aca="false">J822*INDEX(Customers!$I$2:$I$41,MATCH(C822,Customers!$A$2:$A$41,0))/365*Assumptions!$B$6</f>
        <v>339.112109589041</v>
      </c>
      <c r="N822" s="16" t="n">
        <f aca="false">J822-K822-L822-M822</f>
        <v>49884.187890411</v>
      </c>
      <c r="O822" s="16" t="n">
        <f aca="false">F822*IF(A822="2025",INDEX(Products!$D$2:$D$13,MATCH(D822,Products!$A$2:$A$13,0)),INDEX(Products!$F$2:$F$13,MATCH(D822,Products!$A$2:$A$13,0)))</f>
        <v>36150</v>
      </c>
      <c r="P822" s="16" t="n">
        <f aca="false">N822-O822</f>
        <v>13734.187890411</v>
      </c>
    </row>
    <row r="823" customFormat="false" ht="15" hidden="false" customHeight="false" outlineLevel="0" collapsed="false">
      <c r="A823" s="2" t="s">
        <v>118</v>
      </c>
      <c r="B823" s="2" t="n">
        <v>6</v>
      </c>
      <c r="C823" s="2" t="s">
        <v>74</v>
      </c>
      <c r="D823" s="2" t="s">
        <v>37</v>
      </c>
      <c r="E823" s="2" t="str">
        <f aca="false">INDEX(Products!$B$2:$B$13,MATCH(D823,Products!$A$2:$A$13,0))</f>
        <v>FCC</v>
      </c>
      <c r="F823" s="15" t="n">
        <v>13.2</v>
      </c>
      <c r="G823" s="16" t="n">
        <f aca="false">IF(A823="2025",INDEX(Products!$C$2:$C$13,MATCH(D823,Products!$A$2:$A$13,0)),INDEX(Products!$E$2:$E$13,MATCH(D823,Products!$A$2:$A$13,0)))</f>
        <v>3530</v>
      </c>
      <c r="H823" s="13" t="n">
        <f aca="false">IF(A823="2025",INDEX(Customers!$D$2:$D$41,MATCH(C823,Customers!$A$2:$A$41,0)),INDEX(Customers!$F$2:$F$41,MATCH(C823,Customers!$A$2:$A$41,0)))</f>
        <v>0.026</v>
      </c>
      <c r="I823" s="16" t="n">
        <f aca="false">F823*G823</f>
        <v>46596</v>
      </c>
      <c r="J823" s="16" t="n">
        <f aca="false">I823*(1-H823)</f>
        <v>45384.504</v>
      </c>
      <c r="K823" s="16" t="n">
        <f aca="false">J823*INDEX(Customers!$G$2:$G$41,MATCH(C823,Customers!$A$2:$A$41,0))</f>
        <v>0</v>
      </c>
      <c r="L823" s="16" t="n">
        <f aca="false">F823*INDEX(Customers!$H$2:$H$41,MATCH(C823,Customers!$A$2:$A$41,0))</f>
        <v>1188</v>
      </c>
      <c r="M823" s="16" t="n">
        <f aca="false">J823*INDEX(Customers!$I$2:$I$41,MATCH(C823,Customers!$A$2:$A$41,0))/365*Assumptions!$B$6</f>
        <v>298.418656438356</v>
      </c>
      <c r="N823" s="16" t="n">
        <f aca="false">J823-K823-L823-M823</f>
        <v>43898.0853435616</v>
      </c>
      <c r="O823" s="16" t="n">
        <f aca="false">F823*IF(A823="2025",INDEX(Products!$D$2:$D$13,MATCH(D823,Products!$A$2:$A$13,0)),INDEX(Products!$F$2:$F$13,MATCH(D823,Products!$A$2:$A$13,0)))</f>
        <v>31812</v>
      </c>
      <c r="P823" s="16" t="n">
        <f aca="false">N823-O823</f>
        <v>12086.0853435616</v>
      </c>
    </row>
    <row r="824" customFormat="false" ht="15" hidden="false" customHeight="false" outlineLevel="0" collapsed="false">
      <c r="A824" s="2" t="s">
        <v>118</v>
      </c>
      <c r="B824" s="2" t="n">
        <v>7</v>
      </c>
      <c r="C824" s="2" t="s">
        <v>74</v>
      </c>
      <c r="D824" s="2" t="s">
        <v>37</v>
      </c>
      <c r="E824" s="2" t="str">
        <f aca="false">INDEX(Products!$B$2:$B$13,MATCH(D824,Products!$A$2:$A$13,0))</f>
        <v>FCC</v>
      </c>
      <c r="F824" s="15" t="n">
        <v>15.2</v>
      </c>
      <c r="G824" s="16" t="n">
        <f aca="false">IF(A824="2025",INDEX(Products!$C$2:$C$13,MATCH(D824,Products!$A$2:$A$13,0)),INDEX(Products!$E$2:$E$13,MATCH(D824,Products!$A$2:$A$13,0)))</f>
        <v>3530</v>
      </c>
      <c r="H824" s="13" t="n">
        <f aca="false">IF(A824="2025",INDEX(Customers!$D$2:$D$41,MATCH(C824,Customers!$A$2:$A$41,0)),INDEX(Customers!$F$2:$F$41,MATCH(C824,Customers!$A$2:$A$41,0)))</f>
        <v>0.026</v>
      </c>
      <c r="I824" s="16" t="n">
        <f aca="false">F824*G824</f>
        <v>53656</v>
      </c>
      <c r="J824" s="16" t="n">
        <f aca="false">I824*(1-H824)</f>
        <v>52260.944</v>
      </c>
      <c r="K824" s="16" t="n">
        <f aca="false">J824*INDEX(Customers!$G$2:$G$41,MATCH(C824,Customers!$A$2:$A$41,0))</f>
        <v>0</v>
      </c>
      <c r="L824" s="16" t="n">
        <f aca="false">F824*INDEX(Customers!$H$2:$H$41,MATCH(C824,Customers!$A$2:$A$41,0))</f>
        <v>1368</v>
      </c>
      <c r="M824" s="16" t="n">
        <f aca="false">J824*INDEX(Customers!$I$2:$I$41,MATCH(C824,Customers!$A$2:$A$41,0))/365*Assumptions!$B$6</f>
        <v>343.633604383562</v>
      </c>
      <c r="N824" s="16" t="n">
        <f aca="false">J824-K824-L824-M824</f>
        <v>50549.3103956164</v>
      </c>
      <c r="O824" s="16" t="n">
        <f aca="false">F824*IF(A824="2025",INDEX(Products!$D$2:$D$13,MATCH(D824,Products!$A$2:$A$13,0)),INDEX(Products!$F$2:$F$13,MATCH(D824,Products!$A$2:$A$13,0)))</f>
        <v>36632</v>
      </c>
      <c r="P824" s="16" t="n">
        <f aca="false">N824-O824</f>
        <v>13917.3103956164</v>
      </c>
    </row>
    <row r="825" customFormat="false" ht="15" hidden="false" customHeight="false" outlineLevel="0" collapsed="false">
      <c r="A825" s="2" t="s">
        <v>118</v>
      </c>
      <c r="B825" s="2" t="n">
        <v>8</v>
      </c>
      <c r="C825" s="2" t="s">
        <v>74</v>
      </c>
      <c r="D825" s="2" t="s">
        <v>37</v>
      </c>
      <c r="E825" s="2" t="str">
        <f aca="false">INDEX(Products!$B$2:$B$13,MATCH(D825,Products!$A$2:$A$13,0))</f>
        <v>FCC</v>
      </c>
      <c r="F825" s="15" t="n">
        <v>21.4</v>
      </c>
      <c r="G825" s="16" t="n">
        <f aca="false">IF(A825="2025",INDEX(Products!$C$2:$C$13,MATCH(D825,Products!$A$2:$A$13,0)),INDEX(Products!$E$2:$E$13,MATCH(D825,Products!$A$2:$A$13,0)))</f>
        <v>3530</v>
      </c>
      <c r="H825" s="13" t="n">
        <f aca="false">IF(A825="2025",INDEX(Customers!$D$2:$D$41,MATCH(C825,Customers!$A$2:$A$41,0)),INDEX(Customers!$F$2:$F$41,MATCH(C825,Customers!$A$2:$A$41,0)))</f>
        <v>0.026</v>
      </c>
      <c r="I825" s="16" t="n">
        <f aca="false">F825*G825</f>
        <v>75542</v>
      </c>
      <c r="J825" s="16" t="n">
        <f aca="false">I825*(1-H825)</f>
        <v>73577.908</v>
      </c>
      <c r="K825" s="16" t="n">
        <f aca="false">J825*INDEX(Customers!$G$2:$G$41,MATCH(C825,Customers!$A$2:$A$41,0))</f>
        <v>0</v>
      </c>
      <c r="L825" s="16" t="n">
        <f aca="false">F825*INDEX(Customers!$H$2:$H$41,MATCH(C825,Customers!$A$2:$A$41,0))</f>
        <v>1926</v>
      </c>
      <c r="M825" s="16" t="n">
        <f aca="false">J825*INDEX(Customers!$I$2:$I$41,MATCH(C825,Customers!$A$2:$A$41,0))/365*Assumptions!$B$6</f>
        <v>483.799943013699</v>
      </c>
      <c r="N825" s="16" t="n">
        <f aca="false">J825-K825-L825-M825</f>
        <v>71168.1080569863</v>
      </c>
      <c r="O825" s="16" t="n">
        <f aca="false">F825*IF(A825="2025",INDEX(Products!$D$2:$D$13,MATCH(D825,Products!$A$2:$A$13,0)),INDEX(Products!$F$2:$F$13,MATCH(D825,Products!$A$2:$A$13,0)))</f>
        <v>51574</v>
      </c>
      <c r="P825" s="16" t="n">
        <f aca="false">N825-O825</f>
        <v>19594.1080569863</v>
      </c>
    </row>
    <row r="826" customFormat="false" ht="15" hidden="false" customHeight="false" outlineLevel="0" collapsed="false">
      <c r="A826" s="2" t="s">
        <v>118</v>
      </c>
      <c r="B826" s="2" t="n">
        <v>9</v>
      </c>
      <c r="C826" s="2" t="s">
        <v>74</v>
      </c>
      <c r="D826" s="2" t="s">
        <v>37</v>
      </c>
      <c r="E826" s="2" t="str">
        <f aca="false">INDEX(Products!$B$2:$B$13,MATCH(D826,Products!$A$2:$A$13,0))</f>
        <v>FCC</v>
      </c>
      <c r="F826" s="15" t="n">
        <v>15.4</v>
      </c>
      <c r="G826" s="16" t="n">
        <f aca="false">IF(A826="2025",INDEX(Products!$C$2:$C$13,MATCH(D826,Products!$A$2:$A$13,0)),INDEX(Products!$E$2:$E$13,MATCH(D826,Products!$A$2:$A$13,0)))</f>
        <v>3530</v>
      </c>
      <c r="H826" s="13" t="n">
        <f aca="false">IF(A826="2025",INDEX(Customers!$D$2:$D$41,MATCH(C826,Customers!$A$2:$A$41,0)),INDEX(Customers!$F$2:$F$41,MATCH(C826,Customers!$A$2:$A$41,0)))</f>
        <v>0.026</v>
      </c>
      <c r="I826" s="16" t="n">
        <f aca="false">F826*G826</f>
        <v>54362</v>
      </c>
      <c r="J826" s="16" t="n">
        <f aca="false">I826*(1-H826)</f>
        <v>52948.588</v>
      </c>
      <c r="K826" s="16" t="n">
        <f aca="false">J826*INDEX(Customers!$G$2:$G$41,MATCH(C826,Customers!$A$2:$A$41,0))</f>
        <v>0</v>
      </c>
      <c r="L826" s="16" t="n">
        <f aca="false">F826*INDEX(Customers!$H$2:$H$41,MATCH(C826,Customers!$A$2:$A$41,0))</f>
        <v>1386</v>
      </c>
      <c r="M826" s="16" t="n">
        <f aca="false">J826*INDEX(Customers!$I$2:$I$41,MATCH(C826,Customers!$A$2:$A$41,0))/365*Assumptions!$B$6</f>
        <v>348.155099178082</v>
      </c>
      <c r="N826" s="16" t="n">
        <f aca="false">J826-K826-L826-M826</f>
        <v>51214.4329008219</v>
      </c>
      <c r="O826" s="16" t="n">
        <f aca="false">F826*IF(A826="2025",INDEX(Products!$D$2:$D$13,MATCH(D826,Products!$A$2:$A$13,0)),INDEX(Products!$F$2:$F$13,MATCH(D826,Products!$A$2:$A$13,0)))</f>
        <v>37114</v>
      </c>
      <c r="P826" s="16" t="n">
        <f aca="false">N826-O826</f>
        <v>14100.4329008219</v>
      </c>
    </row>
    <row r="827" customFormat="false" ht="15" hidden="false" customHeight="false" outlineLevel="0" collapsed="false">
      <c r="A827" s="2" t="s">
        <v>118</v>
      </c>
      <c r="B827" s="2" t="n">
        <v>10</v>
      </c>
      <c r="C827" s="2" t="s">
        <v>74</v>
      </c>
      <c r="D827" s="2" t="s">
        <v>37</v>
      </c>
      <c r="E827" s="2" t="str">
        <f aca="false">INDEX(Products!$B$2:$B$13,MATCH(D827,Products!$A$2:$A$13,0))</f>
        <v>FCC</v>
      </c>
      <c r="F827" s="15" t="n">
        <v>15.6</v>
      </c>
      <c r="G827" s="16" t="n">
        <f aca="false">IF(A827="2025",INDEX(Products!$C$2:$C$13,MATCH(D827,Products!$A$2:$A$13,0)),INDEX(Products!$E$2:$E$13,MATCH(D827,Products!$A$2:$A$13,0)))</f>
        <v>3530</v>
      </c>
      <c r="H827" s="13" t="n">
        <f aca="false">IF(A827="2025",INDEX(Customers!$D$2:$D$41,MATCH(C827,Customers!$A$2:$A$41,0)),INDEX(Customers!$F$2:$F$41,MATCH(C827,Customers!$A$2:$A$41,0)))</f>
        <v>0.026</v>
      </c>
      <c r="I827" s="16" t="n">
        <f aca="false">F827*G827</f>
        <v>55068</v>
      </c>
      <c r="J827" s="16" t="n">
        <f aca="false">I827*(1-H827)</f>
        <v>53636.232</v>
      </c>
      <c r="K827" s="16" t="n">
        <f aca="false">J827*INDEX(Customers!$G$2:$G$41,MATCH(C827,Customers!$A$2:$A$41,0))</f>
        <v>0</v>
      </c>
      <c r="L827" s="16" t="n">
        <f aca="false">F827*INDEX(Customers!$H$2:$H$41,MATCH(C827,Customers!$A$2:$A$41,0))</f>
        <v>1404</v>
      </c>
      <c r="M827" s="16" t="n">
        <f aca="false">J827*INDEX(Customers!$I$2:$I$41,MATCH(C827,Customers!$A$2:$A$41,0))/365*Assumptions!$B$6</f>
        <v>352.676593972603</v>
      </c>
      <c r="N827" s="16" t="n">
        <f aca="false">J827-K827-L827-M827</f>
        <v>51879.5554060274</v>
      </c>
      <c r="O827" s="16" t="n">
        <f aca="false">F827*IF(A827="2025",INDEX(Products!$D$2:$D$13,MATCH(D827,Products!$A$2:$A$13,0)),INDEX(Products!$F$2:$F$13,MATCH(D827,Products!$A$2:$A$13,0)))</f>
        <v>37596</v>
      </c>
      <c r="P827" s="16" t="n">
        <f aca="false">N827-O827</f>
        <v>14283.5554060274</v>
      </c>
    </row>
    <row r="828" customFormat="false" ht="15" hidden="false" customHeight="false" outlineLevel="0" collapsed="false">
      <c r="A828" s="2" t="s">
        <v>118</v>
      </c>
      <c r="B828" s="2" t="n">
        <v>11</v>
      </c>
      <c r="C828" s="2" t="s">
        <v>74</v>
      </c>
      <c r="D828" s="2" t="s">
        <v>37</v>
      </c>
      <c r="E828" s="2" t="str">
        <f aca="false">INDEX(Products!$B$2:$B$13,MATCH(D828,Products!$A$2:$A$13,0))</f>
        <v>FCC</v>
      </c>
      <c r="F828" s="15" t="n">
        <v>20.9</v>
      </c>
      <c r="G828" s="16" t="n">
        <f aca="false">IF(A828="2025",INDEX(Products!$C$2:$C$13,MATCH(D828,Products!$A$2:$A$13,0)),INDEX(Products!$E$2:$E$13,MATCH(D828,Products!$A$2:$A$13,0)))</f>
        <v>3530</v>
      </c>
      <c r="H828" s="13" t="n">
        <f aca="false">IF(A828="2025",INDEX(Customers!$D$2:$D$41,MATCH(C828,Customers!$A$2:$A$41,0)),INDEX(Customers!$F$2:$F$41,MATCH(C828,Customers!$A$2:$A$41,0)))</f>
        <v>0.026</v>
      </c>
      <c r="I828" s="16" t="n">
        <f aca="false">F828*G828</f>
        <v>73777</v>
      </c>
      <c r="J828" s="16" t="n">
        <f aca="false">I828*(1-H828)</f>
        <v>71858.798</v>
      </c>
      <c r="K828" s="16" t="n">
        <f aca="false">J828*INDEX(Customers!$G$2:$G$41,MATCH(C828,Customers!$A$2:$A$41,0))</f>
        <v>0</v>
      </c>
      <c r="L828" s="16" t="n">
        <f aca="false">F828*INDEX(Customers!$H$2:$H$41,MATCH(C828,Customers!$A$2:$A$41,0))</f>
        <v>1881</v>
      </c>
      <c r="M828" s="16" t="n">
        <f aca="false">J828*INDEX(Customers!$I$2:$I$41,MATCH(C828,Customers!$A$2:$A$41,0))/365*Assumptions!$B$6</f>
        <v>472.496206027397</v>
      </c>
      <c r="N828" s="16" t="n">
        <f aca="false">J828-K828-L828-M828</f>
        <v>69505.3017939726</v>
      </c>
      <c r="O828" s="16" t="n">
        <f aca="false">F828*IF(A828="2025",INDEX(Products!$D$2:$D$13,MATCH(D828,Products!$A$2:$A$13,0)),INDEX(Products!$F$2:$F$13,MATCH(D828,Products!$A$2:$A$13,0)))</f>
        <v>50369</v>
      </c>
      <c r="P828" s="16" t="n">
        <f aca="false">N828-O828</f>
        <v>19136.3017939726</v>
      </c>
    </row>
    <row r="829" customFormat="false" ht="15" hidden="false" customHeight="false" outlineLevel="0" collapsed="false">
      <c r="A829" s="2" t="s">
        <v>118</v>
      </c>
      <c r="B829" s="2" t="n">
        <v>12</v>
      </c>
      <c r="C829" s="2" t="s">
        <v>74</v>
      </c>
      <c r="D829" s="2" t="s">
        <v>37</v>
      </c>
      <c r="E829" s="2" t="str">
        <f aca="false">INDEX(Products!$B$2:$B$13,MATCH(D829,Products!$A$2:$A$13,0))</f>
        <v>FCC</v>
      </c>
      <c r="F829" s="15" t="n">
        <v>20.1</v>
      </c>
      <c r="G829" s="16" t="n">
        <f aca="false">IF(A829="2025",INDEX(Products!$C$2:$C$13,MATCH(D829,Products!$A$2:$A$13,0)),INDEX(Products!$E$2:$E$13,MATCH(D829,Products!$A$2:$A$13,0)))</f>
        <v>3530</v>
      </c>
      <c r="H829" s="13" t="n">
        <f aca="false">IF(A829="2025",INDEX(Customers!$D$2:$D$41,MATCH(C829,Customers!$A$2:$A$41,0)),INDEX(Customers!$F$2:$F$41,MATCH(C829,Customers!$A$2:$A$41,0)))</f>
        <v>0.026</v>
      </c>
      <c r="I829" s="16" t="n">
        <f aca="false">F829*G829</f>
        <v>70953</v>
      </c>
      <c r="J829" s="16" t="n">
        <f aca="false">I829*(1-H829)</f>
        <v>69108.222</v>
      </c>
      <c r="K829" s="16" t="n">
        <f aca="false">J829*INDEX(Customers!$G$2:$G$41,MATCH(C829,Customers!$A$2:$A$41,0))</f>
        <v>0</v>
      </c>
      <c r="L829" s="16" t="n">
        <f aca="false">F829*INDEX(Customers!$H$2:$H$41,MATCH(C829,Customers!$A$2:$A$41,0))</f>
        <v>1809</v>
      </c>
      <c r="M829" s="16" t="n">
        <f aca="false">J829*INDEX(Customers!$I$2:$I$41,MATCH(C829,Customers!$A$2:$A$41,0))/365*Assumptions!$B$6</f>
        <v>454.410226849315</v>
      </c>
      <c r="N829" s="16" t="n">
        <f aca="false">J829-K829-L829-M829</f>
        <v>66844.8117731507</v>
      </c>
      <c r="O829" s="16" t="n">
        <f aca="false">F829*IF(A829="2025",INDEX(Products!$D$2:$D$13,MATCH(D829,Products!$A$2:$A$13,0)),INDEX(Products!$F$2:$F$13,MATCH(D829,Products!$A$2:$A$13,0)))</f>
        <v>48441</v>
      </c>
      <c r="P829" s="16" t="n">
        <f aca="false">N829-O829</f>
        <v>18403.8117731507</v>
      </c>
    </row>
    <row r="830" customFormat="false" ht="15" hidden="false" customHeight="false" outlineLevel="0" collapsed="false">
      <c r="A830" s="2" t="s">
        <v>119</v>
      </c>
      <c r="B830" s="2" t="n">
        <v>1</v>
      </c>
      <c r="C830" s="2" t="s">
        <v>74</v>
      </c>
      <c r="D830" s="2" t="s">
        <v>37</v>
      </c>
      <c r="E830" s="2" t="str">
        <f aca="false">INDEX(Products!$B$2:$B$13,MATCH(D830,Products!$A$2:$A$13,0))</f>
        <v>FCC</v>
      </c>
      <c r="F830" s="15" t="n">
        <v>14</v>
      </c>
      <c r="G830" s="16" t="n">
        <f aca="false">IF(A830="2025",INDEX(Products!$C$2:$C$13,MATCH(D830,Products!$A$2:$A$13,0)),INDEX(Products!$E$2:$E$13,MATCH(D830,Products!$A$2:$A$13,0)))</f>
        <v>3706.5</v>
      </c>
      <c r="H830" s="13" t="n">
        <f aca="false">IF(A830="2025",INDEX(Customers!$D$2:$D$41,MATCH(C830,Customers!$A$2:$A$41,0)),INDEX(Customers!$F$2:$F$41,MATCH(C830,Customers!$A$2:$A$41,0)))</f>
        <v>0.043</v>
      </c>
      <c r="I830" s="16" t="n">
        <f aca="false">F830*G830</f>
        <v>51891</v>
      </c>
      <c r="J830" s="16" t="n">
        <f aca="false">I830*(1-H830)</f>
        <v>49659.687</v>
      </c>
      <c r="K830" s="16" t="n">
        <f aca="false">J830*INDEX(Customers!$G$2:$G$41,MATCH(C830,Customers!$A$2:$A$41,0))</f>
        <v>0</v>
      </c>
      <c r="L830" s="16" t="n">
        <f aca="false">F830*INDEX(Customers!$H$2:$H$41,MATCH(C830,Customers!$A$2:$A$41,0))</f>
        <v>1260</v>
      </c>
      <c r="M830" s="16" t="n">
        <f aca="false">J830*INDEX(Customers!$I$2:$I$41,MATCH(C830,Customers!$A$2:$A$41,0))/365*Assumptions!$B$6</f>
        <v>326.529448767123</v>
      </c>
      <c r="N830" s="16" t="n">
        <f aca="false">J830-K830-L830-M830</f>
        <v>48073.1575512329</v>
      </c>
      <c r="O830" s="16" t="n">
        <f aca="false">F830*IF(A830="2025",INDEX(Products!$D$2:$D$13,MATCH(D830,Products!$A$2:$A$13,0)),INDEX(Products!$F$2:$F$13,MATCH(D830,Products!$A$2:$A$13,0)))</f>
        <v>34752.2</v>
      </c>
      <c r="P830" s="16" t="n">
        <f aca="false">N830-O830</f>
        <v>13320.9575512329</v>
      </c>
    </row>
    <row r="831" customFormat="false" ht="15" hidden="false" customHeight="false" outlineLevel="0" collapsed="false">
      <c r="A831" s="2" t="s">
        <v>119</v>
      </c>
      <c r="B831" s="2" t="n">
        <v>2</v>
      </c>
      <c r="C831" s="2" t="s">
        <v>74</v>
      </c>
      <c r="D831" s="2" t="s">
        <v>37</v>
      </c>
      <c r="E831" s="2" t="str">
        <f aca="false">INDEX(Products!$B$2:$B$13,MATCH(D831,Products!$A$2:$A$13,0))</f>
        <v>FCC</v>
      </c>
      <c r="F831" s="15" t="n">
        <v>15.7</v>
      </c>
      <c r="G831" s="16" t="n">
        <f aca="false">IF(A831="2025",INDEX(Products!$C$2:$C$13,MATCH(D831,Products!$A$2:$A$13,0)),INDEX(Products!$E$2:$E$13,MATCH(D831,Products!$A$2:$A$13,0)))</f>
        <v>3706.5</v>
      </c>
      <c r="H831" s="13" t="n">
        <f aca="false">IF(A831="2025",INDEX(Customers!$D$2:$D$41,MATCH(C831,Customers!$A$2:$A$41,0)),INDEX(Customers!$F$2:$F$41,MATCH(C831,Customers!$A$2:$A$41,0)))</f>
        <v>0.043</v>
      </c>
      <c r="I831" s="16" t="n">
        <f aca="false">F831*G831</f>
        <v>58192.05</v>
      </c>
      <c r="J831" s="16" t="n">
        <f aca="false">I831*(1-H831)</f>
        <v>55689.79185</v>
      </c>
      <c r="K831" s="16" t="n">
        <f aca="false">J831*INDEX(Customers!$G$2:$G$41,MATCH(C831,Customers!$A$2:$A$41,0))</f>
        <v>0</v>
      </c>
      <c r="L831" s="16" t="n">
        <f aca="false">F831*INDEX(Customers!$H$2:$H$41,MATCH(C831,Customers!$A$2:$A$41,0))</f>
        <v>1413</v>
      </c>
      <c r="M831" s="16" t="n">
        <f aca="false">J831*INDEX(Customers!$I$2:$I$41,MATCH(C831,Customers!$A$2:$A$41,0))/365*Assumptions!$B$6</f>
        <v>366.179453260274</v>
      </c>
      <c r="N831" s="16" t="n">
        <f aca="false">J831-K831-L831-M831</f>
        <v>53910.6123967397</v>
      </c>
      <c r="O831" s="16" t="n">
        <f aca="false">F831*IF(A831="2025",INDEX(Products!$D$2:$D$13,MATCH(D831,Products!$A$2:$A$13,0)),INDEX(Products!$F$2:$F$13,MATCH(D831,Products!$A$2:$A$13,0)))</f>
        <v>38972.11</v>
      </c>
      <c r="P831" s="16" t="n">
        <f aca="false">N831-O831</f>
        <v>14938.5023967397</v>
      </c>
    </row>
    <row r="832" customFormat="false" ht="15" hidden="false" customHeight="false" outlineLevel="0" collapsed="false">
      <c r="A832" s="2" t="s">
        <v>119</v>
      </c>
      <c r="B832" s="2" t="n">
        <v>3</v>
      </c>
      <c r="C832" s="2" t="s">
        <v>74</v>
      </c>
      <c r="D832" s="2" t="s">
        <v>37</v>
      </c>
      <c r="E832" s="2" t="str">
        <f aca="false">INDEX(Products!$B$2:$B$13,MATCH(D832,Products!$A$2:$A$13,0))</f>
        <v>FCC</v>
      </c>
      <c r="F832" s="15" t="n">
        <v>16.2</v>
      </c>
      <c r="G832" s="16" t="n">
        <f aca="false">IF(A832="2025",INDEX(Products!$C$2:$C$13,MATCH(D832,Products!$A$2:$A$13,0)),INDEX(Products!$E$2:$E$13,MATCH(D832,Products!$A$2:$A$13,0)))</f>
        <v>3706.5</v>
      </c>
      <c r="H832" s="13" t="n">
        <f aca="false">IF(A832="2025",INDEX(Customers!$D$2:$D$41,MATCH(C832,Customers!$A$2:$A$41,0)),INDEX(Customers!$F$2:$F$41,MATCH(C832,Customers!$A$2:$A$41,0)))</f>
        <v>0.043</v>
      </c>
      <c r="I832" s="16" t="n">
        <f aca="false">F832*G832</f>
        <v>60045.3</v>
      </c>
      <c r="J832" s="16" t="n">
        <f aca="false">I832*(1-H832)</f>
        <v>57463.3521</v>
      </c>
      <c r="K832" s="16" t="n">
        <f aca="false">J832*INDEX(Customers!$G$2:$G$41,MATCH(C832,Customers!$A$2:$A$41,0))</f>
        <v>0</v>
      </c>
      <c r="L832" s="16" t="n">
        <f aca="false">F832*INDEX(Customers!$H$2:$H$41,MATCH(C832,Customers!$A$2:$A$41,0))</f>
        <v>1458</v>
      </c>
      <c r="M832" s="16" t="n">
        <f aca="false">J832*INDEX(Customers!$I$2:$I$41,MATCH(C832,Customers!$A$2:$A$41,0))/365*Assumptions!$B$6</f>
        <v>377.841219287671</v>
      </c>
      <c r="N832" s="16" t="n">
        <f aca="false">J832-K832-L832-M832</f>
        <v>55627.5108807123</v>
      </c>
      <c r="O832" s="16" t="n">
        <f aca="false">F832*IF(A832="2025",INDEX(Products!$D$2:$D$13,MATCH(D832,Products!$A$2:$A$13,0)),INDEX(Products!$F$2:$F$13,MATCH(D832,Products!$A$2:$A$13,0)))</f>
        <v>40213.26</v>
      </c>
      <c r="P832" s="16" t="n">
        <f aca="false">N832-O832</f>
        <v>15414.2508807123</v>
      </c>
    </row>
    <row r="833" customFormat="false" ht="15" hidden="false" customHeight="false" outlineLevel="0" collapsed="false">
      <c r="A833" s="2" t="s">
        <v>119</v>
      </c>
      <c r="B833" s="2" t="n">
        <v>4</v>
      </c>
      <c r="C833" s="2" t="s">
        <v>74</v>
      </c>
      <c r="D833" s="2" t="s">
        <v>37</v>
      </c>
      <c r="E833" s="2" t="str">
        <f aca="false">INDEX(Products!$B$2:$B$13,MATCH(D833,Products!$A$2:$A$13,0))</f>
        <v>FCC</v>
      </c>
      <c r="F833" s="15" t="n">
        <v>17.7</v>
      </c>
      <c r="G833" s="16" t="n">
        <f aca="false">IF(A833="2025",INDEX(Products!$C$2:$C$13,MATCH(D833,Products!$A$2:$A$13,0)),INDEX(Products!$E$2:$E$13,MATCH(D833,Products!$A$2:$A$13,0)))</f>
        <v>3706.5</v>
      </c>
      <c r="H833" s="13" t="n">
        <f aca="false">IF(A833="2025",INDEX(Customers!$D$2:$D$41,MATCH(C833,Customers!$A$2:$A$41,0)),INDEX(Customers!$F$2:$F$41,MATCH(C833,Customers!$A$2:$A$41,0)))</f>
        <v>0.043</v>
      </c>
      <c r="I833" s="16" t="n">
        <f aca="false">F833*G833</f>
        <v>65605.05</v>
      </c>
      <c r="J833" s="16" t="n">
        <f aca="false">I833*(1-H833)</f>
        <v>62784.03285</v>
      </c>
      <c r="K833" s="16" t="n">
        <f aca="false">J833*INDEX(Customers!$G$2:$G$41,MATCH(C833,Customers!$A$2:$A$41,0))</f>
        <v>0</v>
      </c>
      <c r="L833" s="16" t="n">
        <f aca="false">F833*INDEX(Customers!$H$2:$H$41,MATCH(C833,Customers!$A$2:$A$41,0))</f>
        <v>1593</v>
      </c>
      <c r="M833" s="16" t="n">
        <f aca="false">J833*INDEX(Customers!$I$2:$I$41,MATCH(C833,Customers!$A$2:$A$41,0))/365*Assumptions!$B$6</f>
        <v>412.826517369863</v>
      </c>
      <c r="N833" s="16" t="n">
        <f aca="false">J833-K833-L833-M833</f>
        <v>60778.2063326301</v>
      </c>
      <c r="O833" s="16" t="n">
        <f aca="false">F833*IF(A833="2025",INDEX(Products!$D$2:$D$13,MATCH(D833,Products!$A$2:$A$13,0)),INDEX(Products!$F$2:$F$13,MATCH(D833,Products!$A$2:$A$13,0)))</f>
        <v>43936.71</v>
      </c>
      <c r="P833" s="16" t="n">
        <f aca="false">N833-O833</f>
        <v>16841.4963326301</v>
      </c>
    </row>
    <row r="834" customFormat="false" ht="15" hidden="false" customHeight="false" outlineLevel="0" collapsed="false">
      <c r="A834" s="2" t="s">
        <v>119</v>
      </c>
      <c r="B834" s="2" t="n">
        <v>5</v>
      </c>
      <c r="C834" s="2" t="s">
        <v>74</v>
      </c>
      <c r="D834" s="2" t="s">
        <v>37</v>
      </c>
      <c r="E834" s="2" t="str">
        <f aca="false">INDEX(Products!$B$2:$B$13,MATCH(D834,Products!$A$2:$A$13,0))</f>
        <v>FCC</v>
      </c>
      <c r="F834" s="15" t="n">
        <v>12.2</v>
      </c>
      <c r="G834" s="16" t="n">
        <f aca="false">IF(A834="2025",INDEX(Products!$C$2:$C$13,MATCH(D834,Products!$A$2:$A$13,0)),INDEX(Products!$E$2:$E$13,MATCH(D834,Products!$A$2:$A$13,0)))</f>
        <v>3706.5</v>
      </c>
      <c r="H834" s="13" t="n">
        <f aca="false">IF(A834="2025",INDEX(Customers!$D$2:$D$41,MATCH(C834,Customers!$A$2:$A$41,0)),INDEX(Customers!$F$2:$F$41,MATCH(C834,Customers!$A$2:$A$41,0)))</f>
        <v>0.043</v>
      </c>
      <c r="I834" s="16" t="n">
        <f aca="false">F834*G834</f>
        <v>45219.3</v>
      </c>
      <c r="J834" s="16" t="n">
        <f aca="false">I834*(1-H834)</f>
        <v>43274.8701</v>
      </c>
      <c r="K834" s="16" t="n">
        <f aca="false">J834*INDEX(Customers!$G$2:$G$41,MATCH(C834,Customers!$A$2:$A$41,0))</f>
        <v>0</v>
      </c>
      <c r="L834" s="16" t="n">
        <f aca="false">F834*INDEX(Customers!$H$2:$H$41,MATCH(C834,Customers!$A$2:$A$41,0))</f>
        <v>1098</v>
      </c>
      <c r="M834" s="16" t="n">
        <f aca="false">J834*INDEX(Customers!$I$2:$I$41,MATCH(C834,Customers!$A$2:$A$41,0))/365*Assumptions!$B$6</f>
        <v>284.547091068493</v>
      </c>
      <c r="N834" s="16" t="n">
        <f aca="false">J834-K834-L834-M834</f>
        <v>41892.3230089315</v>
      </c>
      <c r="O834" s="16" t="n">
        <f aca="false">F834*IF(A834="2025",INDEX(Products!$D$2:$D$13,MATCH(D834,Products!$A$2:$A$13,0)),INDEX(Products!$F$2:$F$13,MATCH(D834,Products!$A$2:$A$13,0)))</f>
        <v>30284.06</v>
      </c>
      <c r="P834" s="16" t="n">
        <f aca="false">N834-O834</f>
        <v>11608.2630089315</v>
      </c>
    </row>
    <row r="835" customFormat="false" ht="15" hidden="false" customHeight="false" outlineLevel="0" collapsed="false">
      <c r="A835" s="2" t="s">
        <v>119</v>
      </c>
      <c r="B835" s="2" t="n">
        <v>6</v>
      </c>
      <c r="C835" s="2" t="s">
        <v>74</v>
      </c>
      <c r="D835" s="2" t="s">
        <v>37</v>
      </c>
      <c r="E835" s="2" t="str">
        <f aca="false">INDEX(Products!$B$2:$B$13,MATCH(D835,Products!$A$2:$A$13,0))</f>
        <v>FCC</v>
      </c>
      <c r="F835" s="15" t="n">
        <v>18</v>
      </c>
      <c r="G835" s="16" t="n">
        <f aca="false">IF(A835="2025",INDEX(Products!$C$2:$C$13,MATCH(D835,Products!$A$2:$A$13,0)),INDEX(Products!$E$2:$E$13,MATCH(D835,Products!$A$2:$A$13,0)))</f>
        <v>3706.5</v>
      </c>
      <c r="H835" s="13" t="n">
        <f aca="false">IF(A835="2025",INDEX(Customers!$D$2:$D$41,MATCH(C835,Customers!$A$2:$A$41,0)),INDEX(Customers!$F$2:$F$41,MATCH(C835,Customers!$A$2:$A$41,0)))</f>
        <v>0.043</v>
      </c>
      <c r="I835" s="16" t="n">
        <f aca="false">F835*G835</f>
        <v>66717</v>
      </c>
      <c r="J835" s="16" t="n">
        <f aca="false">I835*(1-H835)</f>
        <v>63848.169</v>
      </c>
      <c r="K835" s="16" t="n">
        <f aca="false">J835*INDEX(Customers!$G$2:$G$41,MATCH(C835,Customers!$A$2:$A$41,0))</f>
        <v>0</v>
      </c>
      <c r="L835" s="16" t="n">
        <f aca="false">F835*INDEX(Customers!$H$2:$H$41,MATCH(C835,Customers!$A$2:$A$41,0))</f>
        <v>1620</v>
      </c>
      <c r="M835" s="16" t="n">
        <f aca="false">J835*INDEX(Customers!$I$2:$I$41,MATCH(C835,Customers!$A$2:$A$41,0))/365*Assumptions!$B$6</f>
        <v>419.823576986301</v>
      </c>
      <c r="N835" s="16" t="n">
        <f aca="false">J835-K835-L835-M835</f>
        <v>61808.3454230137</v>
      </c>
      <c r="O835" s="16" t="n">
        <f aca="false">F835*IF(A835="2025",INDEX(Products!$D$2:$D$13,MATCH(D835,Products!$A$2:$A$13,0)),INDEX(Products!$F$2:$F$13,MATCH(D835,Products!$A$2:$A$13,0)))</f>
        <v>44681.4</v>
      </c>
      <c r="P835" s="16" t="n">
        <f aca="false">N835-O835</f>
        <v>17126.9454230137</v>
      </c>
    </row>
    <row r="836" customFormat="false" ht="15" hidden="false" customHeight="false" outlineLevel="0" collapsed="false">
      <c r="A836" s="2" t="s">
        <v>119</v>
      </c>
      <c r="B836" s="2" t="n">
        <v>7</v>
      </c>
      <c r="C836" s="2" t="s">
        <v>74</v>
      </c>
      <c r="D836" s="2" t="s">
        <v>37</v>
      </c>
      <c r="E836" s="2" t="str">
        <f aca="false">INDEX(Products!$B$2:$B$13,MATCH(D836,Products!$A$2:$A$13,0))</f>
        <v>FCC</v>
      </c>
      <c r="F836" s="15" t="n">
        <v>11.9</v>
      </c>
      <c r="G836" s="16" t="n">
        <f aca="false">IF(A836="2025",INDEX(Products!$C$2:$C$13,MATCH(D836,Products!$A$2:$A$13,0)),INDEX(Products!$E$2:$E$13,MATCH(D836,Products!$A$2:$A$13,0)))</f>
        <v>3706.5</v>
      </c>
      <c r="H836" s="13" t="n">
        <f aca="false">IF(A836="2025",INDEX(Customers!$D$2:$D$41,MATCH(C836,Customers!$A$2:$A$41,0)),INDEX(Customers!$F$2:$F$41,MATCH(C836,Customers!$A$2:$A$41,0)))</f>
        <v>0.043</v>
      </c>
      <c r="I836" s="16" t="n">
        <f aca="false">F836*G836</f>
        <v>44107.35</v>
      </c>
      <c r="J836" s="16" t="n">
        <f aca="false">I836*(1-H836)</f>
        <v>42210.73395</v>
      </c>
      <c r="K836" s="16" t="n">
        <f aca="false">J836*INDEX(Customers!$G$2:$G$41,MATCH(C836,Customers!$A$2:$A$41,0))</f>
        <v>0</v>
      </c>
      <c r="L836" s="16" t="n">
        <f aca="false">F836*INDEX(Customers!$H$2:$H$41,MATCH(C836,Customers!$A$2:$A$41,0))</f>
        <v>1071</v>
      </c>
      <c r="M836" s="16" t="n">
        <f aca="false">J836*INDEX(Customers!$I$2:$I$41,MATCH(C836,Customers!$A$2:$A$41,0))/365*Assumptions!$B$6</f>
        <v>277.550031452055</v>
      </c>
      <c r="N836" s="16" t="n">
        <f aca="false">J836-K836-L836-M836</f>
        <v>40862.1839185479</v>
      </c>
      <c r="O836" s="16" t="n">
        <f aca="false">F836*IF(A836="2025",INDEX(Products!$D$2:$D$13,MATCH(D836,Products!$A$2:$A$13,0)),INDEX(Products!$F$2:$F$13,MATCH(D836,Products!$A$2:$A$13,0)))</f>
        <v>29539.37</v>
      </c>
      <c r="P836" s="16" t="n">
        <f aca="false">N836-O836</f>
        <v>11322.8139185479</v>
      </c>
    </row>
    <row r="837" customFormat="false" ht="15" hidden="false" customHeight="false" outlineLevel="0" collapsed="false">
      <c r="A837" s="2" t="s">
        <v>119</v>
      </c>
      <c r="B837" s="2" t="n">
        <v>8</v>
      </c>
      <c r="C837" s="2" t="s">
        <v>74</v>
      </c>
      <c r="D837" s="2" t="s">
        <v>37</v>
      </c>
      <c r="E837" s="2" t="str">
        <f aca="false">INDEX(Products!$B$2:$B$13,MATCH(D837,Products!$A$2:$A$13,0))</f>
        <v>FCC</v>
      </c>
      <c r="F837" s="15" t="n">
        <v>16.5</v>
      </c>
      <c r="G837" s="16" t="n">
        <f aca="false">IF(A837="2025",INDEX(Products!$C$2:$C$13,MATCH(D837,Products!$A$2:$A$13,0)),INDEX(Products!$E$2:$E$13,MATCH(D837,Products!$A$2:$A$13,0)))</f>
        <v>3706.5</v>
      </c>
      <c r="H837" s="13" t="n">
        <f aca="false">IF(A837="2025",INDEX(Customers!$D$2:$D$41,MATCH(C837,Customers!$A$2:$A$41,0)),INDEX(Customers!$F$2:$F$41,MATCH(C837,Customers!$A$2:$A$41,0)))</f>
        <v>0.043</v>
      </c>
      <c r="I837" s="16" t="n">
        <f aca="false">F837*G837</f>
        <v>61157.25</v>
      </c>
      <c r="J837" s="16" t="n">
        <f aca="false">I837*(1-H837)</f>
        <v>58527.48825</v>
      </c>
      <c r="K837" s="16" t="n">
        <f aca="false">J837*INDEX(Customers!$G$2:$G$41,MATCH(C837,Customers!$A$2:$A$41,0))</f>
        <v>0</v>
      </c>
      <c r="L837" s="16" t="n">
        <f aca="false">F837*INDEX(Customers!$H$2:$H$41,MATCH(C837,Customers!$A$2:$A$41,0))</f>
        <v>1485</v>
      </c>
      <c r="M837" s="16" t="n">
        <f aca="false">J837*INDEX(Customers!$I$2:$I$41,MATCH(C837,Customers!$A$2:$A$41,0))/365*Assumptions!$B$6</f>
        <v>384.83827890411</v>
      </c>
      <c r="N837" s="16" t="n">
        <f aca="false">J837-K837-L837-M837</f>
        <v>56657.6499710959</v>
      </c>
      <c r="O837" s="16" t="n">
        <f aca="false">F837*IF(A837="2025",INDEX(Products!$D$2:$D$13,MATCH(D837,Products!$A$2:$A$13,0)),INDEX(Products!$F$2:$F$13,MATCH(D837,Products!$A$2:$A$13,0)))</f>
        <v>40957.95</v>
      </c>
      <c r="P837" s="16" t="n">
        <f aca="false">N837-O837</f>
        <v>15699.6999710959</v>
      </c>
    </row>
    <row r="838" customFormat="false" ht="15" hidden="false" customHeight="false" outlineLevel="0" collapsed="false">
      <c r="A838" s="2" t="s">
        <v>119</v>
      </c>
      <c r="B838" s="2" t="n">
        <v>9</v>
      </c>
      <c r="C838" s="2" t="s">
        <v>74</v>
      </c>
      <c r="D838" s="2" t="s">
        <v>37</v>
      </c>
      <c r="E838" s="2" t="str">
        <f aca="false">INDEX(Products!$B$2:$B$13,MATCH(D838,Products!$A$2:$A$13,0))</f>
        <v>FCC</v>
      </c>
      <c r="F838" s="15" t="n">
        <v>19.8</v>
      </c>
      <c r="G838" s="16" t="n">
        <f aca="false">IF(A838="2025",INDEX(Products!$C$2:$C$13,MATCH(D838,Products!$A$2:$A$13,0)),INDEX(Products!$E$2:$E$13,MATCH(D838,Products!$A$2:$A$13,0)))</f>
        <v>3706.5</v>
      </c>
      <c r="H838" s="13" t="n">
        <f aca="false">IF(A838="2025",INDEX(Customers!$D$2:$D$41,MATCH(C838,Customers!$A$2:$A$41,0)),INDEX(Customers!$F$2:$F$41,MATCH(C838,Customers!$A$2:$A$41,0)))</f>
        <v>0.043</v>
      </c>
      <c r="I838" s="16" t="n">
        <f aca="false">F838*G838</f>
        <v>73388.7</v>
      </c>
      <c r="J838" s="16" t="n">
        <f aca="false">I838*(1-H838)</f>
        <v>70232.9859</v>
      </c>
      <c r="K838" s="16" t="n">
        <f aca="false">J838*INDEX(Customers!$G$2:$G$41,MATCH(C838,Customers!$A$2:$A$41,0))</f>
        <v>0</v>
      </c>
      <c r="L838" s="16" t="n">
        <f aca="false">F838*INDEX(Customers!$H$2:$H$41,MATCH(C838,Customers!$A$2:$A$41,0))</f>
        <v>1782</v>
      </c>
      <c r="M838" s="16" t="n">
        <f aca="false">J838*INDEX(Customers!$I$2:$I$41,MATCH(C838,Customers!$A$2:$A$41,0))/365*Assumptions!$B$6</f>
        <v>461.805934684932</v>
      </c>
      <c r="N838" s="16" t="n">
        <f aca="false">J838-K838-L838-M838</f>
        <v>67989.1799653151</v>
      </c>
      <c r="O838" s="16" t="n">
        <f aca="false">F838*IF(A838="2025",INDEX(Products!$D$2:$D$13,MATCH(D838,Products!$A$2:$A$13,0)),INDEX(Products!$F$2:$F$13,MATCH(D838,Products!$A$2:$A$13,0)))</f>
        <v>49149.54</v>
      </c>
      <c r="P838" s="16" t="n">
        <f aca="false">N838-O838</f>
        <v>18839.6399653151</v>
      </c>
    </row>
    <row r="839" customFormat="false" ht="15" hidden="false" customHeight="false" outlineLevel="0" collapsed="false">
      <c r="A839" s="2" t="s">
        <v>119</v>
      </c>
      <c r="B839" s="2" t="n">
        <v>10</v>
      </c>
      <c r="C839" s="2" t="s">
        <v>74</v>
      </c>
      <c r="D839" s="2" t="s">
        <v>37</v>
      </c>
      <c r="E839" s="2" t="str">
        <f aca="false">INDEX(Products!$B$2:$B$13,MATCH(D839,Products!$A$2:$A$13,0))</f>
        <v>FCC</v>
      </c>
      <c r="F839" s="15" t="n">
        <v>12.6</v>
      </c>
      <c r="G839" s="16" t="n">
        <f aca="false">IF(A839="2025",INDEX(Products!$C$2:$C$13,MATCH(D839,Products!$A$2:$A$13,0)),INDEX(Products!$E$2:$E$13,MATCH(D839,Products!$A$2:$A$13,0)))</f>
        <v>3706.5</v>
      </c>
      <c r="H839" s="13" t="n">
        <f aca="false">IF(A839="2025",INDEX(Customers!$D$2:$D$41,MATCH(C839,Customers!$A$2:$A$41,0)),INDEX(Customers!$F$2:$F$41,MATCH(C839,Customers!$A$2:$A$41,0)))</f>
        <v>0.043</v>
      </c>
      <c r="I839" s="16" t="n">
        <f aca="false">F839*G839</f>
        <v>46701.9</v>
      </c>
      <c r="J839" s="16" t="n">
        <f aca="false">I839*(1-H839)</f>
        <v>44693.7183</v>
      </c>
      <c r="K839" s="16" t="n">
        <f aca="false">J839*INDEX(Customers!$G$2:$G$41,MATCH(C839,Customers!$A$2:$A$41,0))</f>
        <v>0</v>
      </c>
      <c r="L839" s="16" t="n">
        <f aca="false">F839*INDEX(Customers!$H$2:$H$41,MATCH(C839,Customers!$A$2:$A$41,0))</f>
        <v>1134</v>
      </c>
      <c r="M839" s="16" t="n">
        <f aca="false">J839*INDEX(Customers!$I$2:$I$41,MATCH(C839,Customers!$A$2:$A$41,0))/365*Assumptions!$B$6</f>
        <v>293.876503890411</v>
      </c>
      <c r="N839" s="16" t="n">
        <f aca="false">J839-K839-L839-M839</f>
        <v>43265.8417961096</v>
      </c>
      <c r="O839" s="16" t="n">
        <f aca="false">F839*IF(A839="2025",INDEX(Products!$D$2:$D$13,MATCH(D839,Products!$A$2:$A$13,0)),INDEX(Products!$F$2:$F$13,MATCH(D839,Products!$A$2:$A$13,0)))</f>
        <v>31276.98</v>
      </c>
      <c r="P839" s="16" t="n">
        <f aca="false">N839-O839</f>
        <v>11988.8617961096</v>
      </c>
    </row>
    <row r="840" customFormat="false" ht="15" hidden="false" customHeight="false" outlineLevel="0" collapsed="false">
      <c r="A840" s="2" t="s">
        <v>119</v>
      </c>
      <c r="B840" s="2" t="n">
        <v>11</v>
      </c>
      <c r="C840" s="2" t="s">
        <v>74</v>
      </c>
      <c r="D840" s="2" t="s">
        <v>37</v>
      </c>
      <c r="E840" s="2" t="str">
        <f aca="false">INDEX(Products!$B$2:$B$13,MATCH(D840,Products!$A$2:$A$13,0))</f>
        <v>FCC</v>
      </c>
      <c r="F840" s="15" t="n">
        <v>18.2</v>
      </c>
      <c r="G840" s="16" t="n">
        <f aca="false">IF(A840="2025",INDEX(Products!$C$2:$C$13,MATCH(D840,Products!$A$2:$A$13,0)),INDEX(Products!$E$2:$E$13,MATCH(D840,Products!$A$2:$A$13,0)))</f>
        <v>3706.5</v>
      </c>
      <c r="H840" s="13" t="n">
        <f aca="false">IF(A840="2025",INDEX(Customers!$D$2:$D$41,MATCH(C840,Customers!$A$2:$A$41,0)),INDEX(Customers!$F$2:$F$41,MATCH(C840,Customers!$A$2:$A$41,0)))</f>
        <v>0.043</v>
      </c>
      <c r="I840" s="16" t="n">
        <f aca="false">F840*G840</f>
        <v>67458.3</v>
      </c>
      <c r="J840" s="16" t="n">
        <f aca="false">I840*(1-H840)</f>
        <v>64557.5931</v>
      </c>
      <c r="K840" s="16" t="n">
        <f aca="false">J840*INDEX(Customers!$G$2:$G$41,MATCH(C840,Customers!$A$2:$A$41,0))</f>
        <v>0</v>
      </c>
      <c r="L840" s="16" t="n">
        <f aca="false">F840*INDEX(Customers!$H$2:$H$41,MATCH(C840,Customers!$A$2:$A$41,0))</f>
        <v>1638</v>
      </c>
      <c r="M840" s="16" t="n">
        <f aca="false">J840*INDEX(Customers!$I$2:$I$41,MATCH(C840,Customers!$A$2:$A$41,0))/365*Assumptions!$B$6</f>
        <v>424.48828339726</v>
      </c>
      <c r="N840" s="16" t="n">
        <f aca="false">J840-K840-L840-M840</f>
        <v>62495.1048166027</v>
      </c>
      <c r="O840" s="16" t="n">
        <f aca="false">F840*IF(A840="2025",INDEX(Products!$D$2:$D$13,MATCH(D840,Products!$A$2:$A$13,0)),INDEX(Products!$F$2:$F$13,MATCH(D840,Products!$A$2:$A$13,0)))</f>
        <v>45177.86</v>
      </c>
      <c r="P840" s="16" t="n">
        <f aca="false">N840-O840</f>
        <v>17317.2448166027</v>
      </c>
    </row>
    <row r="841" customFormat="false" ht="15" hidden="false" customHeight="false" outlineLevel="0" collapsed="false">
      <c r="A841" s="2" t="s">
        <v>119</v>
      </c>
      <c r="B841" s="2" t="n">
        <v>12</v>
      </c>
      <c r="C841" s="2" t="s">
        <v>74</v>
      </c>
      <c r="D841" s="2" t="s">
        <v>37</v>
      </c>
      <c r="E841" s="2" t="str">
        <f aca="false">INDEX(Products!$B$2:$B$13,MATCH(D841,Products!$A$2:$A$13,0))</f>
        <v>FCC</v>
      </c>
      <c r="F841" s="15" t="n">
        <v>14.6</v>
      </c>
      <c r="G841" s="16" t="n">
        <f aca="false">IF(A841="2025",INDEX(Products!$C$2:$C$13,MATCH(D841,Products!$A$2:$A$13,0)),INDEX(Products!$E$2:$E$13,MATCH(D841,Products!$A$2:$A$13,0)))</f>
        <v>3706.5</v>
      </c>
      <c r="H841" s="13" t="n">
        <f aca="false">IF(A841="2025",INDEX(Customers!$D$2:$D$41,MATCH(C841,Customers!$A$2:$A$41,0)),INDEX(Customers!$F$2:$F$41,MATCH(C841,Customers!$A$2:$A$41,0)))</f>
        <v>0.043</v>
      </c>
      <c r="I841" s="16" t="n">
        <f aca="false">F841*G841</f>
        <v>54114.9</v>
      </c>
      <c r="J841" s="16" t="n">
        <f aca="false">I841*(1-H841)</f>
        <v>51787.9593</v>
      </c>
      <c r="K841" s="16" t="n">
        <f aca="false">J841*INDEX(Customers!$G$2:$G$41,MATCH(C841,Customers!$A$2:$A$41,0))</f>
        <v>0</v>
      </c>
      <c r="L841" s="16" t="n">
        <f aca="false">F841*INDEX(Customers!$H$2:$H$41,MATCH(C841,Customers!$A$2:$A$41,0))</f>
        <v>1314</v>
      </c>
      <c r="M841" s="16" t="n">
        <f aca="false">J841*INDEX(Customers!$I$2:$I$41,MATCH(C841,Customers!$A$2:$A$41,0))/365*Assumptions!$B$6</f>
        <v>340.523568</v>
      </c>
      <c r="N841" s="16" t="n">
        <f aca="false">J841-K841-L841-M841</f>
        <v>50133.435732</v>
      </c>
      <c r="O841" s="16" t="n">
        <f aca="false">F841*IF(A841="2025",INDEX(Products!$D$2:$D$13,MATCH(D841,Products!$A$2:$A$13,0)),INDEX(Products!$F$2:$F$13,MATCH(D841,Products!$A$2:$A$13,0)))</f>
        <v>36241.58</v>
      </c>
      <c r="P841" s="16" t="n">
        <f aca="false">N841-O841</f>
        <v>13891.855732</v>
      </c>
    </row>
    <row r="842" customFormat="false" ht="15" hidden="false" customHeight="false" outlineLevel="0" collapsed="false">
      <c r="A842" s="2" t="s">
        <v>118</v>
      </c>
      <c r="B842" s="2" t="n">
        <v>1</v>
      </c>
      <c r="C842" s="2" t="s">
        <v>74</v>
      </c>
      <c r="D842" s="2" t="s">
        <v>36</v>
      </c>
      <c r="E842" s="2" t="str">
        <f aca="false">INDEX(Products!$B$2:$B$13,MATCH(D842,Products!$A$2:$A$13,0))</f>
        <v>FCC</v>
      </c>
      <c r="F842" s="15" t="n">
        <v>14.2</v>
      </c>
      <c r="G842" s="16" t="n">
        <f aca="false">IF(A842="2025",INDEX(Products!$C$2:$C$13,MATCH(D842,Products!$A$2:$A$13,0)),INDEX(Products!$E$2:$E$13,MATCH(D842,Products!$A$2:$A$13,0)))</f>
        <v>3700</v>
      </c>
      <c r="H842" s="13" t="n">
        <f aca="false">IF(A842="2025",INDEX(Customers!$D$2:$D$41,MATCH(C842,Customers!$A$2:$A$41,0)),INDEX(Customers!$F$2:$F$41,MATCH(C842,Customers!$A$2:$A$41,0)))</f>
        <v>0.026</v>
      </c>
      <c r="I842" s="16" t="n">
        <f aca="false">F842*G842</f>
        <v>52540</v>
      </c>
      <c r="J842" s="16" t="n">
        <f aca="false">I842*(1-H842)</f>
        <v>51173.96</v>
      </c>
      <c r="K842" s="16" t="n">
        <f aca="false">J842*INDEX(Customers!$G$2:$G$41,MATCH(C842,Customers!$A$2:$A$41,0))</f>
        <v>0</v>
      </c>
      <c r="L842" s="16" t="n">
        <f aca="false">F842*INDEX(Customers!$H$2:$H$41,MATCH(C842,Customers!$A$2:$A$41,0))</f>
        <v>1278</v>
      </c>
      <c r="M842" s="16" t="n">
        <f aca="false">J842*INDEX(Customers!$I$2:$I$41,MATCH(C842,Customers!$A$2:$A$41,0))/365*Assumptions!$B$6</f>
        <v>336.486312328767</v>
      </c>
      <c r="N842" s="16" t="n">
        <f aca="false">J842-K842-L842-M842</f>
        <v>49559.4736876712</v>
      </c>
      <c r="O842" s="16" t="n">
        <f aca="false">F842*IF(A842="2025",INDEX(Products!$D$2:$D$13,MATCH(D842,Products!$A$2:$A$13,0)),INDEX(Products!$F$2:$F$13,MATCH(D842,Products!$A$2:$A$13,0)))</f>
        <v>34080</v>
      </c>
      <c r="P842" s="16" t="n">
        <f aca="false">N842-O842</f>
        <v>15479.4736876712</v>
      </c>
    </row>
    <row r="843" customFormat="false" ht="15" hidden="false" customHeight="false" outlineLevel="0" collapsed="false">
      <c r="A843" s="2" t="s">
        <v>118</v>
      </c>
      <c r="B843" s="2" t="n">
        <v>2</v>
      </c>
      <c r="C843" s="2" t="s">
        <v>74</v>
      </c>
      <c r="D843" s="2" t="s">
        <v>36</v>
      </c>
      <c r="E843" s="2" t="str">
        <f aca="false">INDEX(Products!$B$2:$B$13,MATCH(D843,Products!$A$2:$A$13,0))</f>
        <v>FCC</v>
      </c>
      <c r="F843" s="15" t="n">
        <v>17.1</v>
      </c>
      <c r="G843" s="16" t="n">
        <f aca="false">IF(A843="2025",INDEX(Products!$C$2:$C$13,MATCH(D843,Products!$A$2:$A$13,0)),INDEX(Products!$E$2:$E$13,MATCH(D843,Products!$A$2:$A$13,0)))</f>
        <v>3700</v>
      </c>
      <c r="H843" s="13" t="n">
        <f aca="false">IF(A843="2025",INDEX(Customers!$D$2:$D$41,MATCH(C843,Customers!$A$2:$A$41,0)),INDEX(Customers!$F$2:$F$41,MATCH(C843,Customers!$A$2:$A$41,0)))</f>
        <v>0.026</v>
      </c>
      <c r="I843" s="16" t="n">
        <f aca="false">F843*G843</f>
        <v>63270</v>
      </c>
      <c r="J843" s="16" t="n">
        <f aca="false">I843*(1-H843)</f>
        <v>61624.98</v>
      </c>
      <c r="K843" s="16" t="n">
        <f aca="false">J843*INDEX(Customers!$G$2:$G$41,MATCH(C843,Customers!$A$2:$A$41,0))</f>
        <v>0</v>
      </c>
      <c r="L843" s="16" t="n">
        <f aca="false">F843*INDEX(Customers!$H$2:$H$41,MATCH(C843,Customers!$A$2:$A$41,0))</f>
        <v>1539</v>
      </c>
      <c r="M843" s="16" t="n">
        <f aca="false">J843*INDEX(Customers!$I$2:$I$41,MATCH(C843,Customers!$A$2:$A$41,0))/365*Assumptions!$B$6</f>
        <v>405.205347945206</v>
      </c>
      <c r="N843" s="16" t="n">
        <f aca="false">J843-K843-L843-M843</f>
        <v>59680.7746520548</v>
      </c>
      <c r="O843" s="16" t="n">
        <f aca="false">F843*IF(A843="2025",INDEX(Products!$D$2:$D$13,MATCH(D843,Products!$A$2:$A$13,0)),INDEX(Products!$F$2:$F$13,MATCH(D843,Products!$A$2:$A$13,0)))</f>
        <v>41040</v>
      </c>
      <c r="P843" s="16" t="n">
        <f aca="false">N843-O843</f>
        <v>18640.7746520548</v>
      </c>
    </row>
    <row r="844" customFormat="false" ht="15" hidden="false" customHeight="false" outlineLevel="0" collapsed="false">
      <c r="A844" s="2" t="s">
        <v>118</v>
      </c>
      <c r="B844" s="2" t="n">
        <v>3</v>
      </c>
      <c r="C844" s="2" t="s">
        <v>74</v>
      </c>
      <c r="D844" s="2" t="s">
        <v>36</v>
      </c>
      <c r="E844" s="2" t="str">
        <f aca="false">INDEX(Products!$B$2:$B$13,MATCH(D844,Products!$A$2:$A$13,0))</f>
        <v>FCC</v>
      </c>
      <c r="F844" s="15" t="n">
        <v>13.8</v>
      </c>
      <c r="G844" s="16" t="n">
        <f aca="false">IF(A844="2025",INDEX(Products!$C$2:$C$13,MATCH(D844,Products!$A$2:$A$13,0)),INDEX(Products!$E$2:$E$13,MATCH(D844,Products!$A$2:$A$13,0)))</f>
        <v>3700</v>
      </c>
      <c r="H844" s="13" t="n">
        <f aca="false">IF(A844="2025",INDEX(Customers!$D$2:$D$41,MATCH(C844,Customers!$A$2:$A$41,0)),INDEX(Customers!$F$2:$F$41,MATCH(C844,Customers!$A$2:$A$41,0)))</f>
        <v>0.026</v>
      </c>
      <c r="I844" s="16" t="n">
        <f aca="false">F844*G844</f>
        <v>51060</v>
      </c>
      <c r="J844" s="16" t="n">
        <f aca="false">I844*(1-H844)</f>
        <v>49732.44</v>
      </c>
      <c r="K844" s="16" t="n">
        <f aca="false">J844*INDEX(Customers!$G$2:$G$41,MATCH(C844,Customers!$A$2:$A$41,0))</f>
        <v>0</v>
      </c>
      <c r="L844" s="16" t="n">
        <f aca="false">F844*INDEX(Customers!$H$2:$H$41,MATCH(C844,Customers!$A$2:$A$41,0))</f>
        <v>1242</v>
      </c>
      <c r="M844" s="16" t="n">
        <f aca="false">J844*INDEX(Customers!$I$2:$I$41,MATCH(C844,Customers!$A$2:$A$41,0))/365*Assumptions!$B$6</f>
        <v>327.007824657534</v>
      </c>
      <c r="N844" s="16" t="n">
        <f aca="false">J844-K844-L844-M844</f>
        <v>48163.4321753425</v>
      </c>
      <c r="O844" s="16" t="n">
        <f aca="false">F844*IF(A844="2025",INDEX(Products!$D$2:$D$13,MATCH(D844,Products!$A$2:$A$13,0)),INDEX(Products!$F$2:$F$13,MATCH(D844,Products!$A$2:$A$13,0)))</f>
        <v>33120</v>
      </c>
      <c r="P844" s="16" t="n">
        <f aca="false">N844-O844</f>
        <v>15043.4321753425</v>
      </c>
    </row>
    <row r="845" customFormat="false" ht="15" hidden="false" customHeight="false" outlineLevel="0" collapsed="false">
      <c r="A845" s="2" t="s">
        <v>118</v>
      </c>
      <c r="B845" s="2" t="n">
        <v>4</v>
      </c>
      <c r="C845" s="2" t="s">
        <v>74</v>
      </c>
      <c r="D845" s="2" t="s">
        <v>36</v>
      </c>
      <c r="E845" s="2" t="str">
        <f aca="false">INDEX(Products!$B$2:$B$13,MATCH(D845,Products!$A$2:$A$13,0))</f>
        <v>FCC</v>
      </c>
      <c r="F845" s="15" t="n">
        <v>16.4</v>
      </c>
      <c r="G845" s="16" t="n">
        <f aca="false">IF(A845="2025",INDEX(Products!$C$2:$C$13,MATCH(D845,Products!$A$2:$A$13,0)),INDEX(Products!$E$2:$E$13,MATCH(D845,Products!$A$2:$A$13,0)))</f>
        <v>3700</v>
      </c>
      <c r="H845" s="13" t="n">
        <f aca="false">IF(A845="2025",INDEX(Customers!$D$2:$D$41,MATCH(C845,Customers!$A$2:$A$41,0)),INDEX(Customers!$F$2:$F$41,MATCH(C845,Customers!$A$2:$A$41,0)))</f>
        <v>0.026</v>
      </c>
      <c r="I845" s="16" t="n">
        <f aca="false">F845*G845</f>
        <v>60680</v>
      </c>
      <c r="J845" s="16" t="n">
        <f aca="false">I845*(1-H845)</f>
        <v>59102.32</v>
      </c>
      <c r="K845" s="16" t="n">
        <f aca="false">J845*INDEX(Customers!$G$2:$G$41,MATCH(C845,Customers!$A$2:$A$41,0))</f>
        <v>0</v>
      </c>
      <c r="L845" s="16" t="n">
        <f aca="false">F845*INDEX(Customers!$H$2:$H$41,MATCH(C845,Customers!$A$2:$A$41,0))</f>
        <v>1476</v>
      </c>
      <c r="M845" s="16" t="n">
        <f aca="false">J845*INDEX(Customers!$I$2:$I$41,MATCH(C845,Customers!$A$2:$A$41,0))/365*Assumptions!$B$6</f>
        <v>388.617994520548</v>
      </c>
      <c r="N845" s="16" t="n">
        <f aca="false">J845-K845-L845-M845</f>
        <v>57237.7020054794</v>
      </c>
      <c r="O845" s="16" t="n">
        <f aca="false">F845*IF(A845="2025",INDEX(Products!$D$2:$D$13,MATCH(D845,Products!$A$2:$A$13,0)),INDEX(Products!$F$2:$F$13,MATCH(D845,Products!$A$2:$A$13,0)))</f>
        <v>39360</v>
      </c>
      <c r="P845" s="16" t="n">
        <f aca="false">N845-O845</f>
        <v>17877.7020054794</v>
      </c>
    </row>
    <row r="846" customFormat="false" ht="15" hidden="false" customHeight="false" outlineLevel="0" collapsed="false">
      <c r="A846" s="2" t="s">
        <v>118</v>
      </c>
      <c r="B846" s="2" t="n">
        <v>5</v>
      </c>
      <c r="C846" s="2" t="s">
        <v>74</v>
      </c>
      <c r="D846" s="2" t="s">
        <v>36</v>
      </c>
      <c r="E846" s="2" t="str">
        <f aca="false">INDEX(Products!$B$2:$B$13,MATCH(D846,Products!$A$2:$A$13,0))</f>
        <v>FCC</v>
      </c>
      <c r="F846" s="15" t="n">
        <v>17.8</v>
      </c>
      <c r="G846" s="16" t="n">
        <f aca="false">IF(A846="2025",INDEX(Products!$C$2:$C$13,MATCH(D846,Products!$A$2:$A$13,0)),INDEX(Products!$E$2:$E$13,MATCH(D846,Products!$A$2:$A$13,0)))</f>
        <v>3700</v>
      </c>
      <c r="H846" s="13" t="n">
        <f aca="false">IF(A846="2025",INDEX(Customers!$D$2:$D$41,MATCH(C846,Customers!$A$2:$A$41,0)),INDEX(Customers!$F$2:$F$41,MATCH(C846,Customers!$A$2:$A$41,0)))</f>
        <v>0.026</v>
      </c>
      <c r="I846" s="16" t="n">
        <f aca="false">F846*G846</f>
        <v>65860</v>
      </c>
      <c r="J846" s="16" t="n">
        <f aca="false">I846*(1-H846)</f>
        <v>64147.64</v>
      </c>
      <c r="K846" s="16" t="n">
        <f aca="false">J846*INDEX(Customers!$G$2:$G$41,MATCH(C846,Customers!$A$2:$A$41,0))</f>
        <v>0</v>
      </c>
      <c r="L846" s="16" t="n">
        <f aca="false">F846*INDEX(Customers!$H$2:$H$41,MATCH(C846,Customers!$A$2:$A$41,0))</f>
        <v>1602</v>
      </c>
      <c r="M846" s="16" t="n">
        <f aca="false">J846*INDEX(Customers!$I$2:$I$41,MATCH(C846,Customers!$A$2:$A$41,0))/365*Assumptions!$B$6</f>
        <v>421.792701369863</v>
      </c>
      <c r="N846" s="16" t="n">
        <f aca="false">J846-K846-L846-M846</f>
        <v>62123.8472986301</v>
      </c>
      <c r="O846" s="16" t="n">
        <f aca="false">F846*IF(A846="2025",INDEX(Products!$D$2:$D$13,MATCH(D846,Products!$A$2:$A$13,0)),INDEX(Products!$F$2:$F$13,MATCH(D846,Products!$A$2:$A$13,0)))</f>
        <v>42720</v>
      </c>
      <c r="P846" s="16" t="n">
        <f aca="false">N846-O846</f>
        <v>19403.8472986301</v>
      </c>
    </row>
    <row r="847" customFormat="false" ht="15" hidden="false" customHeight="false" outlineLevel="0" collapsed="false">
      <c r="A847" s="2" t="s">
        <v>118</v>
      </c>
      <c r="B847" s="2" t="n">
        <v>6</v>
      </c>
      <c r="C847" s="2" t="s">
        <v>74</v>
      </c>
      <c r="D847" s="2" t="s">
        <v>36</v>
      </c>
      <c r="E847" s="2" t="str">
        <f aca="false">INDEX(Products!$B$2:$B$13,MATCH(D847,Products!$A$2:$A$13,0))</f>
        <v>FCC</v>
      </c>
      <c r="F847" s="15" t="n">
        <v>19.7</v>
      </c>
      <c r="G847" s="16" t="n">
        <f aca="false">IF(A847="2025",INDEX(Products!$C$2:$C$13,MATCH(D847,Products!$A$2:$A$13,0)),INDEX(Products!$E$2:$E$13,MATCH(D847,Products!$A$2:$A$13,0)))</f>
        <v>3700</v>
      </c>
      <c r="H847" s="13" t="n">
        <f aca="false">IF(A847="2025",INDEX(Customers!$D$2:$D$41,MATCH(C847,Customers!$A$2:$A$41,0)),INDEX(Customers!$F$2:$F$41,MATCH(C847,Customers!$A$2:$A$41,0)))</f>
        <v>0.026</v>
      </c>
      <c r="I847" s="16" t="n">
        <f aca="false">F847*G847</f>
        <v>72890</v>
      </c>
      <c r="J847" s="16" t="n">
        <f aca="false">I847*(1-H847)</f>
        <v>70994.86</v>
      </c>
      <c r="K847" s="16" t="n">
        <f aca="false">J847*INDEX(Customers!$G$2:$G$41,MATCH(C847,Customers!$A$2:$A$41,0))</f>
        <v>0</v>
      </c>
      <c r="L847" s="16" t="n">
        <f aca="false">F847*INDEX(Customers!$H$2:$H$41,MATCH(C847,Customers!$A$2:$A$41,0))</f>
        <v>1773</v>
      </c>
      <c r="M847" s="16" t="n">
        <f aca="false">J847*INDEX(Customers!$I$2:$I$41,MATCH(C847,Customers!$A$2:$A$41,0))/365*Assumptions!$B$6</f>
        <v>466.815517808219</v>
      </c>
      <c r="N847" s="16" t="n">
        <f aca="false">J847-K847-L847-M847</f>
        <v>68755.0444821918</v>
      </c>
      <c r="O847" s="16" t="n">
        <f aca="false">F847*IF(A847="2025",INDEX(Products!$D$2:$D$13,MATCH(D847,Products!$A$2:$A$13,0)),INDEX(Products!$F$2:$F$13,MATCH(D847,Products!$A$2:$A$13,0)))</f>
        <v>47280</v>
      </c>
      <c r="P847" s="16" t="n">
        <f aca="false">N847-O847</f>
        <v>21475.0444821918</v>
      </c>
    </row>
    <row r="848" customFormat="false" ht="15" hidden="false" customHeight="false" outlineLevel="0" collapsed="false">
      <c r="A848" s="2" t="s">
        <v>118</v>
      </c>
      <c r="B848" s="2" t="n">
        <v>7</v>
      </c>
      <c r="C848" s="2" t="s">
        <v>74</v>
      </c>
      <c r="D848" s="2" t="s">
        <v>36</v>
      </c>
      <c r="E848" s="2" t="str">
        <f aca="false">INDEX(Products!$B$2:$B$13,MATCH(D848,Products!$A$2:$A$13,0))</f>
        <v>FCC</v>
      </c>
      <c r="F848" s="15" t="n">
        <v>20.1</v>
      </c>
      <c r="G848" s="16" t="n">
        <f aca="false">IF(A848="2025",INDEX(Products!$C$2:$C$13,MATCH(D848,Products!$A$2:$A$13,0)),INDEX(Products!$E$2:$E$13,MATCH(D848,Products!$A$2:$A$13,0)))</f>
        <v>3700</v>
      </c>
      <c r="H848" s="13" t="n">
        <f aca="false">IF(A848="2025",INDEX(Customers!$D$2:$D$41,MATCH(C848,Customers!$A$2:$A$41,0)),INDEX(Customers!$F$2:$F$41,MATCH(C848,Customers!$A$2:$A$41,0)))</f>
        <v>0.026</v>
      </c>
      <c r="I848" s="16" t="n">
        <f aca="false">F848*G848</f>
        <v>74370</v>
      </c>
      <c r="J848" s="16" t="n">
        <f aca="false">I848*(1-H848)</f>
        <v>72436.38</v>
      </c>
      <c r="K848" s="16" t="n">
        <f aca="false">J848*INDEX(Customers!$G$2:$G$41,MATCH(C848,Customers!$A$2:$A$41,0))</f>
        <v>0</v>
      </c>
      <c r="L848" s="16" t="n">
        <f aca="false">F848*INDEX(Customers!$H$2:$H$41,MATCH(C848,Customers!$A$2:$A$41,0))</f>
        <v>1809</v>
      </c>
      <c r="M848" s="16" t="n">
        <f aca="false">J848*INDEX(Customers!$I$2:$I$41,MATCH(C848,Customers!$A$2:$A$41,0))/365*Assumptions!$B$6</f>
        <v>476.294005479452</v>
      </c>
      <c r="N848" s="16" t="n">
        <f aca="false">J848-K848-L848-M848</f>
        <v>70151.0859945206</v>
      </c>
      <c r="O848" s="16" t="n">
        <f aca="false">F848*IF(A848="2025",INDEX(Products!$D$2:$D$13,MATCH(D848,Products!$A$2:$A$13,0)),INDEX(Products!$F$2:$F$13,MATCH(D848,Products!$A$2:$A$13,0)))</f>
        <v>48240</v>
      </c>
      <c r="P848" s="16" t="n">
        <f aca="false">N848-O848</f>
        <v>21911.0859945206</v>
      </c>
    </row>
    <row r="849" customFormat="false" ht="15" hidden="false" customHeight="false" outlineLevel="0" collapsed="false">
      <c r="A849" s="2" t="s">
        <v>118</v>
      </c>
      <c r="B849" s="2" t="n">
        <v>8</v>
      </c>
      <c r="C849" s="2" t="s">
        <v>74</v>
      </c>
      <c r="D849" s="2" t="s">
        <v>36</v>
      </c>
      <c r="E849" s="2" t="str">
        <f aca="false">INDEX(Products!$B$2:$B$13,MATCH(D849,Products!$A$2:$A$13,0))</f>
        <v>FCC</v>
      </c>
      <c r="F849" s="15" t="n">
        <v>20.9</v>
      </c>
      <c r="G849" s="16" t="n">
        <f aca="false">IF(A849="2025",INDEX(Products!$C$2:$C$13,MATCH(D849,Products!$A$2:$A$13,0)),INDEX(Products!$E$2:$E$13,MATCH(D849,Products!$A$2:$A$13,0)))</f>
        <v>3700</v>
      </c>
      <c r="H849" s="13" t="n">
        <f aca="false">IF(A849="2025",INDEX(Customers!$D$2:$D$41,MATCH(C849,Customers!$A$2:$A$41,0)),INDEX(Customers!$F$2:$F$41,MATCH(C849,Customers!$A$2:$A$41,0)))</f>
        <v>0.026</v>
      </c>
      <c r="I849" s="16" t="n">
        <f aca="false">F849*G849</f>
        <v>77330</v>
      </c>
      <c r="J849" s="16" t="n">
        <f aca="false">I849*(1-H849)</f>
        <v>75319.42</v>
      </c>
      <c r="K849" s="16" t="n">
        <f aca="false">J849*INDEX(Customers!$G$2:$G$41,MATCH(C849,Customers!$A$2:$A$41,0))</f>
        <v>0</v>
      </c>
      <c r="L849" s="16" t="n">
        <f aca="false">F849*INDEX(Customers!$H$2:$H$41,MATCH(C849,Customers!$A$2:$A$41,0))</f>
        <v>1881</v>
      </c>
      <c r="M849" s="16" t="n">
        <f aca="false">J849*INDEX(Customers!$I$2:$I$41,MATCH(C849,Customers!$A$2:$A$41,0))/365*Assumptions!$B$6</f>
        <v>495.250980821918</v>
      </c>
      <c r="N849" s="16" t="n">
        <f aca="false">J849-K849-L849-M849</f>
        <v>72943.1690191781</v>
      </c>
      <c r="O849" s="16" t="n">
        <f aca="false">F849*IF(A849="2025",INDEX(Products!$D$2:$D$13,MATCH(D849,Products!$A$2:$A$13,0)),INDEX(Products!$F$2:$F$13,MATCH(D849,Products!$A$2:$A$13,0)))</f>
        <v>50160</v>
      </c>
      <c r="P849" s="16" t="n">
        <f aca="false">N849-O849</f>
        <v>22783.1690191781</v>
      </c>
    </row>
    <row r="850" customFormat="false" ht="15" hidden="false" customHeight="false" outlineLevel="0" collapsed="false">
      <c r="A850" s="2" t="s">
        <v>118</v>
      </c>
      <c r="B850" s="2" t="n">
        <v>9</v>
      </c>
      <c r="C850" s="2" t="s">
        <v>74</v>
      </c>
      <c r="D850" s="2" t="s">
        <v>36</v>
      </c>
      <c r="E850" s="2" t="str">
        <f aca="false">INDEX(Products!$B$2:$B$13,MATCH(D850,Products!$A$2:$A$13,0))</f>
        <v>FCC</v>
      </c>
      <c r="F850" s="15" t="n">
        <v>16.8</v>
      </c>
      <c r="G850" s="16" t="n">
        <f aca="false">IF(A850="2025",INDEX(Products!$C$2:$C$13,MATCH(D850,Products!$A$2:$A$13,0)),INDEX(Products!$E$2:$E$13,MATCH(D850,Products!$A$2:$A$13,0)))</f>
        <v>3700</v>
      </c>
      <c r="H850" s="13" t="n">
        <f aca="false">IF(A850="2025",INDEX(Customers!$D$2:$D$41,MATCH(C850,Customers!$A$2:$A$41,0)),INDEX(Customers!$F$2:$F$41,MATCH(C850,Customers!$A$2:$A$41,0)))</f>
        <v>0.026</v>
      </c>
      <c r="I850" s="16" t="n">
        <f aca="false">F850*G850</f>
        <v>62160</v>
      </c>
      <c r="J850" s="16" t="n">
        <f aca="false">I850*(1-H850)</f>
        <v>60543.84</v>
      </c>
      <c r="K850" s="16" t="n">
        <f aca="false">J850*INDEX(Customers!$G$2:$G$41,MATCH(C850,Customers!$A$2:$A$41,0))</f>
        <v>0</v>
      </c>
      <c r="L850" s="16" t="n">
        <f aca="false">F850*INDEX(Customers!$H$2:$H$41,MATCH(C850,Customers!$A$2:$A$41,0))</f>
        <v>1512</v>
      </c>
      <c r="M850" s="16" t="n">
        <f aca="false">J850*INDEX(Customers!$I$2:$I$41,MATCH(C850,Customers!$A$2:$A$41,0))/365*Assumptions!$B$6</f>
        <v>398.096482191781</v>
      </c>
      <c r="N850" s="16" t="n">
        <f aca="false">J850-K850-L850-M850</f>
        <v>58633.7435178082</v>
      </c>
      <c r="O850" s="16" t="n">
        <f aca="false">F850*IF(A850="2025",INDEX(Products!$D$2:$D$13,MATCH(D850,Products!$A$2:$A$13,0)),INDEX(Products!$F$2:$F$13,MATCH(D850,Products!$A$2:$A$13,0)))</f>
        <v>40320</v>
      </c>
      <c r="P850" s="16" t="n">
        <f aca="false">N850-O850</f>
        <v>18313.7435178082</v>
      </c>
    </row>
    <row r="851" customFormat="false" ht="15" hidden="false" customHeight="false" outlineLevel="0" collapsed="false">
      <c r="A851" s="2" t="s">
        <v>118</v>
      </c>
      <c r="B851" s="2" t="n">
        <v>10</v>
      </c>
      <c r="C851" s="2" t="s">
        <v>74</v>
      </c>
      <c r="D851" s="2" t="s">
        <v>36</v>
      </c>
      <c r="E851" s="2" t="str">
        <f aca="false">INDEX(Products!$B$2:$B$13,MATCH(D851,Products!$A$2:$A$13,0))</f>
        <v>FCC</v>
      </c>
      <c r="F851" s="15" t="n">
        <v>21.1</v>
      </c>
      <c r="G851" s="16" t="n">
        <f aca="false">IF(A851="2025",INDEX(Products!$C$2:$C$13,MATCH(D851,Products!$A$2:$A$13,0)),INDEX(Products!$E$2:$E$13,MATCH(D851,Products!$A$2:$A$13,0)))</f>
        <v>3700</v>
      </c>
      <c r="H851" s="13" t="n">
        <f aca="false">IF(A851="2025",INDEX(Customers!$D$2:$D$41,MATCH(C851,Customers!$A$2:$A$41,0)),INDEX(Customers!$F$2:$F$41,MATCH(C851,Customers!$A$2:$A$41,0)))</f>
        <v>0.026</v>
      </c>
      <c r="I851" s="16" t="n">
        <f aca="false">F851*G851</f>
        <v>78070</v>
      </c>
      <c r="J851" s="16" t="n">
        <f aca="false">I851*(1-H851)</f>
        <v>76040.18</v>
      </c>
      <c r="K851" s="16" t="n">
        <f aca="false">J851*INDEX(Customers!$G$2:$G$41,MATCH(C851,Customers!$A$2:$A$41,0))</f>
        <v>0</v>
      </c>
      <c r="L851" s="16" t="n">
        <f aca="false">F851*INDEX(Customers!$H$2:$H$41,MATCH(C851,Customers!$A$2:$A$41,0))</f>
        <v>1899</v>
      </c>
      <c r="M851" s="16" t="n">
        <f aca="false">J851*INDEX(Customers!$I$2:$I$41,MATCH(C851,Customers!$A$2:$A$41,0))/365*Assumptions!$B$6</f>
        <v>499.990224657534</v>
      </c>
      <c r="N851" s="16" t="n">
        <f aca="false">J851-K851-L851-M851</f>
        <v>73641.1897753425</v>
      </c>
      <c r="O851" s="16" t="n">
        <f aca="false">F851*IF(A851="2025",INDEX(Products!$D$2:$D$13,MATCH(D851,Products!$A$2:$A$13,0)),INDEX(Products!$F$2:$F$13,MATCH(D851,Products!$A$2:$A$13,0)))</f>
        <v>50640</v>
      </c>
      <c r="P851" s="16" t="n">
        <f aca="false">N851-O851</f>
        <v>23001.1897753425</v>
      </c>
    </row>
    <row r="852" customFormat="false" ht="15" hidden="false" customHeight="false" outlineLevel="0" collapsed="false">
      <c r="A852" s="2" t="s">
        <v>118</v>
      </c>
      <c r="B852" s="2" t="n">
        <v>11</v>
      </c>
      <c r="C852" s="2" t="s">
        <v>74</v>
      </c>
      <c r="D852" s="2" t="s">
        <v>36</v>
      </c>
      <c r="E852" s="2" t="str">
        <f aca="false">INDEX(Products!$B$2:$B$13,MATCH(D852,Products!$A$2:$A$13,0))</f>
        <v>FCC</v>
      </c>
      <c r="F852" s="15" t="n">
        <v>20.9</v>
      </c>
      <c r="G852" s="16" t="n">
        <f aca="false">IF(A852="2025",INDEX(Products!$C$2:$C$13,MATCH(D852,Products!$A$2:$A$13,0)),INDEX(Products!$E$2:$E$13,MATCH(D852,Products!$A$2:$A$13,0)))</f>
        <v>3700</v>
      </c>
      <c r="H852" s="13" t="n">
        <f aca="false">IF(A852="2025",INDEX(Customers!$D$2:$D$41,MATCH(C852,Customers!$A$2:$A$41,0)),INDEX(Customers!$F$2:$F$41,MATCH(C852,Customers!$A$2:$A$41,0)))</f>
        <v>0.026</v>
      </c>
      <c r="I852" s="16" t="n">
        <f aca="false">F852*G852</f>
        <v>77330</v>
      </c>
      <c r="J852" s="16" t="n">
        <f aca="false">I852*(1-H852)</f>
        <v>75319.42</v>
      </c>
      <c r="K852" s="16" t="n">
        <f aca="false">J852*INDEX(Customers!$G$2:$G$41,MATCH(C852,Customers!$A$2:$A$41,0))</f>
        <v>0</v>
      </c>
      <c r="L852" s="16" t="n">
        <f aca="false">F852*INDEX(Customers!$H$2:$H$41,MATCH(C852,Customers!$A$2:$A$41,0))</f>
        <v>1881</v>
      </c>
      <c r="M852" s="16" t="n">
        <f aca="false">J852*INDEX(Customers!$I$2:$I$41,MATCH(C852,Customers!$A$2:$A$41,0))/365*Assumptions!$B$6</f>
        <v>495.250980821918</v>
      </c>
      <c r="N852" s="16" t="n">
        <f aca="false">J852-K852-L852-M852</f>
        <v>72943.1690191781</v>
      </c>
      <c r="O852" s="16" t="n">
        <f aca="false">F852*IF(A852="2025",INDEX(Products!$D$2:$D$13,MATCH(D852,Products!$A$2:$A$13,0)),INDEX(Products!$F$2:$F$13,MATCH(D852,Products!$A$2:$A$13,0)))</f>
        <v>50160</v>
      </c>
      <c r="P852" s="16" t="n">
        <f aca="false">N852-O852</f>
        <v>22783.1690191781</v>
      </c>
    </row>
    <row r="853" customFormat="false" ht="15" hidden="false" customHeight="false" outlineLevel="0" collapsed="false">
      <c r="A853" s="2" t="s">
        <v>118</v>
      </c>
      <c r="B853" s="2" t="n">
        <v>12</v>
      </c>
      <c r="C853" s="2" t="s">
        <v>74</v>
      </c>
      <c r="D853" s="2" t="s">
        <v>36</v>
      </c>
      <c r="E853" s="2" t="str">
        <f aca="false">INDEX(Products!$B$2:$B$13,MATCH(D853,Products!$A$2:$A$13,0))</f>
        <v>FCC</v>
      </c>
      <c r="F853" s="15" t="n">
        <v>16.8</v>
      </c>
      <c r="G853" s="16" t="n">
        <f aca="false">IF(A853="2025",INDEX(Products!$C$2:$C$13,MATCH(D853,Products!$A$2:$A$13,0)),INDEX(Products!$E$2:$E$13,MATCH(D853,Products!$A$2:$A$13,0)))</f>
        <v>3700</v>
      </c>
      <c r="H853" s="13" t="n">
        <f aca="false">IF(A853="2025",INDEX(Customers!$D$2:$D$41,MATCH(C853,Customers!$A$2:$A$41,0)),INDEX(Customers!$F$2:$F$41,MATCH(C853,Customers!$A$2:$A$41,0)))</f>
        <v>0.026</v>
      </c>
      <c r="I853" s="16" t="n">
        <f aca="false">F853*G853</f>
        <v>62160</v>
      </c>
      <c r="J853" s="16" t="n">
        <f aca="false">I853*(1-H853)</f>
        <v>60543.84</v>
      </c>
      <c r="K853" s="16" t="n">
        <f aca="false">J853*INDEX(Customers!$G$2:$G$41,MATCH(C853,Customers!$A$2:$A$41,0))</f>
        <v>0</v>
      </c>
      <c r="L853" s="16" t="n">
        <f aca="false">F853*INDEX(Customers!$H$2:$H$41,MATCH(C853,Customers!$A$2:$A$41,0))</f>
        <v>1512</v>
      </c>
      <c r="M853" s="16" t="n">
        <f aca="false">J853*INDEX(Customers!$I$2:$I$41,MATCH(C853,Customers!$A$2:$A$41,0))/365*Assumptions!$B$6</f>
        <v>398.096482191781</v>
      </c>
      <c r="N853" s="16" t="n">
        <f aca="false">J853-K853-L853-M853</f>
        <v>58633.7435178082</v>
      </c>
      <c r="O853" s="16" t="n">
        <f aca="false">F853*IF(A853="2025",INDEX(Products!$D$2:$D$13,MATCH(D853,Products!$A$2:$A$13,0)),INDEX(Products!$F$2:$F$13,MATCH(D853,Products!$A$2:$A$13,0)))</f>
        <v>40320</v>
      </c>
      <c r="P853" s="16" t="n">
        <f aca="false">N853-O853</f>
        <v>18313.7435178082</v>
      </c>
    </row>
    <row r="854" customFormat="false" ht="15" hidden="false" customHeight="false" outlineLevel="0" collapsed="false">
      <c r="A854" s="2" t="s">
        <v>119</v>
      </c>
      <c r="B854" s="2" t="n">
        <v>1</v>
      </c>
      <c r="C854" s="2" t="s">
        <v>74</v>
      </c>
      <c r="D854" s="2" t="s">
        <v>36</v>
      </c>
      <c r="E854" s="2" t="str">
        <f aca="false">INDEX(Products!$B$2:$B$13,MATCH(D854,Products!$A$2:$A$13,0))</f>
        <v>FCC</v>
      </c>
      <c r="F854" s="15" t="n">
        <v>11.6</v>
      </c>
      <c r="G854" s="16" t="n">
        <f aca="false">IF(A854="2025",INDEX(Products!$C$2:$C$13,MATCH(D854,Products!$A$2:$A$13,0)),INDEX(Products!$E$2:$E$13,MATCH(D854,Products!$A$2:$A$13,0)))</f>
        <v>3885</v>
      </c>
      <c r="H854" s="13" t="n">
        <f aca="false">IF(A854="2025",INDEX(Customers!$D$2:$D$41,MATCH(C854,Customers!$A$2:$A$41,0)),INDEX(Customers!$F$2:$F$41,MATCH(C854,Customers!$A$2:$A$41,0)))</f>
        <v>0.043</v>
      </c>
      <c r="I854" s="16" t="n">
        <f aca="false">F854*G854</f>
        <v>45066</v>
      </c>
      <c r="J854" s="16" t="n">
        <f aca="false">I854*(1-H854)</f>
        <v>43128.162</v>
      </c>
      <c r="K854" s="16" t="n">
        <f aca="false">J854*INDEX(Customers!$G$2:$G$41,MATCH(C854,Customers!$A$2:$A$41,0))</f>
        <v>0</v>
      </c>
      <c r="L854" s="16" t="n">
        <f aca="false">F854*INDEX(Customers!$H$2:$H$41,MATCH(C854,Customers!$A$2:$A$41,0))</f>
        <v>1044</v>
      </c>
      <c r="M854" s="16" t="n">
        <f aca="false">J854*INDEX(Customers!$I$2:$I$41,MATCH(C854,Customers!$A$2:$A$41,0))/365*Assumptions!$B$6</f>
        <v>283.582435068493</v>
      </c>
      <c r="N854" s="16" t="n">
        <f aca="false">J854-K854-L854-M854</f>
        <v>41800.5795649315</v>
      </c>
      <c r="O854" s="16" t="n">
        <f aca="false">F854*IF(A854="2025",INDEX(Products!$D$2:$D$13,MATCH(D854,Products!$A$2:$A$13,0)),INDEX(Products!$F$2:$F$13,MATCH(D854,Products!$A$2:$A$13,0)))</f>
        <v>28675.2</v>
      </c>
      <c r="P854" s="16" t="n">
        <f aca="false">N854-O854</f>
        <v>13125.3795649315</v>
      </c>
    </row>
    <row r="855" customFormat="false" ht="15" hidden="false" customHeight="false" outlineLevel="0" collapsed="false">
      <c r="A855" s="2" t="s">
        <v>119</v>
      </c>
      <c r="B855" s="2" t="n">
        <v>2</v>
      </c>
      <c r="C855" s="2" t="s">
        <v>74</v>
      </c>
      <c r="D855" s="2" t="s">
        <v>36</v>
      </c>
      <c r="E855" s="2" t="str">
        <f aca="false">INDEX(Products!$B$2:$B$13,MATCH(D855,Products!$A$2:$A$13,0))</f>
        <v>FCC</v>
      </c>
      <c r="F855" s="15" t="n">
        <v>14</v>
      </c>
      <c r="G855" s="16" t="n">
        <f aca="false">IF(A855="2025",INDEX(Products!$C$2:$C$13,MATCH(D855,Products!$A$2:$A$13,0)),INDEX(Products!$E$2:$E$13,MATCH(D855,Products!$A$2:$A$13,0)))</f>
        <v>3885</v>
      </c>
      <c r="H855" s="13" t="n">
        <f aca="false">IF(A855="2025",INDEX(Customers!$D$2:$D$41,MATCH(C855,Customers!$A$2:$A$41,0)),INDEX(Customers!$F$2:$F$41,MATCH(C855,Customers!$A$2:$A$41,0)))</f>
        <v>0.043</v>
      </c>
      <c r="I855" s="16" t="n">
        <f aca="false">F855*G855</f>
        <v>54390</v>
      </c>
      <c r="J855" s="16" t="n">
        <f aca="false">I855*(1-H855)</f>
        <v>52051.23</v>
      </c>
      <c r="K855" s="16" t="n">
        <f aca="false">J855*INDEX(Customers!$G$2:$G$41,MATCH(C855,Customers!$A$2:$A$41,0))</f>
        <v>0</v>
      </c>
      <c r="L855" s="16" t="n">
        <f aca="false">F855*INDEX(Customers!$H$2:$H$41,MATCH(C855,Customers!$A$2:$A$41,0))</f>
        <v>1260</v>
      </c>
      <c r="M855" s="16" t="n">
        <f aca="false">J855*INDEX(Customers!$I$2:$I$41,MATCH(C855,Customers!$A$2:$A$41,0))/365*Assumptions!$B$6</f>
        <v>342.254663013699</v>
      </c>
      <c r="N855" s="16" t="n">
        <f aca="false">J855-K855-L855-M855</f>
        <v>50448.9753369863</v>
      </c>
      <c r="O855" s="16" t="n">
        <f aca="false">F855*IF(A855="2025",INDEX(Products!$D$2:$D$13,MATCH(D855,Products!$A$2:$A$13,0)),INDEX(Products!$F$2:$F$13,MATCH(D855,Products!$A$2:$A$13,0)))</f>
        <v>34608</v>
      </c>
      <c r="P855" s="16" t="n">
        <f aca="false">N855-O855</f>
        <v>15840.9753369863</v>
      </c>
    </row>
    <row r="856" customFormat="false" ht="15" hidden="false" customHeight="false" outlineLevel="0" collapsed="false">
      <c r="A856" s="2" t="s">
        <v>119</v>
      </c>
      <c r="B856" s="2" t="n">
        <v>3</v>
      </c>
      <c r="C856" s="2" t="s">
        <v>74</v>
      </c>
      <c r="D856" s="2" t="s">
        <v>36</v>
      </c>
      <c r="E856" s="2" t="str">
        <f aca="false">INDEX(Products!$B$2:$B$13,MATCH(D856,Products!$A$2:$A$13,0))</f>
        <v>FCC</v>
      </c>
      <c r="F856" s="15" t="n">
        <v>17.5</v>
      </c>
      <c r="G856" s="16" t="n">
        <f aca="false">IF(A856="2025",INDEX(Products!$C$2:$C$13,MATCH(D856,Products!$A$2:$A$13,0)),INDEX(Products!$E$2:$E$13,MATCH(D856,Products!$A$2:$A$13,0)))</f>
        <v>3885</v>
      </c>
      <c r="H856" s="13" t="n">
        <f aca="false">IF(A856="2025",INDEX(Customers!$D$2:$D$41,MATCH(C856,Customers!$A$2:$A$41,0)),INDEX(Customers!$F$2:$F$41,MATCH(C856,Customers!$A$2:$A$41,0)))</f>
        <v>0.043</v>
      </c>
      <c r="I856" s="16" t="n">
        <f aca="false">F856*G856</f>
        <v>67987.5</v>
      </c>
      <c r="J856" s="16" t="n">
        <f aca="false">I856*(1-H856)</f>
        <v>65064.0375</v>
      </c>
      <c r="K856" s="16" t="n">
        <f aca="false">J856*INDEX(Customers!$G$2:$G$41,MATCH(C856,Customers!$A$2:$A$41,0))</f>
        <v>0</v>
      </c>
      <c r="L856" s="16" t="n">
        <f aca="false">F856*INDEX(Customers!$H$2:$H$41,MATCH(C856,Customers!$A$2:$A$41,0))</f>
        <v>1575</v>
      </c>
      <c r="M856" s="16" t="n">
        <f aca="false">J856*INDEX(Customers!$I$2:$I$41,MATCH(C856,Customers!$A$2:$A$41,0))/365*Assumptions!$B$6</f>
        <v>427.818328767123</v>
      </c>
      <c r="N856" s="16" t="n">
        <f aca="false">J856-K856-L856-M856</f>
        <v>63061.2191712329</v>
      </c>
      <c r="O856" s="16" t="n">
        <f aca="false">F856*IF(A856="2025",INDEX(Products!$D$2:$D$13,MATCH(D856,Products!$A$2:$A$13,0)),INDEX(Products!$F$2:$F$13,MATCH(D856,Products!$A$2:$A$13,0)))</f>
        <v>43260</v>
      </c>
      <c r="P856" s="16" t="n">
        <f aca="false">N856-O856</f>
        <v>19801.2191712329</v>
      </c>
    </row>
    <row r="857" customFormat="false" ht="15" hidden="false" customHeight="false" outlineLevel="0" collapsed="false">
      <c r="A857" s="2" t="s">
        <v>119</v>
      </c>
      <c r="B857" s="2" t="n">
        <v>4</v>
      </c>
      <c r="C857" s="2" t="s">
        <v>74</v>
      </c>
      <c r="D857" s="2" t="s">
        <v>36</v>
      </c>
      <c r="E857" s="2" t="str">
        <f aca="false">INDEX(Products!$B$2:$B$13,MATCH(D857,Products!$A$2:$A$13,0))</f>
        <v>FCC</v>
      </c>
      <c r="F857" s="15" t="n">
        <v>15.8</v>
      </c>
      <c r="G857" s="16" t="n">
        <f aca="false">IF(A857="2025",INDEX(Products!$C$2:$C$13,MATCH(D857,Products!$A$2:$A$13,0)),INDEX(Products!$E$2:$E$13,MATCH(D857,Products!$A$2:$A$13,0)))</f>
        <v>3885</v>
      </c>
      <c r="H857" s="13" t="n">
        <f aca="false">IF(A857="2025",INDEX(Customers!$D$2:$D$41,MATCH(C857,Customers!$A$2:$A$41,0)),INDEX(Customers!$F$2:$F$41,MATCH(C857,Customers!$A$2:$A$41,0)))</f>
        <v>0.043</v>
      </c>
      <c r="I857" s="16" t="n">
        <f aca="false">F857*G857</f>
        <v>61383</v>
      </c>
      <c r="J857" s="16" t="n">
        <f aca="false">I857*(1-H857)</f>
        <v>58743.531</v>
      </c>
      <c r="K857" s="16" t="n">
        <f aca="false">J857*INDEX(Customers!$G$2:$G$41,MATCH(C857,Customers!$A$2:$A$41,0))</f>
        <v>0</v>
      </c>
      <c r="L857" s="16" t="n">
        <f aca="false">F857*INDEX(Customers!$H$2:$H$41,MATCH(C857,Customers!$A$2:$A$41,0))</f>
        <v>1422</v>
      </c>
      <c r="M857" s="16" t="n">
        <f aca="false">J857*INDEX(Customers!$I$2:$I$41,MATCH(C857,Customers!$A$2:$A$41,0))/365*Assumptions!$B$6</f>
        <v>386.258833972603</v>
      </c>
      <c r="N857" s="16" t="n">
        <f aca="false">J857-K857-L857-M857</f>
        <v>56935.2721660274</v>
      </c>
      <c r="O857" s="16" t="n">
        <f aca="false">F857*IF(A857="2025",INDEX(Products!$D$2:$D$13,MATCH(D857,Products!$A$2:$A$13,0)),INDEX(Products!$F$2:$F$13,MATCH(D857,Products!$A$2:$A$13,0)))</f>
        <v>39057.6</v>
      </c>
      <c r="P857" s="16" t="n">
        <f aca="false">N857-O857</f>
        <v>17877.6721660274</v>
      </c>
    </row>
    <row r="858" customFormat="false" ht="15" hidden="false" customHeight="false" outlineLevel="0" collapsed="false">
      <c r="A858" s="2" t="s">
        <v>119</v>
      </c>
      <c r="B858" s="2" t="n">
        <v>5</v>
      </c>
      <c r="C858" s="2" t="s">
        <v>74</v>
      </c>
      <c r="D858" s="2" t="s">
        <v>36</v>
      </c>
      <c r="E858" s="2" t="str">
        <f aca="false">INDEX(Products!$B$2:$B$13,MATCH(D858,Products!$A$2:$A$13,0))</f>
        <v>FCC</v>
      </c>
      <c r="F858" s="15" t="n">
        <v>12.4</v>
      </c>
      <c r="G858" s="16" t="n">
        <f aca="false">IF(A858="2025",INDEX(Products!$C$2:$C$13,MATCH(D858,Products!$A$2:$A$13,0)),INDEX(Products!$E$2:$E$13,MATCH(D858,Products!$A$2:$A$13,0)))</f>
        <v>3885</v>
      </c>
      <c r="H858" s="13" t="n">
        <f aca="false">IF(A858="2025",INDEX(Customers!$D$2:$D$41,MATCH(C858,Customers!$A$2:$A$41,0)),INDEX(Customers!$F$2:$F$41,MATCH(C858,Customers!$A$2:$A$41,0)))</f>
        <v>0.043</v>
      </c>
      <c r="I858" s="16" t="n">
        <f aca="false">F858*G858</f>
        <v>48174</v>
      </c>
      <c r="J858" s="16" t="n">
        <f aca="false">I858*(1-H858)</f>
        <v>46102.518</v>
      </c>
      <c r="K858" s="16" t="n">
        <f aca="false">J858*INDEX(Customers!$G$2:$G$41,MATCH(C858,Customers!$A$2:$A$41,0))</f>
        <v>0</v>
      </c>
      <c r="L858" s="16" t="n">
        <f aca="false">F858*INDEX(Customers!$H$2:$H$41,MATCH(C858,Customers!$A$2:$A$41,0))</f>
        <v>1116</v>
      </c>
      <c r="M858" s="16" t="n">
        <f aca="false">J858*INDEX(Customers!$I$2:$I$41,MATCH(C858,Customers!$A$2:$A$41,0))/365*Assumptions!$B$6</f>
        <v>303.139844383562</v>
      </c>
      <c r="N858" s="16" t="n">
        <f aca="false">J858-K858-L858-M858</f>
        <v>44683.3781556164</v>
      </c>
      <c r="O858" s="16" t="n">
        <f aca="false">F858*IF(A858="2025",INDEX(Products!$D$2:$D$13,MATCH(D858,Products!$A$2:$A$13,0)),INDEX(Products!$F$2:$F$13,MATCH(D858,Products!$A$2:$A$13,0)))</f>
        <v>30652.8</v>
      </c>
      <c r="P858" s="16" t="n">
        <f aca="false">N858-O858</f>
        <v>14030.5781556164</v>
      </c>
    </row>
    <row r="859" customFormat="false" ht="15" hidden="false" customHeight="false" outlineLevel="0" collapsed="false">
      <c r="A859" s="2" t="s">
        <v>119</v>
      </c>
      <c r="B859" s="2" t="n">
        <v>6</v>
      </c>
      <c r="C859" s="2" t="s">
        <v>74</v>
      </c>
      <c r="D859" s="2" t="s">
        <v>36</v>
      </c>
      <c r="E859" s="2" t="str">
        <f aca="false">INDEX(Products!$B$2:$B$13,MATCH(D859,Products!$A$2:$A$13,0))</f>
        <v>FCC</v>
      </c>
      <c r="F859" s="15" t="n">
        <v>18.5</v>
      </c>
      <c r="G859" s="16" t="n">
        <f aca="false">IF(A859="2025",INDEX(Products!$C$2:$C$13,MATCH(D859,Products!$A$2:$A$13,0)),INDEX(Products!$E$2:$E$13,MATCH(D859,Products!$A$2:$A$13,0)))</f>
        <v>3885</v>
      </c>
      <c r="H859" s="13" t="n">
        <f aca="false">IF(A859="2025",INDEX(Customers!$D$2:$D$41,MATCH(C859,Customers!$A$2:$A$41,0)),INDEX(Customers!$F$2:$F$41,MATCH(C859,Customers!$A$2:$A$41,0)))</f>
        <v>0.043</v>
      </c>
      <c r="I859" s="16" t="n">
        <f aca="false">F859*G859</f>
        <v>71872.5</v>
      </c>
      <c r="J859" s="16" t="n">
        <f aca="false">I859*(1-H859)</f>
        <v>68781.9825</v>
      </c>
      <c r="K859" s="16" t="n">
        <f aca="false">J859*INDEX(Customers!$G$2:$G$41,MATCH(C859,Customers!$A$2:$A$41,0))</f>
        <v>0</v>
      </c>
      <c r="L859" s="16" t="n">
        <f aca="false">F859*INDEX(Customers!$H$2:$H$41,MATCH(C859,Customers!$A$2:$A$41,0))</f>
        <v>1665</v>
      </c>
      <c r="M859" s="16" t="n">
        <f aca="false">J859*INDEX(Customers!$I$2:$I$41,MATCH(C859,Customers!$A$2:$A$41,0))/365*Assumptions!$B$6</f>
        <v>452.265090410959</v>
      </c>
      <c r="N859" s="16" t="n">
        <f aca="false">J859-K859-L859-M859</f>
        <v>66664.717409589</v>
      </c>
      <c r="O859" s="16" t="n">
        <f aca="false">F859*IF(A859="2025",INDEX(Products!$D$2:$D$13,MATCH(D859,Products!$A$2:$A$13,0)),INDEX(Products!$F$2:$F$13,MATCH(D859,Products!$A$2:$A$13,0)))</f>
        <v>45732</v>
      </c>
      <c r="P859" s="16" t="n">
        <f aca="false">N859-O859</f>
        <v>20932.717409589</v>
      </c>
    </row>
    <row r="860" customFormat="false" ht="15" hidden="false" customHeight="false" outlineLevel="0" collapsed="false">
      <c r="A860" s="2" t="s">
        <v>119</v>
      </c>
      <c r="B860" s="2" t="n">
        <v>7</v>
      </c>
      <c r="C860" s="2" t="s">
        <v>74</v>
      </c>
      <c r="D860" s="2" t="s">
        <v>36</v>
      </c>
      <c r="E860" s="2" t="str">
        <f aca="false">INDEX(Products!$B$2:$B$13,MATCH(D860,Products!$A$2:$A$13,0))</f>
        <v>FCC</v>
      </c>
      <c r="F860" s="15" t="n">
        <v>16.5</v>
      </c>
      <c r="G860" s="16" t="n">
        <f aca="false">IF(A860="2025",INDEX(Products!$C$2:$C$13,MATCH(D860,Products!$A$2:$A$13,0)),INDEX(Products!$E$2:$E$13,MATCH(D860,Products!$A$2:$A$13,0)))</f>
        <v>3885</v>
      </c>
      <c r="H860" s="13" t="n">
        <f aca="false">IF(A860="2025",INDEX(Customers!$D$2:$D$41,MATCH(C860,Customers!$A$2:$A$41,0)),INDEX(Customers!$F$2:$F$41,MATCH(C860,Customers!$A$2:$A$41,0)))</f>
        <v>0.043</v>
      </c>
      <c r="I860" s="16" t="n">
        <f aca="false">F860*G860</f>
        <v>64102.5</v>
      </c>
      <c r="J860" s="16" t="n">
        <f aca="false">I860*(1-H860)</f>
        <v>61346.0925</v>
      </c>
      <c r="K860" s="16" t="n">
        <f aca="false">J860*INDEX(Customers!$G$2:$G$41,MATCH(C860,Customers!$A$2:$A$41,0))</f>
        <v>0</v>
      </c>
      <c r="L860" s="16" t="n">
        <f aca="false">F860*INDEX(Customers!$H$2:$H$41,MATCH(C860,Customers!$A$2:$A$41,0))</f>
        <v>1485</v>
      </c>
      <c r="M860" s="16" t="n">
        <f aca="false">J860*INDEX(Customers!$I$2:$I$41,MATCH(C860,Customers!$A$2:$A$41,0))/365*Assumptions!$B$6</f>
        <v>403.371567123288</v>
      </c>
      <c r="N860" s="16" t="n">
        <f aca="false">J860-K860-L860-M860</f>
        <v>59457.7209328767</v>
      </c>
      <c r="O860" s="16" t="n">
        <f aca="false">F860*IF(A860="2025",INDEX(Products!$D$2:$D$13,MATCH(D860,Products!$A$2:$A$13,0)),INDEX(Products!$F$2:$F$13,MATCH(D860,Products!$A$2:$A$13,0)))</f>
        <v>40788</v>
      </c>
      <c r="P860" s="16" t="n">
        <f aca="false">N860-O860</f>
        <v>18669.7209328767</v>
      </c>
    </row>
    <row r="861" customFormat="false" ht="15" hidden="false" customHeight="false" outlineLevel="0" collapsed="false">
      <c r="A861" s="2" t="s">
        <v>119</v>
      </c>
      <c r="B861" s="2" t="n">
        <v>8</v>
      </c>
      <c r="C861" s="2" t="s">
        <v>74</v>
      </c>
      <c r="D861" s="2" t="s">
        <v>36</v>
      </c>
      <c r="E861" s="2" t="str">
        <f aca="false">INDEX(Products!$B$2:$B$13,MATCH(D861,Products!$A$2:$A$13,0))</f>
        <v>FCC</v>
      </c>
      <c r="F861" s="15" t="n">
        <v>11.8</v>
      </c>
      <c r="G861" s="16" t="n">
        <f aca="false">IF(A861="2025",INDEX(Products!$C$2:$C$13,MATCH(D861,Products!$A$2:$A$13,0)),INDEX(Products!$E$2:$E$13,MATCH(D861,Products!$A$2:$A$13,0)))</f>
        <v>3885</v>
      </c>
      <c r="H861" s="13" t="n">
        <f aca="false">IF(A861="2025",INDEX(Customers!$D$2:$D$41,MATCH(C861,Customers!$A$2:$A$41,0)),INDEX(Customers!$F$2:$F$41,MATCH(C861,Customers!$A$2:$A$41,0)))</f>
        <v>0.043</v>
      </c>
      <c r="I861" s="16" t="n">
        <f aca="false">F861*G861</f>
        <v>45843</v>
      </c>
      <c r="J861" s="16" t="n">
        <f aca="false">I861*(1-H861)</f>
        <v>43871.751</v>
      </c>
      <c r="K861" s="16" t="n">
        <f aca="false">J861*INDEX(Customers!$G$2:$G$41,MATCH(C861,Customers!$A$2:$A$41,0))</f>
        <v>0</v>
      </c>
      <c r="L861" s="16" t="n">
        <f aca="false">F861*INDEX(Customers!$H$2:$H$41,MATCH(C861,Customers!$A$2:$A$41,0))</f>
        <v>1062</v>
      </c>
      <c r="M861" s="16" t="n">
        <f aca="false">J861*INDEX(Customers!$I$2:$I$41,MATCH(C861,Customers!$A$2:$A$41,0))/365*Assumptions!$B$6</f>
        <v>288.47178739726</v>
      </c>
      <c r="N861" s="16" t="n">
        <f aca="false">J861-K861-L861-M861</f>
        <v>42521.2792126027</v>
      </c>
      <c r="O861" s="16" t="n">
        <f aca="false">F861*IF(A861="2025",INDEX(Products!$D$2:$D$13,MATCH(D861,Products!$A$2:$A$13,0)),INDEX(Products!$F$2:$F$13,MATCH(D861,Products!$A$2:$A$13,0)))</f>
        <v>29169.6</v>
      </c>
      <c r="P861" s="16" t="n">
        <f aca="false">N861-O861</f>
        <v>13351.6792126027</v>
      </c>
    </row>
    <row r="862" customFormat="false" ht="15" hidden="false" customHeight="false" outlineLevel="0" collapsed="false">
      <c r="A862" s="2" t="s">
        <v>119</v>
      </c>
      <c r="B862" s="2" t="n">
        <v>9</v>
      </c>
      <c r="C862" s="2" t="s">
        <v>74</v>
      </c>
      <c r="D862" s="2" t="s">
        <v>36</v>
      </c>
      <c r="E862" s="2" t="str">
        <f aca="false">INDEX(Products!$B$2:$B$13,MATCH(D862,Products!$A$2:$A$13,0))</f>
        <v>FCC</v>
      </c>
      <c r="F862" s="15" t="n">
        <v>18.1</v>
      </c>
      <c r="G862" s="16" t="n">
        <f aca="false">IF(A862="2025",INDEX(Products!$C$2:$C$13,MATCH(D862,Products!$A$2:$A$13,0)),INDEX(Products!$E$2:$E$13,MATCH(D862,Products!$A$2:$A$13,0)))</f>
        <v>3885</v>
      </c>
      <c r="H862" s="13" t="n">
        <f aca="false">IF(A862="2025",INDEX(Customers!$D$2:$D$41,MATCH(C862,Customers!$A$2:$A$41,0)),INDEX(Customers!$F$2:$F$41,MATCH(C862,Customers!$A$2:$A$41,0)))</f>
        <v>0.043</v>
      </c>
      <c r="I862" s="16" t="n">
        <f aca="false">F862*G862</f>
        <v>70318.5</v>
      </c>
      <c r="J862" s="16" t="n">
        <f aca="false">I862*(1-H862)</f>
        <v>67294.8045</v>
      </c>
      <c r="K862" s="16" t="n">
        <f aca="false">J862*INDEX(Customers!$G$2:$G$41,MATCH(C862,Customers!$A$2:$A$41,0))</f>
        <v>0</v>
      </c>
      <c r="L862" s="16" t="n">
        <f aca="false">F862*INDEX(Customers!$H$2:$H$41,MATCH(C862,Customers!$A$2:$A$41,0))</f>
        <v>1629</v>
      </c>
      <c r="M862" s="16" t="n">
        <f aca="false">J862*INDEX(Customers!$I$2:$I$41,MATCH(C862,Customers!$A$2:$A$41,0))/365*Assumptions!$B$6</f>
        <v>442.486385753425</v>
      </c>
      <c r="N862" s="16" t="n">
        <f aca="false">J862-K862-L862-M862</f>
        <v>65223.3181142466</v>
      </c>
      <c r="O862" s="16" t="n">
        <f aca="false">F862*IF(A862="2025",INDEX(Products!$D$2:$D$13,MATCH(D862,Products!$A$2:$A$13,0)),INDEX(Products!$F$2:$F$13,MATCH(D862,Products!$A$2:$A$13,0)))</f>
        <v>44743.2</v>
      </c>
      <c r="P862" s="16" t="n">
        <f aca="false">N862-O862</f>
        <v>20480.1181142466</v>
      </c>
    </row>
    <row r="863" customFormat="false" ht="15" hidden="false" customHeight="false" outlineLevel="0" collapsed="false">
      <c r="A863" s="2" t="s">
        <v>119</v>
      </c>
      <c r="B863" s="2" t="n">
        <v>10</v>
      </c>
      <c r="C863" s="2" t="s">
        <v>74</v>
      </c>
      <c r="D863" s="2" t="s">
        <v>36</v>
      </c>
      <c r="E863" s="2" t="str">
        <f aca="false">INDEX(Products!$B$2:$B$13,MATCH(D863,Products!$A$2:$A$13,0))</f>
        <v>FCC</v>
      </c>
      <c r="F863" s="15" t="n">
        <v>15.3</v>
      </c>
      <c r="G863" s="16" t="n">
        <f aca="false">IF(A863="2025",INDEX(Products!$C$2:$C$13,MATCH(D863,Products!$A$2:$A$13,0)),INDEX(Products!$E$2:$E$13,MATCH(D863,Products!$A$2:$A$13,0)))</f>
        <v>3885</v>
      </c>
      <c r="H863" s="13" t="n">
        <f aca="false">IF(A863="2025",INDEX(Customers!$D$2:$D$41,MATCH(C863,Customers!$A$2:$A$41,0)),INDEX(Customers!$F$2:$F$41,MATCH(C863,Customers!$A$2:$A$41,0)))</f>
        <v>0.043</v>
      </c>
      <c r="I863" s="16" t="n">
        <f aca="false">F863*G863</f>
        <v>59440.5</v>
      </c>
      <c r="J863" s="16" t="n">
        <f aca="false">I863*(1-H863)</f>
        <v>56884.5585</v>
      </c>
      <c r="K863" s="16" t="n">
        <f aca="false">J863*INDEX(Customers!$G$2:$G$41,MATCH(C863,Customers!$A$2:$A$41,0))</f>
        <v>0</v>
      </c>
      <c r="L863" s="16" t="n">
        <f aca="false">F863*INDEX(Customers!$H$2:$H$41,MATCH(C863,Customers!$A$2:$A$41,0))</f>
        <v>1377</v>
      </c>
      <c r="M863" s="16" t="n">
        <f aca="false">J863*INDEX(Customers!$I$2:$I$41,MATCH(C863,Customers!$A$2:$A$41,0))/365*Assumptions!$B$6</f>
        <v>374.035453150685</v>
      </c>
      <c r="N863" s="16" t="n">
        <f aca="false">J863-K863-L863-M863</f>
        <v>55133.5230468493</v>
      </c>
      <c r="O863" s="16" t="n">
        <f aca="false">F863*IF(A863="2025",INDEX(Products!$D$2:$D$13,MATCH(D863,Products!$A$2:$A$13,0)),INDEX(Products!$F$2:$F$13,MATCH(D863,Products!$A$2:$A$13,0)))</f>
        <v>37821.6</v>
      </c>
      <c r="P863" s="16" t="n">
        <f aca="false">N863-O863</f>
        <v>17311.9230468493</v>
      </c>
    </row>
    <row r="864" customFormat="false" ht="15" hidden="false" customHeight="false" outlineLevel="0" collapsed="false">
      <c r="A864" s="2" t="s">
        <v>119</v>
      </c>
      <c r="B864" s="2" t="n">
        <v>11</v>
      </c>
      <c r="C864" s="2" t="s">
        <v>74</v>
      </c>
      <c r="D864" s="2" t="s">
        <v>36</v>
      </c>
      <c r="E864" s="2" t="str">
        <f aca="false">INDEX(Products!$B$2:$B$13,MATCH(D864,Products!$A$2:$A$13,0))</f>
        <v>FCC</v>
      </c>
      <c r="F864" s="15" t="n">
        <v>13.9</v>
      </c>
      <c r="G864" s="16" t="n">
        <f aca="false">IF(A864="2025",INDEX(Products!$C$2:$C$13,MATCH(D864,Products!$A$2:$A$13,0)),INDEX(Products!$E$2:$E$13,MATCH(D864,Products!$A$2:$A$13,0)))</f>
        <v>3885</v>
      </c>
      <c r="H864" s="13" t="n">
        <f aca="false">IF(A864="2025",INDEX(Customers!$D$2:$D$41,MATCH(C864,Customers!$A$2:$A$41,0)),INDEX(Customers!$F$2:$F$41,MATCH(C864,Customers!$A$2:$A$41,0)))</f>
        <v>0.043</v>
      </c>
      <c r="I864" s="16" t="n">
        <f aca="false">F864*G864</f>
        <v>54001.5</v>
      </c>
      <c r="J864" s="16" t="n">
        <f aca="false">I864*(1-H864)</f>
        <v>51679.4355</v>
      </c>
      <c r="K864" s="16" t="n">
        <f aca="false">J864*INDEX(Customers!$G$2:$G$41,MATCH(C864,Customers!$A$2:$A$41,0))</f>
        <v>0</v>
      </c>
      <c r="L864" s="16" t="n">
        <f aca="false">F864*INDEX(Customers!$H$2:$H$41,MATCH(C864,Customers!$A$2:$A$41,0))</f>
        <v>1251</v>
      </c>
      <c r="M864" s="16" t="n">
        <f aca="false">J864*INDEX(Customers!$I$2:$I$41,MATCH(C864,Customers!$A$2:$A$41,0))/365*Assumptions!$B$6</f>
        <v>339.809986849315</v>
      </c>
      <c r="N864" s="16" t="n">
        <f aca="false">J864-K864-L864-M864</f>
        <v>50088.6255131507</v>
      </c>
      <c r="O864" s="16" t="n">
        <f aca="false">F864*IF(A864="2025",INDEX(Products!$D$2:$D$13,MATCH(D864,Products!$A$2:$A$13,0)),INDEX(Products!$F$2:$F$13,MATCH(D864,Products!$A$2:$A$13,0)))</f>
        <v>34360.8</v>
      </c>
      <c r="P864" s="16" t="n">
        <f aca="false">N864-O864</f>
        <v>15727.8255131507</v>
      </c>
    </row>
    <row r="865" customFormat="false" ht="15" hidden="false" customHeight="false" outlineLevel="0" collapsed="false">
      <c r="A865" s="2" t="s">
        <v>119</v>
      </c>
      <c r="B865" s="2" t="n">
        <v>12</v>
      </c>
      <c r="C865" s="2" t="s">
        <v>74</v>
      </c>
      <c r="D865" s="2" t="s">
        <v>36</v>
      </c>
      <c r="E865" s="2" t="str">
        <f aca="false">INDEX(Products!$B$2:$B$13,MATCH(D865,Products!$A$2:$A$13,0))</f>
        <v>FCC</v>
      </c>
      <c r="F865" s="15" t="n">
        <v>15.4</v>
      </c>
      <c r="G865" s="16" t="n">
        <f aca="false">IF(A865="2025",INDEX(Products!$C$2:$C$13,MATCH(D865,Products!$A$2:$A$13,0)),INDEX(Products!$E$2:$E$13,MATCH(D865,Products!$A$2:$A$13,0)))</f>
        <v>3885</v>
      </c>
      <c r="H865" s="13" t="n">
        <f aca="false">IF(A865="2025",INDEX(Customers!$D$2:$D$41,MATCH(C865,Customers!$A$2:$A$41,0)),INDEX(Customers!$F$2:$F$41,MATCH(C865,Customers!$A$2:$A$41,0)))</f>
        <v>0.043</v>
      </c>
      <c r="I865" s="16" t="n">
        <f aca="false">F865*G865</f>
        <v>59829</v>
      </c>
      <c r="J865" s="16" t="n">
        <f aca="false">I865*(1-H865)</f>
        <v>57256.353</v>
      </c>
      <c r="K865" s="16" t="n">
        <f aca="false">J865*INDEX(Customers!$G$2:$G$41,MATCH(C865,Customers!$A$2:$A$41,0))</f>
        <v>0</v>
      </c>
      <c r="L865" s="16" t="n">
        <f aca="false">F865*INDEX(Customers!$H$2:$H$41,MATCH(C865,Customers!$A$2:$A$41,0))</f>
        <v>1386</v>
      </c>
      <c r="M865" s="16" t="n">
        <f aca="false">J865*INDEX(Customers!$I$2:$I$41,MATCH(C865,Customers!$A$2:$A$41,0))/365*Assumptions!$B$6</f>
        <v>376.480129315069</v>
      </c>
      <c r="N865" s="16" t="n">
        <f aca="false">J865-K865-L865-M865</f>
        <v>55493.8728706849</v>
      </c>
      <c r="O865" s="16" t="n">
        <f aca="false">F865*IF(A865="2025",INDEX(Products!$D$2:$D$13,MATCH(D865,Products!$A$2:$A$13,0)),INDEX(Products!$F$2:$F$13,MATCH(D865,Products!$A$2:$A$13,0)))</f>
        <v>38068.8</v>
      </c>
      <c r="P865" s="16" t="n">
        <f aca="false">N865-O865</f>
        <v>17425.0728706849</v>
      </c>
    </row>
    <row r="866" customFormat="false" ht="15" hidden="false" customHeight="false" outlineLevel="0" collapsed="false">
      <c r="A866" s="2" t="s">
        <v>118</v>
      </c>
      <c r="B866" s="2" t="n">
        <v>1</v>
      </c>
      <c r="C866" s="2" t="s">
        <v>74</v>
      </c>
      <c r="D866" s="2" t="s">
        <v>43</v>
      </c>
      <c r="E866" s="2" t="str">
        <f aca="false">INDEX(Products!$B$2:$B$13,MATCH(D866,Products!$A$2:$A$13,0))</f>
        <v>Hydroprocessing</v>
      </c>
      <c r="F866" s="15" t="n">
        <v>8.7</v>
      </c>
      <c r="G866" s="16" t="n">
        <f aca="false">IF(A866="2025",INDEX(Products!$C$2:$C$13,MATCH(D866,Products!$A$2:$A$13,0)),INDEX(Products!$E$2:$E$13,MATCH(D866,Products!$A$2:$A$13,0)))</f>
        <v>11610</v>
      </c>
      <c r="H866" s="13" t="n">
        <f aca="false">IF(A866="2025",INDEX(Customers!$D$2:$D$41,MATCH(C866,Customers!$A$2:$A$41,0)),INDEX(Customers!$F$2:$F$41,MATCH(C866,Customers!$A$2:$A$41,0)))</f>
        <v>0.026</v>
      </c>
      <c r="I866" s="16" t="n">
        <f aca="false">F866*G866</f>
        <v>101007</v>
      </c>
      <c r="J866" s="16" t="n">
        <f aca="false">I866*(1-H866)</f>
        <v>98380.818</v>
      </c>
      <c r="K866" s="16" t="n">
        <f aca="false">J866*INDEX(Customers!$G$2:$G$41,MATCH(C866,Customers!$A$2:$A$41,0))</f>
        <v>0</v>
      </c>
      <c r="L866" s="16" t="n">
        <f aca="false">F866*INDEX(Customers!$H$2:$H$41,MATCH(C866,Customers!$A$2:$A$41,0))</f>
        <v>783</v>
      </c>
      <c r="M866" s="16" t="n">
        <f aca="false">J866*INDEX(Customers!$I$2:$I$41,MATCH(C866,Customers!$A$2:$A$41,0))/365*Assumptions!$B$6</f>
        <v>646.887570410959</v>
      </c>
      <c r="N866" s="16" t="n">
        <f aca="false">J866-K866-L866-M866</f>
        <v>96950.930429589</v>
      </c>
      <c r="O866" s="16" t="n">
        <f aca="false">F866*IF(A866="2025",INDEX(Products!$D$2:$D$13,MATCH(D866,Products!$A$2:$A$13,0)),INDEX(Products!$F$2:$F$13,MATCH(D866,Products!$A$2:$A$13,0)))</f>
        <v>63858</v>
      </c>
      <c r="P866" s="16" t="n">
        <f aca="false">N866-O866</f>
        <v>33092.930429589</v>
      </c>
    </row>
    <row r="867" customFormat="false" ht="15" hidden="false" customHeight="false" outlineLevel="0" collapsed="false">
      <c r="A867" s="2" t="s">
        <v>118</v>
      </c>
      <c r="B867" s="2" t="n">
        <v>2</v>
      </c>
      <c r="C867" s="2" t="s">
        <v>74</v>
      </c>
      <c r="D867" s="2" t="s">
        <v>43</v>
      </c>
      <c r="E867" s="2" t="str">
        <f aca="false">INDEX(Products!$B$2:$B$13,MATCH(D867,Products!$A$2:$A$13,0))</f>
        <v>Hydroprocessing</v>
      </c>
      <c r="F867" s="15" t="n">
        <v>11</v>
      </c>
      <c r="G867" s="16" t="n">
        <f aca="false">IF(A867="2025",INDEX(Products!$C$2:$C$13,MATCH(D867,Products!$A$2:$A$13,0)),INDEX(Products!$E$2:$E$13,MATCH(D867,Products!$A$2:$A$13,0)))</f>
        <v>11610</v>
      </c>
      <c r="H867" s="13" t="n">
        <f aca="false">IF(A867="2025",INDEX(Customers!$D$2:$D$41,MATCH(C867,Customers!$A$2:$A$41,0)),INDEX(Customers!$F$2:$F$41,MATCH(C867,Customers!$A$2:$A$41,0)))</f>
        <v>0.026</v>
      </c>
      <c r="I867" s="16" t="n">
        <f aca="false">F867*G867</f>
        <v>127710</v>
      </c>
      <c r="J867" s="16" t="n">
        <f aca="false">I867*(1-H867)</f>
        <v>124389.54</v>
      </c>
      <c r="K867" s="16" t="n">
        <f aca="false">J867*INDEX(Customers!$G$2:$G$41,MATCH(C867,Customers!$A$2:$A$41,0))</f>
        <v>0</v>
      </c>
      <c r="L867" s="16" t="n">
        <f aca="false">F867*INDEX(Customers!$H$2:$H$41,MATCH(C867,Customers!$A$2:$A$41,0))</f>
        <v>990</v>
      </c>
      <c r="M867" s="16" t="n">
        <f aca="false">J867*INDEX(Customers!$I$2:$I$41,MATCH(C867,Customers!$A$2:$A$41,0))/365*Assumptions!$B$6</f>
        <v>817.903824657534</v>
      </c>
      <c r="N867" s="16" t="n">
        <f aca="false">J867-K867-L867-M867</f>
        <v>122581.636175342</v>
      </c>
      <c r="O867" s="16" t="n">
        <f aca="false">F867*IF(A867="2025",INDEX(Products!$D$2:$D$13,MATCH(D867,Products!$A$2:$A$13,0)),INDEX(Products!$F$2:$F$13,MATCH(D867,Products!$A$2:$A$13,0)))</f>
        <v>80740</v>
      </c>
      <c r="P867" s="16" t="n">
        <f aca="false">N867-O867</f>
        <v>41841.6361753425</v>
      </c>
    </row>
    <row r="868" customFormat="false" ht="15" hidden="false" customHeight="false" outlineLevel="0" collapsed="false">
      <c r="A868" s="2" t="s">
        <v>118</v>
      </c>
      <c r="B868" s="2" t="n">
        <v>3</v>
      </c>
      <c r="C868" s="2" t="s">
        <v>74</v>
      </c>
      <c r="D868" s="2" t="s">
        <v>43</v>
      </c>
      <c r="E868" s="2" t="str">
        <f aca="false">INDEX(Products!$B$2:$B$13,MATCH(D868,Products!$A$2:$A$13,0))</f>
        <v>Hydroprocessing</v>
      </c>
      <c r="F868" s="15" t="n">
        <v>9.5</v>
      </c>
      <c r="G868" s="16" t="n">
        <f aca="false">IF(A868="2025",INDEX(Products!$C$2:$C$13,MATCH(D868,Products!$A$2:$A$13,0)),INDEX(Products!$E$2:$E$13,MATCH(D868,Products!$A$2:$A$13,0)))</f>
        <v>11610</v>
      </c>
      <c r="H868" s="13" t="n">
        <f aca="false">IF(A868="2025",INDEX(Customers!$D$2:$D$41,MATCH(C868,Customers!$A$2:$A$41,0)),INDEX(Customers!$F$2:$F$41,MATCH(C868,Customers!$A$2:$A$41,0)))</f>
        <v>0.026</v>
      </c>
      <c r="I868" s="16" t="n">
        <f aca="false">F868*G868</f>
        <v>110295</v>
      </c>
      <c r="J868" s="16" t="n">
        <f aca="false">I868*(1-H868)</f>
        <v>107427.33</v>
      </c>
      <c r="K868" s="16" t="n">
        <f aca="false">J868*INDEX(Customers!$G$2:$G$41,MATCH(C868,Customers!$A$2:$A$41,0))</f>
        <v>0</v>
      </c>
      <c r="L868" s="16" t="n">
        <f aca="false">F868*INDEX(Customers!$H$2:$H$41,MATCH(C868,Customers!$A$2:$A$41,0))</f>
        <v>855</v>
      </c>
      <c r="M868" s="16" t="n">
        <f aca="false">J868*INDEX(Customers!$I$2:$I$41,MATCH(C868,Customers!$A$2:$A$41,0))/365*Assumptions!$B$6</f>
        <v>706.371484931507</v>
      </c>
      <c r="N868" s="16" t="n">
        <f aca="false">J868-K868-L868-M868</f>
        <v>105865.958515069</v>
      </c>
      <c r="O868" s="16" t="n">
        <f aca="false">F868*IF(A868="2025",INDEX(Products!$D$2:$D$13,MATCH(D868,Products!$A$2:$A$13,0)),INDEX(Products!$F$2:$F$13,MATCH(D868,Products!$A$2:$A$13,0)))</f>
        <v>69730</v>
      </c>
      <c r="P868" s="16" t="n">
        <f aca="false">N868-O868</f>
        <v>36135.9585150685</v>
      </c>
    </row>
    <row r="869" customFormat="false" ht="15" hidden="false" customHeight="false" outlineLevel="0" collapsed="false">
      <c r="A869" s="2" t="s">
        <v>118</v>
      </c>
      <c r="B869" s="2" t="n">
        <v>4</v>
      </c>
      <c r="C869" s="2" t="s">
        <v>74</v>
      </c>
      <c r="D869" s="2" t="s">
        <v>43</v>
      </c>
      <c r="E869" s="2" t="str">
        <f aca="false">INDEX(Products!$B$2:$B$13,MATCH(D869,Products!$A$2:$A$13,0))</f>
        <v>Hydroprocessing</v>
      </c>
      <c r="F869" s="15" t="n">
        <v>7.4</v>
      </c>
      <c r="G869" s="16" t="n">
        <f aca="false">IF(A869="2025",INDEX(Products!$C$2:$C$13,MATCH(D869,Products!$A$2:$A$13,0)),INDEX(Products!$E$2:$E$13,MATCH(D869,Products!$A$2:$A$13,0)))</f>
        <v>11610</v>
      </c>
      <c r="H869" s="13" t="n">
        <f aca="false">IF(A869="2025",INDEX(Customers!$D$2:$D$41,MATCH(C869,Customers!$A$2:$A$41,0)),INDEX(Customers!$F$2:$F$41,MATCH(C869,Customers!$A$2:$A$41,0)))</f>
        <v>0.026</v>
      </c>
      <c r="I869" s="16" t="n">
        <f aca="false">F869*G869</f>
        <v>85914</v>
      </c>
      <c r="J869" s="16" t="n">
        <f aca="false">I869*(1-H869)</f>
        <v>83680.236</v>
      </c>
      <c r="K869" s="16" t="n">
        <f aca="false">J869*INDEX(Customers!$G$2:$G$41,MATCH(C869,Customers!$A$2:$A$41,0))</f>
        <v>0</v>
      </c>
      <c r="L869" s="16" t="n">
        <f aca="false">F869*INDEX(Customers!$H$2:$H$41,MATCH(C869,Customers!$A$2:$A$41,0))</f>
        <v>666</v>
      </c>
      <c r="M869" s="16" t="n">
        <f aca="false">J869*INDEX(Customers!$I$2:$I$41,MATCH(C869,Customers!$A$2:$A$41,0))/365*Assumptions!$B$6</f>
        <v>550.226209315068</v>
      </c>
      <c r="N869" s="16" t="n">
        <f aca="false">J869-K869-L869-M869</f>
        <v>82464.0097906849</v>
      </c>
      <c r="O869" s="16" t="n">
        <f aca="false">F869*IF(A869="2025",INDEX(Products!$D$2:$D$13,MATCH(D869,Products!$A$2:$A$13,0)),INDEX(Products!$F$2:$F$13,MATCH(D869,Products!$A$2:$A$13,0)))</f>
        <v>54316</v>
      </c>
      <c r="P869" s="16" t="n">
        <f aca="false">N869-O869</f>
        <v>28148.0097906849</v>
      </c>
    </row>
    <row r="870" customFormat="false" ht="15" hidden="false" customHeight="false" outlineLevel="0" collapsed="false">
      <c r="A870" s="2" t="s">
        <v>118</v>
      </c>
      <c r="B870" s="2" t="n">
        <v>5</v>
      </c>
      <c r="C870" s="2" t="s">
        <v>74</v>
      </c>
      <c r="D870" s="2" t="s">
        <v>43</v>
      </c>
      <c r="E870" s="2" t="str">
        <f aca="false">INDEX(Products!$B$2:$B$13,MATCH(D870,Products!$A$2:$A$13,0))</f>
        <v>Hydroprocessing</v>
      </c>
      <c r="F870" s="15" t="n">
        <v>8.1</v>
      </c>
      <c r="G870" s="16" t="n">
        <f aca="false">IF(A870="2025",INDEX(Products!$C$2:$C$13,MATCH(D870,Products!$A$2:$A$13,0)),INDEX(Products!$E$2:$E$13,MATCH(D870,Products!$A$2:$A$13,0)))</f>
        <v>11610</v>
      </c>
      <c r="H870" s="13" t="n">
        <f aca="false">IF(A870="2025",INDEX(Customers!$D$2:$D$41,MATCH(C870,Customers!$A$2:$A$41,0)),INDEX(Customers!$F$2:$F$41,MATCH(C870,Customers!$A$2:$A$41,0)))</f>
        <v>0.026</v>
      </c>
      <c r="I870" s="16" t="n">
        <f aca="false">F870*G870</f>
        <v>94041</v>
      </c>
      <c r="J870" s="16" t="n">
        <f aca="false">I870*(1-H870)</f>
        <v>91595.934</v>
      </c>
      <c r="K870" s="16" t="n">
        <f aca="false">J870*INDEX(Customers!$G$2:$G$41,MATCH(C870,Customers!$A$2:$A$41,0))</f>
        <v>0</v>
      </c>
      <c r="L870" s="16" t="n">
        <f aca="false">F870*INDEX(Customers!$H$2:$H$41,MATCH(C870,Customers!$A$2:$A$41,0))</f>
        <v>729</v>
      </c>
      <c r="M870" s="16" t="n">
        <f aca="false">J870*INDEX(Customers!$I$2:$I$41,MATCH(C870,Customers!$A$2:$A$41,0))/365*Assumptions!$B$6</f>
        <v>602.274634520548</v>
      </c>
      <c r="N870" s="16" t="n">
        <f aca="false">J870-K870-L870-M870</f>
        <v>90264.6593654794</v>
      </c>
      <c r="O870" s="16" t="n">
        <f aca="false">F870*IF(A870="2025",INDEX(Products!$D$2:$D$13,MATCH(D870,Products!$A$2:$A$13,0)),INDEX(Products!$F$2:$F$13,MATCH(D870,Products!$A$2:$A$13,0)))</f>
        <v>59454</v>
      </c>
      <c r="P870" s="16" t="n">
        <f aca="false">N870-O870</f>
        <v>30810.6593654794</v>
      </c>
    </row>
    <row r="871" customFormat="false" ht="15" hidden="false" customHeight="false" outlineLevel="0" collapsed="false">
      <c r="A871" s="2" t="s">
        <v>118</v>
      </c>
      <c r="B871" s="2" t="n">
        <v>6</v>
      </c>
      <c r="C871" s="2" t="s">
        <v>74</v>
      </c>
      <c r="D871" s="2" t="s">
        <v>43</v>
      </c>
      <c r="E871" s="2" t="str">
        <f aca="false">INDEX(Products!$B$2:$B$13,MATCH(D871,Products!$A$2:$A$13,0))</f>
        <v>Hydroprocessing</v>
      </c>
      <c r="F871" s="15" t="n">
        <v>6.5</v>
      </c>
      <c r="G871" s="16" t="n">
        <f aca="false">IF(A871="2025",INDEX(Products!$C$2:$C$13,MATCH(D871,Products!$A$2:$A$13,0)),INDEX(Products!$E$2:$E$13,MATCH(D871,Products!$A$2:$A$13,0)))</f>
        <v>11610</v>
      </c>
      <c r="H871" s="13" t="n">
        <f aca="false">IF(A871="2025",INDEX(Customers!$D$2:$D$41,MATCH(C871,Customers!$A$2:$A$41,0)),INDEX(Customers!$F$2:$F$41,MATCH(C871,Customers!$A$2:$A$41,0)))</f>
        <v>0.026</v>
      </c>
      <c r="I871" s="16" t="n">
        <f aca="false">F871*G871</f>
        <v>75465</v>
      </c>
      <c r="J871" s="16" t="n">
        <f aca="false">I871*(1-H871)</f>
        <v>73502.91</v>
      </c>
      <c r="K871" s="16" t="n">
        <f aca="false">J871*INDEX(Customers!$G$2:$G$41,MATCH(C871,Customers!$A$2:$A$41,0))</f>
        <v>0</v>
      </c>
      <c r="L871" s="16" t="n">
        <f aca="false">F871*INDEX(Customers!$H$2:$H$41,MATCH(C871,Customers!$A$2:$A$41,0))</f>
        <v>585</v>
      </c>
      <c r="M871" s="16" t="n">
        <f aca="false">J871*INDEX(Customers!$I$2:$I$41,MATCH(C871,Customers!$A$2:$A$41,0))/365*Assumptions!$B$6</f>
        <v>483.306805479452</v>
      </c>
      <c r="N871" s="16" t="n">
        <f aca="false">J871-K871-L871-M871</f>
        <v>72434.6031945206</v>
      </c>
      <c r="O871" s="16" t="n">
        <f aca="false">F871*IF(A871="2025",INDEX(Products!$D$2:$D$13,MATCH(D871,Products!$A$2:$A$13,0)),INDEX(Products!$F$2:$F$13,MATCH(D871,Products!$A$2:$A$13,0)))</f>
        <v>47710</v>
      </c>
      <c r="P871" s="16" t="n">
        <f aca="false">N871-O871</f>
        <v>24724.6031945205</v>
      </c>
    </row>
    <row r="872" customFormat="false" ht="15" hidden="false" customHeight="false" outlineLevel="0" collapsed="false">
      <c r="A872" s="2" t="s">
        <v>118</v>
      </c>
      <c r="B872" s="2" t="n">
        <v>7</v>
      </c>
      <c r="C872" s="2" t="s">
        <v>74</v>
      </c>
      <c r="D872" s="2" t="s">
        <v>43</v>
      </c>
      <c r="E872" s="2" t="str">
        <f aca="false">INDEX(Products!$B$2:$B$13,MATCH(D872,Products!$A$2:$A$13,0))</f>
        <v>Hydroprocessing</v>
      </c>
      <c r="F872" s="15" t="n">
        <v>7.8</v>
      </c>
      <c r="G872" s="16" t="n">
        <f aca="false">IF(A872="2025",INDEX(Products!$C$2:$C$13,MATCH(D872,Products!$A$2:$A$13,0)),INDEX(Products!$E$2:$E$13,MATCH(D872,Products!$A$2:$A$13,0)))</f>
        <v>11610</v>
      </c>
      <c r="H872" s="13" t="n">
        <f aca="false">IF(A872="2025",INDEX(Customers!$D$2:$D$41,MATCH(C872,Customers!$A$2:$A$41,0)),INDEX(Customers!$F$2:$F$41,MATCH(C872,Customers!$A$2:$A$41,0)))</f>
        <v>0.026</v>
      </c>
      <c r="I872" s="16" t="n">
        <f aca="false">F872*G872</f>
        <v>90558</v>
      </c>
      <c r="J872" s="16" t="n">
        <f aca="false">I872*(1-H872)</f>
        <v>88203.492</v>
      </c>
      <c r="K872" s="16" t="n">
        <f aca="false">J872*INDEX(Customers!$G$2:$G$41,MATCH(C872,Customers!$A$2:$A$41,0))</f>
        <v>0</v>
      </c>
      <c r="L872" s="16" t="n">
        <f aca="false">F872*INDEX(Customers!$H$2:$H$41,MATCH(C872,Customers!$A$2:$A$41,0))</f>
        <v>702</v>
      </c>
      <c r="M872" s="16" t="n">
        <f aca="false">J872*INDEX(Customers!$I$2:$I$41,MATCH(C872,Customers!$A$2:$A$41,0))/365*Assumptions!$B$6</f>
        <v>579.968166575342</v>
      </c>
      <c r="N872" s="16" t="n">
        <f aca="false">J872-K872-L872-M872</f>
        <v>86921.5238334247</v>
      </c>
      <c r="O872" s="16" t="n">
        <f aca="false">F872*IF(A872="2025",INDEX(Products!$D$2:$D$13,MATCH(D872,Products!$A$2:$A$13,0)),INDEX(Products!$F$2:$F$13,MATCH(D872,Products!$A$2:$A$13,0)))</f>
        <v>57252</v>
      </c>
      <c r="P872" s="16" t="n">
        <f aca="false">N872-O872</f>
        <v>29669.5238334247</v>
      </c>
    </row>
    <row r="873" customFormat="false" ht="15" hidden="false" customHeight="false" outlineLevel="0" collapsed="false">
      <c r="A873" s="2" t="s">
        <v>118</v>
      </c>
      <c r="B873" s="2" t="n">
        <v>8</v>
      </c>
      <c r="C873" s="2" t="s">
        <v>74</v>
      </c>
      <c r="D873" s="2" t="s">
        <v>43</v>
      </c>
      <c r="E873" s="2" t="str">
        <f aca="false">INDEX(Products!$B$2:$B$13,MATCH(D873,Products!$A$2:$A$13,0))</f>
        <v>Hydroprocessing</v>
      </c>
      <c r="F873" s="15" t="n">
        <v>10.1</v>
      </c>
      <c r="G873" s="16" t="n">
        <f aca="false">IF(A873="2025",INDEX(Products!$C$2:$C$13,MATCH(D873,Products!$A$2:$A$13,0)),INDEX(Products!$E$2:$E$13,MATCH(D873,Products!$A$2:$A$13,0)))</f>
        <v>11610</v>
      </c>
      <c r="H873" s="13" t="n">
        <f aca="false">IF(A873="2025",INDEX(Customers!$D$2:$D$41,MATCH(C873,Customers!$A$2:$A$41,0)),INDEX(Customers!$F$2:$F$41,MATCH(C873,Customers!$A$2:$A$41,0)))</f>
        <v>0.026</v>
      </c>
      <c r="I873" s="16" t="n">
        <f aca="false">F873*G873</f>
        <v>117261</v>
      </c>
      <c r="J873" s="16" t="n">
        <f aca="false">I873*(1-H873)</f>
        <v>114212.214</v>
      </c>
      <c r="K873" s="16" t="n">
        <f aca="false">J873*INDEX(Customers!$G$2:$G$41,MATCH(C873,Customers!$A$2:$A$41,0))</f>
        <v>0</v>
      </c>
      <c r="L873" s="16" t="n">
        <f aca="false">F873*INDEX(Customers!$H$2:$H$41,MATCH(C873,Customers!$A$2:$A$41,0))</f>
        <v>909</v>
      </c>
      <c r="M873" s="16" t="n">
        <f aca="false">J873*INDEX(Customers!$I$2:$I$41,MATCH(C873,Customers!$A$2:$A$41,0))/365*Assumptions!$B$6</f>
        <v>750.984420821918</v>
      </c>
      <c r="N873" s="16" t="n">
        <f aca="false">J873-K873-L873-M873</f>
        <v>112552.229579178</v>
      </c>
      <c r="O873" s="16" t="n">
        <f aca="false">F873*IF(A873="2025",INDEX(Products!$D$2:$D$13,MATCH(D873,Products!$A$2:$A$13,0)),INDEX(Products!$F$2:$F$13,MATCH(D873,Products!$A$2:$A$13,0)))</f>
        <v>74134</v>
      </c>
      <c r="P873" s="16" t="n">
        <f aca="false">N873-O873</f>
        <v>38418.2295791781</v>
      </c>
    </row>
    <row r="874" customFormat="false" ht="15" hidden="false" customHeight="false" outlineLevel="0" collapsed="false">
      <c r="A874" s="2" t="s">
        <v>118</v>
      </c>
      <c r="B874" s="2" t="n">
        <v>9</v>
      </c>
      <c r="C874" s="2" t="s">
        <v>74</v>
      </c>
      <c r="D874" s="2" t="s">
        <v>43</v>
      </c>
      <c r="E874" s="2" t="str">
        <f aca="false">INDEX(Products!$B$2:$B$13,MATCH(D874,Products!$A$2:$A$13,0))</f>
        <v>Hydroprocessing</v>
      </c>
      <c r="F874" s="15" t="n">
        <v>8</v>
      </c>
      <c r="G874" s="16" t="n">
        <f aca="false">IF(A874="2025",INDEX(Products!$C$2:$C$13,MATCH(D874,Products!$A$2:$A$13,0)),INDEX(Products!$E$2:$E$13,MATCH(D874,Products!$A$2:$A$13,0)))</f>
        <v>11610</v>
      </c>
      <c r="H874" s="13" t="n">
        <f aca="false">IF(A874="2025",INDEX(Customers!$D$2:$D$41,MATCH(C874,Customers!$A$2:$A$41,0)),INDEX(Customers!$F$2:$F$41,MATCH(C874,Customers!$A$2:$A$41,0)))</f>
        <v>0.026</v>
      </c>
      <c r="I874" s="16" t="n">
        <f aca="false">F874*G874</f>
        <v>92880</v>
      </c>
      <c r="J874" s="16" t="n">
        <f aca="false">I874*(1-H874)</f>
        <v>90465.12</v>
      </c>
      <c r="K874" s="16" t="n">
        <f aca="false">J874*INDEX(Customers!$G$2:$G$41,MATCH(C874,Customers!$A$2:$A$41,0))</f>
        <v>0</v>
      </c>
      <c r="L874" s="16" t="n">
        <f aca="false">F874*INDEX(Customers!$H$2:$H$41,MATCH(C874,Customers!$A$2:$A$41,0))</f>
        <v>720</v>
      </c>
      <c r="M874" s="16" t="n">
        <f aca="false">J874*INDEX(Customers!$I$2:$I$41,MATCH(C874,Customers!$A$2:$A$41,0))/365*Assumptions!$B$6</f>
        <v>594.839145205479</v>
      </c>
      <c r="N874" s="16" t="n">
        <f aca="false">J874-K874-L874-M874</f>
        <v>89150.2808547945</v>
      </c>
      <c r="O874" s="16" t="n">
        <f aca="false">F874*IF(A874="2025",INDEX(Products!$D$2:$D$13,MATCH(D874,Products!$A$2:$A$13,0)),INDEX(Products!$F$2:$F$13,MATCH(D874,Products!$A$2:$A$13,0)))</f>
        <v>58720</v>
      </c>
      <c r="P874" s="16" t="n">
        <f aca="false">N874-O874</f>
        <v>30430.2808547945</v>
      </c>
    </row>
    <row r="875" customFormat="false" ht="15" hidden="false" customHeight="false" outlineLevel="0" collapsed="false">
      <c r="A875" s="2" t="s">
        <v>118</v>
      </c>
      <c r="B875" s="2" t="n">
        <v>10</v>
      </c>
      <c r="C875" s="2" t="s">
        <v>74</v>
      </c>
      <c r="D875" s="2" t="s">
        <v>43</v>
      </c>
      <c r="E875" s="2" t="str">
        <f aca="false">INDEX(Products!$B$2:$B$13,MATCH(D875,Products!$A$2:$A$13,0))</f>
        <v>Hydroprocessing</v>
      </c>
      <c r="F875" s="15" t="n">
        <v>10.1</v>
      </c>
      <c r="G875" s="16" t="n">
        <f aca="false">IF(A875="2025",INDEX(Products!$C$2:$C$13,MATCH(D875,Products!$A$2:$A$13,0)),INDEX(Products!$E$2:$E$13,MATCH(D875,Products!$A$2:$A$13,0)))</f>
        <v>11610</v>
      </c>
      <c r="H875" s="13" t="n">
        <f aca="false">IF(A875="2025",INDEX(Customers!$D$2:$D$41,MATCH(C875,Customers!$A$2:$A$41,0)),INDEX(Customers!$F$2:$F$41,MATCH(C875,Customers!$A$2:$A$41,0)))</f>
        <v>0.026</v>
      </c>
      <c r="I875" s="16" t="n">
        <f aca="false">F875*G875</f>
        <v>117261</v>
      </c>
      <c r="J875" s="16" t="n">
        <f aca="false">I875*(1-H875)</f>
        <v>114212.214</v>
      </c>
      <c r="K875" s="16" t="n">
        <f aca="false">J875*INDEX(Customers!$G$2:$G$41,MATCH(C875,Customers!$A$2:$A$41,0))</f>
        <v>0</v>
      </c>
      <c r="L875" s="16" t="n">
        <f aca="false">F875*INDEX(Customers!$H$2:$H$41,MATCH(C875,Customers!$A$2:$A$41,0))</f>
        <v>909</v>
      </c>
      <c r="M875" s="16" t="n">
        <f aca="false">J875*INDEX(Customers!$I$2:$I$41,MATCH(C875,Customers!$A$2:$A$41,0))/365*Assumptions!$B$6</f>
        <v>750.984420821918</v>
      </c>
      <c r="N875" s="16" t="n">
        <f aca="false">J875-K875-L875-M875</f>
        <v>112552.229579178</v>
      </c>
      <c r="O875" s="16" t="n">
        <f aca="false">F875*IF(A875="2025",INDEX(Products!$D$2:$D$13,MATCH(D875,Products!$A$2:$A$13,0)),INDEX(Products!$F$2:$F$13,MATCH(D875,Products!$A$2:$A$13,0)))</f>
        <v>74134</v>
      </c>
      <c r="P875" s="16" t="n">
        <f aca="false">N875-O875</f>
        <v>38418.2295791781</v>
      </c>
    </row>
    <row r="876" customFormat="false" ht="15" hidden="false" customHeight="false" outlineLevel="0" collapsed="false">
      <c r="A876" s="2" t="s">
        <v>118</v>
      </c>
      <c r="B876" s="2" t="n">
        <v>11</v>
      </c>
      <c r="C876" s="2" t="s">
        <v>74</v>
      </c>
      <c r="D876" s="2" t="s">
        <v>43</v>
      </c>
      <c r="E876" s="2" t="str">
        <f aca="false">INDEX(Products!$B$2:$B$13,MATCH(D876,Products!$A$2:$A$13,0))</f>
        <v>Hydroprocessing</v>
      </c>
      <c r="F876" s="15" t="n">
        <v>7.6</v>
      </c>
      <c r="G876" s="16" t="n">
        <f aca="false">IF(A876="2025",INDEX(Products!$C$2:$C$13,MATCH(D876,Products!$A$2:$A$13,0)),INDEX(Products!$E$2:$E$13,MATCH(D876,Products!$A$2:$A$13,0)))</f>
        <v>11610</v>
      </c>
      <c r="H876" s="13" t="n">
        <f aca="false">IF(A876="2025",INDEX(Customers!$D$2:$D$41,MATCH(C876,Customers!$A$2:$A$41,0)),INDEX(Customers!$F$2:$F$41,MATCH(C876,Customers!$A$2:$A$41,0)))</f>
        <v>0.026</v>
      </c>
      <c r="I876" s="16" t="n">
        <f aca="false">F876*G876</f>
        <v>88236</v>
      </c>
      <c r="J876" s="16" t="n">
        <f aca="false">I876*(1-H876)</f>
        <v>85941.864</v>
      </c>
      <c r="K876" s="16" t="n">
        <f aca="false">J876*INDEX(Customers!$G$2:$G$41,MATCH(C876,Customers!$A$2:$A$41,0))</f>
        <v>0</v>
      </c>
      <c r="L876" s="16" t="n">
        <f aca="false">F876*INDEX(Customers!$H$2:$H$41,MATCH(C876,Customers!$A$2:$A$41,0))</f>
        <v>684</v>
      </c>
      <c r="M876" s="16" t="n">
        <f aca="false">J876*INDEX(Customers!$I$2:$I$41,MATCH(C876,Customers!$A$2:$A$41,0))/365*Assumptions!$B$6</f>
        <v>565.097187945205</v>
      </c>
      <c r="N876" s="16" t="n">
        <f aca="false">J876-K876-L876-M876</f>
        <v>84692.7668120548</v>
      </c>
      <c r="O876" s="16" t="n">
        <f aca="false">F876*IF(A876="2025",INDEX(Products!$D$2:$D$13,MATCH(D876,Products!$A$2:$A$13,0)),INDEX(Products!$F$2:$F$13,MATCH(D876,Products!$A$2:$A$13,0)))</f>
        <v>55784</v>
      </c>
      <c r="P876" s="16" t="n">
        <f aca="false">N876-O876</f>
        <v>28908.7668120548</v>
      </c>
    </row>
    <row r="877" customFormat="false" ht="15" hidden="false" customHeight="false" outlineLevel="0" collapsed="false">
      <c r="A877" s="2" t="s">
        <v>118</v>
      </c>
      <c r="B877" s="2" t="n">
        <v>12</v>
      </c>
      <c r="C877" s="2" t="s">
        <v>74</v>
      </c>
      <c r="D877" s="2" t="s">
        <v>43</v>
      </c>
      <c r="E877" s="2" t="str">
        <f aca="false">INDEX(Products!$B$2:$B$13,MATCH(D877,Products!$A$2:$A$13,0))</f>
        <v>Hydroprocessing</v>
      </c>
      <c r="F877" s="15" t="n">
        <v>9.1</v>
      </c>
      <c r="G877" s="16" t="n">
        <f aca="false">IF(A877="2025",INDEX(Products!$C$2:$C$13,MATCH(D877,Products!$A$2:$A$13,0)),INDEX(Products!$E$2:$E$13,MATCH(D877,Products!$A$2:$A$13,0)))</f>
        <v>11610</v>
      </c>
      <c r="H877" s="13" t="n">
        <f aca="false">IF(A877="2025",INDEX(Customers!$D$2:$D$41,MATCH(C877,Customers!$A$2:$A$41,0)),INDEX(Customers!$F$2:$F$41,MATCH(C877,Customers!$A$2:$A$41,0)))</f>
        <v>0.026</v>
      </c>
      <c r="I877" s="16" t="n">
        <f aca="false">F877*G877</f>
        <v>105651</v>
      </c>
      <c r="J877" s="16" t="n">
        <f aca="false">I877*(1-H877)</f>
        <v>102904.074</v>
      </c>
      <c r="K877" s="16" t="n">
        <f aca="false">J877*INDEX(Customers!$G$2:$G$41,MATCH(C877,Customers!$A$2:$A$41,0))</f>
        <v>0</v>
      </c>
      <c r="L877" s="16" t="n">
        <f aca="false">F877*INDEX(Customers!$H$2:$H$41,MATCH(C877,Customers!$A$2:$A$41,0))</f>
        <v>819</v>
      </c>
      <c r="M877" s="16" t="n">
        <f aca="false">J877*INDEX(Customers!$I$2:$I$41,MATCH(C877,Customers!$A$2:$A$41,0))/365*Assumptions!$B$6</f>
        <v>676.629527671233</v>
      </c>
      <c r="N877" s="16" t="n">
        <f aca="false">J877-K877-L877-M877</f>
        <v>101408.444472329</v>
      </c>
      <c r="O877" s="16" t="n">
        <f aca="false">F877*IF(A877="2025",INDEX(Products!$D$2:$D$13,MATCH(D877,Products!$A$2:$A$13,0)),INDEX(Products!$F$2:$F$13,MATCH(D877,Products!$A$2:$A$13,0)))</f>
        <v>66794</v>
      </c>
      <c r="P877" s="16" t="n">
        <f aca="false">N877-O877</f>
        <v>34614.4444723288</v>
      </c>
    </row>
    <row r="878" customFormat="false" ht="15" hidden="false" customHeight="false" outlineLevel="0" collapsed="false">
      <c r="A878" s="2" t="s">
        <v>119</v>
      </c>
      <c r="B878" s="2" t="n">
        <v>1</v>
      </c>
      <c r="C878" s="2" t="s">
        <v>74</v>
      </c>
      <c r="D878" s="2" t="s">
        <v>43</v>
      </c>
      <c r="E878" s="2" t="str">
        <f aca="false">INDEX(Products!$B$2:$B$13,MATCH(D878,Products!$A$2:$A$13,0))</f>
        <v>Hydroprocessing</v>
      </c>
      <c r="F878" s="15" t="n">
        <v>5.7</v>
      </c>
      <c r="G878" s="16" t="n">
        <f aca="false">IF(A878="2025",INDEX(Products!$C$2:$C$13,MATCH(D878,Products!$A$2:$A$13,0)),INDEX(Products!$E$2:$E$13,MATCH(D878,Products!$A$2:$A$13,0)))</f>
        <v>12190.5</v>
      </c>
      <c r="H878" s="13" t="n">
        <f aca="false">IF(A878="2025",INDEX(Customers!$D$2:$D$41,MATCH(C878,Customers!$A$2:$A$41,0)),INDEX(Customers!$F$2:$F$41,MATCH(C878,Customers!$A$2:$A$41,0)))</f>
        <v>0.043</v>
      </c>
      <c r="I878" s="16" t="n">
        <f aca="false">F878*G878</f>
        <v>69485.85</v>
      </c>
      <c r="J878" s="16" t="n">
        <f aca="false">I878*(1-H878)</f>
        <v>66497.95845</v>
      </c>
      <c r="K878" s="16" t="n">
        <f aca="false">J878*INDEX(Customers!$G$2:$G$41,MATCH(C878,Customers!$A$2:$A$41,0))</f>
        <v>0</v>
      </c>
      <c r="L878" s="16" t="n">
        <f aca="false">F878*INDEX(Customers!$H$2:$H$41,MATCH(C878,Customers!$A$2:$A$41,0))</f>
        <v>513</v>
      </c>
      <c r="M878" s="16" t="n">
        <f aca="false">J878*INDEX(Customers!$I$2:$I$41,MATCH(C878,Customers!$A$2:$A$41,0))/365*Assumptions!$B$6</f>
        <v>437.246850082192</v>
      </c>
      <c r="N878" s="16" t="n">
        <f aca="false">J878-K878-L878-M878</f>
        <v>65547.7115999178</v>
      </c>
      <c r="O878" s="16" t="n">
        <f aca="false">F878*IF(A878="2025",INDEX(Products!$D$2:$D$13,MATCH(D878,Products!$A$2:$A$13,0)),INDEX(Products!$F$2:$F$13,MATCH(D878,Products!$A$2:$A$13,0)))</f>
        <v>43093.14</v>
      </c>
      <c r="P878" s="16" t="n">
        <f aca="false">N878-O878</f>
        <v>22454.5715999178</v>
      </c>
    </row>
    <row r="879" customFormat="false" ht="15" hidden="false" customHeight="false" outlineLevel="0" collapsed="false">
      <c r="A879" s="2" t="s">
        <v>119</v>
      </c>
      <c r="B879" s="2" t="n">
        <v>2</v>
      </c>
      <c r="C879" s="2" t="s">
        <v>74</v>
      </c>
      <c r="D879" s="2" t="s">
        <v>43</v>
      </c>
      <c r="E879" s="2" t="str">
        <f aca="false">INDEX(Products!$B$2:$B$13,MATCH(D879,Products!$A$2:$A$13,0))</f>
        <v>Hydroprocessing</v>
      </c>
      <c r="F879" s="15" t="n">
        <v>6</v>
      </c>
      <c r="G879" s="16" t="n">
        <f aca="false">IF(A879="2025",INDEX(Products!$C$2:$C$13,MATCH(D879,Products!$A$2:$A$13,0)),INDEX(Products!$E$2:$E$13,MATCH(D879,Products!$A$2:$A$13,0)))</f>
        <v>12190.5</v>
      </c>
      <c r="H879" s="13" t="n">
        <f aca="false">IF(A879="2025",INDEX(Customers!$D$2:$D$41,MATCH(C879,Customers!$A$2:$A$41,0)),INDEX(Customers!$F$2:$F$41,MATCH(C879,Customers!$A$2:$A$41,0)))</f>
        <v>0.043</v>
      </c>
      <c r="I879" s="16" t="n">
        <f aca="false">F879*G879</f>
        <v>73143</v>
      </c>
      <c r="J879" s="16" t="n">
        <f aca="false">I879*(1-H879)</f>
        <v>69997.851</v>
      </c>
      <c r="K879" s="16" t="n">
        <f aca="false">J879*INDEX(Customers!$G$2:$G$41,MATCH(C879,Customers!$A$2:$A$41,0))</f>
        <v>0</v>
      </c>
      <c r="L879" s="16" t="n">
        <f aca="false">F879*INDEX(Customers!$H$2:$H$41,MATCH(C879,Customers!$A$2:$A$41,0))</f>
        <v>540</v>
      </c>
      <c r="M879" s="16" t="n">
        <f aca="false">J879*INDEX(Customers!$I$2:$I$41,MATCH(C879,Customers!$A$2:$A$41,0))/365*Assumptions!$B$6</f>
        <v>460.259842191781</v>
      </c>
      <c r="N879" s="16" t="n">
        <f aca="false">J879-K879-L879-M879</f>
        <v>68997.5911578082</v>
      </c>
      <c r="O879" s="16" t="n">
        <f aca="false">F879*IF(A879="2025",INDEX(Products!$D$2:$D$13,MATCH(D879,Products!$A$2:$A$13,0)),INDEX(Products!$F$2:$F$13,MATCH(D879,Products!$A$2:$A$13,0)))</f>
        <v>45361.2</v>
      </c>
      <c r="P879" s="16" t="n">
        <f aca="false">N879-O879</f>
        <v>23636.3911578082</v>
      </c>
    </row>
    <row r="880" customFormat="false" ht="15" hidden="false" customHeight="false" outlineLevel="0" collapsed="false">
      <c r="A880" s="2" t="s">
        <v>119</v>
      </c>
      <c r="B880" s="2" t="n">
        <v>3</v>
      </c>
      <c r="C880" s="2" t="s">
        <v>74</v>
      </c>
      <c r="D880" s="2" t="s">
        <v>43</v>
      </c>
      <c r="E880" s="2" t="str">
        <f aca="false">INDEX(Products!$B$2:$B$13,MATCH(D880,Products!$A$2:$A$13,0))</f>
        <v>Hydroprocessing</v>
      </c>
      <c r="F880" s="15" t="n">
        <v>7.2</v>
      </c>
      <c r="G880" s="16" t="n">
        <f aca="false">IF(A880="2025",INDEX(Products!$C$2:$C$13,MATCH(D880,Products!$A$2:$A$13,0)),INDEX(Products!$E$2:$E$13,MATCH(D880,Products!$A$2:$A$13,0)))</f>
        <v>12190.5</v>
      </c>
      <c r="H880" s="13" t="n">
        <f aca="false">IF(A880="2025",INDEX(Customers!$D$2:$D$41,MATCH(C880,Customers!$A$2:$A$41,0)),INDEX(Customers!$F$2:$F$41,MATCH(C880,Customers!$A$2:$A$41,0)))</f>
        <v>0.043</v>
      </c>
      <c r="I880" s="16" t="n">
        <f aca="false">F880*G880</f>
        <v>87771.6</v>
      </c>
      <c r="J880" s="16" t="n">
        <f aca="false">I880*(1-H880)</f>
        <v>83997.4212</v>
      </c>
      <c r="K880" s="16" t="n">
        <f aca="false">J880*INDEX(Customers!$G$2:$G$41,MATCH(C880,Customers!$A$2:$A$41,0))</f>
        <v>0</v>
      </c>
      <c r="L880" s="16" t="n">
        <f aca="false">F880*INDEX(Customers!$H$2:$H$41,MATCH(C880,Customers!$A$2:$A$41,0))</f>
        <v>648</v>
      </c>
      <c r="M880" s="16" t="n">
        <f aca="false">J880*INDEX(Customers!$I$2:$I$41,MATCH(C880,Customers!$A$2:$A$41,0))/365*Assumptions!$B$6</f>
        <v>552.311810630137</v>
      </c>
      <c r="N880" s="16" t="n">
        <f aca="false">J880-K880-L880-M880</f>
        <v>82797.1093893699</v>
      </c>
      <c r="O880" s="16" t="n">
        <f aca="false">F880*IF(A880="2025",INDEX(Products!$D$2:$D$13,MATCH(D880,Products!$A$2:$A$13,0)),INDEX(Products!$F$2:$F$13,MATCH(D880,Products!$A$2:$A$13,0)))</f>
        <v>54433.44</v>
      </c>
      <c r="P880" s="16" t="n">
        <f aca="false">N880-O880</f>
        <v>28363.6693893699</v>
      </c>
    </row>
    <row r="881" customFormat="false" ht="15" hidden="false" customHeight="false" outlineLevel="0" collapsed="false">
      <c r="A881" s="2" t="s">
        <v>119</v>
      </c>
      <c r="B881" s="2" t="n">
        <v>4</v>
      </c>
      <c r="C881" s="2" t="s">
        <v>74</v>
      </c>
      <c r="D881" s="2" t="s">
        <v>43</v>
      </c>
      <c r="E881" s="2" t="str">
        <f aca="false">INDEX(Products!$B$2:$B$13,MATCH(D881,Products!$A$2:$A$13,0))</f>
        <v>Hydroprocessing</v>
      </c>
      <c r="F881" s="15" t="n">
        <v>9.6</v>
      </c>
      <c r="G881" s="16" t="n">
        <f aca="false">IF(A881="2025",INDEX(Products!$C$2:$C$13,MATCH(D881,Products!$A$2:$A$13,0)),INDEX(Products!$E$2:$E$13,MATCH(D881,Products!$A$2:$A$13,0)))</f>
        <v>12190.5</v>
      </c>
      <c r="H881" s="13" t="n">
        <f aca="false">IF(A881="2025",INDEX(Customers!$D$2:$D$41,MATCH(C881,Customers!$A$2:$A$41,0)),INDEX(Customers!$F$2:$F$41,MATCH(C881,Customers!$A$2:$A$41,0)))</f>
        <v>0.043</v>
      </c>
      <c r="I881" s="16" t="n">
        <f aca="false">F881*G881</f>
        <v>117028.8</v>
      </c>
      <c r="J881" s="16" t="n">
        <f aca="false">I881*(1-H881)</f>
        <v>111996.5616</v>
      </c>
      <c r="K881" s="16" t="n">
        <f aca="false">J881*INDEX(Customers!$G$2:$G$41,MATCH(C881,Customers!$A$2:$A$41,0))</f>
        <v>0</v>
      </c>
      <c r="L881" s="16" t="n">
        <f aca="false">F881*INDEX(Customers!$H$2:$H$41,MATCH(C881,Customers!$A$2:$A$41,0))</f>
        <v>864</v>
      </c>
      <c r="M881" s="16" t="n">
        <f aca="false">J881*INDEX(Customers!$I$2:$I$41,MATCH(C881,Customers!$A$2:$A$41,0))/365*Assumptions!$B$6</f>
        <v>736.415747506849</v>
      </c>
      <c r="N881" s="16" t="n">
        <f aca="false">J881-K881-L881-M881</f>
        <v>110396.145852493</v>
      </c>
      <c r="O881" s="16" t="n">
        <f aca="false">F881*IF(A881="2025",INDEX(Products!$D$2:$D$13,MATCH(D881,Products!$A$2:$A$13,0)),INDEX(Products!$F$2:$F$13,MATCH(D881,Products!$A$2:$A$13,0)))</f>
        <v>72577.92</v>
      </c>
      <c r="P881" s="16" t="n">
        <f aca="false">N881-O881</f>
        <v>37818.2258524932</v>
      </c>
    </row>
    <row r="882" customFormat="false" ht="15" hidden="false" customHeight="false" outlineLevel="0" collapsed="false">
      <c r="A882" s="2" t="s">
        <v>119</v>
      </c>
      <c r="B882" s="2" t="n">
        <v>5</v>
      </c>
      <c r="C882" s="2" t="s">
        <v>74</v>
      </c>
      <c r="D882" s="2" t="s">
        <v>43</v>
      </c>
      <c r="E882" s="2" t="str">
        <f aca="false">INDEX(Products!$B$2:$B$13,MATCH(D882,Products!$A$2:$A$13,0))</f>
        <v>Hydroprocessing</v>
      </c>
      <c r="F882" s="15" t="n">
        <v>8.6</v>
      </c>
      <c r="G882" s="16" t="n">
        <f aca="false">IF(A882="2025",INDEX(Products!$C$2:$C$13,MATCH(D882,Products!$A$2:$A$13,0)),INDEX(Products!$E$2:$E$13,MATCH(D882,Products!$A$2:$A$13,0)))</f>
        <v>12190.5</v>
      </c>
      <c r="H882" s="13" t="n">
        <f aca="false">IF(A882="2025",INDEX(Customers!$D$2:$D$41,MATCH(C882,Customers!$A$2:$A$41,0)),INDEX(Customers!$F$2:$F$41,MATCH(C882,Customers!$A$2:$A$41,0)))</f>
        <v>0.043</v>
      </c>
      <c r="I882" s="16" t="n">
        <f aca="false">F882*G882</f>
        <v>104838.3</v>
      </c>
      <c r="J882" s="16" t="n">
        <f aca="false">I882*(1-H882)</f>
        <v>100330.2531</v>
      </c>
      <c r="K882" s="16" t="n">
        <f aca="false">J882*INDEX(Customers!$G$2:$G$41,MATCH(C882,Customers!$A$2:$A$41,0))</f>
        <v>0</v>
      </c>
      <c r="L882" s="16" t="n">
        <f aca="false">F882*INDEX(Customers!$H$2:$H$41,MATCH(C882,Customers!$A$2:$A$41,0))</f>
        <v>774</v>
      </c>
      <c r="M882" s="16" t="n">
        <f aca="false">J882*INDEX(Customers!$I$2:$I$41,MATCH(C882,Customers!$A$2:$A$41,0))/365*Assumptions!$B$6</f>
        <v>659.705773808219</v>
      </c>
      <c r="N882" s="16" t="n">
        <f aca="false">J882-K882-L882-M882</f>
        <v>98896.5473261918</v>
      </c>
      <c r="O882" s="16" t="n">
        <f aca="false">F882*IF(A882="2025",INDEX(Products!$D$2:$D$13,MATCH(D882,Products!$A$2:$A$13,0)),INDEX(Products!$F$2:$F$13,MATCH(D882,Products!$A$2:$A$13,0)))</f>
        <v>65017.72</v>
      </c>
      <c r="P882" s="16" t="n">
        <f aca="false">N882-O882</f>
        <v>33878.8273261918</v>
      </c>
    </row>
    <row r="883" customFormat="false" ht="15" hidden="false" customHeight="false" outlineLevel="0" collapsed="false">
      <c r="A883" s="2" t="s">
        <v>119</v>
      </c>
      <c r="B883" s="2" t="n">
        <v>6</v>
      </c>
      <c r="C883" s="2" t="s">
        <v>74</v>
      </c>
      <c r="D883" s="2" t="s">
        <v>43</v>
      </c>
      <c r="E883" s="2" t="str">
        <f aca="false">INDEX(Products!$B$2:$B$13,MATCH(D883,Products!$A$2:$A$13,0))</f>
        <v>Hydroprocessing</v>
      </c>
      <c r="F883" s="15" t="n">
        <v>6.4</v>
      </c>
      <c r="G883" s="16" t="n">
        <f aca="false">IF(A883="2025",INDEX(Products!$C$2:$C$13,MATCH(D883,Products!$A$2:$A$13,0)),INDEX(Products!$E$2:$E$13,MATCH(D883,Products!$A$2:$A$13,0)))</f>
        <v>12190.5</v>
      </c>
      <c r="H883" s="13" t="n">
        <f aca="false">IF(A883="2025",INDEX(Customers!$D$2:$D$41,MATCH(C883,Customers!$A$2:$A$41,0)),INDEX(Customers!$F$2:$F$41,MATCH(C883,Customers!$A$2:$A$41,0)))</f>
        <v>0.043</v>
      </c>
      <c r="I883" s="16" t="n">
        <f aca="false">F883*G883</f>
        <v>78019.2</v>
      </c>
      <c r="J883" s="16" t="n">
        <f aca="false">I883*(1-H883)</f>
        <v>74664.3744</v>
      </c>
      <c r="K883" s="16" t="n">
        <f aca="false">J883*INDEX(Customers!$G$2:$G$41,MATCH(C883,Customers!$A$2:$A$41,0))</f>
        <v>0</v>
      </c>
      <c r="L883" s="16" t="n">
        <f aca="false">F883*INDEX(Customers!$H$2:$H$41,MATCH(C883,Customers!$A$2:$A$41,0))</f>
        <v>576</v>
      </c>
      <c r="M883" s="16" t="n">
        <f aca="false">J883*INDEX(Customers!$I$2:$I$41,MATCH(C883,Customers!$A$2:$A$41,0))/365*Assumptions!$B$6</f>
        <v>490.943831671233</v>
      </c>
      <c r="N883" s="16" t="n">
        <f aca="false">J883-K883-L883-M883</f>
        <v>73597.4305683288</v>
      </c>
      <c r="O883" s="16" t="n">
        <f aca="false">F883*IF(A883="2025",INDEX(Products!$D$2:$D$13,MATCH(D883,Products!$A$2:$A$13,0)),INDEX(Products!$F$2:$F$13,MATCH(D883,Products!$A$2:$A$13,0)))</f>
        <v>48385.28</v>
      </c>
      <c r="P883" s="16" t="n">
        <f aca="false">N883-O883</f>
        <v>25212.1505683288</v>
      </c>
    </row>
    <row r="884" customFormat="false" ht="15" hidden="false" customHeight="false" outlineLevel="0" collapsed="false">
      <c r="A884" s="2" t="s">
        <v>119</v>
      </c>
      <c r="B884" s="2" t="n">
        <v>7</v>
      </c>
      <c r="C884" s="2" t="s">
        <v>74</v>
      </c>
      <c r="D884" s="2" t="s">
        <v>43</v>
      </c>
      <c r="E884" s="2" t="str">
        <f aca="false">INDEX(Products!$B$2:$B$13,MATCH(D884,Products!$A$2:$A$13,0))</f>
        <v>Hydroprocessing</v>
      </c>
      <c r="F884" s="15" t="n">
        <v>6.7</v>
      </c>
      <c r="G884" s="16" t="n">
        <f aca="false">IF(A884="2025",INDEX(Products!$C$2:$C$13,MATCH(D884,Products!$A$2:$A$13,0)),INDEX(Products!$E$2:$E$13,MATCH(D884,Products!$A$2:$A$13,0)))</f>
        <v>12190.5</v>
      </c>
      <c r="H884" s="13" t="n">
        <f aca="false">IF(A884="2025",INDEX(Customers!$D$2:$D$41,MATCH(C884,Customers!$A$2:$A$41,0)),INDEX(Customers!$F$2:$F$41,MATCH(C884,Customers!$A$2:$A$41,0)))</f>
        <v>0.043</v>
      </c>
      <c r="I884" s="16" t="n">
        <f aca="false">F884*G884</f>
        <v>81676.35</v>
      </c>
      <c r="J884" s="16" t="n">
        <f aca="false">I884*(1-H884)</f>
        <v>78164.26695</v>
      </c>
      <c r="K884" s="16" t="n">
        <f aca="false">J884*INDEX(Customers!$G$2:$G$41,MATCH(C884,Customers!$A$2:$A$41,0))</f>
        <v>0</v>
      </c>
      <c r="L884" s="16" t="n">
        <f aca="false">F884*INDEX(Customers!$H$2:$H$41,MATCH(C884,Customers!$A$2:$A$41,0))</f>
        <v>603</v>
      </c>
      <c r="M884" s="16" t="n">
        <f aca="false">J884*INDEX(Customers!$I$2:$I$41,MATCH(C884,Customers!$A$2:$A$41,0))/365*Assumptions!$B$6</f>
        <v>513.956823780822</v>
      </c>
      <c r="N884" s="16" t="n">
        <f aca="false">J884-K884-L884-M884</f>
        <v>77047.3101262192</v>
      </c>
      <c r="O884" s="16" t="n">
        <f aca="false">F884*IF(A884="2025",INDEX(Products!$D$2:$D$13,MATCH(D884,Products!$A$2:$A$13,0)),INDEX(Products!$F$2:$F$13,MATCH(D884,Products!$A$2:$A$13,0)))</f>
        <v>50653.34</v>
      </c>
      <c r="P884" s="16" t="n">
        <f aca="false">N884-O884</f>
        <v>26393.9701262192</v>
      </c>
    </row>
    <row r="885" customFormat="false" ht="15" hidden="false" customHeight="false" outlineLevel="0" collapsed="false">
      <c r="A885" s="2" t="s">
        <v>119</v>
      </c>
      <c r="B885" s="2" t="n">
        <v>8</v>
      </c>
      <c r="C885" s="2" t="s">
        <v>74</v>
      </c>
      <c r="D885" s="2" t="s">
        <v>43</v>
      </c>
      <c r="E885" s="2" t="str">
        <f aca="false">INDEX(Products!$B$2:$B$13,MATCH(D885,Products!$A$2:$A$13,0))</f>
        <v>Hydroprocessing</v>
      </c>
      <c r="F885" s="15" t="n">
        <v>5.6</v>
      </c>
      <c r="G885" s="16" t="n">
        <f aca="false">IF(A885="2025",INDEX(Products!$C$2:$C$13,MATCH(D885,Products!$A$2:$A$13,0)),INDEX(Products!$E$2:$E$13,MATCH(D885,Products!$A$2:$A$13,0)))</f>
        <v>12190.5</v>
      </c>
      <c r="H885" s="13" t="n">
        <f aca="false">IF(A885="2025",INDEX(Customers!$D$2:$D$41,MATCH(C885,Customers!$A$2:$A$41,0)),INDEX(Customers!$F$2:$F$41,MATCH(C885,Customers!$A$2:$A$41,0)))</f>
        <v>0.043</v>
      </c>
      <c r="I885" s="16" t="n">
        <f aca="false">F885*G885</f>
        <v>68266.8</v>
      </c>
      <c r="J885" s="16" t="n">
        <f aca="false">I885*(1-H885)</f>
        <v>65331.3276</v>
      </c>
      <c r="K885" s="16" t="n">
        <f aca="false">J885*INDEX(Customers!$G$2:$G$41,MATCH(C885,Customers!$A$2:$A$41,0))</f>
        <v>0</v>
      </c>
      <c r="L885" s="16" t="n">
        <f aca="false">F885*INDEX(Customers!$H$2:$H$41,MATCH(C885,Customers!$A$2:$A$41,0))</f>
        <v>504</v>
      </c>
      <c r="M885" s="16" t="n">
        <f aca="false">J885*INDEX(Customers!$I$2:$I$41,MATCH(C885,Customers!$A$2:$A$41,0))/365*Assumptions!$B$6</f>
        <v>429.575852712329</v>
      </c>
      <c r="N885" s="16" t="n">
        <f aca="false">J885-K885-L885-M885</f>
        <v>64397.7517472877</v>
      </c>
      <c r="O885" s="16" t="n">
        <f aca="false">F885*IF(A885="2025",INDEX(Products!$D$2:$D$13,MATCH(D885,Products!$A$2:$A$13,0)),INDEX(Products!$F$2:$F$13,MATCH(D885,Products!$A$2:$A$13,0)))</f>
        <v>42337.12</v>
      </c>
      <c r="P885" s="16" t="n">
        <f aca="false">N885-O885</f>
        <v>22060.6317472877</v>
      </c>
    </row>
    <row r="886" customFormat="false" ht="15" hidden="false" customHeight="false" outlineLevel="0" collapsed="false">
      <c r="A886" s="2" t="s">
        <v>119</v>
      </c>
      <c r="B886" s="2" t="n">
        <v>9</v>
      </c>
      <c r="C886" s="2" t="s">
        <v>74</v>
      </c>
      <c r="D886" s="2" t="s">
        <v>43</v>
      </c>
      <c r="E886" s="2" t="str">
        <f aca="false">INDEX(Products!$B$2:$B$13,MATCH(D886,Products!$A$2:$A$13,0))</f>
        <v>Hydroprocessing</v>
      </c>
      <c r="F886" s="15" t="n">
        <v>8.3</v>
      </c>
      <c r="G886" s="16" t="n">
        <f aca="false">IF(A886="2025",INDEX(Products!$C$2:$C$13,MATCH(D886,Products!$A$2:$A$13,0)),INDEX(Products!$E$2:$E$13,MATCH(D886,Products!$A$2:$A$13,0)))</f>
        <v>12190.5</v>
      </c>
      <c r="H886" s="13" t="n">
        <f aca="false">IF(A886="2025",INDEX(Customers!$D$2:$D$41,MATCH(C886,Customers!$A$2:$A$41,0)),INDEX(Customers!$F$2:$F$41,MATCH(C886,Customers!$A$2:$A$41,0)))</f>
        <v>0.043</v>
      </c>
      <c r="I886" s="16" t="n">
        <f aca="false">F886*G886</f>
        <v>101181.15</v>
      </c>
      <c r="J886" s="16" t="n">
        <f aca="false">I886*(1-H886)</f>
        <v>96830.36055</v>
      </c>
      <c r="K886" s="16" t="n">
        <f aca="false">J886*INDEX(Customers!$G$2:$G$41,MATCH(C886,Customers!$A$2:$A$41,0))</f>
        <v>0</v>
      </c>
      <c r="L886" s="16" t="n">
        <f aca="false">F886*INDEX(Customers!$H$2:$H$41,MATCH(C886,Customers!$A$2:$A$41,0))</f>
        <v>747</v>
      </c>
      <c r="M886" s="16" t="n">
        <f aca="false">J886*INDEX(Customers!$I$2:$I$41,MATCH(C886,Customers!$A$2:$A$41,0))/365*Assumptions!$B$6</f>
        <v>636.69278169863</v>
      </c>
      <c r="N886" s="16" t="n">
        <f aca="false">J886-K886-L886-M886</f>
        <v>95446.6677683014</v>
      </c>
      <c r="O886" s="16" t="n">
        <f aca="false">F886*IF(A886="2025",INDEX(Products!$D$2:$D$13,MATCH(D886,Products!$A$2:$A$13,0)),INDEX(Products!$F$2:$F$13,MATCH(D886,Products!$A$2:$A$13,0)))</f>
        <v>62749.66</v>
      </c>
      <c r="P886" s="16" t="n">
        <f aca="false">N886-O886</f>
        <v>32697.0077683014</v>
      </c>
    </row>
    <row r="887" customFormat="false" ht="15" hidden="false" customHeight="false" outlineLevel="0" collapsed="false">
      <c r="A887" s="2" t="s">
        <v>119</v>
      </c>
      <c r="B887" s="2" t="n">
        <v>10</v>
      </c>
      <c r="C887" s="2" t="s">
        <v>74</v>
      </c>
      <c r="D887" s="2" t="s">
        <v>43</v>
      </c>
      <c r="E887" s="2" t="str">
        <f aca="false">INDEX(Products!$B$2:$B$13,MATCH(D887,Products!$A$2:$A$13,0))</f>
        <v>Hydroprocessing</v>
      </c>
      <c r="F887" s="15" t="n">
        <v>9.7</v>
      </c>
      <c r="G887" s="16" t="n">
        <f aca="false">IF(A887="2025",INDEX(Products!$C$2:$C$13,MATCH(D887,Products!$A$2:$A$13,0)),INDEX(Products!$E$2:$E$13,MATCH(D887,Products!$A$2:$A$13,0)))</f>
        <v>12190.5</v>
      </c>
      <c r="H887" s="13" t="n">
        <f aca="false">IF(A887="2025",INDEX(Customers!$D$2:$D$41,MATCH(C887,Customers!$A$2:$A$41,0)),INDEX(Customers!$F$2:$F$41,MATCH(C887,Customers!$A$2:$A$41,0)))</f>
        <v>0.043</v>
      </c>
      <c r="I887" s="16" t="n">
        <f aca="false">F887*G887</f>
        <v>118247.85</v>
      </c>
      <c r="J887" s="16" t="n">
        <f aca="false">I887*(1-H887)</f>
        <v>113163.19245</v>
      </c>
      <c r="K887" s="16" t="n">
        <f aca="false">J887*INDEX(Customers!$G$2:$G$41,MATCH(C887,Customers!$A$2:$A$41,0))</f>
        <v>0</v>
      </c>
      <c r="L887" s="16" t="n">
        <f aca="false">F887*INDEX(Customers!$H$2:$H$41,MATCH(C887,Customers!$A$2:$A$41,0))</f>
        <v>873</v>
      </c>
      <c r="M887" s="16" t="n">
        <f aca="false">J887*INDEX(Customers!$I$2:$I$41,MATCH(C887,Customers!$A$2:$A$41,0))/365*Assumptions!$B$6</f>
        <v>744.086744876712</v>
      </c>
      <c r="N887" s="16" t="n">
        <f aca="false">J887-K887-L887-M887</f>
        <v>111546.105705123</v>
      </c>
      <c r="O887" s="16" t="n">
        <f aca="false">F887*IF(A887="2025",INDEX(Products!$D$2:$D$13,MATCH(D887,Products!$A$2:$A$13,0)),INDEX(Products!$F$2:$F$13,MATCH(D887,Products!$A$2:$A$13,0)))</f>
        <v>73333.94</v>
      </c>
      <c r="P887" s="16" t="n">
        <f aca="false">N887-O887</f>
        <v>38212.1657051233</v>
      </c>
    </row>
    <row r="888" customFormat="false" ht="15" hidden="false" customHeight="false" outlineLevel="0" collapsed="false">
      <c r="A888" s="2" t="s">
        <v>119</v>
      </c>
      <c r="B888" s="2" t="n">
        <v>11</v>
      </c>
      <c r="C888" s="2" t="s">
        <v>74</v>
      </c>
      <c r="D888" s="2" t="s">
        <v>43</v>
      </c>
      <c r="E888" s="2" t="str">
        <f aca="false">INDEX(Products!$B$2:$B$13,MATCH(D888,Products!$A$2:$A$13,0))</f>
        <v>Hydroprocessing</v>
      </c>
      <c r="F888" s="15" t="n">
        <v>8.3</v>
      </c>
      <c r="G888" s="16" t="n">
        <f aca="false">IF(A888="2025",INDEX(Products!$C$2:$C$13,MATCH(D888,Products!$A$2:$A$13,0)),INDEX(Products!$E$2:$E$13,MATCH(D888,Products!$A$2:$A$13,0)))</f>
        <v>12190.5</v>
      </c>
      <c r="H888" s="13" t="n">
        <f aca="false">IF(A888="2025",INDEX(Customers!$D$2:$D$41,MATCH(C888,Customers!$A$2:$A$41,0)),INDEX(Customers!$F$2:$F$41,MATCH(C888,Customers!$A$2:$A$41,0)))</f>
        <v>0.043</v>
      </c>
      <c r="I888" s="16" t="n">
        <f aca="false">F888*G888</f>
        <v>101181.15</v>
      </c>
      <c r="J888" s="16" t="n">
        <f aca="false">I888*(1-H888)</f>
        <v>96830.36055</v>
      </c>
      <c r="K888" s="16" t="n">
        <f aca="false">J888*INDEX(Customers!$G$2:$G$41,MATCH(C888,Customers!$A$2:$A$41,0))</f>
        <v>0</v>
      </c>
      <c r="L888" s="16" t="n">
        <f aca="false">F888*INDEX(Customers!$H$2:$H$41,MATCH(C888,Customers!$A$2:$A$41,0))</f>
        <v>747</v>
      </c>
      <c r="M888" s="16" t="n">
        <f aca="false">J888*INDEX(Customers!$I$2:$I$41,MATCH(C888,Customers!$A$2:$A$41,0))/365*Assumptions!$B$6</f>
        <v>636.69278169863</v>
      </c>
      <c r="N888" s="16" t="n">
        <f aca="false">J888-K888-L888-M888</f>
        <v>95446.6677683014</v>
      </c>
      <c r="O888" s="16" t="n">
        <f aca="false">F888*IF(A888="2025",INDEX(Products!$D$2:$D$13,MATCH(D888,Products!$A$2:$A$13,0)),INDEX(Products!$F$2:$F$13,MATCH(D888,Products!$A$2:$A$13,0)))</f>
        <v>62749.66</v>
      </c>
      <c r="P888" s="16" t="n">
        <f aca="false">N888-O888</f>
        <v>32697.0077683014</v>
      </c>
    </row>
    <row r="889" customFormat="false" ht="15" hidden="false" customHeight="false" outlineLevel="0" collapsed="false">
      <c r="A889" s="2" t="s">
        <v>119</v>
      </c>
      <c r="B889" s="2" t="n">
        <v>12</v>
      </c>
      <c r="C889" s="2" t="s">
        <v>74</v>
      </c>
      <c r="D889" s="2" t="s">
        <v>43</v>
      </c>
      <c r="E889" s="2" t="str">
        <f aca="false">INDEX(Products!$B$2:$B$13,MATCH(D889,Products!$A$2:$A$13,0))</f>
        <v>Hydroprocessing</v>
      </c>
      <c r="F889" s="15" t="n">
        <v>8.8</v>
      </c>
      <c r="G889" s="16" t="n">
        <f aca="false">IF(A889="2025",INDEX(Products!$C$2:$C$13,MATCH(D889,Products!$A$2:$A$13,0)),INDEX(Products!$E$2:$E$13,MATCH(D889,Products!$A$2:$A$13,0)))</f>
        <v>12190.5</v>
      </c>
      <c r="H889" s="13" t="n">
        <f aca="false">IF(A889="2025",INDEX(Customers!$D$2:$D$41,MATCH(C889,Customers!$A$2:$A$41,0)),INDEX(Customers!$F$2:$F$41,MATCH(C889,Customers!$A$2:$A$41,0)))</f>
        <v>0.043</v>
      </c>
      <c r="I889" s="16" t="n">
        <f aca="false">F889*G889</f>
        <v>107276.4</v>
      </c>
      <c r="J889" s="16" t="n">
        <f aca="false">I889*(1-H889)</f>
        <v>102663.5148</v>
      </c>
      <c r="K889" s="16" t="n">
        <f aca="false">J889*INDEX(Customers!$G$2:$G$41,MATCH(C889,Customers!$A$2:$A$41,0))</f>
        <v>0</v>
      </c>
      <c r="L889" s="16" t="n">
        <f aca="false">F889*INDEX(Customers!$H$2:$H$41,MATCH(C889,Customers!$A$2:$A$41,0))</f>
        <v>792</v>
      </c>
      <c r="M889" s="16" t="n">
        <f aca="false">J889*INDEX(Customers!$I$2:$I$41,MATCH(C889,Customers!$A$2:$A$41,0))/365*Assumptions!$B$6</f>
        <v>675.047768547945</v>
      </c>
      <c r="N889" s="16" t="n">
        <f aca="false">J889-K889-L889-M889</f>
        <v>101196.467031452</v>
      </c>
      <c r="O889" s="16" t="n">
        <f aca="false">F889*IF(A889="2025",INDEX(Products!$D$2:$D$13,MATCH(D889,Products!$A$2:$A$13,0)),INDEX(Products!$F$2:$F$13,MATCH(D889,Products!$A$2:$A$13,0)))</f>
        <v>66529.76</v>
      </c>
      <c r="P889" s="16" t="n">
        <f aca="false">N889-O889</f>
        <v>34666.7070314521</v>
      </c>
    </row>
    <row r="890" customFormat="false" ht="15" hidden="false" customHeight="false" outlineLevel="0" collapsed="false">
      <c r="A890" s="2" t="s">
        <v>118</v>
      </c>
      <c r="B890" s="2" t="n">
        <v>1</v>
      </c>
      <c r="C890" s="2" t="s">
        <v>74</v>
      </c>
      <c r="D890" s="2" t="s">
        <v>41</v>
      </c>
      <c r="E890" s="2" t="str">
        <f aca="false">INDEX(Products!$B$2:$B$13,MATCH(D890,Products!$A$2:$A$13,0))</f>
        <v>Hydroprocessing</v>
      </c>
      <c r="F890" s="15" t="n">
        <v>6.8</v>
      </c>
      <c r="G890" s="16" t="n">
        <f aca="false">IF(A890="2025",INDEX(Products!$C$2:$C$13,MATCH(D890,Products!$A$2:$A$13,0)),INDEX(Products!$E$2:$E$13,MATCH(D890,Products!$A$2:$A$13,0)))</f>
        <v>14770</v>
      </c>
      <c r="H890" s="13" t="n">
        <f aca="false">IF(A890="2025",INDEX(Customers!$D$2:$D$41,MATCH(C890,Customers!$A$2:$A$41,0)),INDEX(Customers!$F$2:$F$41,MATCH(C890,Customers!$A$2:$A$41,0)))</f>
        <v>0.026</v>
      </c>
      <c r="I890" s="16" t="n">
        <f aca="false">F890*G890</f>
        <v>100436</v>
      </c>
      <c r="J890" s="16" t="n">
        <f aca="false">I890*(1-H890)</f>
        <v>97824.664</v>
      </c>
      <c r="K890" s="16" t="n">
        <f aca="false">J890*INDEX(Customers!$G$2:$G$41,MATCH(C890,Customers!$A$2:$A$41,0))</f>
        <v>0</v>
      </c>
      <c r="L890" s="16" t="n">
        <f aca="false">F890*INDEX(Customers!$H$2:$H$41,MATCH(C890,Customers!$A$2:$A$41,0))</f>
        <v>612</v>
      </c>
      <c r="M890" s="16" t="n">
        <f aca="false">J890*INDEX(Customers!$I$2:$I$41,MATCH(C890,Customers!$A$2:$A$41,0))/365*Assumptions!$B$6</f>
        <v>643.23066739726</v>
      </c>
      <c r="N890" s="16" t="n">
        <f aca="false">J890-K890-L890-M890</f>
        <v>96569.4333326027</v>
      </c>
      <c r="O890" s="16" t="n">
        <f aca="false">F890*IF(A890="2025",INDEX(Products!$D$2:$D$13,MATCH(D890,Products!$A$2:$A$13,0)),INDEX(Products!$F$2:$F$13,MATCH(D890,Products!$A$2:$A$13,0)))</f>
        <v>64464</v>
      </c>
      <c r="P890" s="16" t="n">
        <f aca="false">N890-O890</f>
        <v>32105.4333326027</v>
      </c>
    </row>
    <row r="891" customFormat="false" ht="15" hidden="false" customHeight="false" outlineLevel="0" collapsed="false">
      <c r="A891" s="2" t="s">
        <v>118</v>
      </c>
      <c r="B891" s="2" t="n">
        <v>2</v>
      </c>
      <c r="C891" s="2" t="s">
        <v>74</v>
      </c>
      <c r="D891" s="2" t="s">
        <v>41</v>
      </c>
      <c r="E891" s="2" t="str">
        <f aca="false">INDEX(Products!$B$2:$B$13,MATCH(D891,Products!$A$2:$A$13,0))</f>
        <v>Hydroprocessing</v>
      </c>
      <c r="F891" s="15" t="n">
        <v>8.6</v>
      </c>
      <c r="G891" s="16" t="n">
        <f aca="false">IF(A891="2025",INDEX(Products!$C$2:$C$13,MATCH(D891,Products!$A$2:$A$13,0)),INDEX(Products!$E$2:$E$13,MATCH(D891,Products!$A$2:$A$13,0)))</f>
        <v>14770</v>
      </c>
      <c r="H891" s="13" t="n">
        <f aca="false">IF(A891="2025",INDEX(Customers!$D$2:$D$41,MATCH(C891,Customers!$A$2:$A$41,0)),INDEX(Customers!$F$2:$F$41,MATCH(C891,Customers!$A$2:$A$41,0)))</f>
        <v>0.026</v>
      </c>
      <c r="I891" s="16" t="n">
        <f aca="false">F891*G891</f>
        <v>127022</v>
      </c>
      <c r="J891" s="16" t="n">
        <f aca="false">I891*(1-H891)</f>
        <v>123719.428</v>
      </c>
      <c r="K891" s="16" t="n">
        <f aca="false">J891*INDEX(Customers!$G$2:$G$41,MATCH(C891,Customers!$A$2:$A$41,0))</f>
        <v>0</v>
      </c>
      <c r="L891" s="16" t="n">
        <f aca="false">F891*INDEX(Customers!$H$2:$H$41,MATCH(C891,Customers!$A$2:$A$41,0))</f>
        <v>774</v>
      </c>
      <c r="M891" s="16" t="n">
        <f aca="false">J891*INDEX(Customers!$I$2:$I$41,MATCH(C891,Customers!$A$2:$A$41,0))/365*Assumptions!$B$6</f>
        <v>813.497608767123</v>
      </c>
      <c r="N891" s="16" t="n">
        <f aca="false">J891-K891-L891-M891</f>
        <v>122131.930391233</v>
      </c>
      <c r="O891" s="16" t="n">
        <f aca="false">F891*IF(A891="2025",INDEX(Products!$D$2:$D$13,MATCH(D891,Products!$A$2:$A$13,0)),INDEX(Products!$F$2:$F$13,MATCH(D891,Products!$A$2:$A$13,0)))</f>
        <v>81528</v>
      </c>
      <c r="P891" s="16" t="n">
        <f aca="false">N891-O891</f>
        <v>40603.9303912329</v>
      </c>
    </row>
    <row r="892" customFormat="false" ht="15" hidden="false" customHeight="false" outlineLevel="0" collapsed="false">
      <c r="A892" s="2" t="s">
        <v>118</v>
      </c>
      <c r="B892" s="2" t="n">
        <v>3</v>
      </c>
      <c r="C892" s="2" t="s">
        <v>74</v>
      </c>
      <c r="D892" s="2" t="s">
        <v>41</v>
      </c>
      <c r="E892" s="2" t="str">
        <f aca="false">INDEX(Products!$B$2:$B$13,MATCH(D892,Products!$A$2:$A$13,0))</f>
        <v>Hydroprocessing</v>
      </c>
      <c r="F892" s="15" t="n">
        <v>7.3</v>
      </c>
      <c r="G892" s="16" t="n">
        <f aca="false">IF(A892="2025",INDEX(Products!$C$2:$C$13,MATCH(D892,Products!$A$2:$A$13,0)),INDEX(Products!$E$2:$E$13,MATCH(D892,Products!$A$2:$A$13,0)))</f>
        <v>14770</v>
      </c>
      <c r="H892" s="13" t="n">
        <f aca="false">IF(A892="2025",INDEX(Customers!$D$2:$D$41,MATCH(C892,Customers!$A$2:$A$41,0)),INDEX(Customers!$F$2:$F$41,MATCH(C892,Customers!$A$2:$A$41,0)))</f>
        <v>0.026</v>
      </c>
      <c r="I892" s="16" t="n">
        <f aca="false">F892*G892</f>
        <v>107821</v>
      </c>
      <c r="J892" s="16" t="n">
        <f aca="false">I892*(1-H892)</f>
        <v>105017.654</v>
      </c>
      <c r="K892" s="16" t="n">
        <f aca="false">J892*INDEX(Customers!$G$2:$G$41,MATCH(C892,Customers!$A$2:$A$41,0))</f>
        <v>0</v>
      </c>
      <c r="L892" s="16" t="n">
        <f aca="false">F892*INDEX(Customers!$H$2:$H$41,MATCH(C892,Customers!$A$2:$A$41,0))</f>
        <v>657</v>
      </c>
      <c r="M892" s="16" t="n">
        <f aca="false">J892*INDEX(Customers!$I$2:$I$41,MATCH(C892,Customers!$A$2:$A$41,0))/365*Assumptions!$B$6</f>
        <v>690.52704</v>
      </c>
      <c r="N892" s="16" t="n">
        <f aca="false">J892-K892-L892-M892</f>
        <v>103670.12696</v>
      </c>
      <c r="O892" s="16" t="n">
        <f aca="false">F892*IF(A892="2025",INDEX(Products!$D$2:$D$13,MATCH(D892,Products!$A$2:$A$13,0)),INDEX(Products!$F$2:$F$13,MATCH(D892,Products!$A$2:$A$13,0)))</f>
        <v>69204</v>
      </c>
      <c r="P892" s="16" t="n">
        <f aca="false">N892-O892</f>
        <v>34466.12696</v>
      </c>
    </row>
    <row r="893" customFormat="false" ht="15" hidden="false" customHeight="false" outlineLevel="0" collapsed="false">
      <c r="A893" s="2" t="s">
        <v>118</v>
      </c>
      <c r="B893" s="2" t="n">
        <v>4</v>
      </c>
      <c r="C893" s="2" t="s">
        <v>74</v>
      </c>
      <c r="D893" s="2" t="s">
        <v>41</v>
      </c>
      <c r="E893" s="2" t="str">
        <f aca="false">INDEX(Products!$B$2:$B$13,MATCH(D893,Products!$A$2:$A$13,0))</f>
        <v>Hydroprocessing</v>
      </c>
      <c r="F893" s="15" t="n">
        <v>8.3</v>
      </c>
      <c r="G893" s="16" t="n">
        <f aca="false">IF(A893="2025",INDEX(Products!$C$2:$C$13,MATCH(D893,Products!$A$2:$A$13,0)),INDEX(Products!$E$2:$E$13,MATCH(D893,Products!$A$2:$A$13,0)))</f>
        <v>14770</v>
      </c>
      <c r="H893" s="13" t="n">
        <f aca="false">IF(A893="2025",INDEX(Customers!$D$2:$D$41,MATCH(C893,Customers!$A$2:$A$41,0)),INDEX(Customers!$F$2:$F$41,MATCH(C893,Customers!$A$2:$A$41,0)))</f>
        <v>0.026</v>
      </c>
      <c r="I893" s="16" t="n">
        <f aca="false">F893*G893</f>
        <v>122591</v>
      </c>
      <c r="J893" s="16" t="n">
        <f aca="false">I893*(1-H893)</f>
        <v>119403.634</v>
      </c>
      <c r="K893" s="16" t="n">
        <f aca="false">J893*INDEX(Customers!$G$2:$G$41,MATCH(C893,Customers!$A$2:$A$41,0))</f>
        <v>0</v>
      </c>
      <c r="L893" s="16" t="n">
        <f aca="false">F893*INDEX(Customers!$H$2:$H$41,MATCH(C893,Customers!$A$2:$A$41,0))</f>
        <v>747</v>
      </c>
      <c r="M893" s="16" t="n">
        <f aca="false">J893*INDEX(Customers!$I$2:$I$41,MATCH(C893,Customers!$A$2:$A$41,0))/365*Assumptions!$B$6</f>
        <v>785.119785205479</v>
      </c>
      <c r="N893" s="16" t="n">
        <f aca="false">J893-K893-L893-M893</f>
        <v>117871.514214795</v>
      </c>
      <c r="O893" s="16" t="n">
        <f aca="false">F893*IF(A893="2025",INDEX(Products!$D$2:$D$13,MATCH(D893,Products!$A$2:$A$13,0)),INDEX(Products!$F$2:$F$13,MATCH(D893,Products!$A$2:$A$13,0)))</f>
        <v>78684</v>
      </c>
      <c r="P893" s="16" t="n">
        <f aca="false">N893-O893</f>
        <v>39187.5142147945</v>
      </c>
    </row>
    <row r="894" customFormat="false" ht="15" hidden="false" customHeight="false" outlineLevel="0" collapsed="false">
      <c r="A894" s="2" t="s">
        <v>118</v>
      </c>
      <c r="B894" s="2" t="n">
        <v>5</v>
      </c>
      <c r="C894" s="2" t="s">
        <v>74</v>
      </c>
      <c r="D894" s="2" t="s">
        <v>41</v>
      </c>
      <c r="E894" s="2" t="str">
        <f aca="false">INDEX(Products!$B$2:$B$13,MATCH(D894,Products!$A$2:$A$13,0))</f>
        <v>Hydroprocessing</v>
      </c>
      <c r="F894" s="15" t="n">
        <v>6.3</v>
      </c>
      <c r="G894" s="16" t="n">
        <f aca="false">IF(A894="2025",INDEX(Products!$C$2:$C$13,MATCH(D894,Products!$A$2:$A$13,0)),INDEX(Products!$E$2:$E$13,MATCH(D894,Products!$A$2:$A$13,0)))</f>
        <v>14770</v>
      </c>
      <c r="H894" s="13" t="n">
        <f aca="false">IF(A894="2025",INDEX(Customers!$D$2:$D$41,MATCH(C894,Customers!$A$2:$A$41,0)),INDEX(Customers!$F$2:$F$41,MATCH(C894,Customers!$A$2:$A$41,0)))</f>
        <v>0.026</v>
      </c>
      <c r="I894" s="16" t="n">
        <f aca="false">F894*G894</f>
        <v>93051</v>
      </c>
      <c r="J894" s="16" t="n">
        <f aca="false">I894*(1-H894)</f>
        <v>90631.674</v>
      </c>
      <c r="K894" s="16" t="n">
        <f aca="false">J894*INDEX(Customers!$G$2:$G$41,MATCH(C894,Customers!$A$2:$A$41,0))</f>
        <v>0</v>
      </c>
      <c r="L894" s="16" t="n">
        <f aca="false">F894*INDEX(Customers!$H$2:$H$41,MATCH(C894,Customers!$A$2:$A$41,0))</f>
        <v>567</v>
      </c>
      <c r="M894" s="16" t="n">
        <f aca="false">J894*INDEX(Customers!$I$2:$I$41,MATCH(C894,Customers!$A$2:$A$41,0))/365*Assumptions!$B$6</f>
        <v>595.934294794521</v>
      </c>
      <c r="N894" s="16" t="n">
        <f aca="false">J894-K894-L894-M894</f>
        <v>89468.7397052055</v>
      </c>
      <c r="O894" s="16" t="n">
        <f aca="false">F894*IF(A894="2025",INDEX(Products!$D$2:$D$13,MATCH(D894,Products!$A$2:$A$13,0)),INDEX(Products!$F$2:$F$13,MATCH(D894,Products!$A$2:$A$13,0)))</f>
        <v>59724</v>
      </c>
      <c r="P894" s="16" t="n">
        <f aca="false">N894-O894</f>
        <v>29744.7397052055</v>
      </c>
    </row>
    <row r="895" customFormat="false" ht="15" hidden="false" customHeight="false" outlineLevel="0" collapsed="false">
      <c r="A895" s="2" t="s">
        <v>118</v>
      </c>
      <c r="B895" s="2" t="n">
        <v>6</v>
      </c>
      <c r="C895" s="2" t="s">
        <v>74</v>
      </c>
      <c r="D895" s="2" t="s">
        <v>41</v>
      </c>
      <c r="E895" s="2" t="str">
        <f aca="false">INDEX(Products!$B$2:$B$13,MATCH(D895,Products!$A$2:$A$13,0))</f>
        <v>Hydroprocessing</v>
      </c>
      <c r="F895" s="15" t="n">
        <v>8.3</v>
      </c>
      <c r="G895" s="16" t="n">
        <f aca="false">IF(A895="2025",INDEX(Products!$C$2:$C$13,MATCH(D895,Products!$A$2:$A$13,0)),INDEX(Products!$E$2:$E$13,MATCH(D895,Products!$A$2:$A$13,0)))</f>
        <v>14770</v>
      </c>
      <c r="H895" s="13" t="n">
        <f aca="false">IF(A895="2025",INDEX(Customers!$D$2:$D$41,MATCH(C895,Customers!$A$2:$A$41,0)),INDEX(Customers!$F$2:$F$41,MATCH(C895,Customers!$A$2:$A$41,0)))</f>
        <v>0.026</v>
      </c>
      <c r="I895" s="16" t="n">
        <f aca="false">F895*G895</f>
        <v>122591</v>
      </c>
      <c r="J895" s="16" t="n">
        <f aca="false">I895*(1-H895)</f>
        <v>119403.634</v>
      </c>
      <c r="K895" s="16" t="n">
        <f aca="false">J895*INDEX(Customers!$G$2:$G$41,MATCH(C895,Customers!$A$2:$A$41,0))</f>
        <v>0</v>
      </c>
      <c r="L895" s="16" t="n">
        <f aca="false">F895*INDEX(Customers!$H$2:$H$41,MATCH(C895,Customers!$A$2:$A$41,0))</f>
        <v>747</v>
      </c>
      <c r="M895" s="16" t="n">
        <f aca="false">J895*INDEX(Customers!$I$2:$I$41,MATCH(C895,Customers!$A$2:$A$41,0))/365*Assumptions!$B$6</f>
        <v>785.119785205479</v>
      </c>
      <c r="N895" s="16" t="n">
        <f aca="false">J895-K895-L895-M895</f>
        <v>117871.514214795</v>
      </c>
      <c r="O895" s="16" t="n">
        <f aca="false">F895*IF(A895="2025",INDEX(Products!$D$2:$D$13,MATCH(D895,Products!$A$2:$A$13,0)),INDEX(Products!$F$2:$F$13,MATCH(D895,Products!$A$2:$A$13,0)))</f>
        <v>78684</v>
      </c>
      <c r="P895" s="16" t="n">
        <f aca="false">N895-O895</f>
        <v>39187.5142147945</v>
      </c>
    </row>
    <row r="896" customFormat="false" ht="15" hidden="false" customHeight="false" outlineLevel="0" collapsed="false">
      <c r="A896" s="2" t="s">
        <v>118</v>
      </c>
      <c r="B896" s="2" t="n">
        <v>7</v>
      </c>
      <c r="C896" s="2" t="s">
        <v>74</v>
      </c>
      <c r="D896" s="2" t="s">
        <v>41</v>
      </c>
      <c r="E896" s="2" t="str">
        <f aca="false">INDEX(Products!$B$2:$B$13,MATCH(D896,Products!$A$2:$A$13,0))</f>
        <v>Hydroprocessing</v>
      </c>
      <c r="F896" s="15" t="n">
        <v>6.2</v>
      </c>
      <c r="G896" s="16" t="n">
        <f aca="false">IF(A896="2025",INDEX(Products!$C$2:$C$13,MATCH(D896,Products!$A$2:$A$13,0)),INDEX(Products!$E$2:$E$13,MATCH(D896,Products!$A$2:$A$13,0)))</f>
        <v>14770</v>
      </c>
      <c r="H896" s="13" t="n">
        <f aca="false">IF(A896="2025",INDEX(Customers!$D$2:$D$41,MATCH(C896,Customers!$A$2:$A$41,0)),INDEX(Customers!$F$2:$F$41,MATCH(C896,Customers!$A$2:$A$41,0)))</f>
        <v>0.026</v>
      </c>
      <c r="I896" s="16" t="n">
        <f aca="false">F896*G896</f>
        <v>91574</v>
      </c>
      <c r="J896" s="16" t="n">
        <f aca="false">I896*(1-H896)</f>
        <v>89193.076</v>
      </c>
      <c r="K896" s="16" t="n">
        <f aca="false">J896*INDEX(Customers!$G$2:$G$41,MATCH(C896,Customers!$A$2:$A$41,0))</f>
        <v>0</v>
      </c>
      <c r="L896" s="16" t="n">
        <f aca="false">F896*INDEX(Customers!$H$2:$H$41,MATCH(C896,Customers!$A$2:$A$41,0))</f>
        <v>558</v>
      </c>
      <c r="M896" s="16" t="n">
        <f aca="false">J896*INDEX(Customers!$I$2:$I$41,MATCH(C896,Customers!$A$2:$A$41,0))/365*Assumptions!$B$6</f>
        <v>586.475020273973</v>
      </c>
      <c r="N896" s="16" t="n">
        <f aca="false">J896-K896-L896-M896</f>
        <v>88048.600979726</v>
      </c>
      <c r="O896" s="16" t="n">
        <f aca="false">F896*IF(A896="2025",INDEX(Products!$D$2:$D$13,MATCH(D896,Products!$A$2:$A$13,0)),INDEX(Products!$F$2:$F$13,MATCH(D896,Products!$A$2:$A$13,0)))</f>
        <v>58776</v>
      </c>
      <c r="P896" s="16" t="n">
        <f aca="false">N896-O896</f>
        <v>29272.600979726</v>
      </c>
    </row>
    <row r="897" customFormat="false" ht="15" hidden="false" customHeight="false" outlineLevel="0" collapsed="false">
      <c r="A897" s="2" t="s">
        <v>118</v>
      </c>
      <c r="B897" s="2" t="n">
        <v>8</v>
      </c>
      <c r="C897" s="2" t="s">
        <v>74</v>
      </c>
      <c r="D897" s="2" t="s">
        <v>41</v>
      </c>
      <c r="E897" s="2" t="str">
        <f aca="false">INDEX(Products!$B$2:$B$13,MATCH(D897,Products!$A$2:$A$13,0))</f>
        <v>Hydroprocessing</v>
      </c>
      <c r="F897" s="15" t="n">
        <v>6.6</v>
      </c>
      <c r="G897" s="16" t="n">
        <f aca="false">IF(A897="2025",INDEX(Products!$C$2:$C$13,MATCH(D897,Products!$A$2:$A$13,0)),INDEX(Products!$E$2:$E$13,MATCH(D897,Products!$A$2:$A$13,0)))</f>
        <v>14770</v>
      </c>
      <c r="H897" s="13" t="n">
        <f aca="false">IF(A897="2025",INDEX(Customers!$D$2:$D$41,MATCH(C897,Customers!$A$2:$A$41,0)),INDEX(Customers!$F$2:$F$41,MATCH(C897,Customers!$A$2:$A$41,0)))</f>
        <v>0.026</v>
      </c>
      <c r="I897" s="16" t="n">
        <f aca="false">F897*G897</f>
        <v>97482</v>
      </c>
      <c r="J897" s="16" t="n">
        <f aca="false">I897*(1-H897)</f>
        <v>94947.468</v>
      </c>
      <c r="K897" s="16" t="n">
        <f aca="false">J897*INDEX(Customers!$G$2:$G$41,MATCH(C897,Customers!$A$2:$A$41,0))</f>
        <v>0</v>
      </c>
      <c r="L897" s="16" t="n">
        <f aca="false">F897*INDEX(Customers!$H$2:$H$41,MATCH(C897,Customers!$A$2:$A$41,0))</f>
        <v>594</v>
      </c>
      <c r="M897" s="16" t="n">
        <f aca="false">J897*INDEX(Customers!$I$2:$I$41,MATCH(C897,Customers!$A$2:$A$41,0))/365*Assumptions!$B$6</f>
        <v>624.312118356164</v>
      </c>
      <c r="N897" s="16" t="n">
        <f aca="false">J897-K897-L897-M897</f>
        <v>93729.1558816438</v>
      </c>
      <c r="O897" s="16" t="n">
        <f aca="false">F897*IF(A897="2025",INDEX(Products!$D$2:$D$13,MATCH(D897,Products!$A$2:$A$13,0)),INDEX(Products!$F$2:$F$13,MATCH(D897,Products!$A$2:$A$13,0)))</f>
        <v>62568</v>
      </c>
      <c r="P897" s="16" t="n">
        <f aca="false">N897-O897</f>
        <v>31161.1558816438</v>
      </c>
    </row>
    <row r="898" customFormat="false" ht="15" hidden="false" customHeight="false" outlineLevel="0" collapsed="false">
      <c r="A898" s="2" t="s">
        <v>118</v>
      </c>
      <c r="B898" s="2" t="n">
        <v>9</v>
      </c>
      <c r="C898" s="2" t="s">
        <v>74</v>
      </c>
      <c r="D898" s="2" t="s">
        <v>41</v>
      </c>
      <c r="E898" s="2" t="str">
        <f aca="false">INDEX(Products!$B$2:$B$13,MATCH(D898,Products!$A$2:$A$13,0))</f>
        <v>Hydroprocessing</v>
      </c>
      <c r="F898" s="15" t="n">
        <v>6.4</v>
      </c>
      <c r="G898" s="16" t="n">
        <f aca="false">IF(A898="2025",INDEX(Products!$C$2:$C$13,MATCH(D898,Products!$A$2:$A$13,0)),INDEX(Products!$E$2:$E$13,MATCH(D898,Products!$A$2:$A$13,0)))</f>
        <v>14770</v>
      </c>
      <c r="H898" s="13" t="n">
        <f aca="false">IF(A898="2025",INDEX(Customers!$D$2:$D$41,MATCH(C898,Customers!$A$2:$A$41,0)),INDEX(Customers!$F$2:$F$41,MATCH(C898,Customers!$A$2:$A$41,0)))</f>
        <v>0.026</v>
      </c>
      <c r="I898" s="16" t="n">
        <f aca="false">F898*G898</f>
        <v>94528</v>
      </c>
      <c r="J898" s="16" t="n">
        <f aca="false">I898*(1-H898)</f>
        <v>92070.272</v>
      </c>
      <c r="K898" s="16" t="n">
        <f aca="false">J898*INDEX(Customers!$G$2:$G$41,MATCH(C898,Customers!$A$2:$A$41,0))</f>
        <v>0</v>
      </c>
      <c r="L898" s="16" t="n">
        <f aca="false">F898*INDEX(Customers!$H$2:$H$41,MATCH(C898,Customers!$A$2:$A$41,0))</f>
        <v>576</v>
      </c>
      <c r="M898" s="16" t="n">
        <f aca="false">J898*INDEX(Customers!$I$2:$I$41,MATCH(C898,Customers!$A$2:$A$41,0))/365*Assumptions!$B$6</f>
        <v>605.393569315069</v>
      </c>
      <c r="N898" s="16" t="n">
        <f aca="false">J898-K898-L898-M898</f>
        <v>90888.8784306849</v>
      </c>
      <c r="O898" s="16" t="n">
        <f aca="false">F898*IF(A898="2025",INDEX(Products!$D$2:$D$13,MATCH(D898,Products!$A$2:$A$13,0)),INDEX(Products!$F$2:$F$13,MATCH(D898,Products!$A$2:$A$13,0)))</f>
        <v>60672</v>
      </c>
      <c r="P898" s="16" t="n">
        <f aca="false">N898-O898</f>
        <v>30216.8784306849</v>
      </c>
    </row>
    <row r="899" customFormat="false" ht="15" hidden="false" customHeight="false" outlineLevel="0" collapsed="false">
      <c r="A899" s="2" t="s">
        <v>118</v>
      </c>
      <c r="B899" s="2" t="n">
        <v>10</v>
      </c>
      <c r="C899" s="2" t="s">
        <v>74</v>
      </c>
      <c r="D899" s="2" t="s">
        <v>41</v>
      </c>
      <c r="E899" s="2" t="str">
        <f aca="false">INDEX(Products!$B$2:$B$13,MATCH(D899,Products!$A$2:$A$13,0))</f>
        <v>Hydroprocessing</v>
      </c>
      <c r="F899" s="15" t="n">
        <v>7.1</v>
      </c>
      <c r="G899" s="16" t="n">
        <f aca="false">IF(A899="2025",INDEX(Products!$C$2:$C$13,MATCH(D899,Products!$A$2:$A$13,0)),INDEX(Products!$E$2:$E$13,MATCH(D899,Products!$A$2:$A$13,0)))</f>
        <v>14770</v>
      </c>
      <c r="H899" s="13" t="n">
        <f aca="false">IF(A899="2025",INDEX(Customers!$D$2:$D$41,MATCH(C899,Customers!$A$2:$A$41,0)),INDEX(Customers!$F$2:$F$41,MATCH(C899,Customers!$A$2:$A$41,0)))</f>
        <v>0.026</v>
      </c>
      <c r="I899" s="16" t="n">
        <f aca="false">F899*G899</f>
        <v>104867</v>
      </c>
      <c r="J899" s="16" t="n">
        <f aca="false">I899*(1-H899)</f>
        <v>102140.458</v>
      </c>
      <c r="K899" s="16" t="n">
        <f aca="false">J899*INDEX(Customers!$G$2:$G$41,MATCH(C899,Customers!$A$2:$A$41,0))</f>
        <v>0</v>
      </c>
      <c r="L899" s="16" t="n">
        <f aca="false">F899*INDEX(Customers!$H$2:$H$41,MATCH(C899,Customers!$A$2:$A$41,0))</f>
        <v>639</v>
      </c>
      <c r="M899" s="16" t="n">
        <f aca="false">J899*INDEX(Customers!$I$2:$I$41,MATCH(C899,Customers!$A$2:$A$41,0))/365*Assumptions!$B$6</f>
        <v>671.608490958904</v>
      </c>
      <c r="N899" s="16" t="n">
        <f aca="false">J899-K899-L899-M899</f>
        <v>100829.849509041</v>
      </c>
      <c r="O899" s="16" t="n">
        <f aca="false">F899*IF(A899="2025",INDEX(Products!$D$2:$D$13,MATCH(D899,Products!$A$2:$A$13,0)),INDEX(Products!$F$2:$F$13,MATCH(D899,Products!$A$2:$A$13,0)))</f>
        <v>67308</v>
      </c>
      <c r="P899" s="16" t="n">
        <f aca="false">N899-O899</f>
        <v>33521.8495090411</v>
      </c>
    </row>
    <row r="900" customFormat="false" ht="15" hidden="false" customHeight="false" outlineLevel="0" collapsed="false">
      <c r="A900" s="2" t="s">
        <v>118</v>
      </c>
      <c r="B900" s="2" t="n">
        <v>11</v>
      </c>
      <c r="C900" s="2" t="s">
        <v>74</v>
      </c>
      <c r="D900" s="2" t="s">
        <v>41</v>
      </c>
      <c r="E900" s="2" t="str">
        <f aca="false">INDEX(Products!$B$2:$B$13,MATCH(D900,Products!$A$2:$A$13,0))</f>
        <v>Hydroprocessing</v>
      </c>
      <c r="F900" s="15" t="n">
        <v>6.1</v>
      </c>
      <c r="G900" s="16" t="n">
        <f aca="false">IF(A900="2025",INDEX(Products!$C$2:$C$13,MATCH(D900,Products!$A$2:$A$13,0)),INDEX(Products!$E$2:$E$13,MATCH(D900,Products!$A$2:$A$13,0)))</f>
        <v>14770</v>
      </c>
      <c r="H900" s="13" t="n">
        <f aca="false">IF(A900="2025",INDEX(Customers!$D$2:$D$41,MATCH(C900,Customers!$A$2:$A$41,0)),INDEX(Customers!$F$2:$F$41,MATCH(C900,Customers!$A$2:$A$41,0)))</f>
        <v>0.026</v>
      </c>
      <c r="I900" s="16" t="n">
        <f aca="false">F900*G900</f>
        <v>90097</v>
      </c>
      <c r="J900" s="16" t="n">
        <f aca="false">I900*(1-H900)</f>
        <v>87754.478</v>
      </c>
      <c r="K900" s="16" t="n">
        <f aca="false">J900*INDEX(Customers!$G$2:$G$41,MATCH(C900,Customers!$A$2:$A$41,0))</f>
        <v>0</v>
      </c>
      <c r="L900" s="16" t="n">
        <f aca="false">F900*INDEX(Customers!$H$2:$H$41,MATCH(C900,Customers!$A$2:$A$41,0))</f>
        <v>549</v>
      </c>
      <c r="M900" s="16" t="n">
        <f aca="false">J900*INDEX(Customers!$I$2:$I$41,MATCH(C900,Customers!$A$2:$A$41,0))/365*Assumptions!$B$6</f>
        <v>577.015745753425</v>
      </c>
      <c r="N900" s="16" t="n">
        <f aca="false">J900-K900-L900-M900</f>
        <v>86628.4622542466</v>
      </c>
      <c r="O900" s="16" t="n">
        <f aca="false">F900*IF(A900="2025",INDEX(Products!$D$2:$D$13,MATCH(D900,Products!$A$2:$A$13,0)),INDEX(Products!$F$2:$F$13,MATCH(D900,Products!$A$2:$A$13,0)))</f>
        <v>57828</v>
      </c>
      <c r="P900" s="16" t="n">
        <f aca="false">N900-O900</f>
        <v>28800.4622542466</v>
      </c>
    </row>
    <row r="901" customFormat="false" ht="15" hidden="false" customHeight="false" outlineLevel="0" collapsed="false">
      <c r="A901" s="2" t="s">
        <v>118</v>
      </c>
      <c r="B901" s="2" t="n">
        <v>12</v>
      </c>
      <c r="C901" s="2" t="s">
        <v>74</v>
      </c>
      <c r="D901" s="2" t="s">
        <v>41</v>
      </c>
      <c r="E901" s="2" t="str">
        <f aca="false">INDEX(Products!$B$2:$B$13,MATCH(D901,Products!$A$2:$A$13,0))</f>
        <v>Hydroprocessing</v>
      </c>
      <c r="F901" s="15" t="n">
        <v>7.8</v>
      </c>
      <c r="G901" s="16" t="n">
        <f aca="false">IF(A901="2025",INDEX(Products!$C$2:$C$13,MATCH(D901,Products!$A$2:$A$13,0)),INDEX(Products!$E$2:$E$13,MATCH(D901,Products!$A$2:$A$13,0)))</f>
        <v>14770</v>
      </c>
      <c r="H901" s="13" t="n">
        <f aca="false">IF(A901="2025",INDEX(Customers!$D$2:$D$41,MATCH(C901,Customers!$A$2:$A$41,0)),INDEX(Customers!$F$2:$F$41,MATCH(C901,Customers!$A$2:$A$41,0)))</f>
        <v>0.026</v>
      </c>
      <c r="I901" s="16" t="n">
        <f aca="false">F901*G901</f>
        <v>115206</v>
      </c>
      <c r="J901" s="16" t="n">
        <f aca="false">I901*(1-H901)</f>
        <v>112210.644</v>
      </c>
      <c r="K901" s="16" t="n">
        <f aca="false">J901*INDEX(Customers!$G$2:$G$41,MATCH(C901,Customers!$A$2:$A$41,0))</f>
        <v>0</v>
      </c>
      <c r="L901" s="16" t="n">
        <f aca="false">F901*INDEX(Customers!$H$2:$H$41,MATCH(C901,Customers!$A$2:$A$41,0))</f>
        <v>702</v>
      </c>
      <c r="M901" s="16" t="n">
        <f aca="false">J901*INDEX(Customers!$I$2:$I$41,MATCH(C901,Customers!$A$2:$A$41,0))/365*Assumptions!$B$6</f>
        <v>737.82341260274</v>
      </c>
      <c r="N901" s="16" t="n">
        <f aca="false">J901-K901-L901-M901</f>
        <v>110770.820587397</v>
      </c>
      <c r="O901" s="16" t="n">
        <f aca="false">F901*IF(A901="2025",INDEX(Products!$D$2:$D$13,MATCH(D901,Products!$A$2:$A$13,0)),INDEX(Products!$F$2:$F$13,MATCH(D901,Products!$A$2:$A$13,0)))</f>
        <v>73944</v>
      </c>
      <c r="P901" s="16" t="n">
        <f aca="false">N901-O901</f>
        <v>36826.8205873973</v>
      </c>
    </row>
    <row r="902" customFormat="false" ht="15" hidden="false" customHeight="false" outlineLevel="0" collapsed="false">
      <c r="A902" s="2" t="s">
        <v>119</v>
      </c>
      <c r="B902" s="2" t="n">
        <v>1</v>
      </c>
      <c r="C902" s="2" t="s">
        <v>74</v>
      </c>
      <c r="D902" s="2" t="s">
        <v>41</v>
      </c>
      <c r="E902" s="2" t="str">
        <f aca="false">INDEX(Products!$B$2:$B$13,MATCH(D902,Products!$A$2:$A$13,0))</f>
        <v>Hydroprocessing</v>
      </c>
      <c r="F902" s="15" t="n">
        <v>7.2</v>
      </c>
      <c r="G902" s="16" t="n">
        <f aca="false">IF(A902="2025",INDEX(Products!$C$2:$C$13,MATCH(D902,Products!$A$2:$A$13,0)),INDEX(Products!$E$2:$E$13,MATCH(D902,Products!$A$2:$A$13,0)))</f>
        <v>15508.5</v>
      </c>
      <c r="H902" s="13" t="n">
        <f aca="false">IF(A902="2025",INDEX(Customers!$D$2:$D$41,MATCH(C902,Customers!$A$2:$A$41,0)),INDEX(Customers!$F$2:$F$41,MATCH(C902,Customers!$A$2:$A$41,0)))</f>
        <v>0.043</v>
      </c>
      <c r="I902" s="16" t="n">
        <f aca="false">F902*G902</f>
        <v>111661.2</v>
      </c>
      <c r="J902" s="16" t="n">
        <f aca="false">I902*(1-H902)</f>
        <v>106859.7684</v>
      </c>
      <c r="K902" s="16" t="n">
        <f aca="false">J902*INDEX(Customers!$G$2:$G$41,MATCH(C902,Customers!$A$2:$A$41,0))</f>
        <v>0</v>
      </c>
      <c r="L902" s="16" t="n">
        <f aca="false">F902*INDEX(Customers!$H$2:$H$41,MATCH(C902,Customers!$A$2:$A$41,0))</f>
        <v>648</v>
      </c>
      <c r="M902" s="16" t="n">
        <f aca="false">J902*INDEX(Customers!$I$2:$I$41,MATCH(C902,Customers!$A$2:$A$41,0))/365*Assumptions!$B$6</f>
        <v>702.639573041096</v>
      </c>
      <c r="N902" s="16" t="n">
        <f aca="false">J902-K902-L902-M902</f>
        <v>105509.128826959</v>
      </c>
      <c r="O902" s="16" t="n">
        <f aca="false">F902*IF(A902="2025",INDEX(Products!$D$2:$D$13,MATCH(D902,Products!$A$2:$A$13,0)),INDEX(Products!$F$2:$F$13,MATCH(D902,Products!$A$2:$A$13,0)))</f>
        <v>70303.68</v>
      </c>
      <c r="P902" s="16" t="n">
        <f aca="false">N902-O902</f>
        <v>35205.4488269589</v>
      </c>
    </row>
    <row r="903" customFormat="false" ht="15" hidden="false" customHeight="false" outlineLevel="0" collapsed="false">
      <c r="A903" s="2" t="s">
        <v>119</v>
      </c>
      <c r="B903" s="2" t="n">
        <v>2</v>
      </c>
      <c r="C903" s="2" t="s">
        <v>74</v>
      </c>
      <c r="D903" s="2" t="s">
        <v>41</v>
      </c>
      <c r="E903" s="2" t="str">
        <f aca="false">INDEX(Products!$B$2:$B$13,MATCH(D903,Products!$A$2:$A$13,0))</f>
        <v>Hydroprocessing</v>
      </c>
      <c r="F903" s="15" t="n">
        <v>5.5</v>
      </c>
      <c r="G903" s="16" t="n">
        <f aca="false">IF(A903="2025",INDEX(Products!$C$2:$C$13,MATCH(D903,Products!$A$2:$A$13,0)),INDEX(Products!$E$2:$E$13,MATCH(D903,Products!$A$2:$A$13,0)))</f>
        <v>15508.5</v>
      </c>
      <c r="H903" s="13" t="n">
        <f aca="false">IF(A903="2025",INDEX(Customers!$D$2:$D$41,MATCH(C903,Customers!$A$2:$A$41,0)),INDEX(Customers!$F$2:$F$41,MATCH(C903,Customers!$A$2:$A$41,0)))</f>
        <v>0.043</v>
      </c>
      <c r="I903" s="16" t="n">
        <f aca="false">F903*G903</f>
        <v>85296.75</v>
      </c>
      <c r="J903" s="16" t="n">
        <f aca="false">I903*(1-H903)</f>
        <v>81628.98975</v>
      </c>
      <c r="K903" s="16" t="n">
        <f aca="false">J903*INDEX(Customers!$G$2:$G$41,MATCH(C903,Customers!$A$2:$A$41,0))</f>
        <v>0</v>
      </c>
      <c r="L903" s="16" t="n">
        <f aca="false">F903*INDEX(Customers!$H$2:$H$41,MATCH(C903,Customers!$A$2:$A$41,0))</f>
        <v>495</v>
      </c>
      <c r="M903" s="16" t="n">
        <f aca="false">J903*INDEX(Customers!$I$2:$I$41,MATCH(C903,Customers!$A$2:$A$41,0))/365*Assumptions!$B$6</f>
        <v>536.738562739726</v>
      </c>
      <c r="N903" s="16" t="n">
        <f aca="false">J903-K903-L903-M903</f>
        <v>80597.2511872603</v>
      </c>
      <c r="O903" s="16" t="n">
        <f aca="false">F903*IF(A903="2025",INDEX(Products!$D$2:$D$13,MATCH(D903,Products!$A$2:$A$13,0)),INDEX(Products!$F$2:$F$13,MATCH(D903,Products!$A$2:$A$13,0)))</f>
        <v>53704.2</v>
      </c>
      <c r="P903" s="16" t="n">
        <f aca="false">N903-O903</f>
        <v>26893.0511872603</v>
      </c>
    </row>
    <row r="904" customFormat="false" ht="15" hidden="false" customHeight="false" outlineLevel="0" collapsed="false">
      <c r="A904" s="2" t="s">
        <v>119</v>
      </c>
      <c r="B904" s="2" t="n">
        <v>3</v>
      </c>
      <c r="C904" s="2" t="s">
        <v>74</v>
      </c>
      <c r="D904" s="2" t="s">
        <v>41</v>
      </c>
      <c r="E904" s="2" t="str">
        <f aca="false">INDEX(Products!$B$2:$B$13,MATCH(D904,Products!$A$2:$A$13,0))</f>
        <v>Hydroprocessing</v>
      </c>
      <c r="F904" s="15" t="n">
        <v>7.7</v>
      </c>
      <c r="G904" s="16" t="n">
        <f aca="false">IF(A904="2025",INDEX(Products!$C$2:$C$13,MATCH(D904,Products!$A$2:$A$13,0)),INDEX(Products!$E$2:$E$13,MATCH(D904,Products!$A$2:$A$13,0)))</f>
        <v>15508.5</v>
      </c>
      <c r="H904" s="13" t="n">
        <f aca="false">IF(A904="2025",INDEX(Customers!$D$2:$D$41,MATCH(C904,Customers!$A$2:$A$41,0)),INDEX(Customers!$F$2:$F$41,MATCH(C904,Customers!$A$2:$A$41,0)))</f>
        <v>0.043</v>
      </c>
      <c r="I904" s="16" t="n">
        <f aca="false">F904*G904</f>
        <v>119415.45</v>
      </c>
      <c r="J904" s="16" t="n">
        <f aca="false">I904*(1-H904)</f>
        <v>114280.58565</v>
      </c>
      <c r="K904" s="16" t="n">
        <f aca="false">J904*INDEX(Customers!$G$2:$G$41,MATCH(C904,Customers!$A$2:$A$41,0))</f>
        <v>0</v>
      </c>
      <c r="L904" s="16" t="n">
        <f aca="false">F904*INDEX(Customers!$H$2:$H$41,MATCH(C904,Customers!$A$2:$A$41,0))</f>
        <v>693</v>
      </c>
      <c r="M904" s="16" t="n">
        <f aca="false">J904*INDEX(Customers!$I$2:$I$41,MATCH(C904,Customers!$A$2:$A$41,0))/365*Assumptions!$B$6</f>
        <v>751.433987835616</v>
      </c>
      <c r="N904" s="16" t="n">
        <f aca="false">J904-K904-L904-M904</f>
        <v>112836.151662164</v>
      </c>
      <c r="O904" s="16" t="n">
        <f aca="false">F904*IF(A904="2025",INDEX(Products!$D$2:$D$13,MATCH(D904,Products!$A$2:$A$13,0)),INDEX(Products!$F$2:$F$13,MATCH(D904,Products!$A$2:$A$13,0)))</f>
        <v>75185.88</v>
      </c>
      <c r="P904" s="16" t="n">
        <f aca="false">N904-O904</f>
        <v>37650.2716621644</v>
      </c>
    </row>
    <row r="905" customFormat="false" ht="15" hidden="false" customHeight="false" outlineLevel="0" collapsed="false">
      <c r="A905" s="2" t="s">
        <v>119</v>
      </c>
      <c r="B905" s="2" t="n">
        <v>4</v>
      </c>
      <c r="C905" s="2" t="s">
        <v>74</v>
      </c>
      <c r="D905" s="2" t="s">
        <v>41</v>
      </c>
      <c r="E905" s="2" t="str">
        <f aca="false">INDEX(Products!$B$2:$B$13,MATCH(D905,Products!$A$2:$A$13,0))</f>
        <v>Hydroprocessing</v>
      </c>
      <c r="F905" s="15" t="n">
        <v>7.3</v>
      </c>
      <c r="G905" s="16" t="n">
        <f aca="false">IF(A905="2025",INDEX(Products!$C$2:$C$13,MATCH(D905,Products!$A$2:$A$13,0)),INDEX(Products!$E$2:$E$13,MATCH(D905,Products!$A$2:$A$13,0)))</f>
        <v>15508.5</v>
      </c>
      <c r="H905" s="13" t="n">
        <f aca="false">IF(A905="2025",INDEX(Customers!$D$2:$D$41,MATCH(C905,Customers!$A$2:$A$41,0)),INDEX(Customers!$F$2:$F$41,MATCH(C905,Customers!$A$2:$A$41,0)))</f>
        <v>0.043</v>
      </c>
      <c r="I905" s="16" t="n">
        <f aca="false">F905*G905</f>
        <v>113212.05</v>
      </c>
      <c r="J905" s="16" t="n">
        <f aca="false">I905*(1-H905)</f>
        <v>108343.93185</v>
      </c>
      <c r="K905" s="16" t="n">
        <f aca="false">J905*INDEX(Customers!$G$2:$G$41,MATCH(C905,Customers!$A$2:$A$41,0))</f>
        <v>0</v>
      </c>
      <c r="L905" s="16" t="n">
        <f aca="false">F905*INDEX(Customers!$H$2:$H$41,MATCH(C905,Customers!$A$2:$A$41,0))</f>
        <v>657</v>
      </c>
      <c r="M905" s="16" t="n">
        <f aca="false">J905*INDEX(Customers!$I$2:$I$41,MATCH(C905,Customers!$A$2:$A$41,0))/365*Assumptions!$B$6</f>
        <v>712.398456</v>
      </c>
      <c r="N905" s="16" t="n">
        <f aca="false">J905-K905-L905-M905</f>
        <v>106974.533394</v>
      </c>
      <c r="O905" s="16" t="n">
        <f aca="false">F905*IF(A905="2025",INDEX(Products!$D$2:$D$13,MATCH(D905,Products!$A$2:$A$13,0)),INDEX(Products!$F$2:$F$13,MATCH(D905,Products!$A$2:$A$13,0)))</f>
        <v>71280.12</v>
      </c>
      <c r="P905" s="16" t="n">
        <f aca="false">N905-O905</f>
        <v>35694.413394</v>
      </c>
    </row>
    <row r="906" customFormat="false" ht="15" hidden="false" customHeight="false" outlineLevel="0" collapsed="false">
      <c r="A906" s="2" t="s">
        <v>119</v>
      </c>
      <c r="B906" s="2" t="n">
        <v>5</v>
      </c>
      <c r="C906" s="2" t="s">
        <v>74</v>
      </c>
      <c r="D906" s="2" t="s">
        <v>41</v>
      </c>
      <c r="E906" s="2" t="str">
        <f aca="false">INDEX(Products!$B$2:$B$13,MATCH(D906,Products!$A$2:$A$13,0))</f>
        <v>Hydroprocessing</v>
      </c>
      <c r="F906" s="15" t="n">
        <v>8.5</v>
      </c>
      <c r="G906" s="16" t="n">
        <f aca="false">IF(A906="2025",INDEX(Products!$C$2:$C$13,MATCH(D906,Products!$A$2:$A$13,0)),INDEX(Products!$E$2:$E$13,MATCH(D906,Products!$A$2:$A$13,0)))</f>
        <v>15508.5</v>
      </c>
      <c r="H906" s="13" t="n">
        <f aca="false">IF(A906="2025",INDEX(Customers!$D$2:$D$41,MATCH(C906,Customers!$A$2:$A$41,0)),INDEX(Customers!$F$2:$F$41,MATCH(C906,Customers!$A$2:$A$41,0)))</f>
        <v>0.043</v>
      </c>
      <c r="I906" s="16" t="n">
        <f aca="false">F906*G906</f>
        <v>131822.25</v>
      </c>
      <c r="J906" s="16" t="n">
        <f aca="false">I906*(1-H906)</f>
        <v>126153.89325</v>
      </c>
      <c r="K906" s="16" t="n">
        <f aca="false">J906*INDEX(Customers!$G$2:$G$41,MATCH(C906,Customers!$A$2:$A$41,0))</f>
        <v>0</v>
      </c>
      <c r="L906" s="16" t="n">
        <f aca="false">F906*INDEX(Customers!$H$2:$H$41,MATCH(C906,Customers!$A$2:$A$41,0))</f>
        <v>765</v>
      </c>
      <c r="M906" s="16" t="n">
        <f aca="false">J906*INDEX(Customers!$I$2:$I$41,MATCH(C906,Customers!$A$2:$A$41,0))/365*Assumptions!$B$6</f>
        <v>829.505051506849</v>
      </c>
      <c r="N906" s="16" t="n">
        <f aca="false">J906-K906-L906-M906</f>
        <v>124559.388198493</v>
      </c>
      <c r="O906" s="16" t="n">
        <f aca="false">F906*IF(A906="2025",INDEX(Products!$D$2:$D$13,MATCH(D906,Products!$A$2:$A$13,0)),INDEX(Products!$F$2:$F$13,MATCH(D906,Products!$A$2:$A$13,0)))</f>
        <v>82997.4</v>
      </c>
      <c r="P906" s="16" t="n">
        <f aca="false">N906-O906</f>
        <v>41561.9881984932</v>
      </c>
    </row>
    <row r="907" customFormat="false" ht="15" hidden="false" customHeight="false" outlineLevel="0" collapsed="false">
      <c r="A907" s="2" t="s">
        <v>119</v>
      </c>
      <c r="B907" s="2" t="n">
        <v>6</v>
      </c>
      <c r="C907" s="2" t="s">
        <v>74</v>
      </c>
      <c r="D907" s="2" t="s">
        <v>41</v>
      </c>
      <c r="E907" s="2" t="str">
        <f aca="false">INDEX(Products!$B$2:$B$13,MATCH(D907,Products!$A$2:$A$13,0))</f>
        <v>Hydroprocessing</v>
      </c>
      <c r="F907" s="15" t="n">
        <v>8.1</v>
      </c>
      <c r="G907" s="16" t="n">
        <f aca="false">IF(A907="2025",INDEX(Products!$C$2:$C$13,MATCH(D907,Products!$A$2:$A$13,0)),INDEX(Products!$E$2:$E$13,MATCH(D907,Products!$A$2:$A$13,0)))</f>
        <v>15508.5</v>
      </c>
      <c r="H907" s="13" t="n">
        <f aca="false">IF(A907="2025",INDEX(Customers!$D$2:$D$41,MATCH(C907,Customers!$A$2:$A$41,0)),INDEX(Customers!$F$2:$F$41,MATCH(C907,Customers!$A$2:$A$41,0)))</f>
        <v>0.043</v>
      </c>
      <c r="I907" s="16" t="n">
        <f aca="false">F907*G907</f>
        <v>125618.85</v>
      </c>
      <c r="J907" s="16" t="n">
        <f aca="false">I907*(1-H907)</f>
        <v>120217.23945</v>
      </c>
      <c r="K907" s="16" t="n">
        <f aca="false">J907*INDEX(Customers!$G$2:$G$41,MATCH(C907,Customers!$A$2:$A$41,0))</f>
        <v>0</v>
      </c>
      <c r="L907" s="16" t="n">
        <f aca="false">F907*INDEX(Customers!$H$2:$H$41,MATCH(C907,Customers!$A$2:$A$41,0))</f>
        <v>729</v>
      </c>
      <c r="M907" s="16" t="n">
        <f aca="false">J907*INDEX(Customers!$I$2:$I$41,MATCH(C907,Customers!$A$2:$A$41,0))/365*Assumptions!$B$6</f>
        <v>790.469519671233</v>
      </c>
      <c r="N907" s="16" t="n">
        <f aca="false">J907-K907-L907-M907</f>
        <v>118697.769930329</v>
      </c>
      <c r="O907" s="16" t="n">
        <f aca="false">F907*IF(A907="2025",INDEX(Products!$D$2:$D$13,MATCH(D907,Products!$A$2:$A$13,0)),INDEX(Products!$F$2:$F$13,MATCH(D907,Products!$A$2:$A$13,0)))</f>
        <v>79091.64</v>
      </c>
      <c r="P907" s="16" t="n">
        <f aca="false">N907-O907</f>
        <v>39606.1299303288</v>
      </c>
    </row>
    <row r="908" customFormat="false" ht="15" hidden="false" customHeight="false" outlineLevel="0" collapsed="false">
      <c r="A908" s="2" t="s">
        <v>119</v>
      </c>
      <c r="B908" s="2" t="n">
        <v>7</v>
      </c>
      <c r="C908" s="2" t="s">
        <v>74</v>
      </c>
      <c r="D908" s="2" t="s">
        <v>41</v>
      </c>
      <c r="E908" s="2" t="str">
        <f aca="false">INDEX(Products!$B$2:$B$13,MATCH(D908,Products!$A$2:$A$13,0))</f>
        <v>Hydroprocessing</v>
      </c>
      <c r="F908" s="15" t="n">
        <v>8.4</v>
      </c>
      <c r="G908" s="16" t="n">
        <f aca="false">IF(A908="2025",INDEX(Products!$C$2:$C$13,MATCH(D908,Products!$A$2:$A$13,0)),INDEX(Products!$E$2:$E$13,MATCH(D908,Products!$A$2:$A$13,0)))</f>
        <v>15508.5</v>
      </c>
      <c r="H908" s="13" t="n">
        <f aca="false">IF(A908="2025",INDEX(Customers!$D$2:$D$41,MATCH(C908,Customers!$A$2:$A$41,0)),INDEX(Customers!$F$2:$F$41,MATCH(C908,Customers!$A$2:$A$41,0)))</f>
        <v>0.043</v>
      </c>
      <c r="I908" s="16" t="n">
        <f aca="false">F908*G908</f>
        <v>130271.4</v>
      </c>
      <c r="J908" s="16" t="n">
        <f aca="false">I908*(1-H908)</f>
        <v>124669.7298</v>
      </c>
      <c r="K908" s="16" t="n">
        <f aca="false">J908*INDEX(Customers!$G$2:$G$41,MATCH(C908,Customers!$A$2:$A$41,0))</f>
        <v>0</v>
      </c>
      <c r="L908" s="16" t="n">
        <f aca="false">F908*INDEX(Customers!$H$2:$H$41,MATCH(C908,Customers!$A$2:$A$41,0))</f>
        <v>756</v>
      </c>
      <c r="M908" s="16" t="n">
        <f aca="false">J908*INDEX(Customers!$I$2:$I$41,MATCH(C908,Customers!$A$2:$A$41,0))/365*Assumptions!$B$6</f>
        <v>819.746168547945</v>
      </c>
      <c r="N908" s="16" t="n">
        <f aca="false">J908-K908-L908-M908</f>
        <v>123093.983631452</v>
      </c>
      <c r="O908" s="16" t="n">
        <f aca="false">F908*IF(A908="2025",INDEX(Products!$D$2:$D$13,MATCH(D908,Products!$A$2:$A$13,0)),INDEX(Products!$F$2:$F$13,MATCH(D908,Products!$A$2:$A$13,0)))</f>
        <v>82020.96</v>
      </c>
      <c r="P908" s="16" t="n">
        <f aca="false">N908-O908</f>
        <v>41073.023631452</v>
      </c>
    </row>
    <row r="909" customFormat="false" ht="15" hidden="false" customHeight="false" outlineLevel="0" collapsed="false">
      <c r="A909" s="2" t="s">
        <v>119</v>
      </c>
      <c r="B909" s="2" t="n">
        <v>8</v>
      </c>
      <c r="C909" s="2" t="s">
        <v>74</v>
      </c>
      <c r="D909" s="2" t="s">
        <v>41</v>
      </c>
      <c r="E909" s="2" t="str">
        <f aca="false">INDEX(Products!$B$2:$B$13,MATCH(D909,Products!$A$2:$A$13,0))</f>
        <v>Hydroprocessing</v>
      </c>
      <c r="F909" s="15" t="n">
        <v>8.3</v>
      </c>
      <c r="G909" s="16" t="n">
        <f aca="false">IF(A909="2025",INDEX(Products!$C$2:$C$13,MATCH(D909,Products!$A$2:$A$13,0)),INDEX(Products!$E$2:$E$13,MATCH(D909,Products!$A$2:$A$13,0)))</f>
        <v>15508.5</v>
      </c>
      <c r="H909" s="13" t="n">
        <f aca="false">IF(A909="2025",INDEX(Customers!$D$2:$D$41,MATCH(C909,Customers!$A$2:$A$41,0)),INDEX(Customers!$F$2:$F$41,MATCH(C909,Customers!$A$2:$A$41,0)))</f>
        <v>0.043</v>
      </c>
      <c r="I909" s="16" t="n">
        <f aca="false">F909*G909</f>
        <v>128720.55</v>
      </c>
      <c r="J909" s="16" t="n">
        <f aca="false">I909*(1-H909)</f>
        <v>123185.56635</v>
      </c>
      <c r="K909" s="16" t="n">
        <f aca="false">J909*INDEX(Customers!$G$2:$G$41,MATCH(C909,Customers!$A$2:$A$41,0))</f>
        <v>0</v>
      </c>
      <c r="L909" s="16" t="n">
        <f aca="false">F909*INDEX(Customers!$H$2:$H$41,MATCH(C909,Customers!$A$2:$A$41,0))</f>
        <v>747</v>
      </c>
      <c r="M909" s="16" t="n">
        <f aca="false">J909*INDEX(Customers!$I$2:$I$41,MATCH(C909,Customers!$A$2:$A$41,0))/365*Assumptions!$B$6</f>
        <v>809.987285589041</v>
      </c>
      <c r="N909" s="16" t="n">
        <f aca="false">J909-K909-L909-M909</f>
        <v>121628.579064411</v>
      </c>
      <c r="O909" s="16" t="n">
        <f aca="false">F909*IF(A909="2025",INDEX(Products!$D$2:$D$13,MATCH(D909,Products!$A$2:$A$13,0)),INDEX(Products!$F$2:$F$13,MATCH(D909,Products!$A$2:$A$13,0)))</f>
        <v>81044.52</v>
      </c>
      <c r="P909" s="16" t="n">
        <f aca="false">N909-O909</f>
        <v>40584.059064411</v>
      </c>
    </row>
    <row r="910" customFormat="false" ht="15" hidden="false" customHeight="false" outlineLevel="0" collapsed="false">
      <c r="A910" s="2" t="s">
        <v>119</v>
      </c>
      <c r="B910" s="2" t="n">
        <v>9</v>
      </c>
      <c r="C910" s="2" t="s">
        <v>74</v>
      </c>
      <c r="D910" s="2" t="s">
        <v>41</v>
      </c>
      <c r="E910" s="2" t="str">
        <f aca="false">INDEX(Products!$B$2:$B$13,MATCH(D910,Products!$A$2:$A$13,0))</f>
        <v>Hydroprocessing</v>
      </c>
      <c r="F910" s="15" t="n">
        <v>8.2</v>
      </c>
      <c r="G910" s="16" t="n">
        <f aca="false">IF(A910="2025",INDEX(Products!$C$2:$C$13,MATCH(D910,Products!$A$2:$A$13,0)),INDEX(Products!$E$2:$E$13,MATCH(D910,Products!$A$2:$A$13,0)))</f>
        <v>15508.5</v>
      </c>
      <c r="H910" s="13" t="n">
        <f aca="false">IF(A910="2025",INDEX(Customers!$D$2:$D$41,MATCH(C910,Customers!$A$2:$A$41,0)),INDEX(Customers!$F$2:$F$41,MATCH(C910,Customers!$A$2:$A$41,0)))</f>
        <v>0.043</v>
      </c>
      <c r="I910" s="16" t="n">
        <f aca="false">F910*G910</f>
        <v>127169.7</v>
      </c>
      <c r="J910" s="16" t="n">
        <f aca="false">I910*(1-H910)</f>
        <v>121701.4029</v>
      </c>
      <c r="K910" s="16" t="n">
        <f aca="false">J910*INDEX(Customers!$G$2:$G$41,MATCH(C910,Customers!$A$2:$A$41,0))</f>
        <v>0</v>
      </c>
      <c r="L910" s="16" t="n">
        <f aca="false">F910*INDEX(Customers!$H$2:$H$41,MATCH(C910,Customers!$A$2:$A$41,0))</f>
        <v>738</v>
      </c>
      <c r="M910" s="16" t="n">
        <f aca="false">J910*INDEX(Customers!$I$2:$I$41,MATCH(C910,Customers!$A$2:$A$41,0))/365*Assumptions!$B$6</f>
        <v>800.228402630137</v>
      </c>
      <c r="N910" s="16" t="n">
        <f aca="false">J910-K910-L910-M910</f>
        <v>120163.17449737</v>
      </c>
      <c r="O910" s="16" t="n">
        <f aca="false">F910*IF(A910="2025",INDEX(Products!$D$2:$D$13,MATCH(D910,Products!$A$2:$A$13,0)),INDEX(Products!$F$2:$F$13,MATCH(D910,Products!$A$2:$A$13,0)))</f>
        <v>80068.08</v>
      </c>
      <c r="P910" s="16" t="n">
        <f aca="false">N910-O910</f>
        <v>40095.0944973699</v>
      </c>
    </row>
    <row r="911" customFormat="false" ht="15" hidden="false" customHeight="false" outlineLevel="0" collapsed="false">
      <c r="A911" s="2" t="s">
        <v>119</v>
      </c>
      <c r="B911" s="2" t="n">
        <v>10</v>
      </c>
      <c r="C911" s="2" t="s">
        <v>74</v>
      </c>
      <c r="D911" s="2" t="s">
        <v>41</v>
      </c>
      <c r="E911" s="2" t="str">
        <f aca="false">INDEX(Products!$B$2:$B$13,MATCH(D911,Products!$A$2:$A$13,0))</f>
        <v>Hydroprocessing</v>
      </c>
      <c r="F911" s="15" t="n">
        <v>8.6</v>
      </c>
      <c r="G911" s="16" t="n">
        <f aca="false">IF(A911="2025",INDEX(Products!$C$2:$C$13,MATCH(D911,Products!$A$2:$A$13,0)),INDEX(Products!$E$2:$E$13,MATCH(D911,Products!$A$2:$A$13,0)))</f>
        <v>15508.5</v>
      </c>
      <c r="H911" s="13" t="n">
        <f aca="false">IF(A911="2025",INDEX(Customers!$D$2:$D$41,MATCH(C911,Customers!$A$2:$A$41,0)),INDEX(Customers!$F$2:$F$41,MATCH(C911,Customers!$A$2:$A$41,0)))</f>
        <v>0.043</v>
      </c>
      <c r="I911" s="16" t="n">
        <f aca="false">F911*G911</f>
        <v>133373.1</v>
      </c>
      <c r="J911" s="16" t="n">
        <f aca="false">I911*(1-H911)</f>
        <v>127638.0567</v>
      </c>
      <c r="K911" s="16" t="n">
        <f aca="false">J911*INDEX(Customers!$G$2:$G$41,MATCH(C911,Customers!$A$2:$A$41,0))</f>
        <v>0</v>
      </c>
      <c r="L911" s="16" t="n">
        <f aca="false">F911*INDEX(Customers!$H$2:$H$41,MATCH(C911,Customers!$A$2:$A$41,0))</f>
        <v>774</v>
      </c>
      <c r="M911" s="16" t="n">
        <f aca="false">J911*INDEX(Customers!$I$2:$I$41,MATCH(C911,Customers!$A$2:$A$41,0))/365*Assumptions!$B$6</f>
        <v>839.263934465753</v>
      </c>
      <c r="N911" s="16" t="n">
        <f aca="false">J911-K911-L911-M911</f>
        <v>126024.792765534</v>
      </c>
      <c r="O911" s="16" t="n">
        <f aca="false">F911*IF(A911="2025",INDEX(Products!$D$2:$D$13,MATCH(D911,Products!$A$2:$A$13,0)),INDEX(Products!$F$2:$F$13,MATCH(D911,Products!$A$2:$A$13,0)))</f>
        <v>83973.84</v>
      </c>
      <c r="P911" s="16" t="n">
        <f aca="false">N911-O911</f>
        <v>42050.9527655343</v>
      </c>
    </row>
    <row r="912" customFormat="false" ht="15" hidden="false" customHeight="false" outlineLevel="0" collapsed="false">
      <c r="A912" s="2" t="s">
        <v>119</v>
      </c>
      <c r="B912" s="2" t="n">
        <v>11</v>
      </c>
      <c r="C912" s="2" t="s">
        <v>74</v>
      </c>
      <c r="D912" s="2" t="s">
        <v>41</v>
      </c>
      <c r="E912" s="2" t="str">
        <f aca="false">INDEX(Products!$B$2:$B$13,MATCH(D912,Products!$A$2:$A$13,0))</f>
        <v>Hydroprocessing</v>
      </c>
      <c r="F912" s="15" t="n">
        <v>8.4</v>
      </c>
      <c r="G912" s="16" t="n">
        <f aca="false">IF(A912="2025",INDEX(Products!$C$2:$C$13,MATCH(D912,Products!$A$2:$A$13,0)),INDEX(Products!$E$2:$E$13,MATCH(D912,Products!$A$2:$A$13,0)))</f>
        <v>15508.5</v>
      </c>
      <c r="H912" s="13" t="n">
        <f aca="false">IF(A912="2025",INDEX(Customers!$D$2:$D$41,MATCH(C912,Customers!$A$2:$A$41,0)),INDEX(Customers!$F$2:$F$41,MATCH(C912,Customers!$A$2:$A$41,0)))</f>
        <v>0.043</v>
      </c>
      <c r="I912" s="16" t="n">
        <f aca="false">F912*G912</f>
        <v>130271.4</v>
      </c>
      <c r="J912" s="16" t="n">
        <f aca="false">I912*(1-H912)</f>
        <v>124669.7298</v>
      </c>
      <c r="K912" s="16" t="n">
        <f aca="false">J912*INDEX(Customers!$G$2:$G$41,MATCH(C912,Customers!$A$2:$A$41,0))</f>
        <v>0</v>
      </c>
      <c r="L912" s="16" t="n">
        <f aca="false">F912*INDEX(Customers!$H$2:$H$41,MATCH(C912,Customers!$A$2:$A$41,0))</f>
        <v>756</v>
      </c>
      <c r="M912" s="16" t="n">
        <f aca="false">J912*INDEX(Customers!$I$2:$I$41,MATCH(C912,Customers!$A$2:$A$41,0))/365*Assumptions!$B$6</f>
        <v>819.746168547945</v>
      </c>
      <c r="N912" s="16" t="n">
        <f aca="false">J912-K912-L912-M912</f>
        <v>123093.983631452</v>
      </c>
      <c r="O912" s="16" t="n">
        <f aca="false">F912*IF(A912="2025",INDEX(Products!$D$2:$D$13,MATCH(D912,Products!$A$2:$A$13,0)),INDEX(Products!$F$2:$F$13,MATCH(D912,Products!$A$2:$A$13,0)))</f>
        <v>82020.96</v>
      </c>
      <c r="P912" s="16" t="n">
        <f aca="false">N912-O912</f>
        <v>41073.023631452</v>
      </c>
    </row>
    <row r="913" customFormat="false" ht="15" hidden="false" customHeight="false" outlineLevel="0" collapsed="false">
      <c r="A913" s="2" t="s">
        <v>119</v>
      </c>
      <c r="B913" s="2" t="n">
        <v>12</v>
      </c>
      <c r="C913" s="2" t="s">
        <v>74</v>
      </c>
      <c r="D913" s="2" t="s">
        <v>41</v>
      </c>
      <c r="E913" s="2" t="str">
        <f aca="false">INDEX(Products!$B$2:$B$13,MATCH(D913,Products!$A$2:$A$13,0))</f>
        <v>Hydroprocessing</v>
      </c>
      <c r="F913" s="15" t="n">
        <v>6.1</v>
      </c>
      <c r="G913" s="16" t="n">
        <f aca="false">IF(A913="2025",INDEX(Products!$C$2:$C$13,MATCH(D913,Products!$A$2:$A$13,0)),INDEX(Products!$E$2:$E$13,MATCH(D913,Products!$A$2:$A$13,0)))</f>
        <v>15508.5</v>
      </c>
      <c r="H913" s="13" t="n">
        <f aca="false">IF(A913="2025",INDEX(Customers!$D$2:$D$41,MATCH(C913,Customers!$A$2:$A$41,0)),INDEX(Customers!$F$2:$F$41,MATCH(C913,Customers!$A$2:$A$41,0)))</f>
        <v>0.043</v>
      </c>
      <c r="I913" s="16" t="n">
        <f aca="false">F913*G913</f>
        <v>94601.85</v>
      </c>
      <c r="J913" s="16" t="n">
        <f aca="false">I913*(1-H913)</f>
        <v>90533.97045</v>
      </c>
      <c r="K913" s="16" t="n">
        <f aca="false">J913*INDEX(Customers!$G$2:$G$41,MATCH(C913,Customers!$A$2:$A$41,0))</f>
        <v>0</v>
      </c>
      <c r="L913" s="16" t="n">
        <f aca="false">F913*INDEX(Customers!$H$2:$H$41,MATCH(C913,Customers!$A$2:$A$41,0))</f>
        <v>549</v>
      </c>
      <c r="M913" s="16" t="n">
        <f aca="false">J913*INDEX(Customers!$I$2:$I$41,MATCH(C913,Customers!$A$2:$A$41,0))/365*Assumptions!$B$6</f>
        <v>595.291860493151</v>
      </c>
      <c r="N913" s="16" t="n">
        <f aca="false">J913-K913-L913-M913</f>
        <v>89389.6785895069</v>
      </c>
      <c r="O913" s="16" t="n">
        <f aca="false">F913*IF(A913="2025",INDEX(Products!$D$2:$D$13,MATCH(D913,Products!$A$2:$A$13,0)),INDEX(Products!$F$2:$F$13,MATCH(D913,Products!$A$2:$A$13,0)))</f>
        <v>59562.84</v>
      </c>
      <c r="P913" s="16" t="n">
        <f aca="false">N913-O913</f>
        <v>29826.8385895069</v>
      </c>
    </row>
    <row r="914" customFormat="false" ht="15" hidden="false" customHeight="false" outlineLevel="0" collapsed="false">
      <c r="A914" s="2" t="s">
        <v>118</v>
      </c>
      <c r="B914" s="2" t="n">
        <v>1</v>
      </c>
      <c r="C914" s="2" t="s">
        <v>75</v>
      </c>
      <c r="D914" s="2" t="s">
        <v>41</v>
      </c>
      <c r="E914" s="2" t="str">
        <f aca="false">INDEX(Products!$B$2:$B$13,MATCH(D914,Products!$A$2:$A$13,0))</f>
        <v>Hydroprocessing</v>
      </c>
      <c r="F914" s="15" t="n">
        <v>6.4</v>
      </c>
      <c r="G914" s="16" t="n">
        <f aca="false">IF(A914="2025",INDEX(Products!$C$2:$C$13,MATCH(D914,Products!$A$2:$A$13,0)),INDEX(Products!$E$2:$E$13,MATCH(D914,Products!$A$2:$A$13,0)))</f>
        <v>14770</v>
      </c>
      <c r="H914" s="13" t="n">
        <f aca="false">IF(A914="2025",INDEX(Customers!$D$2:$D$41,MATCH(C914,Customers!$A$2:$A$41,0)),INDEX(Customers!$F$2:$F$41,MATCH(C914,Customers!$A$2:$A$41,0)))</f>
        <v>0.038</v>
      </c>
      <c r="I914" s="16" t="n">
        <f aca="false">F914*G914</f>
        <v>94528</v>
      </c>
      <c r="J914" s="16" t="n">
        <f aca="false">I914*(1-H914)</f>
        <v>90935.936</v>
      </c>
      <c r="K914" s="16" t="n">
        <f aca="false">J914*INDEX(Customers!$G$2:$G$41,MATCH(C914,Customers!$A$2:$A$41,0))</f>
        <v>909.35936</v>
      </c>
      <c r="L914" s="16" t="n">
        <f aca="false">F914*INDEX(Customers!$H$2:$H$41,MATCH(C914,Customers!$A$2:$A$41,0))</f>
        <v>1216</v>
      </c>
      <c r="M914" s="16" t="n">
        <f aca="false">J914*INDEX(Customers!$I$2:$I$41,MATCH(C914,Customers!$A$2:$A$41,0))/365*Assumptions!$B$6</f>
        <v>597.934921643836</v>
      </c>
      <c r="N914" s="16" t="n">
        <f aca="false">J914-K914-L914-M914</f>
        <v>88212.6417183562</v>
      </c>
      <c r="O914" s="16" t="n">
        <f aca="false">F914*IF(A914="2025",INDEX(Products!$D$2:$D$13,MATCH(D914,Products!$A$2:$A$13,0)),INDEX(Products!$F$2:$F$13,MATCH(D914,Products!$A$2:$A$13,0)))</f>
        <v>60672</v>
      </c>
      <c r="P914" s="16" t="n">
        <f aca="false">N914-O914</f>
        <v>27540.6417183562</v>
      </c>
    </row>
    <row r="915" customFormat="false" ht="15" hidden="false" customHeight="false" outlineLevel="0" collapsed="false">
      <c r="A915" s="2" t="s">
        <v>118</v>
      </c>
      <c r="B915" s="2" t="n">
        <v>2</v>
      </c>
      <c r="C915" s="2" t="s">
        <v>75</v>
      </c>
      <c r="D915" s="2" t="s">
        <v>41</v>
      </c>
      <c r="E915" s="2" t="str">
        <f aca="false">INDEX(Products!$B$2:$B$13,MATCH(D915,Products!$A$2:$A$13,0))</f>
        <v>Hydroprocessing</v>
      </c>
      <c r="F915" s="15" t="n">
        <v>8.8</v>
      </c>
      <c r="G915" s="16" t="n">
        <f aca="false">IF(A915="2025",INDEX(Products!$C$2:$C$13,MATCH(D915,Products!$A$2:$A$13,0)),INDEX(Products!$E$2:$E$13,MATCH(D915,Products!$A$2:$A$13,0)))</f>
        <v>14770</v>
      </c>
      <c r="H915" s="13" t="n">
        <f aca="false">IF(A915="2025",INDEX(Customers!$D$2:$D$41,MATCH(C915,Customers!$A$2:$A$41,0)),INDEX(Customers!$F$2:$F$41,MATCH(C915,Customers!$A$2:$A$41,0)))</f>
        <v>0.038</v>
      </c>
      <c r="I915" s="16" t="n">
        <f aca="false">F915*G915</f>
        <v>129976</v>
      </c>
      <c r="J915" s="16" t="n">
        <f aca="false">I915*(1-H915)</f>
        <v>125036.912</v>
      </c>
      <c r="K915" s="16" t="n">
        <f aca="false">J915*INDEX(Customers!$G$2:$G$41,MATCH(C915,Customers!$A$2:$A$41,0))</f>
        <v>1250.36912</v>
      </c>
      <c r="L915" s="16" t="n">
        <f aca="false">F915*INDEX(Customers!$H$2:$H$41,MATCH(C915,Customers!$A$2:$A$41,0))</f>
        <v>1672</v>
      </c>
      <c r="M915" s="16" t="n">
        <f aca="false">J915*INDEX(Customers!$I$2:$I$41,MATCH(C915,Customers!$A$2:$A$41,0))/365*Assumptions!$B$6</f>
        <v>822.160517260274</v>
      </c>
      <c r="N915" s="16" t="n">
        <f aca="false">J915-K915-L915-M915</f>
        <v>121292.38236274</v>
      </c>
      <c r="O915" s="16" t="n">
        <f aca="false">F915*IF(A915="2025",INDEX(Products!$D$2:$D$13,MATCH(D915,Products!$A$2:$A$13,0)),INDEX(Products!$F$2:$F$13,MATCH(D915,Products!$A$2:$A$13,0)))</f>
        <v>83424</v>
      </c>
      <c r="P915" s="16" t="n">
        <f aca="false">N915-O915</f>
        <v>37868.3823627397</v>
      </c>
    </row>
    <row r="916" customFormat="false" ht="15" hidden="false" customHeight="false" outlineLevel="0" collapsed="false">
      <c r="A916" s="2" t="s">
        <v>118</v>
      </c>
      <c r="B916" s="2" t="n">
        <v>3</v>
      </c>
      <c r="C916" s="2" t="s">
        <v>75</v>
      </c>
      <c r="D916" s="2" t="s">
        <v>41</v>
      </c>
      <c r="E916" s="2" t="str">
        <f aca="false">INDEX(Products!$B$2:$B$13,MATCH(D916,Products!$A$2:$A$13,0))</f>
        <v>Hydroprocessing</v>
      </c>
      <c r="F916" s="15" t="n">
        <v>9.3</v>
      </c>
      <c r="G916" s="16" t="n">
        <f aca="false">IF(A916="2025",INDEX(Products!$C$2:$C$13,MATCH(D916,Products!$A$2:$A$13,0)),INDEX(Products!$E$2:$E$13,MATCH(D916,Products!$A$2:$A$13,0)))</f>
        <v>14770</v>
      </c>
      <c r="H916" s="13" t="n">
        <f aca="false">IF(A916="2025",INDEX(Customers!$D$2:$D$41,MATCH(C916,Customers!$A$2:$A$41,0)),INDEX(Customers!$F$2:$F$41,MATCH(C916,Customers!$A$2:$A$41,0)))</f>
        <v>0.038</v>
      </c>
      <c r="I916" s="16" t="n">
        <f aca="false">F916*G916</f>
        <v>137361</v>
      </c>
      <c r="J916" s="16" t="n">
        <f aca="false">I916*(1-H916)</f>
        <v>132141.282</v>
      </c>
      <c r="K916" s="16" t="n">
        <f aca="false">J916*INDEX(Customers!$G$2:$G$41,MATCH(C916,Customers!$A$2:$A$41,0))</f>
        <v>1321.41282</v>
      </c>
      <c r="L916" s="16" t="n">
        <f aca="false">F916*INDEX(Customers!$H$2:$H$41,MATCH(C916,Customers!$A$2:$A$41,0))</f>
        <v>1767</v>
      </c>
      <c r="M916" s="16" t="n">
        <f aca="false">J916*INDEX(Customers!$I$2:$I$41,MATCH(C916,Customers!$A$2:$A$41,0))/365*Assumptions!$B$6</f>
        <v>868.874183013699</v>
      </c>
      <c r="N916" s="16" t="n">
        <f aca="false">J916-K916-L916-M916</f>
        <v>128183.994996986</v>
      </c>
      <c r="O916" s="16" t="n">
        <f aca="false">F916*IF(A916="2025",INDEX(Products!$D$2:$D$13,MATCH(D916,Products!$A$2:$A$13,0)),INDEX(Products!$F$2:$F$13,MATCH(D916,Products!$A$2:$A$13,0)))</f>
        <v>88164</v>
      </c>
      <c r="P916" s="16" t="n">
        <f aca="false">N916-O916</f>
        <v>40019.9949969863</v>
      </c>
    </row>
    <row r="917" customFormat="false" ht="15" hidden="false" customHeight="false" outlineLevel="0" collapsed="false">
      <c r="A917" s="2" t="s">
        <v>118</v>
      </c>
      <c r="B917" s="2" t="n">
        <v>4</v>
      </c>
      <c r="C917" s="2" t="s">
        <v>75</v>
      </c>
      <c r="D917" s="2" t="s">
        <v>41</v>
      </c>
      <c r="E917" s="2" t="str">
        <f aca="false">INDEX(Products!$B$2:$B$13,MATCH(D917,Products!$A$2:$A$13,0))</f>
        <v>Hydroprocessing</v>
      </c>
      <c r="F917" s="15" t="n">
        <v>7.7</v>
      </c>
      <c r="G917" s="16" t="n">
        <f aca="false">IF(A917="2025",INDEX(Products!$C$2:$C$13,MATCH(D917,Products!$A$2:$A$13,0)),INDEX(Products!$E$2:$E$13,MATCH(D917,Products!$A$2:$A$13,0)))</f>
        <v>14770</v>
      </c>
      <c r="H917" s="13" t="n">
        <f aca="false">IF(A917="2025",INDEX(Customers!$D$2:$D$41,MATCH(C917,Customers!$A$2:$A$41,0)),INDEX(Customers!$F$2:$F$41,MATCH(C917,Customers!$A$2:$A$41,0)))</f>
        <v>0.038</v>
      </c>
      <c r="I917" s="16" t="n">
        <f aca="false">F917*G917</f>
        <v>113729</v>
      </c>
      <c r="J917" s="16" t="n">
        <f aca="false">I917*(1-H917)</f>
        <v>109407.298</v>
      </c>
      <c r="K917" s="16" t="n">
        <f aca="false">J917*INDEX(Customers!$G$2:$G$41,MATCH(C917,Customers!$A$2:$A$41,0))</f>
        <v>1094.07298</v>
      </c>
      <c r="L917" s="16" t="n">
        <f aca="false">F917*INDEX(Customers!$H$2:$H$41,MATCH(C917,Customers!$A$2:$A$41,0))</f>
        <v>1463</v>
      </c>
      <c r="M917" s="16" t="n">
        <f aca="false">J917*INDEX(Customers!$I$2:$I$41,MATCH(C917,Customers!$A$2:$A$41,0))/365*Assumptions!$B$6</f>
        <v>719.39045260274</v>
      </c>
      <c r="N917" s="16" t="n">
        <f aca="false">J917-K917-L917-M917</f>
        <v>106130.834567397</v>
      </c>
      <c r="O917" s="16" t="n">
        <f aca="false">F917*IF(A917="2025",INDEX(Products!$D$2:$D$13,MATCH(D917,Products!$A$2:$A$13,0)),INDEX(Products!$F$2:$F$13,MATCH(D917,Products!$A$2:$A$13,0)))</f>
        <v>72996</v>
      </c>
      <c r="P917" s="16" t="n">
        <f aca="false">N917-O917</f>
        <v>33134.8345673973</v>
      </c>
    </row>
    <row r="918" customFormat="false" ht="15" hidden="false" customHeight="false" outlineLevel="0" collapsed="false">
      <c r="A918" s="2" t="s">
        <v>118</v>
      </c>
      <c r="B918" s="2" t="n">
        <v>5</v>
      </c>
      <c r="C918" s="2" t="s">
        <v>75</v>
      </c>
      <c r="D918" s="2" t="s">
        <v>41</v>
      </c>
      <c r="E918" s="2" t="str">
        <f aca="false">INDEX(Products!$B$2:$B$13,MATCH(D918,Products!$A$2:$A$13,0))</f>
        <v>Hydroprocessing</v>
      </c>
      <c r="F918" s="15" t="n">
        <v>6.3</v>
      </c>
      <c r="G918" s="16" t="n">
        <f aca="false">IF(A918="2025",INDEX(Products!$C$2:$C$13,MATCH(D918,Products!$A$2:$A$13,0)),INDEX(Products!$E$2:$E$13,MATCH(D918,Products!$A$2:$A$13,0)))</f>
        <v>14770</v>
      </c>
      <c r="H918" s="13" t="n">
        <f aca="false">IF(A918="2025",INDEX(Customers!$D$2:$D$41,MATCH(C918,Customers!$A$2:$A$41,0)),INDEX(Customers!$F$2:$F$41,MATCH(C918,Customers!$A$2:$A$41,0)))</f>
        <v>0.038</v>
      </c>
      <c r="I918" s="16" t="n">
        <f aca="false">F918*G918</f>
        <v>93051</v>
      </c>
      <c r="J918" s="16" t="n">
        <f aca="false">I918*(1-H918)</f>
        <v>89515.062</v>
      </c>
      <c r="K918" s="16" t="n">
        <f aca="false">J918*INDEX(Customers!$G$2:$G$41,MATCH(C918,Customers!$A$2:$A$41,0))</f>
        <v>895.15062</v>
      </c>
      <c r="L918" s="16" t="n">
        <f aca="false">F918*INDEX(Customers!$H$2:$H$41,MATCH(C918,Customers!$A$2:$A$41,0))</f>
        <v>1197</v>
      </c>
      <c r="M918" s="16" t="n">
        <f aca="false">J918*INDEX(Customers!$I$2:$I$41,MATCH(C918,Customers!$A$2:$A$41,0))/365*Assumptions!$B$6</f>
        <v>588.592188493151</v>
      </c>
      <c r="N918" s="16" t="n">
        <f aca="false">J918-K918-L918-M918</f>
        <v>86834.3191915069</v>
      </c>
      <c r="O918" s="16" t="n">
        <f aca="false">F918*IF(A918="2025",INDEX(Products!$D$2:$D$13,MATCH(D918,Products!$A$2:$A$13,0)),INDEX(Products!$F$2:$F$13,MATCH(D918,Products!$A$2:$A$13,0)))</f>
        <v>59724</v>
      </c>
      <c r="P918" s="16" t="n">
        <f aca="false">N918-O918</f>
        <v>27110.3191915068</v>
      </c>
    </row>
    <row r="919" customFormat="false" ht="15" hidden="false" customHeight="false" outlineLevel="0" collapsed="false">
      <c r="A919" s="2" t="s">
        <v>118</v>
      </c>
      <c r="B919" s="2" t="n">
        <v>6</v>
      </c>
      <c r="C919" s="2" t="s">
        <v>75</v>
      </c>
      <c r="D919" s="2" t="s">
        <v>41</v>
      </c>
      <c r="E919" s="2" t="str">
        <f aca="false">INDEX(Products!$B$2:$B$13,MATCH(D919,Products!$A$2:$A$13,0))</f>
        <v>Hydroprocessing</v>
      </c>
      <c r="F919" s="15" t="n">
        <v>7.9</v>
      </c>
      <c r="G919" s="16" t="n">
        <f aca="false">IF(A919="2025",INDEX(Products!$C$2:$C$13,MATCH(D919,Products!$A$2:$A$13,0)),INDEX(Products!$E$2:$E$13,MATCH(D919,Products!$A$2:$A$13,0)))</f>
        <v>14770</v>
      </c>
      <c r="H919" s="13" t="n">
        <f aca="false">IF(A919="2025",INDEX(Customers!$D$2:$D$41,MATCH(C919,Customers!$A$2:$A$41,0)),INDEX(Customers!$F$2:$F$41,MATCH(C919,Customers!$A$2:$A$41,0)))</f>
        <v>0.038</v>
      </c>
      <c r="I919" s="16" t="n">
        <f aca="false">F919*G919</f>
        <v>116683</v>
      </c>
      <c r="J919" s="16" t="n">
        <f aca="false">I919*(1-H919)</f>
        <v>112249.046</v>
      </c>
      <c r="K919" s="16" t="n">
        <f aca="false">J919*INDEX(Customers!$G$2:$G$41,MATCH(C919,Customers!$A$2:$A$41,0))</f>
        <v>1122.49046</v>
      </c>
      <c r="L919" s="16" t="n">
        <f aca="false">F919*INDEX(Customers!$H$2:$H$41,MATCH(C919,Customers!$A$2:$A$41,0))</f>
        <v>1501</v>
      </c>
      <c r="M919" s="16" t="n">
        <f aca="false">J919*INDEX(Customers!$I$2:$I$41,MATCH(C919,Customers!$A$2:$A$41,0))/365*Assumptions!$B$6</f>
        <v>738.07591890411</v>
      </c>
      <c r="N919" s="16" t="n">
        <f aca="false">J919-K919-L919-M919</f>
        <v>108887.479621096</v>
      </c>
      <c r="O919" s="16" t="n">
        <f aca="false">F919*IF(A919="2025",INDEX(Products!$D$2:$D$13,MATCH(D919,Products!$A$2:$A$13,0)),INDEX(Products!$F$2:$F$13,MATCH(D919,Products!$A$2:$A$13,0)))</f>
        <v>74892</v>
      </c>
      <c r="P919" s="16" t="n">
        <f aca="false">N919-O919</f>
        <v>33995.4796210959</v>
      </c>
    </row>
    <row r="920" customFormat="false" ht="15" hidden="false" customHeight="false" outlineLevel="0" collapsed="false">
      <c r="A920" s="2" t="s">
        <v>118</v>
      </c>
      <c r="B920" s="2" t="n">
        <v>7</v>
      </c>
      <c r="C920" s="2" t="s">
        <v>75</v>
      </c>
      <c r="D920" s="2" t="s">
        <v>41</v>
      </c>
      <c r="E920" s="2" t="str">
        <f aca="false">INDEX(Products!$B$2:$B$13,MATCH(D920,Products!$A$2:$A$13,0))</f>
        <v>Hydroprocessing</v>
      </c>
      <c r="F920" s="15" t="n">
        <v>8.7</v>
      </c>
      <c r="G920" s="16" t="n">
        <f aca="false">IF(A920="2025",INDEX(Products!$C$2:$C$13,MATCH(D920,Products!$A$2:$A$13,0)),INDEX(Products!$E$2:$E$13,MATCH(D920,Products!$A$2:$A$13,0)))</f>
        <v>14770</v>
      </c>
      <c r="H920" s="13" t="n">
        <f aca="false">IF(A920="2025",INDEX(Customers!$D$2:$D$41,MATCH(C920,Customers!$A$2:$A$41,0)),INDEX(Customers!$F$2:$F$41,MATCH(C920,Customers!$A$2:$A$41,0)))</f>
        <v>0.038</v>
      </c>
      <c r="I920" s="16" t="n">
        <f aca="false">F920*G920</f>
        <v>128499</v>
      </c>
      <c r="J920" s="16" t="n">
        <f aca="false">I920*(1-H920)</f>
        <v>123616.038</v>
      </c>
      <c r="K920" s="16" t="n">
        <f aca="false">J920*INDEX(Customers!$G$2:$G$41,MATCH(C920,Customers!$A$2:$A$41,0))</f>
        <v>1236.16038</v>
      </c>
      <c r="L920" s="16" t="n">
        <f aca="false">F920*INDEX(Customers!$H$2:$H$41,MATCH(C920,Customers!$A$2:$A$41,0))</f>
        <v>1653</v>
      </c>
      <c r="M920" s="16" t="n">
        <f aca="false">J920*INDEX(Customers!$I$2:$I$41,MATCH(C920,Customers!$A$2:$A$41,0))/365*Assumptions!$B$6</f>
        <v>812.817784109589</v>
      </c>
      <c r="N920" s="16" t="n">
        <f aca="false">J920-K920-L920-M920</f>
        <v>119914.05983589</v>
      </c>
      <c r="O920" s="16" t="n">
        <f aca="false">F920*IF(A920="2025",INDEX(Products!$D$2:$D$13,MATCH(D920,Products!$A$2:$A$13,0)),INDEX(Products!$F$2:$F$13,MATCH(D920,Products!$A$2:$A$13,0)))</f>
        <v>82476</v>
      </c>
      <c r="P920" s="16" t="n">
        <f aca="false">N920-O920</f>
        <v>37438.0598358904</v>
      </c>
    </row>
    <row r="921" customFormat="false" ht="15" hidden="false" customHeight="false" outlineLevel="0" collapsed="false">
      <c r="A921" s="2" t="s">
        <v>118</v>
      </c>
      <c r="B921" s="2" t="n">
        <v>8</v>
      </c>
      <c r="C921" s="2" t="s">
        <v>75</v>
      </c>
      <c r="D921" s="2" t="s">
        <v>41</v>
      </c>
      <c r="E921" s="2" t="str">
        <f aca="false">INDEX(Products!$B$2:$B$13,MATCH(D921,Products!$A$2:$A$13,0))</f>
        <v>Hydroprocessing</v>
      </c>
      <c r="F921" s="15" t="n">
        <v>5.8</v>
      </c>
      <c r="G921" s="16" t="n">
        <f aca="false">IF(A921="2025",INDEX(Products!$C$2:$C$13,MATCH(D921,Products!$A$2:$A$13,0)),INDEX(Products!$E$2:$E$13,MATCH(D921,Products!$A$2:$A$13,0)))</f>
        <v>14770</v>
      </c>
      <c r="H921" s="13" t="n">
        <f aca="false">IF(A921="2025",INDEX(Customers!$D$2:$D$41,MATCH(C921,Customers!$A$2:$A$41,0)),INDEX(Customers!$F$2:$F$41,MATCH(C921,Customers!$A$2:$A$41,0)))</f>
        <v>0.038</v>
      </c>
      <c r="I921" s="16" t="n">
        <f aca="false">F921*G921</f>
        <v>85666</v>
      </c>
      <c r="J921" s="16" t="n">
        <f aca="false">I921*(1-H921)</f>
        <v>82410.692</v>
      </c>
      <c r="K921" s="16" t="n">
        <f aca="false">J921*INDEX(Customers!$G$2:$G$41,MATCH(C921,Customers!$A$2:$A$41,0))</f>
        <v>824.10692</v>
      </c>
      <c r="L921" s="16" t="n">
        <f aca="false">F921*INDEX(Customers!$H$2:$H$41,MATCH(C921,Customers!$A$2:$A$41,0))</f>
        <v>1102</v>
      </c>
      <c r="M921" s="16" t="n">
        <f aca="false">J921*INDEX(Customers!$I$2:$I$41,MATCH(C921,Customers!$A$2:$A$41,0))/365*Assumptions!$B$6</f>
        <v>541.878522739726</v>
      </c>
      <c r="N921" s="16" t="n">
        <f aca="false">J921-K921-L921-M921</f>
        <v>79942.7065572603</v>
      </c>
      <c r="O921" s="16" t="n">
        <f aca="false">F921*IF(A921="2025",INDEX(Products!$D$2:$D$13,MATCH(D921,Products!$A$2:$A$13,0)),INDEX(Products!$F$2:$F$13,MATCH(D921,Products!$A$2:$A$13,0)))</f>
        <v>54984</v>
      </c>
      <c r="P921" s="16" t="n">
        <f aca="false">N921-O921</f>
        <v>24958.7065572603</v>
      </c>
    </row>
    <row r="922" customFormat="false" ht="15" hidden="false" customHeight="false" outlineLevel="0" collapsed="false">
      <c r="A922" s="2" t="s">
        <v>118</v>
      </c>
      <c r="B922" s="2" t="n">
        <v>9</v>
      </c>
      <c r="C922" s="2" t="s">
        <v>75</v>
      </c>
      <c r="D922" s="2" t="s">
        <v>41</v>
      </c>
      <c r="E922" s="2" t="str">
        <f aca="false">INDEX(Products!$B$2:$B$13,MATCH(D922,Products!$A$2:$A$13,0))</f>
        <v>Hydroprocessing</v>
      </c>
      <c r="F922" s="15" t="n">
        <v>8.8</v>
      </c>
      <c r="G922" s="16" t="n">
        <f aca="false">IF(A922="2025",INDEX(Products!$C$2:$C$13,MATCH(D922,Products!$A$2:$A$13,0)),INDEX(Products!$E$2:$E$13,MATCH(D922,Products!$A$2:$A$13,0)))</f>
        <v>14770</v>
      </c>
      <c r="H922" s="13" t="n">
        <f aca="false">IF(A922="2025",INDEX(Customers!$D$2:$D$41,MATCH(C922,Customers!$A$2:$A$41,0)),INDEX(Customers!$F$2:$F$41,MATCH(C922,Customers!$A$2:$A$41,0)))</f>
        <v>0.038</v>
      </c>
      <c r="I922" s="16" t="n">
        <f aca="false">F922*G922</f>
        <v>129976</v>
      </c>
      <c r="J922" s="16" t="n">
        <f aca="false">I922*(1-H922)</f>
        <v>125036.912</v>
      </c>
      <c r="K922" s="16" t="n">
        <f aca="false">J922*INDEX(Customers!$G$2:$G$41,MATCH(C922,Customers!$A$2:$A$41,0))</f>
        <v>1250.36912</v>
      </c>
      <c r="L922" s="16" t="n">
        <f aca="false">F922*INDEX(Customers!$H$2:$H$41,MATCH(C922,Customers!$A$2:$A$41,0))</f>
        <v>1672</v>
      </c>
      <c r="M922" s="16" t="n">
        <f aca="false">J922*INDEX(Customers!$I$2:$I$41,MATCH(C922,Customers!$A$2:$A$41,0))/365*Assumptions!$B$6</f>
        <v>822.160517260274</v>
      </c>
      <c r="N922" s="16" t="n">
        <f aca="false">J922-K922-L922-M922</f>
        <v>121292.38236274</v>
      </c>
      <c r="O922" s="16" t="n">
        <f aca="false">F922*IF(A922="2025",INDEX(Products!$D$2:$D$13,MATCH(D922,Products!$A$2:$A$13,0)),INDEX(Products!$F$2:$F$13,MATCH(D922,Products!$A$2:$A$13,0)))</f>
        <v>83424</v>
      </c>
      <c r="P922" s="16" t="n">
        <f aca="false">N922-O922</f>
        <v>37868.3823627397</v>
      </c>
    </row>
    <row r="923" customFormat="false" ht="15" hidden="false" customHeight="false" outlineLevel="0" collapsed="false">
      <c r="A923" s="2" t="s">
        <v>118</v>
      </c>
      <c r="B923" s="2" t="n">
        <v>10</v>
      </c>
      <c r="C923" s="2" t="s">
        <v>75</v>
      </c>
      <c r="D923" s="2" t="s">
        <v>41</v>
      </c>
      <c r="E923" s="2" t="str">
        <f aca="false">INDEX(Products!$B$2:$B$13,MATCH(D923,Products!$A$2:$A$13,0))</f>
        <v>Hydroprocessing</v>
      </c>
      <c r="F923" s="15" t="n">
        <v>8.1</v>
      </c>
      <c r="G923" s="16" t="n">
        <f aca="false">IF(A923="2025",INDEX(Products!$C$2:$C$13,MATCH(D923,Products!$A$2:$A$13,0)),INDEX(Products!$E$2:$E$13,MATCH(D923,Products!$A$2:$A$13,0)))</f>
        <v>14770</v>
      </c>
      <c r="H923" s="13" t="n">
        <f aca="false">IF(A923="2025",INDEX(Customers!$D$2:$D$41,MATCH(C923,Customers!$A$2:$A$41,0)),INDEX(Customers!$F$2:$F$41,MATCH(C923,Customers!$A$2:$A$41,0)))</f>
        <v>0.038</v>
      </c>
      <c r="I923" s="16" t="n">
        <f aca="false">F923*G923</f>
        <v>119637</v>
      </c>
      <c r="J923" s="16" t="n">
        <f aca="false">I923*(1-H923)</f>
        <v>115090.794</v>
      </c>
      <c r="K923" s="16" t="n">
        <f aca="false">J923*INDEX(Customers!$G$2:$G$41,MATCH(C923,Customers!$A$2:$A$41,0))</f>
        <v>1150.90794</v>
      </c>
      <c r="L923" s="16" t="n">
        <f aca="false">F923*INDEX(Customers!$H$2:$H$41,MATCH(C923,Customers!$A$2:$A$41,0))</f>
        <v>1539</v>
      </c>
      <c r="M923" s="16" t="n">
        <f aca="false">J923*INDEX(Customers!$I$2:$I$41,MATCH(C923,Customers!$A$2:$A$41,0))/365*Assumptions!$B$6</f>
        <v>756.761385205479</v>
      </c>
      <c r="N923" s="16" t="n">
        <f aca="false">J923-K923-L923-M923</f>
        <v>111644.124674795</v>
      </c>
      <c r="O923" s="16" t="n">
        <f aca="false">F923*IF(A923="2025",INDEX(Products!$D$2:$D$13,MATCH(D923,Products!$A$2:$A$13,0)),INDEX(Products!$F$2:$F$13,MATCH(D923,Products!$A$2:$A$13,0)))</f>
        <v>76788</v>
      </c>
      <c r="P923" s="16" t="n">
        <f aca="false">N923-O923</f>
        <v>34856.1246747945</v>
      </c>
    </row>
    <row r="924" customFormat="false" ht="15" hidden="false" customHeight="false" outlineLevel="0" collapsed="false">
      <c r="A924" s="2" t="s">
        <v>118</v>
      </c>
      <c r="B924" s="2" t="n">
        <v>11</v>
      </c>
      <c r="C924" s="2" t="s">
        <v>75</v>
      </c>
      <c r="D924" s="2" t="s">
        <v>41</v>
      </c>
      <c r="E924" s="2" t="str">
        <f aca="false">INDEX(Products!$B$2:$B$13,MATCH(D924,Products!$A$2:$A$13,0))</f>
        <v>Hydroprocessing</v>
      </c>
      <c r="F924" s="15" t="n">
        <v>9</v>
      </c>
      <c r="G924" s="16" t="n">
        <f aca="false">IF(A924="2025",INDEX(Products!$C$2:$C$13,MATCH(D924,Products!$A$2:$A$13,0)),INDEX(Products!$E$2:$E$13,MATCH(D924,Products!$A$2:$A$13,0)))</f>
        <v>14770</v>
      </c>
      <c r="H924" s="13" t="n">
        <f aca="false">IF(A924="2025",INDEX(Customers!$D$2:$D$41,MATCH(C924,Customers!$A$2:$A$41,0)),INDEX(Customers!$F$2:$F$41,MATCH(C924,Customers!$A$2:$A$41,0)))</f>
        <v>0.038</v>
      </c>
      <c r="I924" s="16" t="n">
        <f aca="false">F924*G924</f>
        <v>132930</v>
      </c>
      <c r="J924" s="16" t="n">
        <f aca="false">I924*(1-H924)</f>
        <v>127878.66</v>
      </c>
      <c r="K924" s="16" t="n">
        <f aca="false">J924*INDEX(Customers!$G$2:$G$41,MATCH(C924,Customers!$A$2:$A$41,0))</f>
        <v>1278.7866</v>
      </c>
      <c r="L924" s="16" t="n">
        <f aca="false">F924*INDEX(Customers!$H$2:$H$41,MATCH(C924,Customers!$A$2:$A$41,0))</f>
        <v>1710</v>
      </c>
      <c r="M924" s="16" t="n">
        <f aca="false">J924*INDEX(Customers!$I$2:$I$41,MATCH(C924,Customers!$A$2:$A$41,0))/365*Assumptions!$B$6</f>
        <v>840.845983561644</v>
      </c>
      <c r="N924" s="16" t="n">
        <f aca="false">J924-K924-L924-M924</f>
        <v>124049.027416438</v>
      </c>
      <c r="O924" s="16" t="n">
        <f aca="false">F924*IF(A924="2025",INDEX(Products!$D$2:$D$13,MATCH(D924,Products!$A$2:$A$13,0)),INDEX(Products!$F$2:$F$13,MATCH(D924,Products!$A$2:$A$13,0)))</f>
        <v>85320</v>
      </c>
      <c r="P924" s="16" t="n">
        <f aca="false">N924-O924</f>
        <v>38729.0274164383</v>
      </c>
    </row>
    <row r="925" customFormat="false" ht="15" hidden="false" customHeight="false" outlineLevel="0" collapsed="false">
      <c r="A925" s="2" t="s">
        <v>118</v>
      </c>
      <c r="B925" s="2" t="n">
        <v>12</v>
      </c>
      <c r="C925" s="2" t="s">
        <v>75</v>
      </c>
      <c r="D925" s="2" t="s">
        <v>41</v>
      </c>
      <c r="E925" s="2" t="str">
        <f aca="false">INDEX(Products!$B$2:$B$13,MATCH(D925,Products!$A$2:$A$13,0))</f>
        <v>Hydroprocessing</v>
      </c>
      <c r="F925" s="15" t="n">
        <v>6.5</v>
      </c>
      <c r="G925" s="16" t="n">
        <f aca="false">IF(A925="2025",INDEX(Products!$C$2:$C$13,MATCH(D925,Products!$A$2:$A$13,0)),INDEX(Products!$E$2:$E$13,MATCH(D925,Products!$A$2:$A$13,0)))</f>
        <v>14770</v>
      </c>
      <c r="H925" s="13" t="n">
        <f aca="false">IF(A925="2025",INDEX(Customers!$D$2:$D$41,MATCH(C925,Customers!$A$2:$A$41,0)),INDEX(Customers!$F$2:$F$41,MATCH(C925,Customers!$A$2:$A$41,0)))</f>
        <v>0.038</v>
      </c>
      <c r="I925" s="16" t="n">
        <f aca="false">F925*G925</f>
        <v>96005</v>
      </c>
      <c r="J925" s="16" t="n">
        <f aca="false">I925*(1-H925)</f>
        <v>92356.81</v>
      </c>
      <c r="K925" s="16" t="n">
        <f aca="false">J925*INDEX(Customers!$G$2:$G$41,MATCH(C925,Customers!$A$2:$A$41,0))</f>
        <v>923.5681</v>
      </c>
      <c r="L925" s="16" t="n">
        <f aca="false">F925*INDEX(Customers!$H$2:$H$41,MATCH(C925,Customers!$A$2:$A$41,0))</f>
        <v>1235</v>
      </c>
      <c r="M925" s="16" t="n">
        <f aca="false">J925*INDEX(Customers!$I$2:$I$41,MATCH(C925,Customers!$A$2:$A$41,0))/365*Assumptions!$B$6</f>
        <v>607.277654794521</v>
      </c>
      <c r="N925" s="16" t="n">
        <f aca="false">J925-K925-L925-M925</f>
        <v>89590.9642452055</v>
      </c>
      <c r="O925" s="16" t="n">
        <f aca="false">F925*IF(A925="2025",INDEX(Products!$D$2:$D$13,MATCH(D925,Products!$A$2:$A$13,0)),INDEX(Products!$F$2:$F$13,MATCH(D925,Products!$A$2:$A$13,0)))</f>
        <v>61620</v>
      </c>
      <c r="P925" s="16" t="n">
        <f aca="false">N925-O925</f>
        <v>27970.9642452055</v>
      </c>
    </row>
    <row r="926" customFormat="false" ht="15" hidden="false" customHeight="false" outlineLevel="0" collapsed="false">
      <c r="A926" s="2" t="s">
        <v>119</v>
      </c>
      <c r="B926" s="2" t="n">
        <v>1</v>
      </c>
      <c r="C926" s="2" t="s">
        <v>75</v>
      </c>
      <c r="D926" s="2" t="s">
        <v>41</v>
      </c>
      <c r="E926" s="2" t="str">
        <f aca="false">INDEX(Products!$B$2:$B$13,MATCH(D926,Products!$A$2:$A$13,0))</f>
        <v>Hydroprocessing</v>
      </c>
      <c r="F926" s="15" t="n">
        <v>8.2</v>
      </c>
      <c r="G926" s="16" t="n">
        <f aca="false">IF(A926="2025",INDEX(Products!$C$2:$C$13,MATCH(D926,Products!$A$2:$A$13,0)),INDEX(Products!$E$2:$E$13,MATCH(D926,Products!$A$2:$A$13,0)))</f>
        <v>15508.5</v>
      </c>
      <c r="H926" s="13" t="n">
        <f aca="false">IF(A926="2025",INDEX(Customers!$D$2:$D$41,MATCH(C926,Customers!$A$2:$A$41,0)),INDEX(Customers!$F$2:$F$41,MATCH(C926,Customers!$A$2:$A$41,0)))</f>
        <v>0.038</v>
      </c>
      <c r="I926" s="16" t="n">
        <f aca="false">F926*G926</f>
        <v>127169.7</v>
      </c>
      <c r="J926" s="16" t="n">
        <f aca="false">I926*(1-H926)</f>
        <v>122337.2514</v>
      </c>
      <c r="K926" s="16" t="n">
        <f aca="false">J926*INDEX(Customers!$G$2:$G$41,MATCH(C926,Customers!$A$2:$A$41,0))</f>
        <v>1223.372514</v>
      </c>
      <c r="L926" s="16" t="n">
        <f aca="false">F926*INDEX(Customers!$H$2:$H$41,MATCH(C926,Customers!$A$2:$A$41,0))</f>
        <v>1558</v>
      </c>
      <c r="M926" s="16" t="n">
        <f aca="false">J926*INDEX(Customers!$I$2:$I$41,MATCH(C926,Customers!$A$2:$A$41,0))/365*Assumptions!$B$6</f>
        <v>804.409324273973</v>
      </c>
      <c r="N926" s="16" t="n">
        <f aca="false">J926-K926-L926-M926</f>
        <v>118751.469561726</v>
      </c>
      <c r="O926" s="16" t="n">
        <f aca="false">F926*IF(A926="2025",INDEX(Products!$D$2:$D$13,MATCH(D926,Products!$A$2:$A$13,0)),INDEX(Products!$F$2:$F$13,MATCH(D926,Products!$A$2:$A$13,0)))</f>
        <v>80068.08</v>
      </c>
      <c r="P926" s="16" t="n">
        <f aca="false">N926-O926</f>
        <v>38683.389561726</v>
      </c>
    </row>
    <row r="927" customFormat="false" ht="15" hidden="false" customHeight="false" outlineLevel="0" collapsed="false">
      <c r="A927" s="2" t="s">
        <v>119</v>
      </c>
      <c r="B927" s="2" t="n">
        <v>2</v>
      </c>
      <c r="C927" s="2" t="s">
        <v>75</v>
      </c>
      <c r="D927" s="2" t="s">
        <v>41</v>
      </c>
      <c r="E927" s="2" t="str">
        <f aca="false">INDEX(Products!$B$2:$B$13,MATCH(D927,Products!$A$2:$A$13,0))</f>
        <v>Hydroprocessing</v>
      </c>
      <c r="F927" s="15" t="n">
        <v>5.4</v>
      </c>
      <c r="G927" s="16" t="n">
        <f aca="false">IF(A927="2025",INDEX(Products!$C$2:$C$13,MATCH(D927,Products!$A$2:$A$13,0)),INDEX(Products!$E$2:$E$13,MATCH(D927,Products!$A$2:$A$13,0)))</f>
        <v>15508.5</v>
      </c>
      <c r="H927" s="13" t="n">
        <f aca="false">IF(A927="2025",INDEX(Customers!$D$2:$D$41,MATCH(C927,Customers!$A$2:$A$41,0)),INDEX(Customers!$F$2:$F$41,MATCH(C927,Customers!$A$2:$A$41,0)))</f>
        <v>0.038</v>
      </c>
      <c r="I927" s="16" t="n">
        <f aca="false">F927*G927</f>
        <v>83745.9</v>
      </c>
      <c r="J927" s="16" t="n">
        <f aca="false">I927*(1-H927)</f>
        <v>80563.5558</v>
      </c>
      <c r="K927" s="16" t="n">
        <f aca="false">J927*INDEX(Customers!$G$2:$G$41,MATCH(C927,Customers!$A$2:$A$41,0))</f>
        <v>805.635558</v>
      </c>
      <c r="L927" s="16" t="n">
        <f aca="false">F927*INDEX(Customers!$H$2:$H$41,MATCH(C927,Customers!$A$2:$A$41,0))</f>
        <v>1026</v>
      </c>
      <c r="M927" s="16" t="n">
        <f aca="false">J927*INDEX(Customers!$I$2:$I$41,MATCH(C927,Customers!$A$2:$A$41,0))/365*Assumptions!$B$6</f>
        <v>529.732969643836</v>
      </c>
      <c r="N927" s="16" t="n">
        <f aca="false">J927-K927-L927-M927</f>
        <v>78202.1872723562</v>
      </c>
      <c r="O927" s="16" t="n">
        <f aca="false">F927*IF(A927="2025",INDEX(Products!$D$2:$D$13,MATCH(D927,Products!$A$2:$A$13,0)),INDEX(Products!$F$2:$F$13,MATCH(D927,Products!$A$2:$A$13,0)))</f>
        <v>52727.76</v>
      </c>
      <c r="P927" s="16" t="n">
        <f aca="false">N927-O927</f>
        <v>25474.4272723562</v>
      </c>
    </row>
    <row r="928" customFormat="false" ht="15" hidden="false" customHeight="false" outlineLevel="0" collapsed="false">
      <c r="A928" s="2" t="s">
        <v>119</v>
      </c>
      <c r="B928" s="2" t="n">
        <v>3</v>
      </c>
      <c r="C928" s="2" t="s">
        <v>75</v>
      </c>
      <c r="D928" s="2" t="s">
        <v>41</v>
      </c>
      <c r="E928" s="2" t="str">
        <f aca="false">INDEX(Products!$B$2:$B$13,MATCH(D928,Products!$A$2:$A$13,0))</f>
        <v>Hydroprocessing</v>
      </c>
      <c r="F928" s="15" t="n">
        <v>7.5</v>
      </c>
      <c r="G928" s="16" t="n">
        <f aca="false">IF(A928="2025",INDEX(Products!$C$2:$C$13,MATCH(D928,Products!$A$2:$A$13,0)),INDEX(Products!$E$2:$E$13,MATCH(D928,Products!$A$2:$A$13,0)))</f>
        <v>15508.5</v>
      </c>
      <c r="H928" s="13" t="n">
        <f aca="false">IF(A928="2025",INDEX(Customers!$D$2:$D$41,MATCH(C928,Customers!$A$2:$A$41,0)),INDEX(Customers!$F$2:$F$41,MATCH(C928,Customers!$A$2:$A$41,0)))</f>
        <v>0.038</v>
      </c>
      <c r="I928" s="16" t="n">
        <f aca="false">F928*G928</f>
        <v>116313.75</v>
      </c>
      <c r="J928" s="16" t="n">
        <f aca="false">I928*(1-H928)</f>
        <v>111893.8275</v>
      </c>
      <c r="K928" s="16" t="n">
        <f aca="false">J928*INDEX(Customers!$G$2:$G$41,MATCH(C928,Customers!$A$2:$A$41,0))</f>
        <v>1118.938275</v>
      </c>
      <c r="L928" s="16" t="n">
        <f aca="false">F928*INDEX(Customers!$H$2:$H$41,MATCH(C928,Customers!$A$2:$A$41,0))</f>
        <v>1425</v>
      </c>
      <c r="M928" s="16" t="n">
        <f aca="false">J928*INDEX(Customers!$I$2:$I$41,MATCH(C928,Customers!$A$2:$A$41,0))/365*Assumptions!$B$6</f>
        <v>735.740235616438</v>
      </c>
      <c r="N928" s="16" t="n">
        <f aca="false">J928-K928-L928-M928</f>
        <v>108614.148989384</v>
      </c>
      <c r="O928" s="16" t="n">
        <f aca="false">F928*IF(A928="2025",INDEX(Products!$D$2:$D$13,MATCH(D928,Products!$A$2:$A$13,0)),INDEX(Products!$F$2:$F$13,MATCH(D928,Products!$A$2:$A$13,0)))</f>
        <v>73233</v>
      </c>
      <c r="P928" s="16" t="n">
        <f aca="false">N928-O928</f>
        <v>35381.1489893836</v>
      </c>
    </row>
    <row r="929" customFormat="false" ht="15" hidden="false" customHeight="false" outlineLevel="0" collapsed="false">
      <c r="A929" s="2" t="s">
        <v>119</v>
      </c>
      <c r="B929" s="2" t="n">
        <v>4</v>
      </c>
      <c r="C929" s="2" t="s">
        <v>75</v>
      </c>
      <c r="D929" s="2" t="s">
        <v>41</v>
      </c>
      <c r="E929" s="2" t="str">
        <f aca="false">INDEX(Products!$B$2:$B$13,MATCH(D929,Products!$A$2:$A$13,0))</f>
        <v>Hydroprocessing</v>
      </c>
      <c r="F929" s="15" t="n">
        <v>8.3</v>
      </c>
      <c r="G929" s="16" t="n">
        <f aca="false">IF(A929="2025",INDEX(Products!$C$2:$C$13,MATCH(D929,Products!$A$2:$A$13,0)),INDEX(Products!$E$2:$E$13,MATCH(D929,Products!$A$2:$A$13,0)))</f>
        <v>15508.5</v>
      </c>
      <c r="H929" s="13" t="n">
        <f aca="false">IF(A929="2025",INDEX(Customers!$D$2:$D$41,MATCH(C929,Customers!$A$2:$A$41,0)),INDEX(Customers!$F$2:$F$41,MATCH(C929,Customers!$A$2:$A$41,0)))</f>
        <v>0.038</v>
      </c>
      <c r="I929" s="16" t="n">
        <f aca="false">F929*G929</f>
        <v>128720.55</v>
      </c>
      <c r="J929" s="16" t="n">
        <f aca="false">I929*(1-H929)</f>
        <v>123829.1691</v>
      </c>
      <c r="K929" s="16" t="n">
        <f aca="false">J929*INDEX(Customers!$G$2:$G$41,MATCH(C929,Customers!$A$2:$A$41,0))</f>
        <v>1238.291691</v>
      </c>
      <c r="L929" s="16" t="n">
        <f aca="false">F929*INDEX(Customers!$H$2:$H$41,MATCH(C929,Customers!$A$2:$A$41,0))</f>
        <v>1577</v>
      </c>
      <c r="M929" s="16" t="n">
        <f aca="false">J929*INDEX(Customers!$I$2:$I$41,MATCH(C929,Customers!$A$2:$A$41,0))/365*Assumptions!$B$6</f>
        <v>814.219194082192</v>
      </c>
      <c r="N929" s="16" t="n">
        <f aca="false">J929-K929-L929-M929</f>
        <v>120199.658214918</v>
      </c>
      <c r="O929" s="16" t="n">
        <f aca="false">F929*IF(A929="2025",INDEX(Products!$D$2:$D$13,MATCH(D929,Products!$A$2:$A$13,0)),INDEX(Products!$F$2:$F$13,MATCH(D929,Products!$A$2:$A$13,0)))</f>
        <v>81044.52</v>
      </c>
      <c r="P929" s="16" t="n">
        <f aca="false">N929-O929</f>
        <v>39155.1382149178</v>
      </c>
    </row>
    <row r="930" customFormat="false" ht="15" hidden="false" customHeight="false" outlineLevel="0" collapsed="false">
      <c r="A930" s="2" t="s">
        <v>119</v>
      </c>
      <c r="B930" s="2" t="n">
        <v>5</v>
      </c>
      <c r="C930" s="2" t="s">
        <v>75</v>
      </c>
      <c r="D930" s="2" t="s">
        <v>41</v>
      </c>
      <c r="E930" s="2" t="str">
        <f aca="false">INDEX(Products!$B$2:$B$13,MATCH(D930,Products!$A$2:$A$13,0))</f>
        <v>Hydroprocessing</v>
      </c>
      <c r="F930" s="15" t="n">
        <v>6.8</v>
      </c>
      <c r="G930" s="16" t="n">
        <f aca="false">IF(A930="2025",INDEX(Products!$C$2:$C$13,MATCH(D930,Products!$A$2:$A$13,0)),INDEX(Products!$E$2:$E$13,MATCH(D930,Products!$A$2:$A$13,0)))</f>
        <v>15508.5</v>
      </c>
      <c r="H930" s="13" t="n">
        <f aca="false">IF(A930="2025",INDEX(Customers!$D$2:$D$41,MATCH(C930,Customers!$A$2:$A$41,0)),INDEX(Customers!$F$2:$F$41,MATCH(C930,Customers!$A$2:$A$41,0)))</f>
        <v>0.038</v>
      </c>
      <c r="I930" s="16" t="n">
        <f aca="false">F930*G930</f>
        <v>105457.8</v>
      </c>
      <c r="J930" s="16" t="n">
        <f aca="false">I930*(1-H930)</f>
        <v>101450.4036</v>
      </c>
      <c r="K930" s="16" t="n">
        <f aca="false">J930*INDEX(Customers!$G$2:$G$41,MATCH(C930,Customers!$A$2:$A$41,0))</f>
        <v>1014.504036</v>
      </c>
      <c r="L930" s="16" t="n">
        <f aca="false">F930*INDEX(Customers!$H$2:$H$41,MATCH(C930,Customers!$A$2:$A$41,0))</f>
        <v>1292</v>
      </c>
      <c r="M930" s="16" t="n">
        <f aca="false">J930*INDEX(Customers!$I$2:$I$41,MATCH(C930,Customers!$A$2:$A$41,0))/365*Assumptions!$B$6</f>
        <v>667.071146958904</v>
      </c>
      <c r="N930" s="16" t="n">
        <f aca="false">J930-K930-L930-M930</f>
        <v>98476.8284170411</v>
      </c>
      <c r="O930" s="16" t="n">
        <f aca="false">F930*IF(A930="2025",INDEX(Products!$D$2:$D$13,MATCH(D930,Products!$A$2:$A$13,0)),INDEX(Products!$F$2:$F$13,MATCH(D930,Products!$A$2:$A$13,0)))</f>
        <v>66397.92</v>
      </c>
      <c r="P930" s="16" t="n">
        <f aca="false">N930-O930</f>
        <v>32078.9084170411</v>
      </c>
    </row>
    <row r="931" customFormat="false" ht="15" hidden="false" customHeight="false" outlineLevel="0" collapsed="false">
      <c r="A931" s="2" t="s">
        <v>119</v>
      </c>
      <c r="B931" s="2" t="n">
        <v>6</v>
      </c>
      <c r="C931" s="2" t="s">
        <v>75</v>
      </c>
      <c r="D931" s="2" t="s">
        <v>41</v>
      </c>
      <c r="E931" s="2" t="str">
        <f aca="false">INDEX(Products!$B$2:$B$13,MATCH(D931,Products!$A$2:$A$13,0))</f>
        <v>Hydroprocessing</v>
      </c>
      <c r="F931" s="15" t="n">
        <v>5.2</v>
      </c>
      <c r="G931" s="16" t="n">
        <f aca="false">IF(A931="2025",INDEX(Products!$C$2:$C$13,MATCH(D931,Products!$A$2:$A$13,0)),INDEX(Products!$E$2:$E$13,MATCH(D931,Products!$A$2:$A$13,0)))</f>
        <v>15508.5</v>
      </c>
      <c r="H931" s="13" t="n">
        <f aca="false">IF(A931="2025",INDEX(Customers!$D$2:$D$41,MATCH(C931,Customers!$A$2:$A$41,0)),INDEX(Customers!$F$2:$F$41,MATCH(C931,Customers!$A$2:$A$41,0)))</f>
        <v>0.038</v>
      </c>
      <c r="I931" s="16" t="n">
        <f aca="false">F931*G931</f>
        <v>80644.2</v>
      </c>
      <c r="J931" s="16" t="n">
        <f aca="false">I931*(1-H931)</f>
        <v>77579.7204</v>
      </c>
      <c r="K931" s="16" t="n">
        <f aca="false">J931*INDEX(Customers!$G$2:$G$41,MATCH(C931,Customers!$A$2:$A$41,0))</f>
        <v>775.797204</v>
      </c>
      <c r="L931" s="16" t="n">
        <f aca="false">F931*INDEX(Customers!$H$2:$H$41,MATCH(C931,Customers!$A$2:$A$41,0))</f>
        <v>988</v>
      </c>
      <c r="M931" s="16" t="n">
        <f aca="false">J931*INDEX(Customers!$I$2:$I$41,MATCH(C931,Customers!$A$2:$A$41,0))/365*Assumptions!$B$6</f>
        <v>510.113230027397</v>
      </c>
      <c r="N931" s="16" t="n">
        <f aca="false">J931-K931-L931-M931</f>
        <v>75305.8099659726</v>
      </c>
      <c r="O931" s="16" t="n">
        <f aca="false">F931*IF(A931="2025",INDEX(Products!$D$2:$D$13,MATCH(D931,Products!$A$2:$A$13,0)),INDEX(Products!$F$2:$F$13,MATCH(D931,Products!$A$2:$A$13,0)))</f>
        <v>50774.88</v>
      </c>
      <c r="P931" s="16" t="n">
        <f aca="false">N931-O931</f>
        <v>24530.9299659726</v>
      </c>
    </row>
    <row r="932" customFormat="false" ht="15" hidden="false" customHeight="false" outlineLevel="0" collapsed="false">
      <c r="A932" s="2" t="s">
        <v>119</v>
      </c>
      <c r="B932" s="2" t="n">
        <v>7</v>
      </c>
      <c r="C932" s="2" t="s">
        <v>75</v>
      </c>
      <c r="D932" s="2" t="s">
        <v>41</v>
      </c>
      <c r="E932" s="2" t="str">
        <f aca="false">INDEX(Products!$B$2:$B$13,MATCH(D932,Products!$A$2:$A$13,0))</f>
        <v>Hydroprocessing</v>
      </c>
      <c r="F932" s="15" t="n">
        <v>8.4</v>
      </c>
      <c r="G932" s="16" t="n">
        <f aca="false">IF(A932="2025",INDEX(Products!$C$2:$C$13,MATCH(D932,Products!$A$2:$A$13,0)),INDEX(Products!$E$2:$E$13,MATCH(D932,Products!$A$2:$A$13,0)))</f>
        <v>15508.5</v>
      </c>
      <c r="H932" s="13" t="n">
        <f aca="false">IF(A932="2025",INDEX(Customers!$D$2:$D$41,MATCH(C932,Customers!$A$2:$A$41,0)),INDEX(Customers!$F$2:$F$41,MATCH(C932,Customers!$A$2:$A$41,0)))</f>
        <v>0.038</v>
      </c>
      <c r="I932" s="16" t="n">
        <f aca="false">F932*G932</f>
        <v>130271.4</v>
      </c>
      <c r="J932" s="16" t="n">
        <f aca="false">I932*(1-H932)</f>
        <v>125321.0868</v>
      </c>
      <c r="K932" s="16" t="n">
        <f aca="false">J932*INDEX(Customers!$G$2:$G$41,MATCH(C932,Customers!$A$2:$A$41,0))</f>
        <v>1253.210868</v>
      </c>
      <c r="L932" s="16" t="n">
        <f aca="false">F932*INDEX(Customers!$H$2:$H$41,MATCH(C932,Customers!$A$2:$A$41,0))</f>
        <v>1596</v>
      </c>
      <c r="M932" s="16" t="n">
        <f aca="false">J932*INDEX(Customers!$I$2:$I$41,MATCH(C932,Customers!$A$2:$A$41,0))/365*Assumptions!$B$6</f>
        <v>824.029063890411</v>
      </c>
      <c r="N932" s="16" t="n">
        <f aca="false">J932-K932-L932-M932</f>
        <v>121647.84686811</v>
      </c>
      <c r="O932" s="16" t="n">
        <f aca="false">F932*IF(A932="2025",INDEX(Products!$D$2:$D$13,MATCH(D932,Products!$A$2:$A$13,0)),INDEX(Products!$F$2:$F$13,MATCH(D932,Products!$A$2:$A$13,0)))</f>
        <v>82020.96</v>
      </c>
      <c r="P932" s="16" t="n">
        <f aca="false">N932-O932</f>
        <v>39626.8868681096</v>
      </c>
    </row>
    <row r="933" customFormat="false" ht="15" hidden="false" customHeight="false" outlineLevel="0" collapsed="false">
      <c r="A933" s="2" t="s">
        <v>119</v>
      </c>
      <c r="B933" s="2" t="n">
        <v>8</v>
      </c>
      <c r="C933" s="2" t="s">
        <v>75</v>
      </c>
      <c r="D933" s="2" t="s">
        <v>41</v>
      </c>
      <c r="E933" s="2" t="str">
        <f aca="false">INDEX(Products!$B$2:$B$13,MATCH(D933,Products!$A$2:$A$13,0))</f>
        <v>Hydroprocessing</v>
      </c>
      <c r="F933" s="15" t="n">
        <v>6.9</v>
      </c>
      <c r="G933" s="16" t="n">
        <f aca="false">IF(A933="2025",INDEX(Products!$C$2:$C$13,MATCH(D933,Products!$A$2:$A$13,0)),INDEX(Products!$E$2:$E$13,MATCH(D933,Products!$A$2:$A$13,0)))</f>
        <v>15508.5</v>
      </c>
      <c r="H933" s="13" t="n">
        <f aca="false">IF(A933="2025",INDEX(Customers!$D$2:$D$41,MATCH(C933,Customers!$A$2:$A$41,0)),INDEX(Customers!$F$2:$F$41,MATCH(C933,Customers!$A$2:$A$41,0)))</f>
        <v>0.038</v>
      </c>
      <c r="I933" s="16" t="n">
        <f aca="false">F933*G933</f>
        <v>107008.65</v>
      </c>
      <c r="J933" s="16" t="n">
        <f aca="false">I933*(1-H933)</f>
        <v>102942.3213</v>
      </c>
      <c r="K933" s="16" t="n">
        <f aca="false">J933*INDEX(Customers!$G$2:$G$41,MATCH(C933,Customers!$A$2:$A$41,0))</f>
        <v>1029.423213</v>
      </c>
      <c r="L933" s="16" t="n">
        <f aca="false">F933*INDEX(Customers!$H$2:$H$41,MATCH(C933,Customers!$A$2:$A$41,0))</f>
        <v>1311</v>
      </c>
      <c r="M933" s="16" t="n">
        <f aca="false">J933*INDEX(Customers!$I$2:$I$41,MATCH(C933,Customers!$A$2:$A$41,0))/365*Assumptions!$B$6</f>
        <v>676.881016767123</v>
      </c>
      <c r="N933" s="16" t="n">
        <f aca="false">J933-K933-L933-M933</f>
        <v>99925.0170702329</v>
      </c>
      <c r="O933" s="16" t="n">
        <f aca="false">F933*IF(A933="2025",INDEX(Products!$D$2:$D$13,MATCH(D933,Products!$A$2:$A$13,0)),INDEX(Products!$F$2:$F$13,MATCH(D933,Products!$A$2:$A$13,0)))</f>
        <v>67374.36</v>
      </c>
      <c r="P933" s="16" t="n">
        <f aca="false">N933-O933</f>
        <v>32550.6570702329</v>
      </c>
    </row>
    <row r="934" customFormat="false" ht="15" hidden="false" customHeight="false" outlineLevel="0" collapsed="false">
      <c r="A934" s="2" t="s">
        <v>119</v>
      </c>
      <c r="B934" s="2" t="n">
        <v>9</v>
      </c>
      <c r="C934" s="2" t="s">
        <v>75</v>
      </c>
      <c r="D934" s="2" t="s">
        <v>41</v>
      </c>
      <c r="E934" s="2" t="str">
        <f aca="false">INDEX(Products!$B$2:$B$13,MATCH(D934,Products!$A$2:$A$13,0))</f>
        <v>Hydroprocessing</v>
      </c>
      <c r="F934" s="15" t="n">
        <v>5.7</v>
      </c>
      <c r="G934" s="16" t="n">
        <f aca="false">IF(A934="2025",INDEX(Products!$C$2:$C$13,MATCH(D934,Products!$A$2:$A$13,0)),INDEX(Products!$E$2:$E$13,MATCH(D934,Products!$A$2:$A$13,0)))</f>
        <v>15508.5</v>
      </c>
      <c r="H934" s="13" t="n">
        <f aca="false">IF(A934="2025",INDEX(Customers!$D$2:$D$41,MATCH(C934,Customers!$A$2:$A$41,0)),INDEX(Customers!$F$2:$F$41,MATCH(C934,Customers!$A$2:$A$41,0)))</f>
        <v>0.038</v>
      </c>
      <c r="I934" s="16" t="n">
        <f aca="false">F934*G934</f>
        <v>88398.45</v>
      </c>
      <c r="J934" s="16" t="n">
        <f aca="false">I934*(1-H934)</f>
        <v>85039.3089</v>
      </c>
      <c r="K934" s="16" t="n">
        <f aca="false">J934*INDEX(Customers!$G$2:$G$41,MATCH(C934,Customers!$A$2:$A$41,0))</f>
        <v>850.393089</v>
      </c>
      <c r="L934" s="16" t="n">
        <f aca="false">F934*INDEX(Customers!$H$2:$H$41,MATCH(C934,Customers!$A$2:$A$41,0))</f>
        <v>1083</v>
      </c>
      <c r="M934" s="16" t="n">
        <f aca="false">J934*INDEX(Customers!$I$2:$I$41,MATCH(C934,Customers!$A$2:$A$41,0))/365*Assumptions!$B$6</f>
        <v>559.162579068493</v>
      </c>
      <c r="N934" s="16" t="n">
        <f aca="false">J934-K934-L934-M934</f>
        <v>82546.7532319315</v>
      </c>
      <c r="O934" s="16" t="n">
        <f aca="false">F934*IF(A934="2025",INDEX(Products!$D$2:$D$13,MATCH(D934,Products!$A$2:$A$13,0)),INDEX(Products!$F$2:$F$13,MATCH(D934,Products!$A$2:$A$13,0)))</f>
        <v>55657.08</v>
      </c>
      <c r="P934" s="16" t="n">
        <f aca="false">N934-O934</f>
        <v>26889.6732319315</v>
      </c>
    </row>
    <row r="935" customFormat="false" ht="15" hidden="false" customHeight="false" outlineLevel="0" collapsed="false">
      <c r="A935" s="2" t="s">
        <v>119</v>
      </c>
      <c r="B935" s="2" t="n">
        <v>10</v>
      </c>
      <c r="C935" s="2" t="s">
        <v>75</v>
      </c>
      <c r="D935" s="2" t="s">
        <v>41</v>
      </c>
      <c r="E935" s="2" t="str">
        <f aca="false">INDEX(Products!$B$2:$B$13,MATCH(D935,Products!$A$2:$A$13,0))</f>
        <v>Hydroprocessing</v>
      </c>
      <c r="F935" s="15" t="n">
        <v>8.3</v>
      </c>
      <c r="G935" s="16" t="n">
        <f aca="false">IF(A935="2025",INDEX(Products!$C$2:$C$13,MATCH(D935,Products!$A$2:$A$13,0)),INDEX(Products!$E$2:$E$13,MATCH(D935,Products!$A$2:$A$13,0)))</f>
        <v>15508.5</v>
      </c>
      <c r="H935" s="13" t="n">
        <f aca="false">IF(A935="2025",INDEX(Customers!$D$2:$D$41,MATCH(C935,Customers!$A$2:$A$41,0)),INDEX(Customers!$F$2:$F$41,MATCH(C935,Customers!$A$2:$A$41,0)))</f>
        <v>0.038</v>
      </c>
      <c r="I935" s="16" t="n">
        <f aca="false">F935*G935</f>
        <v>128720.55</v>
      </c>
      <c r="J935" s="16" t="n">
        <f aca="false">I935*(1-H935)</f>
        <v>123829.1691</v>
      </c>
      <c r="K935" s="16" t="n">
        <f aca="false">J935*INDEX(Customers!$G$2:$G$41,MATCH(C935,Customers!$A$2:$A$41,0))</f>
        <v>1238.291691</v>
      </c>
      <c r="L935" s="16" t="n">
        <f aca="false">F935*INDEX(Customers!$H$2:$H$41,MATCH(C935,Customers!$A$2:$A$41,0))</f>
        <v>1577</v>
      </c>
      <c r="M935" s="16" t="n">
        <f aca="false">J935*INDEX(Customers!$I$2:$I$41,MATCH(C935,Customers!$A$2:$A$41,0))/365*Assumptions!$B$6</f>
        <v>814.219194082192</v>
      </c>
      <c r="N935" s="16" t="n">
        <f aca="false">J935-K935-L935-M935</f>
        <v>120199.658214918</v>
      </c>
      <c r="O935" s="16" t="n">
        <f aca="false">F935*IF(A935="2025",INDEX(Products!$D$2:$D$13,MATCH(D935,Products!$A$2:$A$13,0)),INDEX(Products!$F$2:$F$13,MATCH(D935,Products!$A$2:$A$13,0)))</f>
        <v>81044.52</v>
      </c>
      <c r="P935" s="16" t="n">
        <f aca="false">N935-O935</f>
        <v>39155.1382149178</v>
      </c>
    </row>
    <row r="936" customFormat="false" ht="15" hidden="false" customHeight="false" outlineLevel="0" collapsed="false">
      <c r="A936" s="2" t="s">
        <v>119</v>
      </c>
      <c r="B936" s="2" t="n">
        <v>11</v>
      </c>
      <c r="C936" s="2" t="s">
        <v>75</v>
      </c>
      <c r="D936" s="2" t="s">
        <v>41</v>
      </c>
      <c r="E936" s="2" t="str">
        <f aca="false">INDEX(Products!$B$2:$B$13,MATCH(D936,Products!$A$2:$A$13,0))</f>
        <v>Hydroprocessing</v>
      </c>
      <c r="F936" s="15" t="n">
        <v>7.9</v>
      </c>
      <c r="G936" s="16" t="n">
        <f aca="false">IF(A936="2025",INDEX(Products!$C$2:$C$13,MATCH(D936,Products!$A$2:$A$13,0)),INDEX(Products!$E$2:$E$13,MATCH(D936,Products!$A$2:$A$13,0)))</f>
        <v>15508.5</v>
      </c>
      <c r="H936" s="13" t="n">
        <f aca="false">IF(A936="2025",INDEX(Customers!$D$2:$D$41,MATCH(C936,Customers!$A$2:$A$41,0)),INDEX(Customers!$F$2:$F$41,MATCH(C936,Customers!$A$2:$A$41,0)))</f>
        <v>0.038</v>
      </c>
      <c r="I936" s="16" t="n">
        <f aca="false">F936*G936</f>
        <v>122517.15</v>
      </c>
      <c r="J936" s="16" t="n">
        <f aca="false">I936*(1-H936)</f>
        <v>117861.4983</v>
      </c>
      <c r="K936" s="16" t="n">
        <f aca="false">J936*INDEX(Customers!$G$2:$G$41,MATCH(C936,Customers!$A$2:$A$41,0))</f>
        <v>1178.614983</v>
      </c>
      <c r="L936" s="16" t="n">
        <f aca="false">F936*INDEX(Customers!$H$2:$H$41,MATCH(C936,Customers!$A$2:$A$41,0))</f>
        <v>1501</v>
      </c>
      <c r="M936" s="16" t="n">
        <f aca="false">J936*INDEX(Customers!$I$2:$I$41,MATCH(C936,Customers!$A$2:$A$41,0))/365*Assumptions!$B$6</f>
        <v>774.979714849315</v>
      </c>
      <c r="N936" s="16" t="n">
        <f aca="false">J936-K936-L936-M936</f>
        <v>114406.903602151</v>
      </c>
      <c r="O936" s="16" t="n">
        <f aca="false">F936*IF(A936="2025",INDEX(Products!$D$2:$D$13,MATCH(D936,Products!$A$2:$A$13,0)),INDEX(Products!$F$2:$F$13,MATCH(D936,Products!$A$2:$A$13,0)))</f>
        <v>77138.76</v>
      </c>
      <c r="P936" s="16" t="n">
        <f aca="false">N936-O936</f>
        <v>37268.1436021507</v>
      </c>
    </row>
    <row r="937" customFormat="false" ht="15" hidden="false" customHeight="false" outlineLevel="0" collapsed="false">
      <c r="A937" s="2" t="s">
        <v>119</v>
      </c>
      <c r="B937" s="2" t="n">
        <v>12</v>
      </c>
      <c r="C937" s="2" t="s">
        <v>75</v>
      </c>
      <c r="D937" s="2" t="s">
        <v>41</v>
      </c>
      <c r="E937" s="2" t="str">
        <f aca="false">INDEX(Products!$B$2:$B$13,MATCH(D937,Products!$A$2:$A$13,0))</f>
        <v>Hydroprocessing</v>
      </c>
      <c r="F937" s="15" t="n">
        <v>8.3</v>
      </c>
      <c r="G937" s="16" t="n">
        <f aca="false">IF(A937="2025",INDEX(Products!$C$2:$C$13,MATCH(D937,Products!$A$2:$A$13,0)),INDEX(Products!$E$2:$E$13,MATCH(D937,Products!$A$2:$A$13,0)))</f>
        <v>15508.5</v>
      </c>
      <c r="H937" s="13" t="n">
        <f aca="false">IF(A937="2025",INDEX(Customers!$D$2:$D$41,MATCH(C937,Customers!$A$2:$A$41,0)),INDEX(Customers!$F$2:$F$41,MATCH(C937,Customers!$A$2:$A$41,0)))</f>
        <v>0.038</v>
      </c>
      <c r="I937" s="16" t="n">
        <f aca="false">F937*G937</f>
        <v>128720.55</v>
      </c>
      <c r="J937" s="16" t="n">
        <f aca="false">I937*(1-H937)</f>
        <v>123829.1691</v>
      </c>
      <c r="K937" s="16" t="n">
        <f aca="false">J937*INDEX(Customers!$G$2:$G$41,MATCH(C937,Customers!$A$2:$A$41,0))</f>
        <v>1238.291691</v>
      </c>
      <c r="L937" s="16" t="n">
        <f aca="false">F937*INDEX(Customers!$H$2:$H$41,MATCH(C937,Customers!$A$2:$A$41,0))</f>
        <v>1577</v>
      </c>
      <c r="M937" s="16" t="n">
        <f aca="false">J937*INDEX(Customers!$I$2:$I$41,MATCH(C937,Customers!$A$2:$A$41,0))/365*Assumptions!$B$6</f>
        <v>814.219194082192</v>
      </c>
      <c r="N937" s="16" t="n">
        <f aca="false">J937-K937-L937-M937</f>
        <v>120199.658214918</v>
      </c>
      <c r="O937" s="16" t="n">
        <f aca="false">F937*IF(A937="2025",INDEX(Products!$D$2:$D$13,MATCH(D937,Products!$A$2:$A$13,0)),INDEX(Products!$F$2:$F$13,MATCH(D937,Products!$A$2:$A$13,0)))</f>
        <v>81044.52</v>
      </c>
      <c r="P937" s="16" t="n">
        <f aca="false">N937-O937</f>
        <v>39155.1382149178</v>
      </c>
    </row>
    <row r="938" customFormat="false" ht="15" hidden="false" customHeight="false" outlineLevel="0" collapsed="false">
      <c r="A938" s="2" t="s">
        <v>118</v>
      </c>
      <c r="B938" s="2" t="n">
        <v>1</v>
      </c>
      <c r="C938" s="2" t="s">
        <v>75</v>
      </c>
      <c r="D938" s="2" t="s">
        <v>46</v>
      </c>
      <c r="E938" s="2" t="str">
        <f aca="false">INDEX(Products!$B$2:$B$13,MATCH(D938,Products!$A$2:$A$13,0))</f>
        <v>Specialty</v>
      </c>
      <c r="F938" s="15" t="n">
        <v>5.6</v>
      </c>
      <c r="G938" s="16" t="n">
        <f aca="false">IF(A938="2025",INDEX(Products!$C$2:$C$13,MATCH(D938,Products!$A$2:$A$13,0)),INDEX(Products!$E$2:$E$13,MATCH(D938,Products!$A$2:$A$13,0)))</f>
        <v>25560</v>
      </c>
      <c r="H938" s="13" t="n">
        <f aca="false">IF(A938="2025",INDEX(Customers!$D$2:$D$41,MATCH(C938,Customers!$A$2:$A$41,0)),INDEX(Customers!$F$2:$F$41,MATCH(C938,Customers!$A$2:$A$41,0)))</f>
        <v>0.038</v>
      </c>
      <c r="I938" s="16" t="n">
        <f aca="false">F938*G938</f>
        <v>143136</v>
      </c>
      <c r="J938" s="16" t="n">
        <f aca="false">I938*(1-H938)</f>
        <v>137696.832</v>
      </c>
      <c r="K938" s="16" t="n">
        <f aca="false">J938*INDEX(Customers!$G$2:$G$41,MATCH(C938,Customers!$A$2:$A$41,0))</f>
        <v>1376.96832</v>
      </c>
      <c r="L938" s="16" t="n">
        <f aca="false">F938*INDEX(Customers!$H$2:$H$41,MATCH(C938,Customers!$A$2:$A$41,0))</f>
        <v>1064</v>
      </c>
      <c r="M938" s="16" t="n">
        <f aca="false">J938*INDEX(Customers!$I$2:$I$41,MATCH(C938,Customers!$A$2:$A$41,0))/365*Assumptions!$B$6</f>
        <v>905.403826849315</v>
      </c>
      <c r="N938" s="16" t="n">
        <f aca="false">J938-K938-L938-M938</f>
        <v>134350.459853151</v>
      </c>
      <c r="O938" s="16" t="n">
        <f aca="false">F938*IF(A938="2025",INDEX(Products!$D$2:$D$13,MATCH(D938,Products!$A$2:$A$13,0)),INDEX(Products!$F$2:$F$13,MATCH(D938,Products!$A$2:$A$13,0)))</f>
        <v>68600</v>
      </c>
      <c r="P938" s="16" t="n">
        <f aca="false">N938-O938</f>
        <v>65750.4598531507</v>
      </c>
    </row>
    <row r="939" customFormat="false" ht="15" hidden="false" customHeight="false" outlineLevel="0" collapsed="false">
      <c r="A939" s="2" t="s">
        <v>118</v>
      </c>
      <c r="B939" s="2" t="n">
        <v>2</v>
      </c>
      <c r="C939" s="2" t="s">
        <v>75</v>
      </c>
      <c r="D939" s="2" t="s">
        <v>46</v>
      </c>
      <c r="E939" s="2" t="str">
        <f aca="false">INDEX(Products!$B$2:$B$13,MATCH(D939,Products!$A$2:$A$13,0))</f>
        <v>Specialty</v>
      </c>
      <c r="F939" s="15" t="n">
        <v>4.3</v>
      </c>
      <c r="G939" s="16" t="n">
        <f aca="false">IF(A939="2025",INDEX(Products!$C$2:$C$13,MATCH(D939,Products!$A$2:$A$13,0)),INDEX(Products!$E$2:$E$13,MATCH(D939,Products!$A$2:$A$13,0)))</f>
        <v>25560</v>
      </c>
      <c r="H939" s="13" t="n">
        <f aca="false">IF(A939="2025",INDEX(Customers!$D$2:$D$41,MATCH(C939,Customers!$A$2:$A$41,0)),INDEX(Customers!$F$2:$F$41,MATCH(C939,Customers!$A$2:$A$41,0)))</f>
        <v>0.038</v>
      </c>
      <c r="I939" s="16" t="n">
        <f aca="false">F939*G939</f>
        <v>109908</v>
      </c>
      <c r="J939" s="16" t="n">
        <f aca="false">I939*(1-H939)</f>
        <v>105731.496</v>
      </c>
      <c r="K939" s="16" t="n">
        <f aca="false">J939*INDEX(Customers!$G$2:$G$41,MATCH(C939,Customers!$A$2:$A$41,0))</f>
        <v>1057.31496</v>
      </c>
      <c r="L939" s="16" t="n">
        <f aca="false">F939*INDEX(Customers!$H$2:$H$41,MATCH(C939,Customers!$A$2:$A$41,0))</f>
        <v>817</v>
      </c>
      <c r="M939" s="16" t="n">
        <f aca="false">J939*INDEX(Customers!$I$2:$I$41,MATCH(C939,Customers!$A$2:$A$41,0))/365*Assumptions!$B$6</f>
        <v>695.220795616438</v>
      </c>
      <c r="N939" s="16" t="n">
        <f aca="false">J939-K939-L939-M939</f>
        <v>103161.960244384</v>
      </c>
      <c r="O939" s="16" t="n">
        <f aca="false">F939*IF(A939="2025",INDEX(Products!$D$2:$D$13,MATCH(D939,Products!$A$2:$A$13,0)),INDEX(Products!$F$2:$F$13,MATCH(D939,Products!$A$2:$A$13,0)))</f>
        <v>52675</v>
      </c>
      <c r="P939" s="16" t="n">
        <f aca="false">N939-O939</f>
        <v>50486.9602443836</v>
      </c>
    </row>
    <row r="940" customFormat="false" ht="15" hidden="false" customHeight="false" outlineLevel="0" collapsed="false">
      <c r="A940" s="2" t="s">
        <v>118</v>
      </c>
      <c r="B940" s="2" t="n">
        <v>3</v>
      </c>
      <c r="C940" s="2" t="s">
        <v>75</v>
      </c>
      <c r="D940" s="2" t="s">
        <v>46</v>
      </c>
      <c r="E940" s="2" t="str">
        <f aca="false">INDEX(Products!$B$2:$B$13,MATCH(D940,Products!$A$2:$A$13,0))</f>
        <v>Specialty</v>
      </c>
      <c r="F940" s="15" t="n">
        <v>5.5</v>
      </c>
      <c r="G940" s="16" t="n">
        <f aca="false">IF(A940="2025",INDEX(Products!$C$2:$C$13,MATCH(D940,Products!$A$2:$A$13,0)),INDEX(Products!$E$2:$E$13,MATCH(D940,Products!$A$2:$A$13,0)))</f>
        <v>25560</v>
      </c>
      <c r="H940" s="13" t="n">
        <f aca="false">IF(A940="2025",INDEX(Customers!$D$2:$D$41,MATCH(C940,Customers!$A$2:$A$41,0)),INDEX(Customers!$F$2:$F$41,MATCH(C940,Customers!$A$2:$A$41,0)))</f>
        <v>0.038</v>
      </c>
      <c r="I940" s="16" t="n">
        <f aca="false">F940*G940</f>
        <v>140580</v>
      </c>
      <c r="J940" s="16" t="n">
        <f aca="false">I940*(1-H940)</f>
        <v>135237.96</v>
      </c>
      <c r="K940" s="16" t="n">
        <f aca="false">J940*INDEX(Customers!$G$2:$G$41,MATCH(C940,Customers!$A$2:$A$41,0))</f>
        <v>1352.3796</v>
      </c>
      <c r="L940" s="16" t="n">
        <f aca="false">F940*INDEX(Customers!$H$2:$H$41,MATCH(C940,Customers!$A$2:$A$41,0))</f>
        <v>1045</v>
      </c>
      <c r="M940" s="16" t="n">
        <f aca="false">J940*INDEX(Customers!$I$2:$I$41,MATCH(C940,Customers!$A$2:$A$41,0))/365*Assumptions!$B$6</f>
        <v>889.235901369863</v>
      </c>
      <c r="N940" s="16" t="n">
        <f aca="false">J940-K940-L940-M940</f>
        <v>131951.34449863</v>
      </c>
      <c r="O940" s="16" t="n">
        <f aca="false">F940*IF(A940="2025",INDEX(Products!$D$2:$D$13,MATCH(D940,Products!$A$2:$A$13,0)),INDEX(Products!$F$2:$F$13,MATCH(D940,Products!$A$2:$A$13,0)))</f>
        <v>67375</v>
      </c>
      <c r="P940" s="16" t="n">
        <f aca="false">N940-O940</f>
        <v>64576.3444986302</v>
      </c>
    </row>
    <row r="941" customFormat="false" ht="15" hidden="false" customHeight="false" outlineLevel="0" collapsed="false">
      <c r="A941" s="2" t="s">
        <v>118</v>
      </c>
      <c r="B941" s="2" t="n">
        <v>4</v>
      </c>
      <c r="C941" s="2" t="s">
        <v>75</v>
      </c>
      <c r="D941" s="2" t="s">
        <v>46</v>
      </c>
      <c r="E941" s="2" t="str">
        <f aca="false">INDEX(Products!$B$2:$B$13,MATCH(D941,Products!$A$2:$A$13,0))</f>
        <v>Specialty</v>
      </c>
      <c r="F941" s="15" t="n">
        <v>5.2</v>
      </c>
      <c r="G941" s="16" t="n">
        <f aca="false">IF(A941="2025",INDEX(Products!$C$2:$C$13,MATCH(D941,Products!$A$2:$A$13,0)),INDEX(Products!$E$2:$E$13,MATCH(D941,Products!$A$2:$A$13,0)))</f>
        <v>25560</v>
      </c>
      <c r="H941" s="13" t="n">
        <f aca="false">IF(A941="2025",INDEX(Customers!$D$2:$D$41,MATCH(C941,Customers!$A$2:$A$41,0)),INDEX(Customers!$F$2:$F$41,MATCH(C941,Customers!$A$2:$A$41,0)))</f>
        <v>0.038</v>
      </c>
      <c r="I941" s="16" t="n">
        <f aca="false">F941*G941</f>
        <v>132912</v>
      </c>
      <c r="J941" s="16" t="n">
        <f aca="false">I941*(1-H941)</f>
        <v>127861.344</v>
      </c>
      <c r="K941" s="16" t="n">
        <f aca="false">J941*INDEX(Customers!$G$2:$G$41,MATCH(C941,Customers!$A$2:$A$41,0))</f>
        <v>1278.61344</v>
      </c>
      <c r="L941" s="16" t="n">
        <f aca="false">F941*INDEX(Customers!$H$2:$H$41,MATCH(C941,Customers!$A$2:$A$41,0))</f>
        <v>988</v>
      </c>
      <c r="M941" s="16" t="n">
        <f aca="false">J941*INDEX(Customers!$I$2:$I$41,MATCH(C941,Customers!$A$2:$A$41,0))/365*Assumptions!$B$6</f>
        <v>840.732124931507</v>
      </c>
      <c r="N941" s="16" t="n">
        <f aca="false">J941-K941-L941-M941</f>
        <v>124753.998435068</v>
      </c>
      <c r="O941" s="16" t="n">
        <f aca="false">F941*IF(A941="2025",INDEX(Products!$D$2:$D$13,MATCH(D941,Products!$A$2:$A$13,0)),INDEX(Products!$F$2:$F$13,MATCH(D941,Products!$A$2:$A$13,0)))</f>
        <v>63700</v>
      </c>
      <c r="P941" s="16" t="n">
        <f aca="false">N941-O941</f>
        <v>61053.9984350685</v>
      </c>
    </row>
    <row r="942" customFormat="false" ht="15" hidden="false" customHeight="false" outlineLevel="0" collapsed="false">
      <c r="A942" s="2" t="s">
        <v>118</v>
      </c>
      <c r="B942" s="2" t="n">
        <v>5</v>
      </c>
      <c r="C942" s="2" t="s">
        <v>75</v>
      </c>
      <c r="D942" s="2" t="s">
        <v>46</v>
      </c>
      <c r="E942" s="2" t="str">
        <f aca="false">INDEX(Products!$B$2:$B$13,MATCH(D942,Products!$A$2:$A$13,0))</f>
        <v>Specialty</v>
      </c>
      <c r="F942" s="15" t="n">
        <v>5.2</v>
      </c>
      <c r="G942" s="16" t="n">
        <f aca="false">IF(A942="2025",INDEX(Products!$C$2:$C$13,MATCH(D942,Products!$A$2:$A$13,0)),INDEX(Products!$E$2:$E$13,MATCH(D942,Products!$A$2:$A$13,0)))</f>
        <v>25560</v>
      </c>
      <c r="H942" s="13" t="n">
        <f aca="false">IF(A942="2025",INDEX(Customers!$D$2:$D$41,MATCH(C942,Customers!$A$2:$A$41,0)),INDEX(Customers!$F$2:$F$41,MATCH(C942,Customers!$A$2:$A$41,0)))</f>
        <v>0.038</v>
      </c>
      <c r="I942" s="16" t="n">
        <f aca="false">F942*G942</f>
        <v>132912</v>
      </c>
      <c r="J942" s="16" t="n">
        <f aca="false">I942*(1-H942)</f>
        <v>127861.344</v>
      </c>
      <c r="K942" s="16" t="n">
        <f aca="false">J942*INDEX(Customers!$G$2:$G$41,MATCH(C942,Customers!$A$2:$A$41,0))</f>
        <v>1278.61344</v>
      </c>
      <c r="L942" s="16" t="n">
        <f aca="false">F942*INDEX(Customers!$H$2:$H$41,MATCH(C942,Customers!$A$2:$A$41,0))</f>
        <v>988</v>
      </c>
      <c r="M942" s="16" t="n">
        <f aca="false">J942*INDEX(Customers!$I$2:$I$41,MATCH(C942,Customers!$A$2:$A$41,0))/365*Assumptions!$B$6</f>
        <v>840.732124931507</v>
      </c>
      <c r="N942" s="16" t="n">
        <f aca="false">J942-K942-L942-M942</f>
        <v>124753.998435068</v>
      </c>
      <c r="O942" s="16" t="n">
        <f aca="false">F942*IF(A942="2025",INDEX(Products!$D$2:$D$13,MATCH(D942,Products!$A$2:$A$13,0)),INDEX(Products!$F$2:$F$13,MATCH(D942,Products!$A$2:$A$13,0)))</f>
        <v>63700</v>
      </c>
      <c r="P942" s="16" t="n">
        <f aca="false">N942-O942</f>
        <v>61053.9984350685</v>
      </c>
    </row>
    <row r="943" customFormat="false" ht="15" hidden="false" customHeight="false" outlineLevel="0" collapsed="false">
      <c r="A943" s="2" t="s">
        <v>118</v>
      </c>
      <c r="B943" s="2" t="n">
        <v>6</v>
      </c>
      <c r="C943" s="2" t="s">
        <v>75</v>
      </c>
      <c r="D943" s="2" t="s">
        <v>46</v>
      </c>
      <c r="E943" s="2" t="str">
        <f aca="false">INDEX(Products!$B$2:$B$13,MATCH(D943,Products!$A$2:$A$13,0))</f>
        <v>Specialty</v>
      </c>
      <c r="F943" s="15" t="n">
        <v>3.7</v>
      </c>
      <c r="G943" s="16" t="n">
        <f aca="false">IF(A943="2025",INDEX(Products!$C$2:$C$13,MATCH(D943,Products!$A$2:$A$13,0)),INDEX(Products!$E$2:$E$13,MATCH(D943,Products!$A$2:$A$13,0)))</f>
        <v>25560</v>
      </c>
      <c r="H943" s="13" t="n">
        <f aca="false">IF(A943="2025",INDEX(Customers!$D$2:$D$41,MATCH(C943,Customers!$A$2:$A$41,0)),INDEX(Customers!$F$2:$F$41,MATCH(C943,Customers!$A$2:$A$41,0)))</f>
        <v>0.038</v>
      </c>
      <c r="I943" s="16" t="n">
        <f aca="false">F943*G943</f>
        <v>94572</v>
      </c>
      <c r="J943" s="16" t="n">
        <f aca="false">I943*(1-H943)</f>
        <v>90978.264</v>
      </c>
      <c r="K943" s="16" t="n">
        <f aca="false">J943*INDEX(Customers!$G$2:$G$41,MATCH(C943,Customers!$A$2:$A$41,0))</f>
        <v>909.78264</v>
      </c>
      <c r="L943" s="16" t="n">
        <f aca="false">F943*INDEX(Customers!$H$2:$H$41,MATCH(C943,Customers!$A$2:$A$41,0))</f>
        <v>703</v>
      </c>
      <c r="M943" s="16" t="n">
        <f aca="false">J943*INDEX(Customers!$I$2:$I$41,MATCH(C943,Customers!$A$2:$A$41,0))/365*Assumptions!$B$6</f>
        <v>598.213242739726</v>
      </c>
      <c r="N943" s="16" t="n">
        <f aca="false">J943-K943-L943-M943</f>
        <v>88767.2681172603</v>
      </c>
      <c r="O943" s="16" t="n">
        <f aca="false">F943*IF(A943="2025",INDEX(Products!$D$2:$D$13,MATCH(D943,Products!$A$2:$A$13,0)),INDEX(Products!$F$2:$F$13,MATCH(D943,Products!$A$2:$A$13,0)))</f>
        <v>45325</v>
      </c>
      <c r="P943" s="16" t="n">
        <f aca="false">N943-O943</f>
        <v>43442.2681172603</v>
      </c>
    </row>
    <row r="944" customFormat="false" ht="15" hidden="false" customHeight="false" outlineLevel="0" collapsed="false">
      <c r="A944" s="2" t="s">
        <v>118</v>
      </c>
      <c r="B944" s="2" t="n">
        <v>7</v>
      </c>
      <c r="C944" s="2" t="s">
        <v>75</v>
      </c>
      <c r="D944" s="2" t="s">
        <v>46</v>
      </c>
      <c r="E944" s="2" t="str">
        <f aca="false">INDEX(Products!$B$2:$B$13,MATCH(D944,Products!$A$2:$A$13,0))</f>
        <v>Specialty</v>
      </c>
      <c r="F944" s="15" t="n">
        <v>4.4</v>
      </c>
      <c r="G944" s="16" t="n">
        <f aca="false">IF(A944="2025",INDEX(Products!$C$2:$C$13,MATCH(D944,Products!$A$2:$A$13,0)),INDEX(Products!$E$2:$E$13,MATCH(D944,Products!$A$2:$A$13,0)))</f>
        <v>25560</v>
      </c>
      <c r="H944" s="13" t="n">
        <f aca="false">IF(A944="2025",INDEX(Customers!$D$2:$D$41,MATCH(C944,Customers!$A$2:$A$41,0)),INDEX(Customers!$F$2:$F$41,MATCH(C944,Customers!$A$2:$A$41,0)))</f>
        <v>0.038</v>
      </c>
      <c r="I944" s="16" t="n">
        <f aca="false">F944*G944</f>
        <v>112464</v>
      </c>
      <c r="J944" s="16" t="n">
        <f aca="false">I944*(1-H944)</f>
        <v>108190.368</v>
      </c>
      <c r="K944" s="16" t="n">
        <f aca="false">J944*INDEX(Customers!$G$2:$G$41,MATCH(C944,Customers!$A$2:$A$41,0))</f>
        <v>1081.90368</v>
      </c>
      <c r="L944" s="16" t="n">
        <f aca="false">F944*INDEX(Customers!$H$2:$H$41,MATCH(C944,Customers!$A$2:$A$41,0))</f>
        <v>836</v>
      </c>
      <c r="M944" s="16" t="n">
        <f aca="false">J944*INDEX(Customers!$I$2:$I$41,MATCH(C944,Customers!$A$2:$A$41,0))/365*Assumptions!$B$6</f>
        <v>711.388721095891</v>
      </c>
      <c r="N944" s="16" t="n">
        <f aca="false">J944-K944-L944-M944</f>
        <v>105561.075598904</v>
      </c>
      <c r="O944" s="16" t="n">
        <f aca="false">F944*IF(A944="2025",INDEX(Products!$D$2:$D$13,MATCH(D944,Products!$A$2:$A$13,0)),INDEX(Products!$F$2:$F$13,MATCH(D944,Products!$A$2:$A$13,0)))</f>
        <v>53900</v>
      </c>
      <c r="P944" s="16" t="n">
        <f aca="false">N944-O944</f>
        <v>51661.0755989041</v>
      </c>
    </row>
    <row r="945" customFormat="false" ht="15" hidden="false" customHeight="false" outlineLevel="0" collapsed="false">
      <c r="A945" s="2" t="s">
        <v>118</v>
      </c>
      <c r="B945" s="2" t="n">
        <v>8</v>
      </c>
      <c r="C945" s="2" t="s">
        <v>75</v>
      </c>
      <c r="D945" s="2" t="s">
        <v>46</v>
      </c>
      <c r="E945" s="2" t="str">
        <f aca="false">INDEX(Products!$B$2:$B$13,MATCH(D945,Products!$A$2:$A$13,0))</f>
        <v>Specialty</v>
      </c>
      <c r="F945" s="15" t="n">
        <v>4.5</v>
      </c>
      <c r="G945" s="16" t="n">
        <f aca="false">IF(A945="2025",INDEX(Products!$C$2:$C$13,MATCH(D945,Products!$A$2:$A$13,0)),INDEX(Products!$E$2:$E$13,MATCH(D945,Products!$A$2:$A$13,0)))</f>
        <v>25560</v>
      </c>
      <c r="H945" s="13" t="n">
        <f aca="false">IF(A945="2025",INDEX(Customers!$D$2:$D$41,MATCH(C945,Customers!$A$2:$A$41,0)),INDEX(Customers!$F$2:$F$41,MATCH(C945,Customers!$A$2:$A$41,0)))</f>
        <v>0.038</v>
      </c>
      <c r="I945" s="16" t="n">
        <f aca="false">F945*G945</f>
        <v>115020</v>
      </c>
      <c r="J945" s="16" t="n">
        <f aca="false">I945*(1-H945)</f>
        <v>110649.24</v>
      </c>
      <c r="K945" s="16" t="n">
        <f aca="false">J945*INDEX(Customers!$G$2:$G$41,MATCH(C945,Customers!$A$2:$A$41,0))</f>
        <v>1106.4924</v>
      </c>
      <c r="L945" s="16" t="n">
        <f aca="false">F945*INDEX(Customers!$H$2:$H$41,MATCH(C945,Customers!$A$2:$A$41,0))</f>
        <v>855</v>
      </c>
      <c r="M945" s="16" t="n">
        <f aca="false">J945*INDEX(Customers!$I$2:$I$41,MATCH(C945,Customers!$A$2:$A$41,0))/365*Assumptions!$B$6</f>
        <v>727.556646575343</v>
      </c>
      <c r="N945" s="16" t="n">
        <f aca="false">J945-K945-L945-M945</f>
        <v>107960.190953425</v>
      </c>
      <c r="O945" s="16" t="n">
        <f aca="false">F945*IF(A945="2025",INDEX(Products!$D$2:$D$13,MATCH(D945,Products!$A$2:$A$13,0)),INDEX(Products!$F$2:$F$13,MATCH(D945,Products!$A$2:$A$13,0)))</f>
        <v>55125</v>
      </c>
      <c r="P945" s="16" t="n">
        <f aca="false">N945-O945</f>
        <v>52835.1909534247</v>
      </c>
    </row>
    <row r="946" customFormat="false" ht="15" hidden="false" customHeight="false" outlineLevel="0" collapsed="false">
      <c r="A946" s="2" t="s">
        <v>118</v>
      </c>
      <c r="B946" s="2" t="n">
        <v>9</v>
      </c>
      <c r="C946" s="2" t="s">
        <v>75</v>
      </c>
      <c r="D946" s="2" t="s">
        <v>46</v>
      </c>
      <c r="E946" s="2" t="str">
        <f aca="false">INDEX(Products!$B$2:$B$13,MATCH(D946,Products!$A$2:$A$13,0))</f>
        <v>Specialty</v>
      </c>
      <c r="F946" s="15" t="n">
        <v>3.9</v>
      </c>
      <c r="G946" s="16" t="n">
        <f aca="false">IF(A946="2025",INDEX(Products!$C$2:$C$13,MATCH(D946,Products!$A$2:$A$13,0)),INDEX(Products!$E$2:$E$13,MATCH(D946,Products!$A$2:$A$13,0)))</f>
        <v>25560</v>
      </c>
      <c r="H946" s="13" t="n">
        <f aca="false">IF(A946="2025",INDEX(Customers!$D$2:$D$41,MATCH(C946,Customers!$A$2:$A$41,0)),INDEX(Customers!$F$2:$F$41,MATCH(C946,Customers!$A$2:$A$41,0)))</f>
        <v>0.038</v>
      </c>
      <c r="I946" s="16" t="n">
        <f aca="false">F946*G946</f>
        <v>99684</v>
      </c>
      <c r="J946" s="16" t="n">
        <f aca="false">I946*(1-H946)</f>
        <v>95896.008</v>
      </c>
      <c r="K946" s="16" t="n">
        <f aca="false">J946*INDEX(Customers!$G$2:$G$41,MATCH(C946,Customers!$A$2:$A$41,0))</f>
        <v>958.96008</v>
      </c>
      <c r="L946" s="16" t="n">
        <f aca="false">F946*INDEX(Customers!$H$2:$H$41,MATCH(C946,Customers!$A$2:$A$41,0))</f>
        <v>741</v>
      </c>
      <c r="M946" s="16" t="n">
        <f aca="false">J946*INDEX(Customers!$I$2:$I$41,MATCH(C946,Customers!$A$2:$A$41,0))/365*Assumptions!$B$6</f>
        <v>630.54909369863</v>
      </c>
      <c r="N946" s="16" t="n">
        <f aca="false">J946-K946-L946-M946</f>
        <v>93565.4988263014</v>
      </c>
      <c r="O946" s="16" t="n">
        <f aca="false">F946*IF(A946="2025",INDEX(Products!$D$2:$D$13,MATCH(D946,Products!$A$2:$A$13,0)),INDEX(Products!$F$2:$F$13,MATCH(D946,Products!$A$2:$A$13,0)))</f>
        <v>47775</v>
      </c>
      <c r="P946" s="16" t="n">
        <f aca="false">N946-O946</f>
        <v>45790.4988263014</v>
      </c>
    </row>
    <row r="947" customFormat="false" ht="15" hidden="false" customHeight="false" outlineLevel="0" collapsed="false">
      <c r="A947" s="2" t="s">
        <v>118</v>
      </c>
      <c r="B947" s="2" t="n">
        <v>10</v>
      </c>
      <c r="C947" s="2" t="s">
        <v>75</v>
      </c>
      <c r="D947" s="2" t="s">
        <v>46</v>
      </c>
      <c r="E947" s="2" t="str">
        <f aca="false">INDEX(Products!$B$2:$B$13,MATCH(D947,Products!$A$2:$A$13,0))</f>
        <v>Specialty</v>
      </c>
      <c r="F947" s="15" t="n">
        <v>4.8</v>
      </c>
      <c r="G947" s="16" t="n">
        <f aca="false">IF(A947="2025",INDEX(Products!$C$2:$C$13,MATCH(D947,Products!$A$2:$A$13,0)),INDEX(Products!$E$2:$E$13,MATCH(D947,Products!$A$2:$A$13,0)))</f>
        <v>25560</v>
      </c>
      <c r="H947" s="13" t="n">
        <f aca="false">IF(A947="2025",INDEX(Customers!$D$2:$D$41,MATCH(C947,Customers!$A$2:$A$41,0)),INDEX(Customers!$F$2:$F$41,MATCH(C947,Customers!$A$2:$A$41,0)))</f>
        <v>0.038</v>
      </c>
      <c r="I947" s="16" t="n">
        <f aca="false">F947*G947</f>
        <v>122688</v>
      </c>
      <c r="J947" s="16" t="n">
        <f aca="false">I947*(1-H947)</f>
        <v>118025.856</v>
      </c>
      <c r="K947" s="16" t="n">
        <f aca="false">J947*INDEX(Customers!$G$2:$G$41,MATCH(C947,Customers!$A$2:$A$41,0))</f>
        <v>1180.25856</v>
      </c>
      <c r="L947" s="16" t="n">
        <f aca="false">F947*INDEX(Customers!$H$2:$H$41,MATCH(C947,Customers!$A$2:$A$41,0))</f>
        <v>912</v>
      </c>
      <c r="M947" s="16" t="n">
        <f aca="false">J947*INDEX(Customers!$I$2:$I$41,MATCH(C947,Customers!$A$2:$A$41,0))/365*Assumptions!$B$6</f>
        <v>776.060423013699</v>
      </c>
      <c r="N947" s="16" t="n">
        <f aca="false">J947-K947-L947-M947</f>
        <v>115157.537016986</v>
      </c>
      <c r="O947" s="16" t="n">
        <f aca="false">F947*IF(A947="2025",INDEX(Products!$D$2:$D$13,MATCH(D947,Products!$A$2:$A$13,0)),INDEX(Products!$F$2:$F$13,MATCH(D947,Products!$A$2:$A$13,0)))</f>
        <v>58800</v>
      </c>
      <c r="P947" s="16" t="n">
        <f aca="false">N947-O947</f>
        <v>56357.5370169863</v>
      </c>
    </row>
    <row r="948" customFormat="false" ht="15" hidden="false" customHeight="false" outlineLevel="0" collapsed="false">
      <c r="A948" s="2" t="s">
        <v>118</v>
      </c>
      <c r="B948" s="2" t="n">
        <v>11</v>
      </c>
      <c r="C948" s="2" t="s">
        <v>75</v>
      </c>
      <c r="D948" s="2" t="s">
        <v>46</v>
      </c>
      <c r="E948" s="2" t="str">
        <f aca="false">INDEX(Products!$B$2:$B$13,MATCH(D948,Products!$A$2:$A$13,0))</f>
        <v>Specialty</v>
      </c>
      <c r="F948" s="15" t="n">
        <v>5</v>
      </c>
      <c r="G948" s="16" t="n">
        <f aca="false">IF(A948="2025",INDEX(Products!$C$2:$C$13,MATCH(D948,Products!$A$2:$A$13,0)),INDEX(Products!$E$2:$E$13,MATCH(D948,Products!$A$2:$A$13,0)))</f>
        <v>25560</v>
      </c>
      <c r="H948" s="13" t="n">
        <f aca="false">IF(A948="2025",INDEX(Customers!$D$2:$D$41,MATCH(C948,Customers!$A$2:$A$41,0)),INDEX(Customers!$F$2:$F$41,MATCH(C948,Customers!$A$2:$A$41,0)))</f>
        <v>0.038</v>
      </c>
      <c r="I948" s="16" t="n">
        <f aca="false">F948*G948</f>
        <v>127800</v>
      </c>
      <c r="J948" s="16" t="n">
        <f aca="false">I948*(1-H948)</f>
        <v>122943.6</v>
      </c>
      <c r="K948" s="16" t="n">
        <f aca="false">J948*INDEX(Customers!$G$2:$G$41,MATCH(C948,Customers!$A$2:$A$41,0))</f>
        <v>1229.436</v>
      </c>
      <c r="L948" s="16" t="n">
        <f aca="false">F948*INDEX(Customers!$H$2:$H$41,MATCH(C948,Customers!$A$2:$A$41,0))</f>
        <v>950</v>
      </c>
      <c r="M948" s="16" t="n">
        <f aca="false">J948*INDEX(Customers!$I$2:$I$41,MATCH(C948,Customers!$A$2:$A$41,0))/365*Assumptions!$B$6</f>
        <v>808.396273972603</v>
      </c>
      <c r="N948" s="16" t="n">
        <f aca="false">J948-K948-L948-M948</f>
        <v>119955.767726027</v>
      </c>
      <c r="O948" s="16" t="n">
        <f aca="false">F948*IF(A948="2025",INDEX(Products!$D$2:$D$13,MATCH(D948,Products!$A$2:$A$13,0)),INDEX(Products!$F$2:$F$13,MATCH(D948,Products!$A$2:$A$13,0)))</f>
        <v>61250</v>
      </c>
      <c r="P948" s="16" t="n">
        <f aca="false">N948-O948</f>
        <v>58705.7677260274</v>
      </c>
    </row>
    <row r="949" customFormat="false" ht="15" hidden="false" customHeight="false" outlineLevel="0" collapsed="false">
      <c r="A949" s="2" t="s">
        <v>118</v>
      </c>
      <c r="B949" s="2" t="n">
        <v>12</v>
      </c>
      <c r="C949" s="2" t="s">
        <v>75</v>
      </c>
      <c r="D949" s="2" t="s">
        <v>46</v>
      </c>
      <c r="E949" s="2" t="str">
        <f aca="false">INDEX(Products!$B$2:$B$13,MATCH(D949,Products!$A$2:$A$13,0))</f>
        <v>Specialty</v>
      </c>
      <c r="F949" s="15" t="n">
        <v>5.8</v>
      </c>
      <c r="G949" s="16" t="n">
        <f aca="false">IF(A949="2025",INDEX(Products!$C$2:$C$13,MATCH(D949,Products!$A$2:$A$13,0)),INDEX(Products!$E$2:$E$13,MATCH(D949,Products!$A$2:$A$13,0)))</f>
        <v>25560</v>
      </c>
      <c r="H949" s="13" t="n">
        <f aca="false">IF(A949="2025",INDEX(Customers!$D$2:$D$41,MATCH(C949,Customers!$A$2:$A$41,0)),INDEX(Customers!$F$2:$F$41,MATCH(C949,Customers!$A$2:$A$41,0)))</f>
        <v>0.038</v>
      </c>
      <c r="I949" s="16" t="n">
        <f aca="false">F949*G949</f>
        <v>148248</v>
      </c>
      <c r="J949" s="16" t="n">
        <f aca="false">I949*(1-H949)</f>
        <v>142614.576</v>
      </c>
      <c r="K949" s="16" t="n">
        <f aca="false">J949*INDEX(Customers!$G$2:$G$41,MATCH(C949,Customers!$A$2:$A$41,0))</f>
        <v>1426.14576</v>
      </c>
      <c r="L949" s="16" t="n">
        <f aca="false">F949*INDEX(Customers!$H$2:$H$41,MATCH(C949,Customers!$A$2:$A$41,0))</f>
        <v>1102</v>
      </c>
      <c r="M949" s="16" t="n">
        <f aca="false">J949*INDEX(Customers!$I$2:$I$41,MATCH(C949,Customers!$A$2:$A$41,0))/365*Assumptions!$B$6</f>
        <v>937.739677808219</v>
      </c>
      <c r="N949" s="16" t="n">
        <f aca="false">J949-K949-L949-M949</f>
        <v>139148.690562192</v>
      </c>
      <c r="O949" s="16" t="n">
        <f aca="false">F949*IF(A949="2025",INDEX(Products!$D$2:$D$13,MATCH(D949,Products!$A$2:$A$13,0)),INDEX(Products!$F$2:$F$13,MATCH(D949,Products!$A$2:$A$13,0)))</f>
        <v>71050</v>
      </c>
      <c r="P949" s="16" t="n">
        <f aca="false">N949-O949</f>
        <v>68098.6905621918</v>
      </c>
    </row>
    <row r="950" customFormat="false" ht="15" hidden="false" customHeight="false" outlineLevel="0" collapsed="false">
      <c r="A950" s="2" t="s">
        <v>119</v>
      </c>
      <c r="B950" s="2" t="n">
        <v>1</v>
      </c>
      <c r="C950" s="2" t="s">
        <v>75</v>
      </c>
      <c r="D950" s="2" t="s">
        <v>46</v>
      </c>
      <c r="E950" s="2" t="str">
        <f aca="false">INDEX(Products!$B$2:$B$13,MATCH(D950,Products!$A$2:$A$13,0))</f>
        <v>Specialty</v>
      </c>
      <c r="F950" s="15" t="n">
        <v>5.6</v>
      </c>
      <c r="G950" s="16" t="n">
        <f aca="false">IF(A950="2025",INDEX(Products!$C$2:$C$13,MATCH(D950,Products!$A$2:$A$13,0)),INDEX(Products!$E$2:$E$13,MATCH(D950,Products!$A$2:$A$13,0)))</f>
        <v>26838</v>
      </c>
      <c r="H950" s="13" t="n">
        <f aca="false">IF(A950="2025",INDEX(Customers!$D$2:$D$41,MATCH(C950,Customers!$A$2:$A$41,0)),INDEX(Customers!$F$2:$F$41,MATCH(C950,Customers!$A$2:$A$41,0)))</f>
        <v>0.038</v>
      </c>
      <c r="I950" s="16" t="n">
        <f aca="false">F950*G950</f>
        <v>150292.8</v>
      </c>
      <c r="J950" s="16" t="n">
        <f aca="false">I950*(1-H950)</f>
        <v>144581.6736</v>
      </c>
      <c r="K950" s="16" t="n">
        <f aca="false">J950*INDEX(Customers!$G$2:$G$41,MATCH(C950,Customers!$A$2:$A$41,0))</f>
        <v>1445.816736</v>
      </c>
      <c r="L950" s="16" t="n">
        <f aca="false">F950*INDEX(Customers!$H$2:$H$41,MATCH(C950,Customers!$A$2:$A$41,0))</f>
        <v>1064</v>
      </c>
      <c r="M950" s="16" t="n">
        <f aca="false">J950*INDEX(Customers!$I$2:$I$41,MATCH(C950,Customers!$A$2:$A$41,0))/365*Assumptions!$B$6</f>
        <v>950.674018191781</v>
      </c>
      <c r="N950" s="16" t="n">
        <f aca="false">J950-K950-L950-M950</f>
        <v>141121.182845808</v>
      </c>
      <c r="O950" s="16" t="n">
        <f aca="false">F950*IF(A950="2025",INDEX(Products!$D$2:$D$13,MATCH(D950,Products!$A$2:$A$13,0)),INDEX(Products!$F$2:$F$13,MATCH(D950,Products!$A$2:$A$13,0)))</f>
        <v>70658</v>
      </c>
      <c r="P950" s="16" t="n">
        <f aca="false">N950-O950</f>
        <v>70463.1828458082</v>
      </c>
    </row>
    <row r="951" customFormat="false" ht="15" hidden="false" customHeight="false" outlineLevel="0" collapsed="false">
      <c r="A951" s="2" t="s">
        <v>119</v>
      </c>
      <c r="B951" s="2" t="n">
        <v>2</v>
      </c>
      <c r="C951" s="2" t="s">
        <v>75</v>
      </c>
      <c r="D951" s="2" t="s">
        <v>46</v>
      </c>
      <c r="E951" s="2" t="str">
        <f aca="false">INDEX(Products!$B$2:$B$13,MATCH(D951,Products!$A$2:$A$13,0))</f>
        <v>Specialty</v>
      </c>
      <c r="F951" s="15" t="n">
        <v>5.3</v>
      </c>
      <c r="G951" s="16" t="n">
        <f aca="false">IF(A951="2025",INDEX(Products!$C$2:$C$13,MATCH(D951,Products!$A$2:$A$13,0)),INDEX(Products!$E$2:$E$13,MATCH(D951,Products!$A$2:$A$13,0)))</f>
        <v>26838</v>
      </c>
      <c r="H951" s="13" t="n">
        <f aca="false">IF(A951="2025",INDEX(Customers!$D$2:$D$41,MATCH(C951,Customers!$A$2:$A$41,0)),INDEX(Customers!$F$2:$F$41,MATCH(C951,Customers!$A$2:$A$41,0)))</f>
        <v>0.038</v>
      </c>
      <c r="I951" s="16" t="n">
        <f aca="false">F951*G951</f>
        <v>142241.4</v>
      </c>
      <c r="J951" s="16" t="n">
        <f aca="false">I951*(1-H951)</f>
        <v>136836.2268</v>
      </c>
      <c r="K951" s="16" t="n">
        <f aca="false">J951*INDEX(Customers!$G$2:$G$41,MATCH(C951,Customers!$A$2:$A$41,0))</f>
        <v>1368.362268</v>
      </c>
      <c r="L951" s="16" t="n">
        <f aca="false">F951*INDEX(Customers!$H$2:$H$41,MATCH(C951,Customers!$A$2:$A$41,0))</f>
        <v>1007</v>
      </c>
      <c r="M951" s="16" t="n">
        <f aca="false">J951*INDEX(Customers!$I$2:$I$41,MATCH(C951,Customers!$A$2:$A$41,0))/365*Assumptions!$B$6</f>
        <v>899.745052931507</v>
      </c>
      <c r="N951" s="16" t="n">
        <f aca="false">J951-K951-L951-M951</f>
        <v>133561.119479069</v>
      </c>
      <c r="O951" s="16" t="n">
        <f aca="false">F951*IF(A951="2025",INDEX(Products!$D$2:$D$13,MATCH(D951,Products!$A$2:$A$13,0)),INDEX(Products!$F$2:$F$13,MATCH(D951,Products!$A$2:$A$13,0)))</f>
        <v>66872.75</v>
      </c>
      <c r="P951" s="16" t="n">
        <f aca="false">N951-O951</f>
        <v>66688.3694790685</v>
      </c>
    </row>
    <row r="952" customFormat="false" ht="15" hidden="false" customHeight="false" outlineLevel="0" collapsed="false">
      <c r="A952" s="2" t="s">
        <v>119</v>
      </c>
      <c r="B952" s="2" t="n">
        <v>3</v>
      </c>
      <c r="C952" s="2" t="s">
        <v>75</v>
      </c>
      <c r="D952" s="2" t="s">
        <v>46</v>
      </c>
      <c r="E952" s="2" t="str">
        <f aca="false">INDEX(Products!$B$2:$B$13,MATCH(D952,Products!$A$2:$A$13,0))</f>
        <v>Specialty</v>
      </c>
      <c r="F952" s="15" t="n">
        <v>4.3</v>
      </c>
      <c r="G952" s="16" t="n">
        <f aca="false">IF(A952="2025",INDEX(Products!$C$2:$C$13,MATCH(D952,Products!$A$2:$A$13,0)),INDEX(Products!$E$2:$E$13,MATCH(D952,Products!$A$2:$A$13,0)))</f>
        <v>26838</v>
      </c>
      <c r="H952" s="13" t="n">
        <f aca="false">IF(A952="2025",INDEX(Customers!$D$2:$D$41,MATCH(C952,Customers!$A$2:$A$41,0)),INDEX(Customers!$F$2:$F$41,MATCH(C952,Customers!$A$2:$A$41,0)))</f>
        <v>0.038</v>
      </c>
      <c r="I952" s="16" t="n">
        <f aca="false">F952*G952</f>
        <v>115403.4</v>
      </c>
      <c r="J952" s="16" t="n">
        <f aca="false">I952*(1-H952)</f>
        <v>111018.0708</v>
      </c>
      <c r="K952" s="16" t="n">
        <f aca="false">J952*INDEX(Customers!$G$2:$G$41,MATCH(C952,Customers!$A$2:$A$41,0))</f>
        <v>1110.180708</v>
      </c>
      <c r="L952" s="16" t="n">
        <f aca="false">F952*INDEX(Customers!$H$2:$H$41,MATCH(C952,Customers!$A$2:$A$41,0))</f>
        <v>817</v>
      </c>
      <c r="M952" s="16" t="n">
        <f aca="false">J952*INDEX(Customers!$I$2:$I$41,MATCH(C952,Customers!$A$2:$A$41,0))/365*Assumptions!$B$6</f>
        <v>729.98183539726</v>
      </c>
      <c r="N952" s="16" t="n">
        <f aca="false">J952-K952-L952-M952</f>
        <v>108360.908256603</v>
      </c>
      <c r="O952" s="16" t="n">
        <f aca="false">F952*IF(A952="2025",INDEX(Products!$D$2:$D$13,MATCH(D952,Products!$A$2:$A$13,0)),INDEX(Products!$F$2:$F$13,MATCH(D952,Products!$A$2:$A$13,0)))</f>
        <v>54255.25</v>
      </c>
      <c r="P952" s="16" t="n">
        <f aca="false">N952-O952</f>
        <v>54105.6582566027</v>
      </c>
    </row>
    <row r="953" customFormat="false" ht="15" hidden="false" customHeight="false" outlineLevel="0" collapsed="false">
      <c r="A953" s="2" t="s">
        <v>119</v>
      </c>
      <c r="B953" s="2" t="n">
        <v>4</v>
      </c>
      <c r="C953" s="2" t="s">
        <v>75</v>
      </c>
      <c r="D953" s="2" t="s">
        <v>46</v>
      </c>
      <c r="E953" s="2" t="str">
        <f aca="false">INDEX(Products!$B$2:$B$13,MATCH(D953,Products!$A$2:$A$13,0))</f>
        <v>Specialty</v>
      </c>
      <c r="F953" s="15" t="n">
        <v>4.6</v>
      </c>
      <c r="G953" s="16" t="n">
        <f aca="false">IF(A953="2025",INDEX(Products!$C$2:$C$13,MATCH(D953,Products!$A$2:$A$13,0)),INDEX(Products!$E$2:$E$13,MATCH(D953,Products!$A$2:$A$13,0)))</f>
        <v>26838</v>
      </c>
      <c r="H953" s="13" t="n">
        <f aca="false">IF(A953="2025",INDEX(Customers!$D$2:$D$41,MATCH(C953,Customers!$A$2:$A$41,0)),INDEX(Customers!$F$2:$F$41,MATCH(C953,Customers!$A$2:$A$41,0)))</f>
        <v>0.038</v>
      </c>
      <c r="I953" s="16" t="n">
        <f aca="false">F953*G953</f>
        <v>123454.8</v>
      </c>
      <c r="J953" s="16" t="n">
        <f aca="false">I953*(1-H953)</f>
        <v>118763.5176</v>
      </c>
      <c r="K953" s="16" t="n">
        <f aca="false">J953*INDEX(Customers!$G$2:$G$41,MATCH(C953,Customers!$A$2:$A$41,0))</f>
        <v>1187.635176</v>
      </c>
      <c r="L953" s="16" t="n">
        <f aca="false">F953*INDEX(Customers!$H$2:$H$41,MATCH(C953,Customers!$A$2:$A$41,0))</f>
        <v>874</v>
      </c>
      <c r="M953" s="16" t="n">
        <f aca="false">J953*INDEX(Customers!$I$2:$I$41,MATCH(C953,Customers!$A$2:$A$41,0))/365*Assumptions!$B$6</f>
        <v>780.910800657534</v>
      </c>
      <c r="N953" s="16" t="n">
        <f aca="false">J953-K953-L953-M953</f>
        <v>115920.971623342</v>
      </c>
      <c r="O953" s="16" t="n">
        <f aca="false">F953*IF(A953="2025",INDEX(Products!$D$2:$D$13,MATCH(D953,Products!$A$2:$A$13,0)),INDEX(Products!$F$2:$F$13,MATCH(D953,Products!$A$2:$A$13,0)))</f>
        <v>58040.5</v>
      </c>
      <c r="P953" s="16" t="n">
        <f aca="false">N953-O953</f>
        <v>57880.4716233425</v>
      </c>
    </row>
    <row r="954" customFormat="false" ht="15" hidden="false" customHeight="false" outlineLevel="0" collapsed="false">
      <c r="A954" s="2" t="s">
        <v>119</v>
      </c>
      <c r="B954" s="2" t="n">
        <v>5</v>
      </c>
      <c r="C954" s="2" t="s">
        <v>75</v>
      </c>
      <c r="D954" s="2" t="s">
        <v>46</v>
      </c>
      <c r="E954" s="2" t="str">
        <f aca="false">INDEX(Products!$B$2:$B$13,MATCH(D954,Products!$A$2:$A$13,0))</f>
        <v>Specialty</v>
      </c>
      <c r="F954" s="15" t="n">
        <v>4.9</v>
      </c>
      <c r="G954" s="16" t="n">
        <f aca="false">IF(A954="2025",INDEX(Products!$C$2:$C$13,MATCH(D954,Products!$A$2:$A$13,0)),INDEX(Products!$E$2:$E$13,MATCH(D954,Products!$A$2:$A$13,0)))</f>
        <v>26838</v>
      </c>
      <c r="H954" s="13" t="n">
        <f aca="false">IF(A954="2025",INDEX(Customers!$D$2:$D$41,MATCH(C954,Customers!$A$2:$A$41,0)),INDEX(Customers!$F$2:$F$41,MATCH(C954,Customers!$A$2:$A$41,0)))</f>
        <v>0.038</v>
      </c>
      <c r="I954" s="16" t="n">
        <f aca="false">F954*G954</f>
        <v>131506.2</v>
      </c>
      <c r="J954" s="16" t="n">
        <f aca="false">I954*(1-H954)</f>
        <v>126508.9644</v>
      </c>
      <c r="K954" s="16" t="n">
        <f aca="false">J954*INDEX(Customers!$G$2:$G$41,MATCH(C954,Customers!$A$2:$A$41,0))</f>
        <v>1265.089644</v>
      </c>
      <c r="L954" s="16" t="n">
        <f aca="false">F954*INDEX(Customers!$H$2:$H$41,MATCH(C954,Customers!$A$2:$A$41,0))</f>
        <v>931</v>
      </c>
      <c r="M954" s="16" t="n">
        <f aca="false">J954*INDEX(Customers!$I$2:$I$41,MATCH(C954,Customers!$A$2:$A$41,0))/365*Assumptions!$B$6</f>
        <v>831.839765917808</v>
      </c>
      <c r="N954" s="16" t="n">
        <f aca="false">J954-K954-L954-M954</f>
        <v>123481.034990082</v>
      </c>
      <c r="O954" s="16" t="n">
        <f aca="false">F954*IF(A954="2025",INDEX(Products!$D$2:$D$13,MATCH(D954,Products!$A$2:$A$13,0)),INDEX(Products!$F$2:$F$13,MATCH(D954,Products!$A$2:$A$13,0)))</f>
        <v>61825.75</v>
      </c>
      <c r="P954" s="16" t="n">
        <f aca="false">N954-O954</f>
        <v>61655.2849900822</v>
      </c>
    </row>
    <row r="955" customFormat="false" ht="15" hidden="false" customHeight="false" outlineLevel="0" collapsed="false">
      <c r="A955" s="2" t="s">
        <v>119</v>
      </c>
      <c r="B955" s="2" t="n">
        <v>6</v>
      </c>
      <c r="C955" s="2" t="s">
        <v>75</v>
      </c>
      <c r="D955" s="2" t="s">
        <v>46</v>
      </c>
      <c r="E955" s="2" t="str">
        <f aca="false">INDEX(Products!$B$2:$B$13,MATCH(D955,Products!$A$2:$A$13,0))</f>
        <v>Specialty</v>
      </c>
      <c r="F955" s="15" t="n">
        <v>4.3</v>
      </c>
      <c r="G955" s="16" t="n">
        <f aca="false">IF(A955="2025",INDEX(Products!$C$2:$C$13,MATCH(D955,Products!$A$2:$A$13,0)),INDEX(Products!$E$2:$E$13,MATCH(D955,Products!$A$2:$A$13,0)))</f>
        <v>26838</v>
      </c>
      <c r="H955" s="13" t="n">
        <f aca="false">IF(A955="2025",INDEX(Customers!$D$2:$D$41,MATCH(C955,Customers!$A$2:$A$41,0)),INDEX(Customers!$F$2:$F$41,MATCH(C955,Customers!$A$2:$A$41,0)))</f>
        <v>0.038</v>
      </c>
      <c r="I955" s="16" t="n">
        <f aca="false">F955*G955</f>
        <v>115403.4</v>
      </c>
      <c r="J955" s="16" t="n">
        <f aca="false">I955*(1-H955)</f>
        <v>111018.0708</v>
      </c>
      <c r="K955" s="16" t="n">
        <f aca="false">J955*INDEX(Customers!$G$2:$G$41,MATCH(C955,Customers!$A$2:$A$41,0))</f>
        <v>1110.180708</v>
      </c>
      <c r="L955" s="16" t="n">
        <f aca="false">F955*INDEX(Customers!$H$2:$H$41,MATCH(C955,Customers!$A$2:$A$41,0))</f>
        <v>817</v>
      </c>
      <c r="M955" s="16" t="n">
        <f aca="false">J955*INDEX(Customers!$I$2:$I$41,MATCH(C955,Customers!$A$2:$A$41,0))/365*Assumptions!$B$6</f>
        <v>729.98183539726</v>
      </c>
      <c r="N955" s="16" t="n">
        <f aca="false">J955-K955-L955-M955</f>
        <v>108360.908256603</v>
      </c>
      <c r="O955" s="16" t="n">
        <f aca="false">F955*IF(A955="2025",INDEX(Products!$D$2:$D$13,MATCH(D955,Products!$A$2:$A$13,0)),INDEX(Products!$F$2:$F$13,MATCH(D955,Products!$A$2:$A$13,0)))</f>
        <v>54255.25</v>
      </c>
      <c r="P955" s="16" t="n">
        <f aca="false">N955-O955</f>
        <v>54105.6582566027</v>
      </c>
    </row>
    <row r="956" customFormat="false" ht="15" hidden="false" customHeight="false" outlineLevel="0" collapsed="false">
      <c r="A956" s="2" t="s">
        <v>119</v>
      </c>
      <c r="B956" s="2" t="n">
        <v>7</v>
      </c>
      <c r="C956" s="2" t="s">
        <v>75</v>
      </c>
      <c r="D956" s="2" t="s">
        <v>46</v>
      </c>
      <c r="E956" s="2" t="str">
        <f aca="false">INDEX(Products!$B$2:$B$13,MATCH(D956,Products!$A$2:$A$13,0))</f>
        <v>Specialty</v>
      </c>
      <c r="F956" s="15" t="n">
        <v>4.7</v>
      </c>
      <c r="G956" s="16" t="n">
        <f aca="false">IF(A956="2025",INDEX(Products!$C$2:$C$13,MATCH(D956,Products!$A$2:$A$13,0)),INDEX(Products!$E$2:$E$13,MATCH(D956,Products!$A$2:$A$13,0)))</f>
        <v>26838</v>
      </c>
      <c r="H956" s="13" t="n">
        <f aca="false">IF(A956="2025",INDEX(Customers!$D$2:$D$41,MATCH(C956,Customers!$A$2:$A$41,0)),INDEX(Customers!$F$2:$F$41,MATCH(C956,Customers!$A$2:$A$41,0)))</f>
        <v>0.038</v>
      </c>
      <c r="I956" s="16" t="n">
        <f aca="false">F956*G956</f>
        <v>126138.6</v>
      </c>
      <c r="J956" s="16" t="n">
        <f aca="false">I956*(1-H956)</f>
        <v>121345.3332</v>
      </c>
      <c r="K956" s="16" t="n">
        <f aca="false">J956*INDEX(Customers!$G$2:$G$41,MATCH(C956,Customers!$A$2:$A$41,0))</f>
        <v>1213.453332</v>
      </c>
      <c r="L956" s="16" t="n">
        <f aca="false">F956*INDEX(Customers!$H$2:$H$41,MATCH(C956,Customers!$A$2:$A$41,0))</f>
        <v>893</v>
      </c>
      <c r="M956" s="16" t="n">
        <f aca="false">J956*INDEX(Customers!$I$2:$I$41,MATCH(C956,Customers!$A$2:$A$41,0))/365*Assumptions!$B$6</f>
        <v>797.887122410959</v>
      </c>
      <c r="N956" s="16" t="n">
        <f aca="false">J956-K956-L956-M956</f>
        <v>118440.992745589</v>
      </c>
      <c r="O956" s="16" t="n">
        <f aca="false">F956*IF(A956="2025",INDEX(Products!$D$2:$D$13,MATCH(D956,Products!$A$2:$A$13,0)),INDEX(Products!$F$2:$F$13,MATCH(D956,Products!$A$2:$A$13,0)))</f>
        <v>59302.25</v>
      </c>
      <c r="P956" s="16" t="n">
        <f aca="false">N956-O956</f>
        <v>59138.742745589</v>
      </c>
    </row>
    <row r="957" customFormat="false" ht="15" hidden="false" customHeight="false" outlineLevel="0" collapsed="false">
      <c r="A957" s="2" t="s">
        <v>119</v>
      </c>
      <c r="B957" s="2" t="n">
        <v>8</v>
      </c>
      <c r="C957" s="2" t="s">
        <v>75</v>
      </c>
      <c r="D957" s="2" t="s">
        <v>46</v>
      </c>
      <c r="E957" s="2" t="str">
        <f aca="false">INDEX(Products!$B$2:$B$13,MATCH(D957,Products!$A$2:$A$13,0))</f>
        <v>Specialty</v>
      </c>
      <c r="F957" s="15" t="n">
        <v>5.2</v>
      </c>
      <c r="G957" s="16" t="n">
        <f aca="false">IF(A957="2025",INDEX(Products!$C$2:$C$13,MATCH(D957,Products!$A$2:$A$13,0)),INDEX(Products!$E$2:$E$13,MATCH(D957,Products!$A$2:$A$13,0)))</f>
        <v>26838</v>
      </c>
      <c r="H957" s="13" t="n">
        <f aca="false">IF(A957="2025",INDEX(Customers!$D$2:$D$41,MATCH(C957,Customers!$A$2:$A$41,0)),INDEX(Customers!$F$2:$F$41,MATCH(C957,Customers!$A$2:$A$41,0)))</f>
        <v>0.038</v>
      </c>
      <c r="I957" s="16" t="n">
        <f aca="false">F957*G957</f>
        <v>139557.6</v>
      </c>
      <c r="J957" s="16" t="n">
        <f aca="false">I957*(1-H957)</f>
        <v>134254.4112</v>
      </c>
      <c r="K957" s="16" t="n">
        <f aca="false">J957*INDEX(Customers!$G$2:$G$41,MATCH(C957,Customers!$A$2:$A$41,0))</f>
        <v>1342.544112</v>
      </c>
      <c r="L957" s="16" t="n">
        <f aca="false">F957*INDEX(Customers!$H$2:$H$41,MATCH(C957,Customers!$A$2:$A$41,0))</f>
        <v>988</v>
      </c>
      <c r="M957" s="16" t="n">
        <f aca="false">J957*INDEX(Customers!$I$2:$I$41,MATCH(C957,Customers!$A$2:$A$41,0))/365*Assumptions!$B$6</f>
        <v>882.768731178082</v>
      </c>
      <c r="N957" s="16" t="n">
        <f aca="false">J957-K957-L957-M957</f>
        <v>131041.098356822</v>
      </c>
      <c r="O957" s="16" t="n">
        <f aca="false">F957*IF(A957="2025",INDEX(Products!$D$2:$D$13,MATCH(D957,Products!$A$2:$A$13,0)),INDEX(Products!$F$2:$F$13,MATCH(D957,Products!$A$2:$A$13,0)))</f>
        <v>65611</v>
      </c>
      <c r="P957" s="16" t="n">
        <f aca="false">N957-O957</f>
        <v>65430.0983568219</v>
      </c>
    </row>
    <row r="958" customFormat="false" ht="15" hidden="false" customHeight="false" outlineLevel="0" collapsed="false">
      <c r="A958" s="2" t="s">
        <v>119</v>
      </c>
      <c r="B958" s="2" t="n">
        <v>9</v>
      </c>
      <c r="C958" s="2" t="s">
        <v>75</v>
      </c>
      <c r="D958" s="2" t="s">
        <v>46</v>
      </c>
      <c r="E958" s="2" t="str">
        <f aca="false">INDEX(Products!$B$2:$B$13,MATCH(D958,Products!$A$2:$A$13,0))</f>
        <v>Specialty</v>
      </c>
      <c r="F958" s="15" t="n">
        <v>4.6</v>
      </c>
      <c r="G958" s="16" t="n">
        <f aca="false">IF(A958="2025",INDEX(Products!$C$2:$C$13,MATCH(D958,Products!$A$2:$A$13,0)),INDEX(Products!$E$2:$E$13,MATCH(D958,Products!$A$2:$A$13,0)))</f>
        <v>26838</v>
      </c>
      <c r="H958" s="13" t="n">
        <f aca="false">IF(A958="2025",INDEX(Customers!$D$2:$D$41,MATCH(C958,Customers!$A$2:$A$41,0)),INDEX(Customers!$F$2:$F$41,MATCH(C958,Customers!$A$2:$A$41,0)))</f>
        <v>0.038</v>
      </c>
      <c r="I958" s="16" t="n">
        <f aca="false">F958*G958</f>
        <v>123454.8</v>
      </c>
      <c r="J958" s="16" t="n">
        <f aca="false">I958*(1-H958)</f>
        <v>118763.5176</v>
      </c>
      <c r="K958" s="16" t="n">
        <f aca="false">J958*INDEX(Customers!$G$2:$G$41,MATCH(C958,Customers!$A$2:$A$41,0))</f>
        <v>1187.635176</v>
      </c>
      <c r="L958" s="16" t="n">
        <f aca="false">F958*INDEX(Customers!$H$2:$H$41,MATCH(C958,Customers!$A$2:$A$41,0))</f>
        <v>874</v>
      </c>
      <c r="M958" s="16" t="n">
        <f aca="false">J958*INDEX(Customers!$I$2:$I$41,MATCH(C958,Customers!$A$2:$A$41,0))/365*Assumptions!$B$6</f>
        <v>780.910800657534</v>
      </c>
      <c r="N958" s="16" t="n">
        <f aca="false">J958-K958-L958-M958</f>
        <v>115920.971623342</v>
      </c>
      <c r="O958" s="16" t="n">
        <f aca="false">F958*IF(A958="2025",INDEX(Products!$D$2:$D$13,MATCH(D958,Products!$A$2:$A$13,0)),INDEX(Products!$F$2:$F$13,MATCH(D958,Products!$A$2:$A$13,0)))</f>
        <v>58040.5</v>
      </c>
      <c r="P958" s="16" t="n">
        <f aca="false">N958-O958</f>
        <v>57880.4716233425</v>
      </c>
    </row>
    <row r="959" customFormat="false" ht="15" hidden="false" customHeight="false" outlineLevel="0" collapsed="false">
      <c r="A959" s="2" t="s">
        <v>119</v>
      </c>
      <c r="B959" s="2" t="n">
        <v>10</v>
      </c>
      <c r="C959" s="2" t="s">
        <v>75</v>
      </c>
      <c r="D959" s="2" t="s">
        <v>46</v>
      </c>
      <c r="E959" s="2" t="str">
        <f aca="false">INDEX(Products!$B$2:$B$13,MATCH(D959,Products!$A$2:$A$13,0))</f>
        <v>Specialty</v>
      </c>
      <c r="F959" s="15" t="n">
        <v>4.7</v>
      </c>
      <c r="G959" s="16" t="n">
        <f aca="false">IF(A959="2025",INDEX(Products!$C$2:$C$13,MATCH(D959,Products!$A$2:$A$13,0)),INDEX(Products!$E$2:$E$13,MATCH(D959,Products!$A$2:$A$13,0)))</f>
        <v>26838</v>
      </c>
      <c r="H959" s="13" t="n">
        <f aca="false">IF(A959="2025",INDEX(Customers!$D$2:$D$41,MATCH(C959,Customers!$A$2:$A$41,0)),INDEX(Customers!$F$2:$F$41,MATCH(C959,Customers!$A$2:$A$41,0)))</f>
        <v>0.038</v>
      </c>
      <c r="I959" s="16" t="n">
        <f aca="false">F959*G959</f>
        <v>126138.6</v>
      </c>
      <c r="J959" s="16" t="n">
        <f aca="false">I959*(1-H959)</f>
        <v>121345.3332</v>
      </c>
      <c r="K959" s="16" t="n">
        <f aca="false">J959*INDEX(Customers!$G$2:$G$41,MATCH(C959,Customers!$A$2:$A$41,0))</f>
        <v>1213.453332</v>
      </c>
      <c r="L959" s="16" t="n">
        <f aca="false">F959*INDEX(Customers!$H$2:$H$41,MATCH(C959,Customers!$A$2:$A$41,0))</f>
        <v>893</v>
      </c>
      <c r="M959" s="16" t="n">
        <f aca="false">J959*INDEX(Customers!$I$2:$I$41,MATCH(C959,Customers!$A$2:$A$41,0))/365*Assumptions!$B$6</f>
        <v>797.887122410959</v>
      </c>
      <c r="N959" s="16" t="n">
        <f aca="false">J959-K959-L959-M959</f>
        <v>118440.992745589</v>
      </c>
      <c r="O959" s="16" t="n">
        <f aca="false">F959*IF(A959="2025",INDEX(Products!$D$2:$D$13,MATCH(D959,Products!$A$2:$A$13,0)),INDEX(Products!$F$2:$F$13,MATCH(D959,Products!$A$2:$A$13,0)))</f>
        <v>59302.25</v>
      </c>
      <c r="P959" s="16" t="n">
        <f aca="false">N959-O959</f>
        <v>59138.742745589</v>
      </c>
    </row>
    <row r="960" customFormat="false" ht="15" hidden="false" customHeight="false" outlineLevel="0" collapsed="false">
      <c r="A960" s="2" t="s">
        <v>119</v>
      </c>
      <c r="B960" s="2" t="n">
        <v>11</v>
      </c>
      <c r="C960" s="2" t="s">
        <v>75</v>
      </c>
      <c r="D960" s="2" t="s">
        <v>46</v>
      </c>
      <c r="E960" s="2" t="str">
        <f aca="false">INDEX(Products!$B$2:$B$13,MATCH(D960,Products!$A$2:$A$13,0))</f>
        <v>Specialty</v>
      </c>
      <c r="F960" s="15" t="n">
        <v>6.4</v>
      </c>
      <c r="G960" s="16" t="n">
        <f aca="false">IF(A960="2025",INDEX(Products!$C$2:$C$13,MATCH(D960,Products!$A$2:$A$13,0)),INDEX(Products!$E$2:$E$13,MATCH(D960,Products!$A$2:$A$13,0)))</f>
        <v>26838</v>
      </c>
      <c r="H960" s="13" t="n">
        <f aca="false">IF(A960="2025",INDEX(Customers!$D$2:$D$41,MATCH(C960,Customers!$A$2:$A$41,0)),INDEX(Customers!$F$2:$F$41,MATCH(C960,Customers!$A$2:$A$41,0)))</f>
        <v>0.038</v>
      </c>
      <c r="I960" s="16" t="n">
        <f aca="false">F960*G960</f>
        <v>171763.2</v>
      </c>
      <c r="J960" s="16" t="n">
        <f aca="false">I960*(1-H960)</f>
        <v>165236.1984</v>
      </c>
      <c r="K960" s="16" t="n">
        <f aca="false">J960*INDEX(Customers!$G$2:$G$41,MATCH(C960,Customers!$A$2:$A$41,0))</f>
        <v>1652.361984</v>
      </c>
      <c r="L960" s="16" t="n">
        <f aca="false">F960*INDEX(Customers!$H$2:$H$41,MATCH(C960,Customers!$A$2:$A$41,0))</f>
        <v>1216</v>
      </c>
      <c r="M960" s="16" t="n">
        <f aca="false">J960*INDEX(Customers!$I$2:$I$41,MATCH(C960,Customers!$A$2:$A$41,0))/365*Assumptions!$B$6</f>
        <v>1086.48459221918</v>
      </c>
      <c r="N960" s="16" t="n">
        <f aca="false">J960-K960-L960-M960</f>
        <v>161281.351823781</v>
      </c>
      <c r="O960" s="16" t="n">
        <f aca="false">F960*IF(A960="2025",INDEX(Products!$D$2:$D$13,MATCH(D960,Products!$A$2:$A$13,0)),INDEX(Products!$F$2:$F$13,MATCH(D960,Products!$A$2:$A$13,0)))</f>
        <v>80752</v>
      </c>
      <c r="P960" s="16" t="n">
        <f aca="false">N960-O960</f>
        <v>80529.3518237808</v>
      </c>
    </row>
    <row r="961" customFormat="false" ht="15" hidden="false" customHeight="false" outlineLevel="0" collapsed="false">
      <c r="A961" s="2" t="s">
        <v>119</v>
      </c>
      <c r="B961" s="2" t="n">
        <v>12</v>
      </c>
      <c r="C961" s="2" t="s">
        <v>75</v>
      </c>
      <c r="D961" s="2" t="s">
        <v>46</v>
      </c>
      <c r="E961" s="2" t="str">
        <f aca="false">INDEX(Products!$B$2:$B$13,MATCH(D961,Products!$A$2:$A$13,0))</f>
        <v>Specialty</v>
      </c>
      <c r="F961" s="15" t="n">
        <v>5</v>
      </c>
      <c r="G961" s="16" t="n">
        <f aca="false">IF(A961="2025",INDEX(Products!$C$2:$C$13,MATCH(D961,Products!$A$2:$A$13,0)),INDEX(Products!$E$2:$E$13,MATCH(D961,Products!$A$2:$A$13,0)))</f>
        <v>26838</v>
      </c>
      <c r="H961" s="13" t="n">
        <f aca="false">IF(A961="2025",INDEX(Customers!$D$2:$D$41,MATCH(C961,Customers!$A$2:$A$41,0)),INDEX(Customers!$F$2:$F$41,MATCH(C961,Customers!$A$2:$A$41,0)))</f>
        <v>0.038</v>
      </c>
      <c r="I961" s="16" t="n">
        <f aca="false">F961*G961</f>
        <v>134190</v>
      </c>
      <c r="J961" s="16" t="n">
        <f aca="false">I961*(1-H961)</f>
        <v>129090.78</v>
      </c>
      <c r="K961" s="16" t="n">
        <f aca="false">J961*INDEX(Customers!$G$2:$G$41,MATCH(C961,Customers!$A$2:$A$41,0))</f>
        <v>1290.9078</v>
      </c>
      <c r="L961" s="16" t="n">
        <f aca="false">F961*INDEX(Customers!$H$2:$H$41,MATCH(C961,Customers!$A$2:$A$41,0))</f>
        <v>950</v>
      </c>
      <c r="M961" s="16" t="n">
        <f aca="false">J961*INDEX(Customers!$I$2:$I$41,MATCH(C961,Customers!$A$2:$A$41,0))/365*Assumptions!$B$6</f>
        <v>848.816087671233</v>
      </c>
      <c r="N961" s="16" t="n">
        <f aca="false">J961-K961-L961-M961</f>
        <v>126001.056112329</v>
      </c>
      <c r="O961" s="16" t="n">
        <f aca="false">F961*IF(A961="2025",INDEX(Products!$D$2:$D$13,MATCH(D961,Products!$A$2:$A$13,0)),INDEX(Products!$F$2:$F$13,MATCH(D961,Products!$A$2:$A$13,0)))</f>
        <v>63087.5</v>
      </c>
      <c r="P961" s="16" t="n">
        <f aca="false">N961-O961</f>
        <v>62913.5561123288</v>
      </c>
    </row>
    <row r="962" customFormat="false" ht="15" hidden="false" customHeight="false" outlineLevel="0" collapsed="false">
      <c r="A962" s="2" t="s">
        <v>118</v>
      </c>
      <c r="B962" s="2" t="n">
        <v>1</v>
      </c>
      <c r="C962" s="2" t="s">
        <v>76</v>
      </c>
      <c r="D962" s="2" t="s">
        <v>47</v>
      </c>
      <c r="E962" s="2" t="str">
        <f aca="false">INDEX(Products!$B$2:$B$13,MATCH(D962,Products!$A$2:$A$13,0))</f>
        <v>Specialty</v>
      </c>
      <c r="F962" s="15" t="n">
        <v>10</v>
      </c>
      <c r="G962" s="16" t="n">
        <f aca="false">IF(A962="2025",INDEX(Products!$C$2:$C$13,MATCH(D962,Products!$A$2:$A$13,0)),INDEX(Products!$E$2:$E$13,MATCH(D962,Products!$A$2:$A$13,0)))</f>
        <v>30520</v>
      </c>
      <c r="H962" s="13" t="n">
        <f aca="false">IF(A962="2025",INDEX(Customers!$D$2:$D$41,MATCH(C962,Customers!$A$2:$A$41,0)),INDEX(Customers!$F$2:$F$41,MATCH(C962,Customers!$A$2:$A$41,0)))</f>
        <v>0.108</v>
      </c>
      <c r="I962" s="16" t="n">
        <f aca="false">F962*G962</f>
        <v>305200</v>
      </c>
      <c r="J962" s="16" t="n">
        <f aca="false">I962*(1-H962)</f>
        <v>272238.4</v>
      </c>
      <c r="K962" s="16" t="n">
        <f aca="false">J962*INDEX(Customers!$G$2:$G$41,MATCH(C962,Customers!$A$2:$A$41,0))</f>
        <v>5444.768</v>
      </c>
      <c r="L962" s="16" t="n">
        <f aca="false">F962*INDEX(Customers!$H$2:$H$41,MATCH(C962,Customers!$A$2:$A$41,0))</f>
        <v>3300</v>
      </c>
      <c r="M962" s="16" t="n">
        <f aca="false">J962*INDEX(Customers!$I$2:$I$41,MATCH(C962,Customers!$A$2:$A$41,0))/365*Assumptions!$B$6</f>
        <v>5370.1821369863</v>
      </c>
      <c r="N962" s="16" t="n">
        <f aca="false">J962-K962-L962-M962</f>
        <v>258123.449863014</v>
      </c>
      <c r="O962" s="16" t="n">
        <f aca="false">F962*IF(A962="2025",INDEX(Products!$D$2:$D$13,MATCH(D962,Products!$A$2:$A$13,0)),INDEX(Products!$F$2:$F$13,MATCH(D962,Products!$A$2:$A$13,0)))</f>
        <v>154400</v>
      </c>
      <c r="P962" s="16" t="n">
        <f aca="false">N962-O962</f>
        <v>103723.449863014</v>
      </c>
    </row>
    <row r="963" customFormat="false" ht="15" hidden="false" customHeight="false" outlineLevel="0" collapsed="false">
      <c r="A963" s="2" t="s">
        <v>118</v>
      </c>
      <c r="B963" s="2" t="n">
        <v>2</v>
      </c>
      <c r="C963" s="2" t="s">
        <v>76</v>
      </c>
      <c r="D963" s="2" t="s">
        <v>47</v>
      </c>
      <c r="E963" s="2" t="str">
        <f aca="false">INDEX(Products!$B$2:$B$13,MATCH(D963,Products!$A$2:$A$13,0))</f>
        <v>Specialty</v>
      </c>
      <c r="F963" s="15" t="n">
        <v>9.7</v>
      </c>
      <c r="G963" s="16" t="n">
        <f aca="false">IF(A963="2025",INDEX(Products!$C$2:$C$13,MATCH(D963,Products!$A$2:$A$13,0)),INDEX(Products!$E$2:$E$13,MATCH(D963,Products!$A$2:$A$13,0)))</f>
        <v>30520</v>
      </c>
      <c r="H963" s="13" t="n">
        <f aca="false">IF(A963="2025",INDEX(Customers!$D$2:$D$41,MATCH(C963,Customers!$A$2:$A$41,0)),INDEX(Customers!$F$2:$F$41,MATCH(C963,Customers!$A$2:$A$41,0)))</f>
        <v>0.108</v>
      </c>
      <c r="I963" s="16" t="n">
        <f aca="false">F963*G963</f>
        <v>296044</v>
      </c>
      <c r="J963" s="16" t="n">
        <f aca="false">I963*(1-H963)</f>
        <v>264071.248</v>
      </c>
      <c r="K963" s="16" t="n">
        <f aca="false">J963*INDEX(Customers!$G$2:$G$41,MATCH(C963,Customers!$A$2:$A$41,0))</f>
        <v>5281.42496</v>
      </c>
      <c r="L963" s="16" t="n">
        <f aca="false">F963*INDEX(Customers!$H$2:$H$41,MATCH(C963,Customers!$A$2:$A$41,0))</f>
        <v>3201</v>
      </c>
      <c r="M963" s="16" t="n">
        <f aca="false">J963*INDEX(Customers!$I$2:$I$41,MATCH(C963,Customers!$A$2:$A$41,0))/365*Assumptions!$B$6</f>
        <v>5209.07667287671</v>
      </c>
      <c r="N963" s="16" t="n">
        <f aca="false">J963-K963-L963-M963</f>
        <v>250379.746367123</v>
      </c>
      <c r="O963" s="16" t="n">
        <f aca="false">F963*IF(A963="2025",INDEX(Products!$D$2:$D$13,MATCH(D963,Products!$A$2:$A$13,0)),INDEX(Products!$F$2:$F$13,MATCH(D963,Products!$A$2:$A$13,0)))</f>
        <v>149768</v>
      </c>
      <c r="P963" s="16" t="n">
        <f aca="false">N963-O963</f>
        <v>100611.746367123</v>
      </c>
    </row>
    <row r="964" customFormat="false" ht="15" hidden="false" customHeight="false" outlineLevel="0" collapsed="false">
      <c r="A964" s="2" t="s">
        <v>118</v>
      </c>
      <c r="B964" s="2" t="n">
        <v>3</v>
      </c>
      <c r="C964" s="2" t="s">
        <v>76</v>
      </c>
      <c r="D964" s="2" t="s">
        <v>47</v>
      </c>
      <c r="E964" s="2" t="str">
        <f aca="false">INDEX(Products!$B$2:$B$13,MATCH(D964,Products!$A$2:$A$13,0))</f>
        <v>Specialty</v>
      </c>
      <c r="F964" s="15" t="n">
        <v>9</v>
      </c>
      <c r="G964" s="16" t="n">
        <f aca="false">IF(A964="2025",INDEX(Products!$C$2:$C$13,MATCH(D964,Products!$A$2:$A$13,0)),INDEX(Products!$E$2:$E$13,MATCH(D964,Products!$A$2:$A$13,0)))</f>
        <v>30520</v>
      </c>
      <c r="H964" s="13" t="n">
        <f aca="false">IF(A964="2025",INDEX(Customers!$D$2:$D$41,MATCH(C964,Customers!$A$2:$A$41,0)),INDEX(Customers!$F$2:$F$41,MATCH(C964,Customers!$A$2:$A$41,0)))</f>
        <v>0.108</v>
      </c>
      <c r="I964" s="16" t="n">
        <f aca="false">F964*G964</f>
        <v>274680</v>
      </c>
      <c r="J964" s="16" t="n">
        <f aca="false">I964*(1-H964)</f>
        <v>245014.56</v>
      </c>
      <c r="K964" s="16" t="n">
        <f aca="false">J964*INDEX(Customers!$G$2:$G$41,MATCH(C964,Customers!$A$2:$A$41,0))</f>
        <v>4900.2912</v>
      </c>
      <c r="L964" s="16" t="n">
        <f aca="false">F964*INDEX(Customers!$H$2:$H$41,MATCH(C964,Customers!$A$2:$A$41,0))</f>
        <v>2970</v>
      </c>
      <c r="M964" s="16" t="n">
        <f aca="false">J964*INDEX(Customers!$I$2:$I$41,MATCH(C964,Customers!$A$2:$A$41,0))/365*Assumptions!$B$6</f>
        <v>4833.16392328767</v>
      </c>
      <c r="N964" s="16" t="n">
        <f aca="false">J964-K964-L964-M964</f>
        <v>232311.104876712</v>
      </c>
      <c r="O964" s="16" t="n">
        <f aca="false">F964*IF(A964="2025",INDEX(Products!$D$2:$D$13,MATCH(D964,Products!$A$2:$A$13,0)),INDEX(Products!$F$2:$F$13,MATCH(D964,Products!$A$2:$A$13,0)))</f>
        <v>138960</v>
      </c>
      <c r="P964" s="16" t="n">
        <f aca="false">N964-O964</f>
        <v>93351.1048767123</v>
      </c>
    </row>
    <row r="965" customFormat="false" ht="15" hidden="false" customHeight="false" outlineLevel="0" collapsed="false">
      <c r="A965" s="2" t="s">
        <v>118</v>
      </c>
      <c r="B965" s="2" t="n">
        <v>4</v>
      </c>
      <c r="C965" s="2" t="s">
        <v>76</v>
      </c>
      <c r="D965" s="2" t="s">
        <v>47</v>
      </c>
      <c r="E965" s="2" t="str">
        <f aca="false">INDEX(Products!$B$2:$B$13,MATCH(D965,Products!$A$2:$A$13,0))</f>
        <v>Specialty</v>
      </c>
      <c r="F965" s="15" t="n">
        <v>6.4</v>
      </c>
      <c r="G965" s="16" t="n">
        <f aca="false">IF(A965="2025",INDEX(Products!$C$2:$C$13,MATCH(D965,Products!$A$2:$A$13,0)),INDEX(Products!$E$2:$E$13,MATCH(D965,Products!$A$2:$A$13,0)))</f>
        <v>30520</v>
      </c>
      <c r="H965" s="13" t="n">
        <f aca="false">IF(A965="2025",INDEX(Customers!$D$2:$D$41,MATCH(C965,Customers!$A$2:$A$41,0)),INDEX(Customers!$F$2:$F$41,MATCH(C965,Customers!$A$2:$A$41,0)))</f>
        <v>0.108</v>
      </c>
      <c r="I965" s="16" t="n">
        <f aca="false">F965*G965</f>
        <v>195328</v>
      </c>
      <c r="J965" s="16" t="n">
        <f aca="false">I965*(1-H965)</f>
        <v>174232.576</v>
      </c>
      <c r="K965" s="16" t="n">
        <f aca="false">J965*INDEX(Customers!$G$2:$G$41,MATCH(C965,Customers!$A$2:$A$41,0))</f>
        <v>3484.65152</v>
      </c>
      <c r="L965" s="16" t="n">
        <f aca="false">F965*INDEX(Customers!$H$2:$H$41,MATCH(C965,Customers!$A$2:$A$41,0))</f>
        <v>2112</v>
      </c>
      <c r="M965" s="16" t="n">
        <f aca="false">J965*INDEX(Customers!$I$2:$I$41,MATCH(C965,Customers!$A$2:$A$41,0))/365*Assumptions!$B$6</f>
        <v>3436.91656767123</v>
      </c>
      <c r="N965" s="16" t="n">
        <f aca="false">J965-K965-L965-M965</f>
        <v>165199.007912329</v>
      </c>
      <c r="O965" s="16" t="n">
        <f aca="false">F965*IF(A965="2025",INDEX(Products!$D$2:$D$13,MATCH(D965,Products!$A$2:$A$13,0)),INDEX(Products!$F$2:$F$13,MATCH(D965,Products!$A$2:$A$13,0)))</f>
        <v>98816</v>
      </c>
      <c r="P965" s="16" t="n">
        <f aca="false">N965-O965</f>
        <v>66383.0079123288</v>
      </c>
    </row>
    <row r="966" customFormat="false" ht="15" hidden="false" customHeight="false" outlineLevel="0" collapsed="false">
      <c r="A966" s="2" t="s">
        <v>118</v>
      </c>
      <c r="B966" s="2" t="n">
        <v>5</v>
      </c>
      <c r="C966" s="2" t="s">
        <v>76</v>
      </c>
      <c r="D966" s="2" t="s">
        <v>47</v>
      </c>
      <c r="E966" s="2" t="str">
        <f aca="false">INDEX(Products!$B$2:$B$13,MATCH(D966,Products!$A$2:$A$13,0))</f>
        <v>Specialty</v>
      </c>
      <c r="F966" s="15" t="n">
        <v>10.5</v>
      </c>
      <c r="G966" s="16" t="n">
        <f aca="false">IF(A966="2025",INDEX(Products!$C$2:$C$13,MATCH(D966,Products!$A$2:$A$13,0)),INDEX(Products!$E$2:$E$13,MATCH(D966,Products!$A$2:$A$13,0)))</f>
        <v>30520</v>
      </c>
      <c r="H966" s="13" t="n">
        <f aca="false">IF(A966="2025",INDEX(Customers!$D$2:$D$41,MATCH(C966,Customers!$A$2:$A$41,0)),INDEX(Customers!$F$2:$F$41,MATCH(C966,Customers!$A$2:$A$41,0)))</f>
        <v>0.108</v>
      </c>
      <c r="I966" s="16" t="n">
        <f aca="false">F966*G966</f>
        <v>320460</v>
      </c>
      <c r="J966" s="16" t="n">
        <f aca="false">I966*(1-H966)</f>
        <v>285850.32</v>
      </c>
      <c r="K966" s="16" t="n">
        <f aca="false">J966*INDEX(Customers!$G$2:$G$41,MATCH(C966,Customers!$A$2:$A$41,0))</f>
        <v>5717.0064</v>
      </c>
      <c r="L966" s="16" t="n">
        <f aca="false">F966*INDEX(Customers!$H$2:$H$41,MATCH(C966,Customers!$A$2:$A$41,0))</f>
        <v>3465</v>
      </c>
      <c r="M966" s="16" t="n">
        <f aca="false">J966*INDEX(Customers!$I$2:$I$41,MATCH(C966,Customers!$A$2:$A$41,0))/365*Assumptions!$B$6</f>
        <v>5638.69124383562</v>
      </c>
      <c r="N966" s="16" t="n">
        <f aca="false">J966-K966-L966-M966</f>
        <v>271029.622356164</v>
      </c>
      <c r="O966" s="16" t="n">
        <f aca="false">F966*IF(A966="2025",INDEX(Products!$D$2:$D$13,MATCH(D966,Products!$A$2:$A$13,0)),INDEX(Products!$F$2:$F$13,MATCH(D966,Products!$A$2:$A$13,0)))</f>
        <v>162120</v>
      </c>
      <c r="P966" s="16" t="n">
        <f aca="false">N966-O966</f>
        <v>108909.622356164</v>
      </c>
    </row>
    <row r="967" customFormat="false" ht="15" hidden="false" customHeight="false" outlineLevel="0" collapsed="false">
      <c r="A967" s="2" t="s">
        <v>118</v>
      </c>
      <c r="B967" s="2" t="n">
        <v>6</v>
      </c>
      <c r="C967" s="2" t="s">
        <v>76</v>
      </c>
      <c r="D967" s="2" t="s">
        <v>47</v>
      </c>
      <c r="E967" s="2" t="str">
        <f aca="false">INDEX(Products!$B$2:$B$13,MATCH(D967,Products!$A$2:$A$13,0))</f>
        <v>Specialty</v>
      </c>
      <c r="F967" s="15" t="n">
        <v>9.3</v>
      </c>
      <c r="G967" s="16" t="n">
        <f aca="false">IF(A967="2025",INDEX(Products!$C$2:$C$13,MATCH(D967,Products!$A$2:$A$13,0)),INDEX(Products!$E$2:$E$13,MATCH(D967,Products!$A$2:$A$13,0)))</f>
        <v>30520</v>
      </c>
      <c r="H967" s="13" t="n">
        <f aca="false">IF(A967="2025",INDEX(Customers!$D$2:$D$41,MATCH(C967,Customers!$A$2:$A$41,0)),INDEX(Customers!$F$2:$F$41,MATCH(C967,Customers!$A$2:$A$41,0)))</f>
        <v>0.108</v>
      </c>
      <c r="I967" s="16" t="n">
        <f aca="false">F967*G967</f>
        <v>283836</v>
      </c>
      <c r="J967" s="16" t="n">
        <f aca="false">I967*(1-H967)</f>
        <v>253181.712</v>
      </c>
      <c r="K967" s="16" t="n">
        <f aca="false">J967*INDEX(Customers!$G$2:$G$41,MATCH(C967,Customers!$A$2:$A$41,0))</f>
        <v>5063.63424</v>
      </c>
      <c r="L967" s="16" t="n">
        <f aca="false">F967*INDEX(Customers!$H$2:$H$41,MATCH(C967,Customers!$A$2:$A$41,0))</f>
        <v>3069</v>
      </c>
      <c r="M967" s="16" t="n">
        <f aca="false">J967*INDEX(Customers!$I$2:$I$41,MATCH(C967,Customers!$A$2:$A$41,0))/365*Assumptions!$B$6</f>
        <v>4994.26938739726</v>
      </c>
      <c r="N967" s="16" t="n">
        <f aca="false">J967-K967-L967-M967</f>
        <v>240054.808372603</v>
      </c>
      <c r="O967" s="16" t="n">
        <f aca="false">F967*IF(A967="2025",INDEX(Products!$D$2:$D$13,MATCH(D967,Products!$A$2:$A$13,0)),INDEX(Products!$F$2:$F$13,MATCH(D967,Products!$A$2:$A$13,0)))</f>
        <v>143592</v>
      </c>
      <c r="P967" s="16" t="n">
        <f aca="false">N967-O967</f>
        <v>96462.8083726027</v>
      </c>
    </row>
    <row r="968" customFormat="false" ht="15" hidden="false" customHeight="false" outlineLevel="0" collapsed="false">
      <c r="A968" s="2" t="s">
        <v>118</v>
      </c>
      <c r="B968" s="2" t="n">
        <v>7</v>
      </c>
      <c r="C968" s="2" t="s">
        <v>76</v>
      </c>
      <c r="D968" s="2" t="s">
        <v>47</v>
      </c>
      <c r="E968" s="2" t="str">
        <f aca="false">INDEX(Products!$B$2:$B$13,MATCH(D968,Products!$A$2:$A$13,0))</f>
        <v>Specialty</v>
      </c>
      <c r="F968" s="15" t="n">
        <v>10.9</v>
      </c>
      <c r="G968" s="16" t="n">
        <f aca="false">IF(A968="2025",INDEX(Products!$C$2:$C$13,MATCH(D968,Products!$A$2:$A$13,0)),INDEX(Products!$E$2:$E$13,MATCH(D968,Products!$A$2:$A$13,0)))</f>
        <v>30520</v>
      </c>
      <c r="H968" s="13" t="n">
        <f aca="false">IF(A968="2025",INDEX(Customers!$D$2:$D$41,MATCH(C968,Customers!$A$2:$A$41,0)),INDEX(Customers!$F$2:$F$41,MATCH(C968,Customers!$A$2:$A$41,0)))</f>
        <v>0.108</v>
      </c>
      <c r="I968" s="16" t="n">
        <f aca="false">F968*G968</f>
        <v>332668</v>
      </c>
      <c r="J968" s="16" t="n">
        <f aca="false">I968*(1-H968)</f>
        <v>296739.856</v>
      </c>
      <c r="K968" s="16" t="n">
        <f aca="false">J968*INDEX(Customers!$G$2:$G$41,MATCH(C968,Customers!$A$2:$A$41,0))</f>
        <v>5934.79712</v>
      </c>
      <c r="L968" s="16" t="n">
        <f aca="false">F968*INDEX(Customers!$H$2:$H$41,MATCH(C968,Customers!$A$2:$A$41,0))</f>
        <v>3597</v>
      </c>
      <c r="M968" s="16" t="n">
        <f aca="false">J968*INDEX(Customers!$I$2:$I$41,MATCH(C968,Customers!$A$2:$A$41,0))/365*Assumptions!$B$6</f>
        <v>5853.49852931507</v>
      </c>
      <c r="N968" s="16" t="n">
        <f aca="false">J968-K968-L968-M968</f>
        <v>281354.560350685</v>
      </c>
      <c r="O968" s="16" t="n">
        <f aca="false">F968*IF(A968="2025",INDEX(Products!$D$2:$D$13,MATCH(D968,Products!$A$2:$A$13,0)),INDEX(Products!$F$2:$F$13,MATCH(D968,Products!$A$2:$A$13,0)))</f>
        <v>168296</v>
      </c>
      <c r="P968" s="16" t="n">
        <f aca="false">N968-O968</f>
        <v>113058.560350685</v>
      </c>
    </row>
    <row r="969" customFormat="false" ht="15" hidden="false" customHeight="false" outlineLevel="0" collapsed="false">
      <c r="A969" s="2" t="s">
        <v>118</v>
      </c>
      <c r="B969" s="2" t="n">
        <v>8</v>
      </c>
      <c r="C969" s="2" t="s">
        <v>76</v>
      </c>
      <c r="D969" s="2" t="s">
        <v>47</v>
      </c>
      <c r="E969" s="2" t="str">
        <f aca="false">INDEX(Products!$B$2:$B$13,MATCH(D969,Products!$A$2:$A$13,0))</f>
        <v>Specialty</v>
      </c>
      <c r="F969" s="15" t="n">
        <v>7</v>
      </c>
      <c r="G969" s="16" t="n">
        <f aca="false">IF(A969="2025",INDEX(Products!$C$2:$C$13,MATCH(D969,Products!$A$2:$A$13,0)),INDEX(Products!$E$2:$E$13,MATCH(D969,Products!$A$2:$A$13,0)))</f>
        <v>30520</v>
      </c>
      <c r="H969" s="13" t="n">
        <f aca="false">IF(A969="2025",INDEX(Customers!$D$2:$D$41,MATCH(C969,Customers!$A$2:$A$41,0)),INDEX(Customers!$F$2:$F$41,MATCH(C969,Customers!$A$2:$A$41,0)))</f>
        <v>0.108</v>
      </c>
      <c r="I969" s="16" t="n">
        <f aca="false">F969*G969</f>
        <v>213640</v>
      </c>
      <c r="J969" s="16" t="n">
        <f aca="false">I969*(1-H969)</f>
        <v>190566.88</v>
      </c>
      <c r="K969" s="16" t="n">
        <f aca="false">J969*INDEX(Customers!$G$2:$G$41,MATCH(C969,Customers!$A$2:$A$41,0))</f>
        <v>3811.3376</v>
      </c>
      <c r="L969" s="16" t="n">
        <f aca="false">F969*INDEX(Customers!$H$2:$H$41,MATCH(C969,Customers!$A$2:$A$41,0))</f>
        <v>2310</v>
      </c>
      <c r="M969" s="16" t="n">
        <f aca="false">J969*INDEX(Customers!$I$2:$I$41,MATCH(C969,Customers!$A$2:$A$41,0))/365*Assumptions!$B$6</f>
        <v>3759.12749589041</v>
      </c>
      <c r="N969" s="16" t="n">
        <f aca="false">J969-K969-L969-M969</f>
        <v>180686.41490411</v>
      </c>
      <c r="O969" s="16" t="n">
        <f aca="false">F969*IF(A969="2025",INDEX(Products!$D$2:$D$13,MATCH(D969,Products!$A$2:$A$13,0)),INDEX(Products!$F$2:$F$13,MATCH(D969,Products!$A$2:$A$13,0)))</f>
        <v>108080</v>
      </c>
      <c r="P969" s="16" t="n">
        <f aca="false">N969-O969</f>
        <v>72606.4149041096</v>
      </c>
    </row>
    <row r="970" customFormat="false" ht="15" hidden="false" customHeight="false" outlineLevel="0" collapsed="false">
      <c r="A970" s="2" t="s">
        <v>118</v>
      </c>
      <c r="B970" s="2" t="n">
        <v>9</v>
      </c>
      <c r="C970" s="2" t="s">
        <v>76</v>
      </c>
      <c r="D970" s="2" t="s">
        <v>47</v>
      </c>
      <c r="E970" s="2" t="str">
        <f aca="false">INDEX(Products!$B$2:$B$13,MATCH(D970,Products!$A$2:$A$13,0))</f>
        <v>Specialty</v>
      </c>
      <c r="F970" s="15" t="n">
        <v>6.6</v>
      </c>
      <c r="G970" s="16" t="n">
        <f aca="false">IF(A970="2025",INDEX(Products!$C$2:$C$13,MATCH(D970,Products!$A$2:$A$13,0)),INDEX(Products!$E$2:$E$13,MATCH(D970,Products!$A$2:$A$13,0)))</f>
        <v>30520</v>
      </c>
      <c r="H970" s="13" t="n">
        <f aca="false">IF(A970="2025",INDEX(Customers!$D$2:$D$41,MATCH(C970,Customers!$A$2:$A$41,0)),INDEX(Customers!$F$2:$F$41,MATCH(C970,Customers!$A$2:$A$41,0)))</f>
        <v>0.108</v>
      </c>
      <c r="I970" s="16" t="n">
        <f aca="false">F970*G970</f>
        <v>201432</v>
      </c>
      <c r="J970" s="16" t="n">
        <f aca="false">I970*(1-H970)</f>
        <v>179677.344</v>
      </c>
      <c r="K970" s="16" t="n">
        <f aca="false">J970*INDEX(Customers!$G$2:$G$41,MATCH(C970,Customers!$A$2:$A$41,0))</f>
        <v>3593.54688</v>
      </c>
      <c r="L970" s="16" t="n">
        <f aca="false">F970*INDEX(Customers!$H$2:$H$41,MATCH(C970,Customers!$A$2:$A$41,0))</f>
        <v>2178</v>
      </c>
      <c r="M970" s="16" t="n">
        <f aca="false">J970*INDEX(Customers!$I$2:$I$41,MATCH(C970,Customers!$A$2:$A$41,0))/365*Assumptions!$B$6</f>
        <v>3544.32021041096</v>
      </c>
      <c r="N970" s="16" t="n">
        <f aca="false">J970-K970-L970-M970</f>
        <v>170361.476909589</v>
      </c>
      <c r="O970" s="16" t="n">
        <f aca="false">F970*IF(A970="2025",INDEX(Products!$D$2:$D$13,MATCH(D970,Products!$A$2:$A$13,0)),INDEX(Products!$F$2:$F$13,MATCH(D970,Products!$A$2:$A$13,0)))</f>
        <v>101904</v>
      </c>
      <c r="P970" s="16" t="n">
        <f aca="false">N970-O970</f>
        <v>68457.4769095891</v>
      </c>
    </row>
    <row r="971" customFormat="false" ht="15" hidden="false" customHeight="false" outlineLevel="0" collapsed="false">
      <c r="A971" s="2" t="s">
        <v>118</v>
      </c>
      <c r="B971" s="2" t="n">
        <v>10</v>
      </c>
      <c r="C971" s="2" t="s">
        <v>76</v>
      </c>
      <c r="D971" s="2" t="s">
        <v>47</v>
      </c>
      <c r="E971" s="2" t="str">
        <f aca="false">INDEX(Products!$B$2:$B$13,MATCH(D971,Products!$A$2:$A$13,0))</f>
        <v>Specialty</v>
      </c>
      <c r="F971" s="15" t="n">
        <v>10.7</v>
      </c>
      <c r="G971" s="16" t="n">
        <f aca="false">IF(A971="2025",INDEX(Products!$C$2:$C$13,MATCH(D971,Products!$A$2:$A$13,0)),INDEX(Products!$E$2:$E$13,MATCH(D971,Products!$A$2:$A$13,0)))</f>
        <v>30520</v>
      </c>
      <c r="H971" s="13" t="n">
        <f aca="false">IF(A971="2025",INDEX(Customers!$D$2:$D$41,MATCH(C971,Customers!$A$2:$A$41,0)),INDEX(Customers!$F$2:$F$41,MATCH(C971,Customers!$A$2:$A$41,0)))</f>
        <v>0.108</v>
      </c>
      <c r="I971" s="16" t="n">
        <f aca="false">F971*G971</f>
        <v>326564</v>
      </c>
      <c r="J971" s="16" t="n">
        <f aca="false">I971*(1-H971)</f>
        <v>291295.088</v>
      </c>
      <c r="K971" s="16" t="n">
        <f aca="false">J971*INDEX(Customers!$G$2:$G$41,MATCH(C971,Customers!$A$2:$A$41,0))</f>
        <v>5825.90176</v>
      </c>
      <c r="L971" s="16" t="n">
        <f aca="false">F971*INDEX(Customers!$H$2:$H$41,MATCH(C971,Customers!$A$2:$A$41,0))</f>
        <v>3531</v>
      </c>
      <c r="M971" s="16" t="n">
        <f aca="false">J971*INDEX(Customers!$I$2:$I$41,MATCH(C971,Customers!$A$2:$A$41,0))/365*Assumptions!$B$6</f>
        <v>5746.09488657534</v>
      </c>
      <c r="N971" s="16" t="n">
        <f aca="false">J971-K971-L971-M971</f>
        <v>276192.091353425</v>
      </c>
      <c r="O971" s="16" t="n">
        <f aca="false">F971*IF(A971="2025",INDEX(Products!$D$2:$D$13,MATCH(D971,Products!$A$2:$A$13,0)),INDEX(Products!$F$2:$F$13,MATCH(D971,Products!$A$2:$A$13,0)))</f>
        <v>165208</v>
      </c>
      <c r="P971" s="16" t="n">
        <f aca="false">N971-O971</f>
        <v>110984.091353425</v>
      </c>
    </row>
    <row r="972" customFormat="false" ht="15" hidden="false" customHeight="false" outlineLevel="0" collapsed="false">
      <c r="A972" s="2" t="s">
        <v>118</v>
      </c>
      <c r="B972" s="2" t="n">
        <v>11</v>
      </c>
      <c r="C972" s="2" t="s">
        <v>76</v>
      </c>
      <c r="D972" s="2" t="s">
        <v>47</v>
      </c>
      <c r="E972" s="2" t="str">
        <f aca="false">INDEX(Products!$B$2:$B$13,MATCH(D972,Products!$A$2:$A$13,0))</f>
        <v>Specialty</v>
      </c>
      <c r="F972" s="15" t="n">
        <v>7.7</v>
      </c>
      <c r="G972" s="16" t="n">
        <f aca="false">IF(A972="2025",INDEX(Products!$C$2:$C$13,MATCH(D972,Products!$A$2:$A$13,0)),INDEX(Products!$E$2:$E$13,MATCH(D972,Products!$A$2:$A$13,0)))</f>
        <v>30520</v>
      </c>
      <c r="H972" s="13" t="n">
        <f aca="false">IF(A972="2025",INDEX(Customers!$D$2:$D$41,MATCH(C972,Customers!$A$2:$A$41,0)),INDEX(Customers!$F$2:$F$41,MATCH(C972,Customers!$A$2:$A$41,0)))</f>
        <v>0.108</v>
      </c>
      <c r="I972" s="16" t="n">
        <f aca="false">F972*G972</f>
        <v>235004</v>
      </c>
      <c r="J972" s="16" t="n">
        <f aca="false">I972*(1-H972)</f>
        <v>209623.568</v>
      </c>
      <c r="K972" s="16" t="n">
        <f aca="false">J972*INDEX(Customers!$G$2:$G$41,MATCH(C972,Customers!$A$2:$A$41,0))</f>
        <v>4192.47136</v>
      </c>
      <c r="L972" s="16" t="n">
        <f aca="false">F972*INDEX(Customers!$H$2:$H$41,MATCH(C972,Customers!$A$2:$A$41,0))</f>
        <v>2541</v>
      </c>
      <c r="M972" s="16" t="n">
        <f aca="false">J972*INDEX(Customers!$I$2:$I$41,MATCH(C972,Customers!$A$2:$A$41,0))/365*Assumptions!$B$6</f>
        <v>4135.04024547945</v>
      </c>
      <c r="N972" s="16" t="n">
        <f aca="false">J972-K972-L972-M972</f>
        <v>198755.056394521</v>
      </c>
      <c r="O972" s="16" t="n">
        <f aca="false">F972*IF(A972="2025",INDEX(Products!$D$2:$D$13,MATCH(D972,Products!$A$2:$A$13,0)),INDEX(Products!$F$2:$F$13,MATCH(D972,Products!$A$2:$A$13,0)))</f>
        <v>118888</v>
      </c>
      <c r="P972" s="16" t="n">
        <f aca="false">N972-O972</f>
        <v>79867.0563945206</v>
      </c>
    </row>
    <row r="973" customFormat="false" ht="15" hidden="false" customHeight="false" outlineLevel="0" collapsed="false">
      <c r="A973" s="2" t="s">
        <v>118</v>
      </c>
      <c r="B973" s="2" t="n">
        <v>12</v>
      </c>
      <c r="C973" s="2" t="s">
        <v>76</v>
      </c>
      <c r="D973" s="2" t="s">
        <v>47</v>
      </c>
      <c r="E973" s="2" t="str">
        <f aca="false">INDEX(Products!$B$2:$B$13,MATCH(D973,Products!$A$2:$A$13,0))</f>
        <v>Specialty</v>
      </c>
      <c r="F973" s="15" t="n">
        <v>11</v>
      </c>
      <c r="G973" s="16" t="n">
        <f aca="false">IF(A973="2025",INDEX(Products!$C$2:$C$13,MATCH(D973,Products!$A$2:$A$13,0)),INDEX(Products!$E$2:$E$13,MATCH(D973,Products!$A$2:$A$13,0)))</f>
        <v>30520</v>
      </c>
      <c r="H973" s="13" t="n">
        <f aca="false">IF(A973="2025",INDEX(Customers!$D$2:$D$41,MATCH(C973,Customers!$A$2:$A$41,0)),INDEX(Customers!$F$2:$F$41,MATCH(C973,Customers!$A$2:$A$41,0)))</f>
        <v>0.108</v>
      </c>
      <c r="I973" s="16" t="n">
        <f aca="false">F973*G973</f>
        <v>335720</v>
      </c>
      <c r="J973" s="16" t="n">
        <f aca="false">I973*(1-H973)</f>
        <v>299462.24</v>
      </c>
      <c r="K973" s="16" t="n">
        <f aca="false">J973*INDEX(Customers!$G$2:$G$41,MATCH(C973,Customers!$A$2:$A$41,0))</f>
        <v>5989.2448</v>
      </c>
      <c r="L973" s="16" t="n">
        <f aca="false">F973*INDEX(Customers!$H$2:$H$41,MATCH(C973,Customers!$A$2:$A$41,0))</f>
        <v>3630</v>
      </c>
      <c r="M973" s="16" t="n">
        <f aca="false">J973*INDEX(Customers!$I$2:$I$41,MATCH(C973,Customers!$A$2:$A$41,0))/365*Assumptions!$B$6</f>
        <v>5907.20035068493</v>
      </c>
      <c r="N973" s="16" t="n">
        <f aca="false">J973-K973-L973-M973</f>
        <v>283935.794849315</v>
      </c>
      <c r="O973" s="16" t="n">
        <f aca="false">F973*IF(A973="2025",INDEX(Products!$D$2:$D$13,MATCH(D973,Products!$A$2:$A$13,0)),INDEX(Products!$F$2:$F$13,MATCH(D973,Products!$A$2:$A$13,0)))</f>
        <v>169840</v>
      </c>
      <c r="P973" s="16" t="n">
        <f aca="false">N973-O973</f>
        <v>114095.794849315</v>
      </c>
    </row>
    <row r="974" customFormat="false" ht="15" hidden="false" customHeight="false" outlineLevel="0" collapsed="false">
      <c r="A974" s="2" t="s">
        <v>119</v>
      </c>
      <c r="B974" s="2" t="n">
        <v>1</v>
      </c>
      <c r="C974" s="2" t="s">
        <v>76</v>
      </c>
      <c r="D974" s="2" t="s">
        <v>47</v>
      </c>
      <c r="E974" s="2" t="str">
        <f aca="false">INDEX(Products!$B$2:$B$13,MATCH(D974,Products!$A$2:$A$13,0))</f>
        <v>Specialty</v>
      </c>
      <c r="F974" s="15" t="n">
        <v>9.7</v>
      </c>
      <c r="G974" s="16" t="n">
        <f aca="false">IF(A974="2025",INDEX(Products!$C$2:$C$13,MATCH(D974,Products!$A$2:$A$13,0)),INDEX(Products!$E$2:$E$13,MATCH(D974,Products!$A$2:$A$13,0)))</f>
        <v>32046</v>
      </c>
      <c r="H974" s="13" t="n">
        <f aca="false">IF(A974="2025",INDEX(Customers!$D$2:$D$41,MATCH(C974,Customers!$A$2:$A$41,0)),INDEX(Customers!$F$2:$F$41,MATCH(C974,Customers!$A$2:$A$41,0)))</f>
        <v>0.108</v>
      </c>
      <c r="I974" s="16" t="n">
        <f aca="false">F974*G974</f>
        <v>310846.2</v>
      </c>
      <c r="J974" s="16" t="n">
        <f aca="false">I974*(1-H974)</f>
        <v>277274.8104</v>
      </c>
      <c r="K974" s="16" t="n">
        <f aca="false">J974*INDEX(Customers!$G$2:$G$41,MATCH(C974,Customers!$A$2:$A$41,0))</f>
        <v>5545.496208</v>
      </c>
      <c r="L974" s="16" t="n">
        <f aca="false">F974*INDEX(Customers!$H$2:$H$41,MATCH(C974,Customers!$A$2:$A$41,0))</f>
        <v>3201</v>
      </c>
      <c r="M974" s="16" t="n">
        <f aca="false">J974*INDEX(Customers!$I$2:$I$41,MATCH(C974,Customers!$A$2:$A$41,0))/365*Assumptions!$B$6</f>
        <v>5469.53050652055</v>
      </c>
      <c r="N974" s="16" t="n">
        <f aca="false">J974-K974-L974-M974</f>
        <v>263058.783685479</v>
      </c>
      <c r="O974" s="16" t="n">
        <f aca="false">F974*IF(A974="2025",INDEX(Products!$D$2:$D$13,MATCH(D974,Products!$A$2:$A$13,0)),INDEX(Products!$F$2:$F$13,MATCH(D974,Products!$A$2:$A$13,0)))</f>
        <v>154261.04</v>
      </c>
      <c r="P974" s="16" t="n">
        <f aca="false">N974-O974</f>
        <v>108797.743685479</v>
      </c>
    </row>
    <row r="975" customFormat="false" ht="15" hidden="false" customHeight="false" outlineLevel="0" collapsed="false">
      <c r="A975" s="2" t="s">
        <v>119</v>
      </c>
      <c r="B975" s="2" t="n">
        <v>2</v>
      </c>
      <c r="C975" s="2" t="s">
        <v>76</v>
      </c>
      <c r="D975" s="2" t="s">
        <v>47</v>
      </c>
      <c r="E975" s="2" t="str">
        <f aca="false">INDEX(Products!$B$2:$B$13,MATCH(D975,Products!$A$2:$A$13,0))</f>
        <v>Specialty</v>
      </c>
      <c r="F975" s="15" t="n">
        <v>7</v>
      </c>
      <c r="G975" s="16" t="n">
        <f aca="false">IF(A975="2025",INDEX(Products!$C$2:$C$13,MATCH(D975,Products!$A$2:$A$13,0)),INDEX(Products!$E$2:$E$13,MATCH(D975,Products!$A$2:$A$13,0)))</f>
        <v>32046</v>
      </c>
      <c r="H975" s="13" t="n">
        <f aca="false">IF(A975="2025",INDEX(Customers!$D$2:$D$41,MATCH(C975,Customers!$A$2:$A$41,0)),INDEX(Customers!$F$2:$F$41,MATCH(C975,Customers!$A$2:$A$41,0)))</f>
        <v>0.108</v>
      </c>
      <c r="I975" s="16" t="n">
        <f aca="false">F975*G975</f>
        <v>224322</v>
      </c>
      <c r="J975" s="16" t="n">
        <f aca="false">I975*(1-H975)</f>
        <v>200095.224</v>
      </c>
      <c r="K975" s="16" t="n">
        <f aca="false">J975*INDEX(Customers!$G$2:$G$41,MATCH(C975,Customers!$A$2:$A$41,0))</f>
        <v>4001.90448</v>
      </c>
      <c r="L975" s="16" t="n">
        <f aca="false">F975*INDEX(Customers!$H$2:$H$41,MATCH(C975,Customers!$A$2:$A$41,0))</f>
        <v>2310</v>
      </c>
      <c r="M975" s="16" t="n">
        <f aca="false">J975*INDEX(Customers!$I$2:$I$41,MATCH(C975,Customers!$A$2:$A$41,0))/365*Assumptions!$B$6</f>
        <v>3947.08387068493</v>
      </c>
      <c r="N975" s="16" t="n">
        <f aca="false">J975-K975-L975-M975</f>
        <v>189836.235649315</v>
      </c>
      <c r="O975" s="16" t="n">
        <f aca="false">F975*IF(A975="2025",INDEX(Products!$D$2:$D$13,MATCH(D975,Products!$A$2:$A$13,0)),INDEX(Products!$F$2:$F$13,MATCH(D975,Products!$A$2:$A$13,0)))</f>
        <v>111322.4</v>
      </c>
      <c r="P975" s="16" t="n">
        <f aca="false">N975-O975</f>
        <v>78513.8356493151</v>
      </c>
    </row>
    <row r="976" customFormat="false" ht="15" hidden="false" customHeight="false" outlineLevel="0" collapsed="false">
      <c r="A976" s="2" t="s">
        <v>119</v>
      </c>
      <c r="B976" s="2" t="n">
        <v>3</v>
      </c>
      <c r="C976" s="2" t="s">
        <v>76</v>
      </c>
      <c r="D976" s="2" t="s">
        <v>47</v>
      </c>
      <c r="E976" s="2" t="str">
        <f aca="false">INDEX(Products!$B$2:$B$13,MATCH(D976,Products!$A$2:$A$13,0))</f>
        <v>Specialty</v>
      </c>
      <c r="F976" s="15" t="n">
        <v>9.1</v>
      </c>
      <c r="G976" s="16" t="n">
        <f aca="false">IF(A976="2025",INDEX(Products!$C$2:$C$13,MATCH(D976,Products!$A$2:$A$13,0)),INDEX(Products!$E$2:$E$13,MATCH(D976,Products!$A$2:$A$13,0)))</f>
        <v>32046</v>
      </c>
      <c r="H976" s="13" t="n">
        <f aca="false">IF(A976="2025",INDEX(Customers!$D$2:$D$41,MATCH(C976,Customers!$A$2:$A$41,0)),INDEX(Customers!$F$2:$F$41,MATCH(C976,Customers!$A$2:$A$41,0)))</f>
        <v>0.108</v>
      </c>
      <c r="I976" s="16" t="n">
        <f aca="false">F976*G976</f>
        <v>291618.6</v>
      </c>
      <c r="J976" s="16" t="n">
        <f aca="false">I976*(1-H976)</f>
        <v>260123.7912</v>
      </c>
      <c r="K976" s="16" t="n">
        <f aca="false">J976*INDEX(Customers!$G$2:$G$41,MATCH(C976,Customers!$A$2:$A$41,0))</f>
        <v>5202.475824</v>
      </c>
      <c r="L976" s="16" t="n">
        <f aca="false">F976*INDEX(Customers!$H$2:$H$41,MATCH(C976,Customers!$A$2:$A$41,0))</f>
        <v>3003</v>
      </c>
      <c r="M976" s="16" t="n">
        <f aca="false">J976*INDEX(Customers!$I$2:$I$41,MATCH(C976,Customers!$A$2:$A$41,0))/365*Assumptions!$B$6</f>
        <v>5131.20903189041</v>
      </c>
      <c r="N976" s="16" t="n">
        <f aca="false">J976-K976-L976-M976</f>
        <v>246787.10634411</v>
      </c>
      <c r="O976" s="16" t="n">
        <f aca="false">F976*IF(A976="2025",INDEX(Products!$D$2:$D$13,MATCH(D976,Products!$A$2:$A$13,0)),INDEX(Products!$F$2:$F$13,MATCH(D976,Products!$A$2:$A$13,0)))</f>
        <v>144719.12</v>
      </c>
      <c r="P976" s="16" t="n">
        <f aca="false">N976-O976</f>
        <v>102067.98634411</v>
      </c>
    </row>
    <row r="977" customFormat="false" ht="15" hidden="false" customHeight="false" outlineLevel="0" collapsed="false">
      <c r="A977" s="2" t="s">
        <v>119</v>
      </c>
      <c r="B977" s="2" t="n">
        <v>4</v>
      </c>
      <c r="C977" s="2" t="s">
        <v>76</v>
      </c>
      <c r="D977" s="2" t="s">
        <v>47</v>
      </c>
      <c r="E977" s="2" t="str">
        <f aca="false">INDEX(Products!$B$2:$B$13,MATCH(D977,Products!$A$2:$A$13,0))</f>
        <v>Specialty</v>
      </c>
      <c r="F977" s="15" t="n">
        <v>7.6</v>
      </c>
      <c r="G977" s="16" t="n">
        <f aca="false">IF(A977="2025",INDEX(Products!$C$2:$C$13,MATCH(D977,Products!$A$2:$A$13,0)),INDEX(Products!$E$2:$E$13,MATCH(D977,Products!$A$2:$A$13,0)))</f>
        <v>32046</v>
      </c>
      <c r="H977" s="13" t="n">
        <f aca="false">IF(A977="2025",INDEX(Customers!$D$2:$D$41,MATCH(C977,Customers!$A$2:$A$41,0)),INDEX(Customers!$F$2:$F$41,MATCH(C977,Customers!$A$2:$A$41,0)))</f>
        <v>0.108</v>
      </c>
      <c r="I977" s="16" t="n">
        <f aca="false">F977*G977</f>
        <v>243549.6</v>
      </c>
      <c r="J977" s="16" t="n">
        <f aca="false">I977*(1-H977)</f>
        <v>217246.2432</v>
      </c>
      <c r="K977" s="16" t="n">
        <f aca="false">J977*INDEX(Customers!$G$2:$G$41,MATCH(C977,Customers!$A$2:$A$41,0))</f>
        <v>4344.924864</v>
      </c>
      <c r="L977" s="16" t="n">
        <f aca="false">F977*INDEX(Customers!$H$2:$H$41,MATCH(C977,Customers!$A$2:$A$41,0))</f>
        <v>2508</v>
      </c>
      <c r="M977" s="16" t="n">
        <f aca="false">J977*INDEX(Customers!$I$2:$I$41,MATCH(C977,Customers!$A$2:$A$41,0))/365*Assumptions!$B$6</f>
        <v>4285.40534531507</v>
      </c>
      <c r="N977" s="16" t="n">
        <f aca="false">J977-K977-L977-M977</f>
        <v>206107.912990685</v>
      </c>
      <c r="O977" s="16" t="n">
        <f aca="false">F977*IF(A977="2025",INDEX(Products!$D$2:$D$13,MATCH(D977,Products!$A$2:$A$13,0)),INDEX(Products!$F$2:$F$13,MATCH(D977,Products!$A$2:$A$13,0)))</f>
        <v>120864.32</v>
      </c>
      <c r="P977" s="16" t="n">
        <f aca="false">N977-O977</f>
        <v>85243.5929906849</v>
      </c>
    </row>
    <row r="978" customFormat="false" ht="15" hidden="false" customHeight="false" outlineLevel="0" collapsed="false">
      <c r="A978" s="2" t="s">
        <v>119</v>
      </c>
      <c r="B978" s="2" t="n">
        <v>5</v>
      </c>
      <c r="C978" s="2" t="s">
        <v>76</v>
      </c>
      <c r="D978" s="2" t="s">
        <v>47</v>
      </c>
      <c r="E978" s="2" t="str">
        <f aca="false">INDEX(Products!$B$2:$B$13,MATCH(D978,Products!$A$2:$A$13,0))</f>
        <v>Specialty</v>
      </c>
      <c r="F978" s="15" t="n">
        <v>10</v>
      </c>
      <c r="G978" s="16" t="n">
        <f aca="false">IF(A978="2025",INDEX(Products!$C$2:$C$13,MATCH(D978,Products!$A$2:$A$13,0)),INDEX(Products!$E$2:$E$13,MATCH(D978,Products!$A$2:$A$13,0)))</f>
        <v>32046</v>
      </c>
      <c r="H978" s="13" t="n">
        <f aca="false">IF(A978="2025",INDEX(Customers!$D$2:$D$41,MATCH(C978,Customers!$A$2:$A$41,0)),INDEX(Customers!$F$2:$F$41,MATCH(C978,Customers!$A$2:$A$41,0)))</f>
        <v>0.108</v>
      </c>
      <c r="I978" s="16" t="n">
        <f aca="false">F978*G978</f>
        <v>320460</v>
      </c>
      <c r="J978" s="16" t="n">
        <f aca="false">I978*(1-H978)</f>
        <v>285850.32</v>
      </c>
      <c r="K978" s="16" t="n">
        <f aca="false">J978*INDEX(Customers!$G$2:$G$41,MATCH(C978,Customers!$A$2:$A$41,0))</f>
        <v>5717.0064</v>
      </c>
      <c r="L978" s="16" t="n">
        <f aca="false">F978*INDEX(Customers!$H$2:$H$41,MATCH(C978,Customers!$A$2:$A$41,0))</f>
        <v>3300</v>
      </c>
      <c r="M978" s="16" t="n">
        <f aca="false">J978*INDEX(Customers!$I$2:$I$41,MATCH(C978,Customers!$A$2:$A$41,0))/365*Assumptions!$B$6</f>
        <v>5638.69124383562</v>
      </c>
      <c r="N978" s="16" t="n">
        <f aca="false">J978-K978-L978-M978</f>
        <v>271194.622356164</v>
      </c>
      <c r="O978" s="16" t="n">
        <f aca="false">F978*IF(A978="2025",INDEX(Products!$D$2:$D$13,MATCH(D978,Products!$A$2:$A$13,0)),INDEX(Products!$F$2:$F$13,MATCH(D978,Products!$A$2:$A$13,0)))</f>
        <v>159032</v>
      </c>
      <c r="P978" s="16" t="n">
        <f aca="false">N978-O978</f>
        <v>112162.622356164</v>
      </c>
    </row>
    <row r="979" customFormat="false" ht="15" hidden="false" customHeight="false" outlineLevel="0" collapsed="false">
      <c r="A979" s="2" t="s">
        <v>119</v>
      </c>
      <c r="B979" s="2" t="n">
        <v>6</v>
      </c>
      <c r="C979" s="2" t="s">
        <v>76</v>
      </c>
      <c r="D979" s="2" t="s">
        <v>47</v>
      </c>
      <c r="E979" s="2" t="str">
        <f aca="false">INDEX(Products!$B$2:$B$13,MATCH(D979,Products!$A$2:$A$13,0))</f>
        <v>Specialty</v>
      </c>
      <c r="F979" s="15" t="n">
        <v>9.1</v>
      </c>
      <c r="G979" s="16" t="n">
        <f aca="false">IF(A979="2025",INDEX(Products!$C$2:$C$13,MATCH(D979,Products!$A$2:$A$13,0)),INDEX(Products!$E$2:$E$13,MATCH(D979,Products!$A$2:$A$13,0)))</f>
        <v>32046</v>
      </c>
      <c r="H979" s="13" t="n">
        <f aca="false">IF(A979="2025",INDEX(Customers!$D$2:$D$41,MATCH(C979,Customers!$A$2:$A$41,0)),INDEX(Customers!$F$2:$F$41,MATCH(C979,Customers!$A$2:$A$41,0)))</f>
        <v>0.108</v>
      </c>
      <c r="I979" s="16" t="n">
        <f aca="false">F979*G979</f>
        <v>291618.6</v>
      </c>
      <c r="J979" s="16" t="n">
        <f aca="false">I979*(1-H979)</f>
        <v>260123.7912</v>
      </c>
      <c r="K979" s="16" t="n">
        <f aca="false">J979*INDEX(Customers!$G$2:$G$41,MATCH(C979,Customers!$A$2:$A$41,0))</f>
        <v>5202.475824</v>
      </c>
      <c r="L979" s="16" t="n">
        <f aca="false">F979*INDEX(Customers!$H$2:$H$41,MATCH(C979,Customers!$A$2:$A$41,0))</f>
        <v>3003</v>
      </c>
      <c r="M979" s="16" t="n">
        <f aca="false">J979*INDEX(Customers!$I$2:$I$41,MATCH(C979,Customers!$A$2:$A$41,0))/365*Assumptions!$B$6</f>
        <v>5131.20903189041</v>
      </c>
      <c r="N979" s="16" t="n">
        <f aca="false">J979-K979-L979-M979</f>
        <v>246787.10634411</v>
      </c>
      <c r="O979" s="16" t="n">
        <f aca="false">F979*IF(A979="2025",INDEX(Products!$D$2:$D$13,MATCH(D979,Products!$A$2:$A$13,0)),INDEX(Products!$F$2:$F$13,MATCH(D979,Products!$A$2:$A$13,0)))</f>
        <v>144719.12</v>
      </c>
      <c r="P979" s="16" t="n">
        <f aca="false">N979-O979</f>
        <v>102067.98634411</v>
      </c>
    </row>
    <row r="980" customFormat="false" ht="15" hidden="false" customHeight="false" outlineLevel="0" collapsed="false">
      <c r="A980" s="2" t="s">
        <v>119</v>
      </c>
      <c r="B980" s="2" t="n">
        <v>7</v>
      </c>
      <c r="C980" s="2" t="s">
        <v>76</v>
      </c>
      <c r="D980" s="2" t="s">
        <v>47</v>
      </c>
      <c r="E980" s="2" t="str">
        <f aca="false">INDEX(Products!$B$2:$B$13,MATCH(D980,Products!$A$2:$A$13,0))</f>
        <v>Specialty</v>
      </c>
      <c r="F980" s="15" t="n">
        <v>9.6</v>
      </c>
      <c r="G980" s="16" t="n">
        <f aca="false">IF(A980="2025",INDEX(Products!$C$2:$C$13,MATCH(D980,Products!$A$2:$A$13,0)),INDEX(Products!$E$2:$E$13,MATCH(D980,Products!$A$2:$A$13,0)))</f>
        <v>32046</v>
      </c>
      <c r="H980" s="13" t="n">
        <f aca="false">IF(A980="2025",INDEX(Customers!$D$2:$D$41,MATCH(C980,Customers!$A$2:$A$41,0)),INDEX(Customers!$F$2:$F$41,MATCH(C980,Customers!$A$2:$A$41,0)))</f>
        <v>0.108</v>
      </c>
      <c r="I980" s="16" t="n">
        <f aca="false">F980*G980</f>
        <v>307641.6</v>
      </c>
      <c r="J980" s="16" t="n">
        <f aca="false">I980*(1-H980)</f>
        <v>274416.3072</v>
      </c>
      <c r="K980" s="16" t="n">
        <f aca="false">J980*INDEX(Customers!$G$2:$G$41,MATCH(C980,Customers!$A$2:$A$41,0))</f>
        <v>5488.326144</v>
      </c>
      <c r="L980" s="16" t="n">
        <f aca="false">F980*INDEX(Customers!$H$2:$H$41,MATCH(C980,Customers!$A$2:$A$41,0))</f>
        <v>3168</v>
      </c>
      <c r="M980" s="16" t="n">
        <f aca="false">J980*INDEX(Customers!$I$2:$I$41,MATCH(C980,Customers!$A$2:$A$41,0))/365*Assumptions!$B$6</f>
        <v>5413.14359408219</v>
      </c>
      <c r="N980" s="16" t="n">
        <f aca="false">J980-K980-L980-M980</f>
        <v>260346.837461918</v>
      </c>
      <c r="O980" s="16" t="n">
        <f aca="false">F980*IF(A980="2025",INDEX(Products!$D$2:$D$13,MATCH(D980,Products!$A$2:$A$13,0)),INDEX(Products!$F$2:$F$13,MATCH(D980,Products!$A$2:$A$13,0)))</f>
        <v>152670.72</v>
      </c>
      <c r="P980" s="16" t="n">
        <f aca="false">N980-O980</f>
        <v>107676.117461918</v>
      </c>
    </row>
    <row r="981" customFormat="false" ht="15" hidden="false" customHeight="false" outlineLevel="0" collapsed="false">
      <c r="A981" s="2" t="s">
        <v>119</v>
      </c>
      <c r="B981" s="2" t="n">
        <v>8</v>
      </c>
      <c r="C981" s="2" t="s">
        <v>76</v>
      </c>
      <c r="D981" s="2" t="s">
        <v>47</v>
      </c>
      <c r="E981" s="2" t="str">
        <f aca="false">INDEX(Products!$B$2:$B$13,MATCH(D981,Products!$A$2:$A$13,0))</f>
        <v>Specialty</v>
      </c>
      <c r="F981" s="15" t="n">
        <v>7.3</v>
      </c>
      <c r="G981" s="16" t="n">
        <f aca="false">IF(A981="2025",INDEX(Products!$C$2:$C$13,MATCH(D981,Products!$A$2:$A$13,0)),INDEX(Products!$E$2:$E$13,MATCH(D981,Products!$A$2:$A$13,0)))</f>
        <v>32046</v>
      </c>
      <c r="H981" s="13" t="n">
        <f aca="false">IF(A981="2025",INDEX(Customers!$D$2:$D$41,MATCH(C981,Customers!$A$2:$A$41,0)),INDEX(Customers!$F$2:$F$41,MATCH(C981,Customers!$A$2:$A$41,0)))</f>
        <v>0.108</v>
      </c>
      <c r="I981" s="16" t="n">
        <f aca="false">F981*G981</f>
        <v>233935.8</v>
      </c>
      <c r="J981" s="16" t="n">
        <f aca="false">I981*(1-H981)</f>
        <v>208670.7336</v>
      </c>
      <c r="K981" s="16" t="n">
        <f aca="false">J981*INDEX(Customers!$G$2:$G$41,MATCH(C981,Customers!$A$2:$A$41,0))</f>
        <v>4173.414672</v>
      </c>
      <c r="L981" s="16" t="n">
        <f aca="false">F981*INDEX(Customers!$H$2:$H$41,MATCH(C981,Customers!$A$2:$A$41,0))</f>
        <v>2409</v>
      </c>
      <c r="M981" s="16" t="n">
        <f aca="false">J981*INDEX(Customers!$I$2:$I$41,MATCH(C981,Customers!$A$2:$A$41,0))/365*Assumptions!$B$6</f>
        <v>4116.244608</v>
      </c>
      <c r="N981" s="16" t="n">
        <f aca="false">J981-K981-L981-M981</f>
        <v>197972.07432</v>
      </c>
      <c r="O981" s="16" t="n">
        <f aca="false">F981*IF(A981="2025",INDEX(Products!$D$2:$D$13,MATCH(D981,Products!$A$2:$A$13,0)),INDEX(Products!$F$2:$F$13,MATCH(D981,Products!$A$2:$A$13,0)))</f>
        <v>116093.36</v>
      </c>
      <c r="P981" s="16" t="n">
        <f aca="false">N981-O981</f>
        <v>81878.71432</v>
      </c>
    </row>
    <row r="982" customFormat="false" ht="15" hidden="false" customHeight="false" outlineLevel="0" collapsed="false">
      <c r="A982" s="2" t="s">
        <v>119</v>
      </c>
      <c r="B982" s="2" t="n">
        <v>9</v>
      </c>
      <c r="C982" s="2" t="s">
        <v>76</v>
      </c>
      <c r="D982" s="2" t="s">
        <v>47</v>
      </c>
      <c r="E982" s="2" t="str">
        <f aca="false">INDEX(Products!$B$2:$B$13,MATCH(D982,Products!$A$2:$A$13,0))</f>
        <v>Specialty</v>
      </c>
      <c r="F982" s="15" t="n">
        <v>6</v>
      </c>
      <c r="G982" s="16" t="n">
        <f aca="false">IF(A982="2025",INDEX(Products!$C$2:$C$13,MATCH(D982,Products!$A$2:$A$13,0)),INDEX(Products!$E$2:$E$13,MATCH(D982,Products!$A$2:$A$13,0)))</f>
        <v>32046</v>
      </c>
      <c r="H982" s="13" t="n">
        <f aca="false">IF(A982="2025",INDEX(Customers!$D$2:$D$41,MATCH(C982,Customers!$A$2:$A$41,0)),INDEX(Customers!$F$2:$F$41,MATCH(C982,Customers!$A$2:$A$41,0)))</f>
        <v>0.108</v>
      </c>
      <c r="I982" s="16" t="n">
        <f aca="false">F982*G982</f>
        <v>192276</v>
      </c>
      <c r="J982" s="16" t="n">
        <f aca="false">I982*(1-H982)</f>
        <v>171510.192</v>
      </c>
      <c r="K982" s="16" t="n">
        <f aca="false">J982*INDEX(Customers!$G$2:$G$41,MATCH(C982,Customers!$A$2:$A$41,0))</f>
        <v>3430.20384</v>
      </c>
      <c r="L982" s="16" t="n">
        <f aca="false">F982*INDEX(Customers!$H$2:$H$41,MATCH(C982,Customers!$A$2:$A$41,0))</f>
        <v>1980</v>
      </c>
      <c r="M982" s="16" t="n">
        <f aca="false">J982*INDEX(Customers!$I$2:$I$41,MATCH(C982,Customers!$A$2:$A$41,0))/365*Assumptions!$B$6</f>
        <v>3383.21474630137</v>
      </c>
      <c r="N982" s="16" t="n">
        <f aca="false">J982-K982-L982-M982</f>
        <v>162716.773413699</v>
      </c>
      <c r="O982" s="16" t="n">
        <f aca="false">F982*IF(A982="2025",INDEX(Products!$D$2:$D$13,MATCH(D982,Products!$A$2:$A$13,0)),INDEX(Products!$F$2:$F$13,MATCH(D982,Products!$A$2:$A$13,0)))</f>
        <v>95419.2</v>
      </c>
      <c r="P982" s="16" t="n">
        <f aca="false">N982-O982</f>
        <v>67297.5734136986</v>
      </c>
    </row>
    <row r="983" customFormat="false" ht="15" hidden="false" customHeight="false" outlineLevel="0" collapsed="false">
      <c r="A983" s="2" t="s">
        <v>119</v>
      </c>
      <c r="B983" s="2" t="n">
        <v>10</v>
      </c>
      <c r="C983" s="2" t="s">
        <v>76</v>
      </c>
      <c r="D983" s="2" t="s">
        <v>47</v>
      </c>
      <c r="E983" s="2" t="str">
        <f aca="false">INDEX(Products!$B$2:$B$13,MATCH(D983,Products!$A$2:$A$13,0))</f>
        <v>Specialty</v>
      </c>
      <c r="F983" s="15" t="n">
        <v>8</v>
      </c>
      <c r="G983" s="16" t="n">
        <f aca="false">IF(A983="2025",INDEX(Products!$C$2:$C$13,MATCH(D983,Products!$A$2:$A$13,0)),INDEX(Products!$E$2:$E$13,MATCH(D983,Products!$A$2:$A$13,0)))</f>
        <v>32046</v>
      </c>
      <c r="H983" s="13" t="n">
        <f aca="false">IF(A983="2025",INDEX(Customers!$D$2:$D$41,MATCH(C983,Customers!$A$2:$A$41,0)),INDEX(Customers!$F$2:$F$41,MATCH(C983,Customers!$A$2:$A$41,0)))</f>
        <v>0.108</v>
      </c>
      <c r="I983" s="16" t="n">
        <f aca="false">F983*G983</f>
        <v>256368</v>
      </c>
      <c r="J983" s="16" t="n">
        <f aca="false">I983*(1-H983)</f>
        <v>228680.256</v>
      </c>
      <c r="K983" s="16" t="n">
        <f aca="false">J983*INDEX(Customers!$G$2:$G$41,MATCH(C983,Customers!$A$2:$A$41,0))</f>
        <v>4573.60512</v>
      </c>
      <c r="L983" s="16" t="n">
        <f aca="false">F983*INDEX(Customers!$H$2:$H$41,MATCH(C983,Customers!$A$2:$A$41,0))</f>
        <v>2640</v>
      </c>
      <c r="M983" s="16" t="n">
        <f aca="false">J983*INDEX(Customers!$I$2:$I$41,MATCH(C983,Customers!$A$2:$A$41,0))/365*Assumptions!$B$6</f>
        <v>4510.95299506849</v>
      </c>
      <c r="N983" s="16" t="n">
        <f aca="false">J983-K983-L983-M983</f>
        <v>216955.697884932</v>
      </c>
      <c r="O983" s="16" t="n">
        <f aca="false">F983*IF(A983="2025",INDEX(Products!$D$2:$D$13,MATCH(D983,Products!$A$2:$A$13,0)),INDEX(Products!$F$2:$F$13,MATCH(D983,Products!$A$2:$A$13,0)))</f>
        <v>127225.6</v>
      </c>
      <c r="P983" s="16" t="n">
        <f aca="false">N983-O983</f>
        <v>89730.0978849315</v>
      </c>
    </row>
    <row r="984" customFormat="false" ht="15" hidden="false" customHeight="false" outlineLevel="0" collapsed="false">
      <c r="A984" s="2" t="s">
        <v>119</v>
      </c>
      <c r="B984" s="2" t="n">
        <v>11</v>
      </c>
      <c r="C984" s="2" t="s">
        <v>76</v>
      </c>
      <c r="D984" s="2" t="s">
        <v>47</v>
      </c>
      <c r="E984" s="2" t="str">
        <f aca="false">INDEX(Products!$B$2:$B$13,MATCH(D984,Products!$A$2:$A$13,0))</f>
        <v>Specialty</v>
      </c>
      <c r="F984" s="15" t="n">
        <v>9.5</v>
      </c>
      <c r="G984" s="16" t="n">
        <f aca="false">IF(A984="2025",INDEX(Products!$C$2:$C$13,MATCH(D984,Products!$A$2:$A$13,0)),INDEX(Products!$E$2:$E$13,MATCH(D984,Products!$A$2:$A$13,0)))</f>
        <v>32046</v>
      </c>
      <c r="H984" s="13" t="n">
        <f aca="false">IF(A984="2025",INDEX(Customers!$D$2:$D$41,MATCH(C984,Customers!$A$2:$A$41,0)),INDEX(Customers!$F$2:$F$41,MATCH(C984,Customers!$A$2:$A$41,0)))</f>
        <v>0.108</v>
      </c>
      <c r="I984" s="16" t="n">
        <f aca="false">F984*G984</f>
        <v>304437</v>
      </c>
      <c r="J984" s="16" t="n">
        <f aca="false">I984*(1-H984)</f>
        <v>271557.804</v>
      </c>
      <c r="K984" s="16" t="n">
        <f aca="false">J984*INDEX(Customers!$G$2:$G$41,MATCH(C984,Customers!$A$2:$A$41,0))</f>
        <v>5431.15608</v>
      </c>
      <c r="L984" s="16" t="n">
        <f aca="false">F984*INDEX(Customers!$H$2:$H$41,MATCH(C984,Customers!$A$2:$A$41,0))</f>
        <v>3135</v>
      </c>
      <c r="M984" s="16" t="n">
        <f aca="false">J984*INDEX(Customers!$I$2:$I$41,MATCH(C984,Customers!$A$2:$A$41,0))/365*Assumptions!$B$6</f>
        <v>5356.75668164384</v>
      </c>
      <c r="N984" s="16" t="n">
        <f aca="false">J984-K984-L984-M984</f>
        <v>257634.891238356</v>
      </c>
      <c r="O984" s="16" t="n">
        <f aca="false">F984*IF(A984="2025",INDEX(Products!$D$2:$D$13,MATCH(D984,Products!$A$2:$A$13,0)),INDEX(Products!$F$2:$F$13,MATCH(D984,Products!$A$2:$A$13,0)))</f>
        <v>151080.4</v>
      </c>
      <c r="P984" s="16" t="n">
        <f aca="false">N984-O984</f>
        <v>106554.491238356</v>
      </c>
    </row>
    <row r="985" customFormat="false" ht="15" hidden="false" customHeight="false" outlineLevel="0" collapsed="false">
      <c r="A985" s="2" t="s">
        <v>119</v>
      </c>
      <c r="B985" s="2" t="n">
        <v>12</v>
      </c>
      <c r="C985" s="2" t="s">
        <v>76</v>
      </c>
      <c r="D985" s="2" t="s">
        <v>47</v>
      </c>
      <c r="E985" s="2" t="str">
        <f aca="false">INDEX(Products!$B$2:$B$13,MATCH(D985,Products!$A$2:$A$13,0))</f>
        <v>Specialty</v>
      </c>
      <c r="F985" s="15" t="n">
        <v>10.5</v>
      </c>
      <c r="G985" s="16" t="n">
        <f aca="false">IF(A985="2025",INDEX(Products!$C$2:$C$13,MATCH(D985,Products!$A$2:$A$13,0)),INDEX(Products!$E$2:$E$13,MATCH(D985,Products!$A$2:$A$13,0)))</f>
        <v>32046</v>
      </c>
      <c r="H985" s="13" t="n">
        <f aca="false">IF(A985="2025",INDEX(Customers!$D$2:$D$41,MATCH(C985,Customers!$A$2:$A$41,0)),INDEX(Customers!$F$2:$F$41,MATCH(C985,Customers!$A$2:$A$41,0)))</f>
        <v>0.108</v>
      </c>
      <c r="I985" s="16" t="n">
        <f aca="false">F985*G985</f>
        <v>336483</v>
      </c>
      <c r="J985" s="16" t="n">
        <f aca="false">I985*(1-H985)</f>
        <v>300142.836</v>
      </c>
      <c r="K985" s="16" t="n">
        <f aca="false">J985*INDEX(Customers!$G$2:$G$41,MATCH(C985,Customers!$A$2:$A$41,0))</f>
        <v>6002.85672</v>
      </c>
      <c r="L985" s="16" t="n">
        <f aca="false">F985*INDEX(Customers!$H$2:$H$41,MATCH(C985,Customers!$A$2:$A$41,0))</f>
        <v>3465</v>
      </c>
      <c r="M985" s="16" t="n">
        <f aca="false">J985*INDEX(Customers!$I$2:$I$41,MATCH(C985,Customers!$A$2:$A$41,0))/365*Assumptions!$B$6</f>
        <v>5920.6258060274</v>
      </c>
      <c r="N985" s="16" t="n">
        <f aca="false">J985-K985-L985-M985</f>
        <v>284754.353473973</v>
      </c>
      <c r="O985" s="16" t="n">
        <f aca="false">F985*IF(A985="2025",INDEX(Products!$D$2:$D$13,MATCH(D985,Products!$A$2:$A$13,0)),INDEX(Products!$F$2:$F$13,MATCH(D985,Products!$A$2:$A$13,0)))</f>
        <v>166983.6</v>
      </c>
      <c r="P985" s="16" t="n">
        <f aca="false">N985-O985</f>
        <v>117770.753473973</v>
      </c>
    </row>
    <row r="986" customFormat="false" ht="15" hidden="false" customHeight="false" outlineLevel="0" collapsed="false">
      <c r="A986" s="2" t="s">
        <v>118</v>
      </c>
      <c r="B986" s="2" t="n">
        <v>1</v>
      </c>
      <c r="C986" s="2" t="s">
        <v>76</v>
      </c>
      <c r="D986" s="2" t="s">
        <v>38</v>
      </c>
      <c r="E986" s="2" t="str">
        <f aca="false">INDEX(Products!$B$2:$B$13,MATCH(D986,Products!$A$2:$A$13,0))</f>
        <v>FCC</v>
      </c>
      <c r="F986" s="15" t="n">
        <v>24.5</v>
      </c>
      <c r="G986" s="16" t="n">
        <f aca="false">IF(A986="2025",INDEX(Products!$C$2:$C$13,MATCH(D986,Products!$A$2:$A$13,0)),INDEX(Products!$E$2:$E$13,MATCH(D986,Products!$A$2:$A$13,0)))</f>
        <v>4360</v>
      </c>
      <c r="H986" s="13" t="n">
        <f aca="false">IF(A986="2025",INDEX(Customers!$D$2:$D$41,MATCH(C986,Customers!$A$2:$A$41,0)),INDEX(Customers!$F$2:$F$41,MATCH(C986,Customers!$A$2:$A$41,0)))</f>
        <v>0.108</v>
      </c>
      <c r="I986" s="16" t="n">
        <f aca="false">F986*G986</f>
        <v>106820</v>
      </c>
      <c r="J986" s="16" t="n">
        <f aca="false">I986*(1-H986)</f>
        <v>95283.44</v>
      </c>
      <c r="K986" s="16" t="n">
        <f aca="false">J986*INDEX(Customers!$G$2:$G$41,MATCH(C986,Customers!$A$2:$A$41,0))</f>
        <v>1905.6688</v>
      </c>
      <c r="L986" s="16" t="n">
        <f aca="false">F986*INDEX(Customers!$H$2:$H$41,MATCH(C986,Customers!$A$2:$A$41,0))</f>
        <v>8085</v>
      </c>
      <c r="M986" s="16" t="n">
        <f aca="false">J986*INDEX(Customers!$I$2:$I$41,MATCH(C986,Customers!$A$2:$A$41,0))/365*Assumptions!$B$6</f>
        <v>1879.56374794521</v>
      </c>
      <c r="N986" s="16" t="n">
        <f aca="false">J986-K986-L986-M986</f>
        <v>83413.2074520548</v>
      </c>
      <c r="O986" s="16" t="n">
        <f aca="false">F986*IF(A986="2025",INDEX(Products!$D$2:$D$13,MATCH(D986,Products!$A$2:$A$13,0)),INDEX(Products!$F$2:$F$13,MATCH(D986,Products!$A$2:$A$13,0)))</f>
        <v>67865</v>
      </c>
      <c r="P986" s="16" t="n">
        <f aca="false">N986-O986</f>
        <v>15548.2074520548</v>
      </c>
    </row>
    <row r="987" customFormat="false" ht="15" hidden="false" customHeight="false" outlineLevel="0" collapsed="false">
      <c r="A987" s="2" t="s">
        <v>118</v>
      </c>
      <c r="B987" s="2" t="n">
        <v>2</v>
      </c>
      <c r="C987" s="2" t="s">
        <v>76</v>
      </c>
      <c r="D987" s="2" t="s">
        <v>38</v>
      </c>
      <c r="E987" s="2" t="str">
        <f aca="false">INDEX(Products!$B$2:$B$13,MATCH(D987,Products!$A$2:$A$13,0))</f>
        <v>FCC</v>
      </c>
      <c r="F987" s="15" t="n">
        <v>27</v>
      </c>
      <c r="G987" s="16" t="n">
        <f aca="false">IF(A987="2025",INDEX(Products!$C$2:$C$13,MATCH(D987,Products!$A$2:$A$13,0)),INDEX(Products!$E$2:$E$13,MATCH(D987,Products!$A$2:$A$13,0)))</f>
        <v>4360</v>
      </c>
      <c r="H987" s="13" t="n">
        <f aca="false">IF(A987="2025",INDEX(Customers!$D$2:$D$41,MATCH(C987,Customers!$A$2:$A$41,0)),INDEX(Customers!$F$2:$F$41,MATCH(C987,Customers!$A$2:$A$41,0)))</f>
        <v>0.108</v>
      </c>
      <c r="I987" s="16" t="n">
        <f aca="false">F987*G987</f>
        <v>117720</v>
      </c>
      <c r="J987" s="16" t="n">
        <f aca="false">I987*(1-H987)</f>
        <v>105006.24</v>
      </c>
      <c r="K987" s="16" t="n">
        <f aca="false">J987*INDEX(Customers!$G$2:$G$41,MATCH(C987,Customers!$A$2:$A$41,0))</f>
        <v>2100.1248</v>
      </c>
      <c r="L987" s="16" t="n">
        <f aca="false">F987*INDEX(Customers!$H$2:$H$41,MATCH(C987,Customers!$A$2:$A$41,0))</f>
        <v>8910</v>
      </c>
      <c r="M987" s="16" t="n">
        <f aca="false">J987*INDEX(Customers!$I$2:$I$41,MATCH(C987,Customers!$A$2:$A$41,0))/365*Assumptions!$B$6</f>
        <v>2071.35596712329</v>
      </c>
      <c r="N987" s="16" t="n">
        <f aca="false">J987-K987-L987-M987</f>
        <v>91924.7592328767</v>
      </c>
      <c r="O987" s="16" t="n">
        <f aca="false">F987*IF(A987="2025",INDEX(Products!$D$2:$D$13,MATCH(D987,Products!$A$2:$A$13,0)),INDEX(Products!$F$2:$F$13,MATCH(D987,Products!$A$2:$A$13,0)))</f>
        <v>74790</v>
      </c>
      <c r="P987" s="16" t="n">
        <f aca="false">N987-O987</f>
        <v>17134.7592328767</v>
      </c>
    </row>
    <row r="988" customFormat="false" ht="15" hidden="false" customHeight="false" outlineLevel="0" collapsed="false">
      <c r="A988" s="2" t="s">
        <v>118</v>
      </c>
      <c r="B988" s="2" t="n">
        <v>3</v>
      </c>
      <c r="C988" s="2" t="s">
        <v>76</v>
      </c>
      <c r="D988" s="2" t="s">
        <v>38</v>
      </c>
      <c r="E988" s="2" t="str">
        <f aca="false">INDEX(Products!$B$2:$B$13,MATCH(D988,Products!$A$2:$A$13,0))</f>
        <v>FCC</v>
      </c>
      <c r="F988" s="15" t="n">
        <v>34</v>
      </c>
      <c r="G988" s="16" t="n">
        <f aca="false">IF(A988="2025",INDEX(Products!$C$2:$C$13,MATCH(D988,Products!$A$2:$A$13,0)),INDEX(Products!$E$2:$E$13,MATCH(D988,Products!$A$2:$A$13,0)))</f>
        <v>4360</v>
      </c>
      <c r="H988" s="13" t="n">
        <f aca="false">IF(A988="2025",INDEX(Customers!$D$2:$D$41,MATCH(C988,Customers!$A$2:$A$41,0)),INDEX(Customers!$F$2:$F$41,MATCH(C988,Customers!$A$2:$A$41,0)))</f>
        <v>0.108</v>
      </c>
      <c r="I988" s="16" t="n">
        <f aca="false">F988*G988</f>
        <v>148240</v>
      </c>
      <c r="J988" s="16" t="n">
        <f aca="false">I988*(1-H988)</f>
        <v>132230.08</v>
      </c>
      <c r="K988" s="16" t="n">
        <f aca="false">J988*INDEX(Customers!$G$2:$G$41,MATCH(C988,Customers!$A$2:$A$41,0))</f>
        <v>2644.6016</v>
      </c>
      <c r="L988" s="16" t="n">
        <f aca="false">F988*INDEX(Customers!$H$2:$H$41,MATCH(C988,Customers!$A$2:$A$41,0))</f>
        <v>11220</v>
      </c>
      <c r="M988" s="16" t="n">
        <f aca="false">J988*INDEX(Customers!$I$2:$I$41,MATCH(C988,Customers!$A$2:$A$41,0))/365*Assumptions!$B$6</f>
        <v>2608.37418082192</v>
      </c>
      <c r="N988" s="16" t="n">
        <f aca="false">J988-K988-L988-M988</f>
        <v>115757.104219178</v>
      </c>
      <c r="O988" s="16" t="n">
        <f aca="false">F988*IF(A988="2025",INDEX(Products!$D$2:$D$13,MATCH(D988,Products!$A$2:$A$13,0)),INDEX(Products!$F$2:$F$13,MATCH(D988,Products!$A$2:$A$13,0)))</f>
        <v>94180</v>
      </c>
      <c r="P988" s="16" t="n">
        <f aca="false">N988-O988</f>
        <v>21577.1042191781</v>
      </c>
    </row>
    <row r="989" customFormat="false" ht="15" hidden="false" customHeight="false" outlineLevel="0" collapsed="false">
      <c r="A989" s="2" t="s">
        <v>118</v>
      </c>
      <c r="B989" s="2" t="n">
        <v>4</v>
      </c>
      <c r="C989" s="2" t="s">
        <v>76</v>
      </c>
      <c r="D989" s="2" t="s">
        <v>38</v>
      </c>
      <c r="E989" s="2" t="str">
        <f aca="false">INDEX(Products!$B$2:$B$13,MATCH(D989,Products!$A$2:$A$13,0))</f>
        <v>FCC</v>
      </c>
      <c r="F989" s="15" t="n">
        <v>23.5</v>
      </c>
      <c r="G989" s="16" t="n">
        <f aca="false">IF(A989="2025",INDEX(Products!$C$2:$C$13,MATCH(D989,Products!$A$2:$A$13,0)),INDEX(Products!$E$2:$E$13,MATCH(D989,Products!$A$2:$A$13,0)))</f>
        <v>4360</v>
      </c>
      <c r="H989" s="13" t="n">
        <f aca="false">IF(A989="2025",INDEX(Customers!$D$2:$D$41,MATCH(C989,Customers!$A$2:$A$41,0)),INDEX(Customers!$F$2:$F$41,MATCH(C989,Customers!$A$2:$A$41,0)))</f>
        <v>0.108</v>
      </c>
      <c r="I989" s="16" t="n">
        <f aca="false">F989*G989</f>
        <v>102460</v>
      </c>
      <c r="J989" s="16" t="n">
        <f aca="false">I989*(1-H989)</f>
        <v>91394.32</v>
      </c>
      <c r="K989" s="16" t="n">
        <f aca="false">J989*INDEX(Customers!$G$2:$G$41,MATCH(C989,Customers!$A$2:$A$41,0))</f>
        <v>1827.8864</v>
      </c>
      <c r="L989" s="16" t="n">
        <f aca="false">F989*INDEX(Customers!$H$2:$H$41,MATCH(C989,Customers!$A$2:$A$41,0))</f>
        <v>7755</v>
      </c>
      <c r="M989" s="16" t="n">
        <f aca="false">J989*INDEX(Customers!$I$2:$I$41,MATCH(C989,Customers!$A$2:$A$41,0))/365*Assumptions!$B$6</f>
        <v>1802.84686027397</v>
      </c>
      <c r="N989" s="16" t="n">
        <f aca="false">J989-K989-L989-M989</f>
        <v>80008.586739726</v>
      </c>
      <c r="O989" s="16" t="n">
        <f aca="false">F989*IF(A989="2025",INDEX(Products!$D$2:$D$13,MATCH(D989,Products!$A$2:$A$13,0)),INDEX(Products!$F$2:$F$13,MATCH(D989,Products!$A$2:$A$13,0)))</f>
        <v>65095</v>
      </c>
      <c r="P989" s="16" t="n">
        <f aca="false">N989-O989</f>
        <v>14913.586739726</v>
      </c>
    </row>
    <row r="990" customFormat="false" ht="15" hidden="false" customHeight="false" outlineLevel="0" collapsed="false">
      <c r="A990" s="2" t="s">
        <v>118</v>
      </c>
      <c r="B990" s="2" t="n">
        <v>5</v>
      </c>
      <c r="C990" s="2" t="s">
        <v>76</v>
      </c>
      <c r="D990" s="2" t="s">
        <v>38</v>
      </c>
      <c r="E990" s="2" t="str">
        <f aca="false">INDEX(Products!$B$2:$B$13,MATCH(D990,Products!$A$2:$A$13,0))</f>
        <v>FCC</v>
      </c>
      <c r="F990" s="15" t="n">
        <v>30.7</v>
      </c>
      <c r="G990" s="16" t="n">
        <f aca="false">IF(A990="2025",INDEX(Products!$C$2:$C$13,MATCH(D990,Products!$A$2:$A$13,0)),INDEX(Products!$E$2:$E$13,MATCH(D990,Products!$A$2:$A$13,0)))</f>
        <v>4360</v>
      </c>
      <c r="H990" s="13" t="n">
        <f aca="false">IF(A990="2025",INDEX(Customers!$D$2:$D$41,MATCH(C990,Customers!$A$2:$A$41,0)),INDEX(Customers!$F$2:$F$41,MATCH(C990,Customers!$A$2:$A$41,0)))</f>
        <v>0.108</v>
      </c>
      <c r="I990" s="16" t="n">
        <f aca="false">F990*G990</f>
        <v>133852</v>
      </c>
      <c r="J990" s="16" t="n">
        <f aca="false">I990*(1-H990)</f>
        <v>119395.984</v>
      </c>
      <c r="K990" s="16" t="n">
        <f aca="false">J990*INDEX(Customers!$G$2:$G$41,MATCH(C990,Customers!$A$2:$A$41,0))</f>
        <v>2387.91968</v>
      </c>
      <c r="L990" s="16" t="n">
        <f aca="false">F990*INDEX(Customers!$H$2:$H$41,MATCH(C990,Customers!$A$2:$A$41,0))</f>
        <v>10131</v>
      </c>
      <c r="M990" s="16" t="n">
        <f aca="false">J990*INDEX(Customers!$I$2:$I$41,MATCH(C990,Customers!$A$2:$A$41,0))/365*Assumptions!$B$6</f>
        <v>2355.20845150685</v>
      </c>
      <c r="N990" s="16" t="n">
        <f aca="false">J990-K990-L990-M990</f>
        <v>104521.855868493</v>
      </c>
      <c r="O990" s="16" t="n">
        <f aca="false">F990*IF(A990="2025",INDEX(Products!$D$2:$D$13,MATCH(D990,Products!$A$2:$A$13,0)),INDEX(Products!$F$2:$F$13,MATCH(D990,Products!$A$2:$A$13,0)))</f>
        <v>85039</v>
      </c>
      <c r="P990" s="16" t="n">
        <f aca="false">N990-O990</f>
        <v>19482.8558684931</v>
      </c>
    </row>
    <row r="991" customFormat="false" ht="15" hidden="false" customHeight="false" outlineLevel="0" collapsed="false">
      <c r="A991" s="2" t="s">
        <v>118</v>
      </c>
      <c r="B991" s="2" t="n">
        <v>6</v>
      </c>
      <c r="C991" s="2" t="s">
        <v>76</v>
      </c>
      <c r="D991" s="2" t="s">
        <v>38</v>
      </c>
      <c r="E991" s="2" t="str">
        <f aca="false">INDEX(Products!$B$2:$B$13,MATCH(D991,Products!$A$2:$A$13,0))</f>
        <v>FCC</v>
      </c>
      <c r="F991" s="15" t="n">
        <v>34</v>
      </c>
      <c r="G991" s="16" t="n">
        <f aca="false">IF(A991="2025",INDEX(Products!$C$2:$C$13,MATCH(D991,Products!$A$2:$A$13,0)),INDEX(Products!$E$2:$E$13,MATCH(D991,Products!$A$2:$A$13,0)))</f>
        <v>4360</v>
      </c>
      <c r="H991" s="13" t="n">
        <f aca="false">IF(A991="2025",INDEX(Customers!$D$2:$D$41,MATCH(C991,Customers!$A$2:$A$41,0)),INDEX(Customers!$F$2:$F$41,MATCH(C991,Customers!$A$2:$A$41,0)))</f>
        <v>0.108</v>
      </c>
      <c r="I991" s="16" t="n">
        <f aca="false">F991*G991</f>
        <v>148240</v>
      </c>
      <c r="J991" s="16" t="n">
        <f aca="false">I991*(1-H991)</f>
        <v>132230.08</v>
      </c>
      <c r="K991" s="16" t="n">
        <f aca="false">J991*INDEX(Customers!$G$2:$G$41,MATCH(C991,Customers!$A$2:$A$41,0))</f>
        <v>2644.6016</v>
      </c>
      <c r="L991" s="16" t="n">
        <f aca="false">F991*INDEX(Customers!$H$2:$H$41,MATCH(C991,Customers!$A$2:$A$41,0))</f>
        <v>11220</v>
      </c>
      <c r="M991" s="16" t="n">
        <f aca="false">J991*INDEX(Customers!$I$2:$I$41,MATCH(C991,Customers!$A$2:$A$41,0))/365*Assumptions!$B$6</f>
        <v>2608.37418082192</v>
      </c>
      <c r="N991" s="16" t="n">
        <f aca="false">J991-K991-L991-M991</f>
        <v>115757.104219178</v>
      </c>
      <c r="O991" s="16" t="n">
        <f aca="false">F991*IF(A991="2025",INDEX(Products!$D$2:$D$13,MATCH(D991,Products!$A$2:$A$13,0)),INDEX(Products!$F$2:$F$13,MATCH(D991,Products!$A$2:$A$13,0)))</f>
        <v>94180</v>
      </c>
      <c r="P991" s="16" t="n">
        <f aca="false">N991-O991</f>
        <v>21577.1042191781</v>
      </c>
    </row>
    <row r="992" customFormat="false" ht="15" hidden="false" customHeight="false" outlineLevel="0" collapsed="false">
      <c r="A992" s="2" t="s">
        <v>118</v>
      </c>
      <c r="B992" s="2" t="n">
        <v>7</v>
      </c>
      <c r="C992" s="2" t="s">
        <v>76</v>
      </c>
      <c r="D992" s="2" t="s">
        <v>38</v>
      </c>
      <c r="E992" s="2" t="str">
        <f aca="false">INDEX(Products!$B$2:$B$13,MATCH(D992,Products!$A$2:$A$13,0))</f>
        <v>FCC</v>
      </c>
      <c r="F992" s="15" t="n">
        <v>29.8</v>
      </c>
      <c r="G992" s="16" t="n">
        <f aca="false">IF(A992="2025",INDEX(Products!$C$2:$C$13,MATCH(D992,Products!$A$2:$A$13,0)),INDEX(Products!$E$2:$E$13,MATCH(D992,Products!$A$2:$A$13,0)))</f>
        <v>4360</v>
      </c>
      <c r="H992" s="13" t="n">
        <f aca="false">IF(A992="2025",INDEX(Customers!$D$2:$D$41,MATCH(C992,Customers!$A$2:$A$41,0)),INDEX(Customers!$F$2:$F$41,MATCH(C992,Customers!$A$2:$A$41,0)))</f>
        <v>0.108</v>
      </c>
      <c r="I992" s="16" t="n">
        <f aca="false">F992*G992</f>
        <v>129928</v>
      </c>
      <c r="J992" s="16" t="n">
        <f aca="false">I992*(1-H992)</f>
        <v>115895.776</v>
      </c>
      <c r="K992" s="16" t="n">
        <f aca="false">J992*INDEX(Customers!$G$2:$G$41,MATCH(C992,Customers!$A$2:$A$41,0))</f>
        <v>2317.91552</v>
      </c>
      <c r="L992" s="16" t="n">
        <f aca="false">F992*INDEX(Customers!$H$2:$H$41,MATCH(C992,Customers!$A$2:$A$41,0))</f>
        <v>9834</v>
      </c>
      <c r="M992" s="16" t="n">
        <f aca="false">J992*INDEX(Customers!$I$2:$I$41,MATCH(C992,Customers!$A$2:$A$41,0))/365*Assumptions!$B$6</f>
        <v>2286.16325260274</v>
      </c>
      <c r="N992" s="16" t="n">
        <f aca="false">J992-K992-L992-M992</f>
        <v>101457.697227397</v>
      </c>
      <c r="O992" s="16" t="n">
        <f aca="false">F992*IF(A992="2025",INDEX(Products!$D$2:$D$13,MATCH(D992,Products!$A$2:$A$13,0)),INDEX(Products!$F$2:$F$13,MATCH(D992,Products!$A$2:$A$13,0)))</f>
        <v>82546</v>
      </c>
      <c r="P992" s="16" t="n">
        <f aca="false">N992-O992</f>
        <v>18911.6972273973</v>
      </c>
    </row>
    <row r="993" customFormat="false" ht="15" hidden="false" customHeight="false" outlineLevel="0" collapsed="false">
      <c r="A993" s="2" t="s">
        <v>118</v>
      </c>
      <c r="B993" s="2" t="n">
        <v>8</v>
      </c>
      <c r="C993" s="2" t="s">
        <v>76</v>
      </c>
      <c r="D993" s="2" t="s">
        <v>38</v>
      </c>
      <c r="E993" s="2" t="str">
        <f aca="false">INDEX(Products!$B$2:$B$13,MATCH(D993,Products!$A$2:$A$13,0))</f>
        <v>FCC</v>
      </c>
      <c r="F993" s="15" t="n">
        <v>21.3</v>
      </c>
      <c r="G993" s="16" t="n">
        <f aca="false">IF(A993="2025",INDEX(Products!$C$2:$C$13,MATCH(D993,Products!$A$2:$A$13,0)),INDEX(Products!$E$2:$E$13,MATCH(D993,Products!$A$2:$A$13,0)))</f>
        <v>4360</v>
      </c>
      <c r="H993" s="13" t="n">
        <f aca="false">IF(A993="2025",INDEX(Customers!$D$2:$D$41,MATCH(C993,Customers!$A$2:$A$41,0)),INDEX(Customers!$F$2:$F$41,MATCH(C993,Customers!$A$2:$A$41,0)))</f>
        <v>0.108</v>
      </c>
      <c r="I993" s="16" t="n">
        <f aca="false">F993*G993</f>
        <v>92868</v>
      </c>
      <c r="J993" s="16" t="n">
        <f aca="false">I993*(1-H993)</f>
        <v>82838.256</v>
      </c>
      <c r="K993" s="16" t="n">
        <f aca="false">J993*INDEX(Customers!$G$2:$G$41,MATCH(C993,Customers!$A$2:$A$41,0))</f>
        <v>1656.76512</v>
      </c>
      <c r="L993" s="16" t="n">
        <f aca="false">F993*INDEX(Customers!$H$2:$H$41,MATCH(C993,Customers!$A$2:$A$41,0))</f>
        <v>7029</v>
      </c>
      <c r="M993" s="16" t="n">
        <f aca="false">J993*INDEX(Customers!$I$2:$I$41,MATCH(C993,Customers!$A$2:$A$41,0))/365*Assumptions!$B$6</f>
        <v>1634.06970739726</v>
      </c>
      <c r="N993" s="16" t="n">
        <f aca="false">J993-K993-L993-M993</f>
        <v>72518.4211726028</v>
      </c>
      <c r="O993" s="16" t="n">
        <f aca="false">F993*IF(A993="2025",INDEX(Products!$D$2:$D$13,MATCH(D993,Products!$A$2:$A$13,0)),INDEX(Products!$F$2:$F$13,MATCH(D993,Products!$A$2:$A$13,0)))</f>
        <v>59001</v>
      </c>
      <c r="P993" s="16" t="n">
        <f aca="false">N993-O993</f>
        <v>13517.4211726028</v>
      </c>
    </row>
    <row r="994" customFormat="false" ht="15" hidden="false" customHeight="false" outlineLevel="0" collapsed="false">
      <c r="A994" s="2" t="s">
        <v>118</v>
      </c>
      <c r="B994" s="2" t="n">
        <v>9</v>
      </c>
      <c r="C994" s="2" t="s">
        <v>76</v>
      </c>
      <c r="D994" s="2" t="s">
        <v>38</v>
      </c>
      <c r="E994" s="2" t="str">
        <f aca="false">INDEX(Products!$B$2:$B$13,MATCH(D994,Products!$A$2:$A$13,0))</f>
        <v>FCC</v>
      </c>
      <c r="F994" s="15" t="n">
        <v>30.2</v>
      </c>
      <c r="G994" s="16" t="n">
        <f aca="false">IF(A994="2025",INDEX(Products!$C$2:$C$13,MATCH(D994,Products!$A$2:$A$13,0)),INDEX(Products!$E$2:$E$13,MATCH(D994,Products!$A$2:$A$13,0)))</f>
        <v>4360</v>
      </c>
      <c r="H994" s="13" t="n">
        <f aca="false">IF(A994="2025",INDEX(Customers!$D$2:$D$41,MATCH(C994,Customers!$A$2:$A$41,0)),INDEX(Customers!$F$2:$F$41,MATCH(C994,Customers!$A$2:$A$41,0)))</f>
        <v>0.108</v>
      </c>
      <c r="I994" s="16" t="n">
        <f aca="false">F994*G994</f>
        <v>131672</v>
      </c>
      <c r="J994" s="16" t="n">
        <f aca="false">I994*(1-H994)</f>
        <v>117451.424</v>
      </c>
      <c r="K994" s="16" t="n">
        <f aca="false">J994*INDEX(Customers!$G$2:$G$41,MATCH(C994,Customers!$A$2:$A$41,0))</f>
        <v>2349.02848</v>
      </c>
      <c r="L994" s="16" t="n">
        <f aca="false">F994*INDEX(Customers!$H$2:$H$41,MATCH(C994,Customers!$A$2:$A$41,0))</f>
        <v>9966</v>
      </c>
      <c r="M994" s="16" t="n">
        <f aca="false">J994*INDEX(Customers!$I$2:$I$41,MATCH(C994,Customers!$A$2:$A$41,0))/365*Assumptions!$B$6</f>
        <v>2316.85000767123</v>
      </c>
      <c r="N994" s="16" t="n">
        <f aca="false">J994-K994-L994-M994</f>
        <v>102819.545512329</v>
      </c>
      <c r="O994" s="16" t="n">
        <f aca="false">F994*IF(A994="2025",INDEX(Products!$D$2:$D$13,MATCH(D994,Products!$A$2:$A$13,0)),INDEX(Products!$F$2:$F$13,MATCH(D994,Products!$A$2:$A$13,0)))</f>
        <v>83654</v>
      </c>
      <c r="P994" s="16" t="n">
        <f aca="false">N994-O994</f>
        <v>19165.5455123288</v>
      </c>
    </row>
    <row r="995" customFormat="false" ht="15" hidden="false" customHeight="false" outlineLevel="0" collapsed="false">
      <c r="A995" s="2" t="s">
        <v>118</v>
      </c>
      <c r="B995" s="2" t="n">
        <v>10</v>
      </c>
      <c r="C995" s="2" t="s">
        <v>76</v>
      </c>
      <c r="D995" s="2" t="s">
        <v>38</v>
      </c>
      <c r="E995" s="2" t="str">
        <f aca="false">INDEX(Products!$B$2:$B$13,MATCH(D995,Products!$A$2:$A$13,0))</f>
        <v>FCC</v>
      </c>
      <c r="F995" s="15" t="n">
        <v>20.1</v>
      </c>
      <c r="G995" s="16" t="n">
        <f aca="false">IF(A995="2025",INDEX(Products!$C$2:$C$13,MATCH(D995,Products!$A$2:$A$13,0)),INDEX(Products!$E$2:$E$13,MATCH(D995,Products!$A$2:$A$13,0)))</f>
        <v>4360</v>
      </c>
      <c r="H995" s="13" t="n">
        <f aca="false">IF(A995="2025",INDEX(Customers!$D$2:$D$41,MATCH(C995,Customers!$A$2:$A$41,0)),INDEX(Customers!$F$2:$F$41,MATCH(C995,Customers!$A$2:$A$41,0)))</f>
        <v>0.108</v>
      </c>
      <c r="I995" s="16" t="n">
        <f aca="false">F995*G995</f>
        <v>87636</v>
      </c>
      <c r="J995" s="16" t="n">
        <f aca="false">I995*(1-H995)</f>
        <v>78171.312</v>
      </c>
      <c r="K995" s="16" t="n">
        <f aca="false">J995*INDEX(Customers!$G$2:$G$41,MATCH(C995,Customers!$A$2:$A$41,0))</f>
        <v>1563.42624</v>
      </c>
      <c r="L995" s="16" t="n">
        <f aca="false">F995*INDEX(Customers!$H$2:$H$41,MATCH(C995,Customers!$A$2:$A$41,0))</f>
        <v>6633</v>
      </c>
      <c r="M995" s="16" t="n">
        <f aca="false">J995*INDEX(Customers!$I$2:$I$41,MATCH(C995,Customers!$A$2:$A$41,0))/365*Assumptions!$B$6</f>
        <v>1542.00944219178</v>
      </c>
      <c r="N995" s="16" t="n">
        <f aca="false">J995-K995-L995-M995</f>
        <v>68432.8763178082</v>
      </c>
      <c r="O995" s="16" t="n">
        <f aca="false">F995*IF(A995="2025",INDEX(Products!$D$2:$D$13,MATCH(D995,Products!$A$2:$A$13,0)),INDEX(Products!$F$2:$F$13,MATCH(D995,Products!$A$2:$A$13,0)))</f>
        <v>55677</v>
      </c>
      <c r="P995" s="16" t="n">
        <f aca="false">N995-O995</f>
        <v>12755.8763178082</v>
      </c>
    </row>
    <row r="996" customFormat="false" ht="15" hidden="false" customHeight="false" outlineLevel="0" collapsed="false">
      <c r="A996" s="2" t="s">
        <v>118</v>
      </c>
      <c r="B996" s="2" t="n">
        <v>11</v>
      </c>
      <c r="C996" s="2" t="s">
        <v>76</v>
      </c>
      <c r="D996" s="2" t="s">
        <v>38</v>
      </c>
      <c r="E996" s="2" t="str">
        <f aca="false">INDEX(Products!$B$2:$B$13,MATCH(D996,Products!$A$2:$A$13,0))</f>
        <v>FCC</v>
      </c>
      <c r="F996" s="15" t="n">
        <v>24</v>
      </c>
      <c r="G996" s="16" t="n">
        <f aca="false">IF(A996="2025",INDEX(Products!$C$2:$C$13,MATCH(D996,Products!$A$2:$A$13,0)),INDEX(Products!$E$2:$E$13,MATCH(D996,Products!$A$2:$A$13,0)))</f>
        <v>4360</v>
      </c>
      <c r="H996" s="13" t="n">
        <f aca="false">IF(A996="2025",INDEX(Customers!$D$2:$D$41,MATCH(C996,Customers!$A$2:$A$41,0)),INDEX(Customers!$F$2:$F$41,MATCH(C996,Customers!$A$2:$A$41,0)))</f>
        <v>0.108</v>
      </c>
      <c r="I996" s="16" t="n">
        <f aca="false">F996*G996</f>
        <v>104640</v>
      </c>
      <c r="J996" s="16" t="n">
        <f aca="false">I996*(1-H996)</f>
        <v>93338.88</v>
      </c>
      <c r="K996" s="16" t="n">
        <f aca="false">J996*INDEX(Customers!$G$2:$G$41,MATCH(C996,Customers!$A$2:$A$41,0))</f>
        <v>1866.7776</v>
      </c>
      <c r="L996" s="16" t="n">
        <f aca="false">F996*INDEX(Customers!$H$2:$H$41,MATCH(C996,Customers!$A$2:$A$41,0))</f>
        <v>7920</v>
      </c>
      <c r="M996" s="16" t="n">
        <f aca="false">J996*INDEX(Customers!$I$2:$I$41,MATCH(C996,Customers!$A$2:$A$41,0))/365*Assumptions!$B$6</f>
        <v>1841.20530410959</v>
      </c>
      <c r="N996" s="16" t="n">
        <f aca="false">J996-K996-L996-M996</f>
        <v>81710.8970958904</v>
      </c>
      <c r="O996" s="16" t="n">
        <f aca="false">F996*IF(A996="2025",INDEX(Products!$D$2:$D$13,MATCH(D996,Products!$A$2:$A$13,0)),INDEX(Products!$F$2:$F$13,MATCH(D996,Products!$A$2:$A$13,0)))</f>
        <v>66480</v>
      </c>
      <c r="P996" s="16" t="n">
        <f aca="false">N996-O996</f>
        <v>15230.8970958904</v>
      </c>
    </row>
    <row r="997" customFormat="false" ht="15" hidden="false" customHeight="false" outlineLevel="0" collapsed="false">
      <c r="A997" s="2" t="s">
        <v>118</v>
      </c>
      <c r="B997" s="2" t="n">
        <v>12</v>
      </c>
      <c r="C997" s="2" t="s">
        <v>76</v>
      </c>
      <c r="D997" s="2" t="s">
        <v>38</v>
      </c>
      <c r="E997" s="2" t="str">
        <f aca="false">INDEX(Products!$B$2:$B$13,MATCH(D997,Products!$A$2:$A$13,0))</f>
        <v>FCC</v>
      </c>
      <c r="F997" s="15" t="n">
        <v>34</v>
      </c>
      <c r="G997" s="16" t="n">
        <f aca="false">IF(A997="2025",INDEX(Products!$C$2:$C$13,MATCH(D997,Products!$A$2:$A$13,0)),INDEX(Products!$E$2:$E$13,MATCH(D997,Products!$A$2:$A$13,0)))</f>
        <v>4360</v>
      </c>
      <c r="H997" s="13" t="n">
        <f aca="false">IF(A997="2025",INDEX(Customers!$D$2:$D$41,MATCH(C997,Customers!$A$2:$A$41,0)),INDEX(Customers!$F$2:$F$41,MATCH(C997,Customers!$A$2:$A$41,0)))</f>
        <v>0.108</v>
      </c>
      <c r="I997" s="16" t="n">
        <f aca="false">F997*G997</f>
        <v>148240</v>
      </c>
      <c r="J997" s="16" t="n">
        <f aca="false">I997*(1-H997)</f>
        <v>132230.08</v>
      </c>
      <c r="K997" s="16" t="n">
        <f aca="false">J997*INDEX(Customers!$G$2:$G$41,MATCH(C997,Customers!$A$2:$A$41,0))</f>
        <v>2644.6016</v>
      </c>
      <c r="L997" s="16" t="n">
        <f aca="false">F997*INDEX(Customers!$H$2:$H$41,MATCH(C997,Customers!$A$2:$A$41,0))</f>
        <v>11220</v>
      </c>
      <c r="M997" s="16" t="n">
        <f aca="false">J997*INDEX(Customers!$I$2:$I$41,MATCH(C997,Customers!$A$2:$A$41,0))/365*Assumptions!$B$6</f>
        <v>2608.37418082192</v>
      </c>
      <c r="N997" s="16" t="n">
        <f aca="false">J997-K997-L997-M997</f>
        <v>115757.104219178</v>
      </c>
      <c r="O997" s="16" t="n">
        <f aca="false">F997*IF(A997="2025",INDEX(Products!$D$2:$D$13,MATCH(D997,Products!$A$2:$A$13,0)),INDEX(Products!$F$2:$F$13,MATCH(D997,Products!$A$2:$A$13,0)))</f>
        <v>94180</v>
      </c>
      <c r="P997" s="16" t="n">
        <f aca="false">N997-O997</f>
        <v>21577.1042191781</v>
      </c>
    </row>
    <row r="998" customFormat="false" ht="15" hidden="false" customHeight="false" outlineLevel="0" collapsed="false">
      <c r="A998" s="2" t="s">
        <v>119</v>
      </c>
      <c r="B998" s="2" t="n">
        <v>1</v>
      </c>
      <c r="C998" s="2" t="s">
        <v>76</v>
      </c>
      <c r="D998" s="2" t="s">
        <v>38</v>
      </c>
      <c r="E998" s="2" t="str">
        <f aca="false">INDEX(Products!$B$2:$B$13,MATCH(D998,Products!$A$2:$A$13,0))</f>
        <v>FCC</v>
      </c>
      <c r="F998" s="15" t="n">
        <v>26.4</v>
      </c>
      <c r="G998" s="16" t="n">
        <f aca="false">IF(A998="2025",INDEX(Products!$C$2:$C$13,MATCH(D998,Products!$A$2:$A$13,0)),INDEX(Products!$E$2:$E$13,MATCH(D998,Products!$A$2:$A$13,0)))</f>
        <v>4578</v>
      </c>
      <c r="H998" s="13" t="n">
        <f aca="false">IF(A998="2025",INDEX(Customers!$D$2:$D$41,MATCH(C998,Customers!$A$2:$A$41,0)),INDEX(Customers!$F$2:$F$41,MATCH(C998,Customers!$A$2:$A$41,0)))</f>
        <v>0.108</v>
      </c>
      <c r="I998" s="16" t="n">
        <f aca="false">F998*G998</f>
        <v>120859.2</v>
      </c>
      <c r="J998" s="16" t="n">
        <f aca="false">I998*(1-H998)</f>
        <v>107806.4064</v>
      </c>
      <c r="K998" s="16" t="n">
        <f aca="false">J998*INDEX(Customers!$G$2:$G$41,MATCH(C998,Customers!$A$2:$A$41,0))</f>
        <v>2156.128128</v>
      </c>
      <c r="L998" s="16" t="n">
        <f aca="false">F998*INDEX(Customers!$H$2:$H$41,MATCH(C998,Customers!$A$2:$A$41,0))</f>
        <v>8712</v>
      </c>
      <c r="M998" s="16" t="n">
        <f aca="false">J998*INDEX(Customers!$I$2:$I$41,MATCH(C998,Customers!$A$2:$A$41,0))/365*Assumptions!$B$6</f>
        <v>2126.59212624658</v>
      </c>
      <c r="N998" s="16" t="n">
        <f aca="false">J998-K998-L998-M998</f>
        <v>94811.6861457534</v>
      </c>
      <c r="O998" s="16" t="n">
        <f aca="false">F998*IF(A998="2025",INDEX(Products!$D$2:$D$13,MATCH(D998,Products!$A$2:$A$13,0)),INDEX(Products!$F$2:$F$13,MATCH(D998,Products!$A$2:$A$13,0)))</f>
        <v>75321.84</v>
      </c>
      <c r="P998" s="16" t="n">
        <f aca="false">N998-O998</f>
        <v>19489.8461457534</v>
      </c>
    </row>
    <row r="999" customFormat="false" ht="15" hidden="false" customHeight="false" outlineLevel="0" collapsed="false">
      <c r="A999" s="2" t="s">
        <v>119</v>
      </c>
      <c r="B999" s="2" t="n">
        <v>2</v>
      </c>
      <c r="C999" s="2" t="s">
        <v>76</v>
      </c>
      <c r="D999" s="2" t="s">
        <v>38</v>
      </c>
      <c r="E999" s="2" t="str">
        <f aca="false">INDEX(Products!$B$2:$B$13,MATCH(D999,Products!$A$2:$A$13,0))</f>
        <v>FCC</v>
      </c>
      <c r="F999" s="15" t="n">
        <v>19.4</v>
      </c>
      <c r="G999" s="16" t="n">
        <f aca="false">IF(A999="2025",INDEX(Products!$C$2:$C$13,MATCH(D999,Products!$A$2:$A$13,0)),INDEX(Products!$E$2:$E$13,MATCH(D999,Products!$A$2:$A$13,0)))</f>
        <v>4578</v>
      </c>
      <c r="H999" s="13" t="n">
        <f aca="false">IF(A999="2025",INDEX(Customers!$D$2:$D$41,MATCH(C999,Customers!$A$2:$A$41,0)),INDEX(Customers!$F$2:$F$41,MATCH(C999,Customers!$A$2:$A$41,0)))</f>
        <v>0.108</v>
      </c>
      <c r="I999" s="16" t="n">
        <f aca="false">F999*G999</f>
        <v>88813.2</v>
      </c>
      <c r="J999" s="16" t="n">
        <f aca="false">I999*(1-H999)</f>
        <v>79221.3744</v>
      </c>
      <c r="K999" s="16" t="n">
        <f aca="false">J999*INDEX(Customers!$G$2:$G$41,MATCH(C999,Customers!$A$2:$A$41,0))</f>
        <v>1584.427488</v>
      </c>
      <c r="L999" s="16" t="n">
        <f aca="false">F999*INDEX(Customers!$H$2:$H$41,MATCH(C999,Customers!$A$2:$A$41,0))</f>
        <v>6402</v>
      </c>
      <c r="M999" s="16" t="n">
        <f aca="false">J999*INDEX(Customers!$I$2:$I$41,MATCH(C999,Customers!$A$2:$A$41,0))/365*Assumptions!$B$6</f>
        <v>1562.72300186301</v>
      </c>
      <c r="N999" s="16" t="n">
        <f aca="false">J999-K999-L999-M999</f>
        <v>69672.223910137</v>
      </c>
      <c r="O999" s="16" t="n">
        <f aca="false">F999*IF(A999="2025",INDEX(Products!$D$2:$D$13,MATCH(D999,Products!$A$2:$A$13,0)),INDEX(Products!$F$2:$F$13,MATCH(D999,Products!$A$2:$A$13,0)))</f>
        <v>55350.14</v>
      </c>
      <c r="P999" s="16" t="n">
        <f aca="false">N999-O999</f>
        <v>14322.083910137</v>
      </c>
    </row>
    <row r="1000" customFormat="false" ht="15" hidden="false" customHeight="false" outlineLevel="0" collapsed="false">
      <c r="A1000" s="2" t="s">
        <v>119</v>
      </c>
      <c r="B1000" s="2" t="n">
        <v>3</v>
      </c>
      <c r="C1000" s="2" t="s">
        <v>76</v>
      </c>
      <c r="D1000" s="2" t="s">
        <v>38</v>
      </c>
      <c r="E1000" s="2" t="str">
        <f aca="false">INDEX(Products!$B$2:$B$13,MATCH(D1000,Products!$A$2:$A$13,0))</f>
        <v>FCC</v>
      </c>
      <c r="F1000" s="15" t="n">
        <v>26.1</v>
      </c>
      <c r="G1000" s="16" t="n">
        <f aca="false">IF(A1000="2025",INDEX(Products!$C$2:$C$13,MATCH(D1000,Products!$A$2:$A$13,0)),INDEX(Products!$E$2:$E$13,MATCH(D1000,Products!$A$2:$A$13,0)))</f>
        <v>4578</v>
      </c>
      <c r="H1000" s="13" t="n">
        <f aca="false">IF(A1000="2025",INDEX(Customers!$D$2:$D$41,MATCH(C1000,Customers!$A$2:$A$41,0)),INDEX(Customers!$F$2:$F$41,MATCH(C1000,Customers!$A$2:$A$41,0)))</f>
        <v>0.108</v>
      </c>
      <c r="I1000" s="16" t="n">
        <f aca="false">F1000*G1000</f>
        <v>119485.8</v>
      </c>
      <c r="J1000" s="16" t="n">
        <f aca="false">I1000*(1-H1000)</f>
        <v>106581.3336</v>
      </c>
      <c r="K1000" s="16" t="n">
        <f aca="false">J1000*INDEX(Customers!$G$2:$G$41,MATCH(C1000,Customers!$A$2:$A$41,0))</f>
        <v>2131.626672</v>
      </c>
      <c r="L1000" s="16" t="n">
        <f aca="false">F1000*INDEX(Customers!$H$2:$H$41,MATCH(C1000,Customers!$A$2:$A$41,0))</f>
        <v>8613</v>
      </c>
      <c r="M1000" s="16" t="n">
        <f aca="false">J1000*INDEX(Customers!$I$2:$I$41,MATCH(C1000,Customers!$A$2:$A$41,0))/365*Assumptions!$B$6</f>
        <v>2102.42630663014</v>
      </c>
      <c r="N1000" s="16" t="n">
        <f aca="false">J1000-K1000-L1000-M1000</f>
        <v>93734.2806213699</v>
      </c>
      <c r="O1000" s="16" t="n">
        <f aca="false">F1000*IF(A1000="2025",INDEX(Products!$D$2:$D$13,MATCH(D1000,Products!$A$2:$A$13,0)),INDEX(Products!$F$2:$F$13,MATCH(D1000,Products!$A$2:$A$13,0)))</f>
        <v>74465.91</v>
      </c>
      <c r="P1000" s="16" t="n">
        <f aca="false">N1000-O1000</f>
        <v>19268.3706213699</v>
      </c>
    </row>
    <row r="1001" customFormat="false" ht="15" hidden="false" customHeight="false" outlineLevel="0" collapsed="false">
      <c r="A1001" s="2" t="s">
        <v>119</v>
      </c>
      <c r="B1001" s="2" t="n">
        <v>4</v>
      </c>
      <c r="C1001" s="2" t="s">
        <v>76</v>
      </c>
      <c r="D1001" s="2" t="s">
        <v>38</v>
      </c>
      <c r="E1001" s="2" t="str">
        <f aca="false">INDEX(Products!$B$2:$B$13,MATCH(D1001,Products!$A$2:$A$13,0))</f>
        <v>FCC</v>
      </c>
      <c r="F1001" s="15" t="n">
        <v>24.5</v>
      </c>
      <c r="G1001" s="16" t="n">
        <f aca="false">IF(A1001="2025",INDEX(Products!$C$2:$C$13,MATCH(D1001,Products!$A$2:$A$13,0)),INDEX(Products!$E$2:$E$13,MATCH(D1001,Products!$A$2:$A$13,0)))</f>
        <v>4578</v>
      </c>
      <c r="H1001" s="13" t="n">
        <f aca="false">IF(A1001="2025",INDEX(Customers!$D$2:$D$41,MATCH(C1001,Customers!$A$2:$A$41,0)),INDEX(Customers!$F$2:$F$41,MATCH(C1001,Customers!$A$2:$A$41,0)))</f>
        <v>0.108</v>
      </c>
      <c r="I1001" s="16" t="n">
        <f aca="false">F1001*G1001</f>
        <v>112161</v>
      </c>
      <c r="J1001" s="16" t="n">
        <f aca="false">I1001*(1-H1001)</f>
        <v>100047.612</v>
      </c>
      <c r="K1001" s="16" t="n">
        <f aca="false">J1001*INDEX(Customers!$G$2:$G$41,MATCH(C1001,Customers!$A$2:$A$41,0))</f>
        <v>2000.95224</v>
      </c>
      <c r="L1001" s="16" t="n">
        <f aca="false">F1001*INDEX(Customers!$H$2:$H$41,MATCH(C1001,Customers!$A$2:$A$41,0))</f>
        <v>8085</v>
      </c>
      <c r="M1001" s="16" t="n">
        <f aca="false">J1001*INDEX(Customers!$I$2:$I$41,MATCH(C1001,Customers!$A$2:$A$41,0))/365*Assumptions!$B$6</f>
        <v>1973.54193534247</v>
      </c>
      <c r="N1001" s="16" t="n">
        <f aca="false">J1001-K1001-L1001-M1001</f>
        <v>87988.1178246575</v>
      </c>
      <c r="O1001" s="16" t="n">
        <f aca="false">F1001*IF(A1001="2025",INDEX(Products!$D$2:$D$13,MATCH(D1001,Products!$A$2:$A$13,0)),INDEX(Products!$F$2:$F$13,MATCH(D1001,Products!$A$2:$A$13,0)))</f>
        <v>69900.95</v>
      </c>
      <c r="P1001" s="16" t="n">
        <f aca="false">N1001-O1001</f>
        <v>18087.1678246575</v>
      </c>
    </row>
    <row r="1002" customFormat="false" ht="15" hidden="false" customHeight="false" outlineLevel="0" collapsed="false">
      <c r="A1002" s="2" t="s">
        <v>119</v>
      </c>
      <c r="B1002" s="2" t="n">
        <v>5</v>
      </c>
      <c r="C1002" s="2" t="s">
        <v>76</v>
      </c>
      <c r="D1002" s="2" t="s">
        <v>38</v>
      </c>
      <c r="E1002" s="2" t="str">
        <f aca="false">INDEX(Products!$B$2:$B$13,MATCH(D1002,Products!$A$2:$A$13,0))</f>
        <v>FCC</v>
      </c>
      <c r="F1002" s="15" t="n">
        <v>27.8</v>
      </c>
      <c r="G1002" s="16" t="n">
        <f aca="false">IF(A1002="2025",INDEX(Products!$C$2:$C$13,MATCH(D1002,Products!$A$2:$A$13,0)),INDEX(Products!$E$2:$E$13,MATCH(D1002,Products!$A$2:$A$13,0)))</f>
        <v>4578</v>
      </c>
      <c r="H1002" s="13" t="n">
        <f aca="false">IF(A1002="2025",INDEX(Customers!$D$2:$D$41,MATCH(C1002,Customers!$A$2:$A$41,0)),INDEX(Customers!$F$2:$F$41,MATCH(C1002,Customers!$A$2:$A$41,0)))</f>
        <v>0.108</v>
      </c>
      <c r="I1002" s="16" t="n">
        <f aca="false">F1002*G1002</f>
        <v>127268.4</v>
      </c>
      <c r="J1002" s="16" t="n">
        <f aca="false">I1002*(1-H1002)</f>
        <v>113523.4128</v>
      </c>
      <c r="K1002" s="16" t="n">
        <f aca="false">J1002*INDEX(Customers!$G$2:$G$41,MATCH(C1002,Customers!$A$2:$A$41,0))</f>
        <v>2270.468256</v>
      </c>
      <c r="L1002" s="16" t="n">
        <f aca="false">F1002*INDEX(Customers!$H$2:$H$41,MATCH(C1002,Customers!$A$2:$A$41,0))</f>
        <v>9174</v>
      </c>
      <c r="M1002" s="16" t="n">
        <f aca="false">J1002*INDEX(Customers!$I$2:$I$41,MATCH(C1002,Customers!$A$2:$A$41,0))/365*Assumptions!$B$6</f>
        <v>2239.36595112329</v>
      </c>
      <c r="N1002" s="16" t="n">
        <f aca="false">J1002-K1002-L1002-M1002</f>
        <v>99839.5785928767</v>
      </c>
      <c r="O1002" s="16" t="n">
        <f aca="false">F1002*IF(A1002="2025",INDEX(Products!$D$2:$D$13,MATCH(D1002,Products!$A$2:$A$13,0)),INDEX(Products!$F$2:$F$13,MATCH(D1002,Products!$A$2:$A$13,0)))</f>
        <v>79316.18</v>
      </c>
      <c r="P1002" s="16" t="n">
        <f aca="false">N1002-O1002</f>
        <v>20523.3985928767</v>
      </c>
    </row>
    <row r="1003" customFormat="false" ht="15" hidden="false" customHeight="false" outlineLevel="0" collapsed="false">
      <c r="A1003" s="2" t="s">
        <v>119</v>
      </c>
      <c r="B1003" s="2" t="n">
        <v>6</v>
      </c>
      <c r="C1003" s="2" t="s">
        <v>76</v>
      </c>
      <c r="D1003" s="2" t="s">
        <v>38</v>
      </c>
      <c r="E1003" s="2" t="str">
        <f aca="false">INDEX(Products!$B$2:$B$13,MATCH(D1003,Products!$A$2:$A$13,0))</f>
        <v>FCC</v>
      </c>
      <c r="F1003" s="15" t="n">
        <v>25.8</v>
      </c>
      <c r="G1003" s="16" t="n">
        <f aca="false">IF(A1003="2025",INDEX(Products!$C$2:$C$13,MATCH(D1003,Products!$A$2:$A$13,0)),INDEX(Products!$E$2:$E$13,MATCH(D1003,Products!$A$2:$A$13,0)))</f>
        <v>4578</v>
      </c>
      <c r="H1003" s="13" t="n">
        <f aca="false">IF(A1003="2025",INDEX(Customers!$D$2:$D$41,MATCH(C1003,Customers!$A$2:$A$41,0)),INDEX(Customers!$F$2:$F$41,MATCH(C1003,Customers!$A$2:$A$41,0)))</f>
        <v>0.108</v>
      </c>
      <c r="I1003" s="16" t="n">
        <f aca="false">F1003*G1003</f>
        <v>118112.4</v>
      </c>
      <c r="J1003" s="16" t="n">
        <f aca="false">I1003*(1-H1003)</f>
        <v>105356.2608</v>
      </c>
      <c r="K1003" s="16" t="n">
        <f aca="false">J1003*INDEX(Customers!$G$2:$G$41,MATCH(C1003,Customers!$A$2:$A$41,0))</f>
        <v>2107.125216</v>
      </c>
      <c r="L1003" s="16" t="n">
        <f aca="false">F1003*INDEX(Customers!$H$2:$H$41,MATCH(C1003,Customers!$A$2:$A$41,0))</f>
        <v>8514</v>
      </c>
      <c r="M1003" s="16" t="n">
        <f aca="false">J1003*INDEX(Customers!$I$2:$I$41,MATCH(C1003,Customers!$A$2:$A$41,0))/365*Assumptions!$B$6</f>
        <v>2078.2604870137</v>
      </c>
      <c r="N1003" s="16" t="n">
        <f aca="false">J1003-K1003-L1003-M1003</f>
        <v>92656.8750969863</v>
      </c>
      <c r="O1003" s="16" t="n">
        <f aca="false">F1003*IF(A1003="2025",INDEX(Products!$D$2:$D$13,MATCH(D1003,Products!$A$2:$A$13,0)),INDEX(Products!$F$2:$F$13,MATCH(D1003,Products!$A$2:$A$13,0)))</f>
        <v>73609.98</v>
      </c>
      <c r="P1003" s="16" t="n">
        <f aca="false">N1003-O1003</f>
        <v>19046.8950969863</v>
      </c>
    </row>
    <row r="1004" customFormat="false" ht="15" hidden="false" customHeight="false" outlineLevel="0" collapsed="false">
      <c r="A1004" s="2" t="s">
        <v>119</v>
      </c>
      <c r="B1004" s="2" t="n">
        <v>7</v>
      </c>
      <c r="C1004" s="2" t="s">
        <v>76</v>
      </c>
      <c r="D1004" s="2" t="s">
        <v>38</v>
      </c>
      <c r="E1004" s="2" t="str">
        <f aca="false">INDEX(Products!$B$2:$B$13,MATCH(D1004,Products!$A$2:$A$13,0))</f>
        <v>FCC</v>
      </c>
      <c r="F1004" s="15" t="n">
        <v>28</v>
      </c>
      <c r="G1004" s="16" t="n">
        <f aca="false">IF(A1004="2025",INDEX(Products!$C$2:$C$13,MATCH(D1004,Products!$A$2:$A$13,0)),INDEX(Products!$E$2:$E$13,MATCH(D1004,Products!$A$2:$A$13,0)))</f>
        <v>4578</v>
      </c>
      <c r="H1004" s="13" t="n">
        <f aca="false">IF(A1004="2025",INDEX(Customers!$D$2:$D$41,MATCH(C1004,Customers!$A$2:$A$41,0)),INDEX(Customers!$F$2:$F$41,MATCH(C1004,Customers!$A$2:$A$41,0)))</f>
        <v>0.108</v>
      </c>
      <c r="I1004" s="16" t="n">
        <f aca="false">F1004*G1004</f>
        <v>128184</v>
      </c>
      <c r="J1004" s="16" t="n">
        <f aca="false">I1004*(1-H1004)</f>
        <v>114340.128</v>
      </c>
      <c r="K1004" s="16" t="n">
        <f aca="false">J1004*INDEX(Customers!$G$2:$G$41,MATCH(C1004,Customers!$A$2:$A$41,0))</f>
        <v>2286.80256</v>
      </c>
      <c r="L1004" s="16" t="n">
        <f aca="false">F1004*INDEX(Customers!$H$2:$H$41,MATCH(C1004,Customers!$A$2:$A$41,0))</f>
        <v>9240</v>
      </c>
      <c r="M1004" s="16" t="n">
        <f aca="false">J1004*INDEX(Customers!$I$2:$I$41,MATCH(C1004,Customers!$A$2:$A$41,0))/365*Assumptions!$B$6</f>
        <v>2255.47649753425</v>
      </c>
      <c r="N1004" s="16" t="n">
        <f aca="false">J1004-K1004-L1004-M1004</f>
        <v>100557.848942466</v>
      </c>
      <c r="O1004" s="16" t="n">
        <f aca="false">F1004*IF(A1004="2025",INDEX(Products!$D$2:$D$13,MATCH(D1004,Products!$A$2:$A$13,0)),INDEX(Products!$F$2:$F$13,MATCH(D1004,Products!$A$2:$A$13,0)))</f>
        <v>79886.8</v>
      </c>
      <c r="P1004" s="16" t="n">
        <f aca="false">N1004-O1004</f>
        <v>20671.0489424658</v>
      </c>
    </row>
    <row r="1005" customFormat="false" ht="15" hidden="false" customHeight="false" outlineLevel="0" collapsed="false">
      <c r="A1005" s="2" t="s">
        <v>119</v>
      </c>
      <c r="B1005" s="2" t="n">
        <v>8</v>
      </c>
      <c r="C1005" s="2" t="s">
        <v>76</v>
      </c>
      <c r="D1005" s="2" t="s">
        <v>38</v>
      </c>
      <c r="E1005" s="2" t="str">
        <f aca="false">INDEX(Products!$B$2:$B$13,MATCH(D1005,Products!$A$2:$A$13,0))</f>
        <v>FCC</v>
      </c>
      <c r="F1005" s="15" t="n">
        <v>26.7</v>
      </c>
      <c r="G1005" s="16" t="n">
        <f aca="false">IF(A1005="2025",INDEX(Products!$C$2:$C$13,MATCH(D1005,Products!$A$2:$A$13,0)),INDEX(Products!$E$2:$E$13,MATCH(D1005,Products!$A$2:$A$13,0)))</f>
        <v>4578</v>
      </c>
      <c r="H1005" s="13" t="n">
        <f aca="false">IF(A1005="2025",INDEX(Customers!$D$2:$D$41,MATCH(C1005,Customers!$A$2:$A$41,0)),INDEX(Customers!$F$2:$F$41,MATCH(C1005,Customers!$A$2:$A$41,0)))</f>
        <v>0.108</v>
      </c>
      <c r="I1005" s="16" t="n">
        <f aca="false">F1005*G1005</f>
        <v>122232.6</v>
      </c>
      <c r="J1005" s="16" t="n">
        <f aca="false">I1005*(1-H1005)</f>
        <v>109031.4792</v>
      </c>
      <c r="K1005" s="16" t="n">
        <f aca="false">J1005*INDEX(Customers!$G$2:$G$41,MATCH(C1005,Customers!$A$2:$A$41,0))</f>
        <v>2180.629584</v>
      </c>
      <c r="L1005" s="16" t="n">
        <f aca="false">F1005*INDEX(Customers!$H$2:$H$41,MATCH(C1005,Customers!$A$2:$A$41,0))</f>
        <v>8811</v>
      </c>
      <c r="M1005" s="16" t="n">
        <f aca="false">J1005*INDEX(Customers!$I$2:$I$41,MATCH(C1005,Customers!$A$2:$A$41,0))/365*Assumptions!$B$6</f>
        <v>2150.75794586301</v>
      </c>
      <c r="N1005" s="16" t="n">
        <f aca="false">J1005-K1005-L1005-M1005</f>
        <v>95889.091670137</v>
      </c>
      <c r="O1005" s="16" t="n">
        <f aca="false">F1005*IF(A1005="2025",INDEX(Products!$D$2:$D$13,MATCH(D1005,Products!$A$2:$A$13,0)),INDEX(Products!$F$2:$F$13,MATCH(D1005,Products!$A$2:$A$13,0)))</f>
        <v>76177.77</v>
      </c>
      <c r="P1005" s="16" t="n">
        <f aca="false">N1005-O1005</f>
        <v>19711.321670137</v>
      </c>
    </row>
    <row r="1006" customFormat="false" ht="15" hidden="false" customHeight="false" outlineLevel="0" collapsed="false">
      <c r="A1006" s="2" t="s">
        <v>119</v>
      </c>
      <c r="B1006" s="2" t="n">
        <v>9</v>
      </c>
      <c r="C1006" s="2" t="s">
        <v>76</v>
      </c>
      <c r="D1006" s="2" t="s">
        <v>38</v>
      </c>
      <c r="E1006" s="2" t="str">
        <f aca="false">INDEX(Products!$B$2:$B$13,MATCH(D1006,Products!$A$2:$A$13,0))</f>
        <v>FCC</v>
      </c>
      <c r="F1006" s="15" t="n">
        <v>17.6</v>
      </c>
      <c r="G1006" s="16" t="n">
        <f aca="false">IF(A1006="2025",INDEX(Products!$C$2:$C$13,MATCH(D1006,Products!$A$2:$A$13,0)),INDEX(Products!$E$2:$E$13,MATCH(D1006,Products!$A$2:$A$13,0)))</f>
        <v>4578</v>
      </c>
      <c r="H1006" s="13" t="n">
        <f aca="false">IF(A1006="2025",INDEX(Customers!$D$2:$D$41,MATCH(C1006,Customers!$A$2:$A$41,0)),INDEX(Customers!$F$2:$F$41,MATCH(C1006,Customers!$A$2:$A$41,0)))</f>
        <v>0.108</v>
      </c>
      <c r="I1006" s="16" t="n">
        <f aca="false">F1006*G1006</f>
        <v>80572.8</v>
      </c>
      <c r="J1006" s="16" t="n">
        <f aca="false">I1006*(1-H1006)</f>
        <v>71870.9376</v>
      </c>
      <c r="K1006" s="16" t="n">
        <f aca="false">J1006*INDEX(Customers!$G$2:$G$41,MATCH(C1006,Customers!$A$2:$A$41,0))</f>
        <v>1437.418752</v>
      </c>
      <c r="L1006" s="16" t="n">
        <f aca="false">F1006*INDEX(Customers!$H$2:$H$41,MATCH(C1006,Customers!$A$2:$A$41,0))</f>
        <v>5808</v>
      </c>
      <c r="M1006" s="16" t="n">
        <f aca="false">J1006*INDEX(Customers!$I$2:$I$41,MATCH(C1006,Customers!$A$2:$A$41,0))/365*Assumptions!$B$6</f>
        <v>1417.72808416438</v>
      </c>
      <c r="N1006" s="16" t="n">
        <f aca="false">J1006-K1006-L1006-M1006</f>
        <v>63207.7907638356</v>
      </c>
      <c r="O1006" s="16" t="n">
        <f aca="false">F1006*IF(A1006="2025",INDEX(Products!$D$2:$D$13,MATCH(D1006,Products!$A$2:$A$13,0)),INDEX(Products!$F$2:$F$13,MATCH(D1006,Products!$A$2:$A$13,0)))</f>
        <v>50214.56</v>
      </c>
      <c r="P1006" s="16" t="n">
        <f aca="false">N1006-O1006</f>
        <v>12993.2307638356</v>
      </c>
    </row>
    <row r="1007" customFormat="false" ht="15" hidden="false" customHeight="false" outlineLevel="0" collapsed="false">
      <c r="A1007" s="2" t="s">
        <v>119</v>
      </c>
      <c r="B1007" s="2" t="n">
        <v>10</v>
      </c>
      <c r="C1007" s="2" t="s">
        <v>76</v>
      </c>
      <c r="D1007" s="2" t="s">
        <v>38</v>
      </c>
      <c r="E1007" s="2" t="str">
        <f aca="false">INDEX(Products!$B$2:$B$13,MATCH(D1007,Products!$A$2:$A$13,0))</f>
        <v>FCC</v>
      </c>
      <c r="F1007" s="15" t="n">
        <v>23.1</v>
      </c>
      <c r="G1007" s="16" t="n">
        <f aca="false">IF(A1007="2025",INDEX(Products!$C$2:$C$13,MATCH(D1007,Products!$A$2:$A$13,0)),INDEX(Products!$E$2:$E$13,MATCH(D1007,Products!$A$2:$A$13,0)))</f>
        <v>4578</v>
      </c>
      <c r="H1007" s="13" t="n">
        <f aca="false">IF(A1007="2025",INDEX(Customers!$D$2:$D$41,MATCH(C1007,Customers!$A$2:$A$41,0)),INDEX(Customers!$F$2:$F$41,MATCH(C1007,Customers!$A$2:$A$41,0)))</f>
        <v>0.108</v>
      </c>
      <c r="I1007" s="16" t="n">
        <f aca="false">F1007*G1007</f>
        <v>105751.8</v>
      </c>
      <c r="J1007" s="16" t="n">
        <f aca="false">I1007*(1-H1007)</f>
        <v>94330.6056</v>
      </c>
      <c r="K1007" s="16" t="n">
        <f aca="false">J1007*INDEX(Customers!$G$2:$G$41,MATCH(C1007,Customers!$A$2:$A$41,0))</f>
        <v>1886.612112</v>
      </c>
      <c r="L1007" s="16" t="n">
        <f aca="false">F1007*INDEX(Customers!$H$2:$H$41,MATCH(C1007,Customers!$A$2:$A$41,0))</f>
        <v>7623</v>
      </c>
      <c r="M1007" s="16" t="n">
        <f aca="false">J1007*INDEX(Customers!$I$2:$I$41,MATCH(C1007,Customers!$A$2:$A$41,0))/365*Assumptions!$B$6</f>
        <v>1860.76811046575</v>
      </c>
      <c r="N1007" s="16" t="n">
        <f aca="false">J1007-K1007-L1007-M1007</f>
        <v>82960.2253775343</v>
      </c>
      <c r="O1007" s="16" t="n">
        <f aca="false">F1007*IF(A1007="2025",INDEX(Products!$D$2:$D$13,MATCH(D1007,Products!$A$2:$A$13,0)),INDEX(Products!$F$2:$F$13,MATCH(D1007,Products!$A$2:$A$13,0)))</f>
        <v>65906.61</v>
      </c>
      <c r="P1007" s="16" t="n">
        <f aca="false">N1007-O1007</f>
        <v>17053.6153775343</v>
      </c>
    </row>
    <row r="1008" customFormat="false" ht="15" hidden="false" customHeight="false" outlineLevel="0" collapsed="false">
      <c r="A1008" s="2" t="s">
        <v>119</v>
      </c>
      <c r="B1008" s="2" t="n">
        <v>11</v>
      </c>
      <c r="C1008" s="2" t="s">
        <v>76</v>
      </c>
      <c r="D1008" s="2" t="s">
        <v>38</v>
      </c>
      <c r="E1008" s="2" t="str">
        <f aca="false">INDEX(Products!$B$2:$B$13,MATCH(D1008,Products!$A$2:$A$13,0))</f>
        <v>FCC</v>
      </c>
      <c r="F1008" s="15" t="n">
        <v>17.3</v>
      </c>
      <c r="G1008" s="16" t="n">
        <f aca="false">IF(A1008="2025",INDEX(Products!$C$2:$C$13,MATCH(D1008,Products!$A$2:$A$13,0)),INDEX(Products!$E$2:$E$13,MATCH(D1008,Products!$A$2:$A$13,0)))</f>
        <v>4578</v>
      </c>
      <c r="H1008" s="13" t="n">
        <f aca="false">IF(A1008="2025",INDEX(Customers!$D$2:$D$41,MATCH(C1008,Customers!$A$2:$A$41,0)),INDEX(Customers!$F$2:$F$41,MATCH(C1008,Customers!$A$2:$A$41,0)))</f>
        <v>0.108</v>
      </c>
      <c r="I1008" s="16" t="n">
        <f aca="false">F1008*G1008</f>
        <v>79199.4</v>
      </c>
      <c r="J1008" s="16" t="n">
        <f aca="false">I1008*(1-H1008)</f>
        <v>70645.8648</v>
      </c>
      <c r="K1008" s="16" t="n">
        <f aca="false">J1008*INDEX(Customers!$G$2:$G$41,MATCH(C1008,Customers!$A$2:$A$41,0))</f>
        <v>1412.917296</v>
      </c>
      <c r="L1008" s="16" t="n">
        <f aca="false">F1008*INDEX(Customers!$H$2:$H$41,MATCH(C1008,Customers!$A$2:$A$41,0))</f>
        <v>5709</v>
      </c>
      <c r="M1008" s="16" t="n">
        <f aca="false">J1008*INDEX(Customers!$I$2:$I$41,MATCH(C1008,Customers!$A$2:$A$41,0))/365*Assumptions!$B$6</f>
        <v>1393.56226454795</v>
      </c>
      <c r="N1008" s="16" t="n">
        <f aca="false">J1008-K1008-L1008-M1008</f>
        <v>62130.3852394521</v>
      </c>
      <c r="O1008" s="16" t="n">
        <f aca="false">F1008*IF(A1008="2025",INDEX(Products!$D$2:$D$13,MATCH(D1008,Products!$A$2:$A$13,0)),INDEX(Products!$F$2:$F$13,MATCH(D1008,Products!$A$2:$A$13,0)))</f>
        <v>49358.63</v>
      </c>
      <c r="P1008" s="16" t="n">
        <f aca="false">N1008-O1008</f>
        <v>12771.7552394521</v>
      </c>
    </row>
    <row r="1009" customFormat="false" ht="15" hidden="false" customHeight="false" outlineLevel="0" collapsed="false">
      <c r="A1009" s="2" t="s">
        <v>119</v>
      </c>
      <c r="B1009" s="2" t="n">
        <v>12</v>
      </c>
      <c r="C1009" s="2" t="s">
        <v>76</v>
      </c>
      <c r="D1009" s="2" t="s">
        <v>38</v>
      </c>
      <c r="E1009" s="2" t="str">
        <f aca="false">INDEX(Products!$B$2:$B$13,MATCH(D1009,Products!$A$2:$A$13,0))</f>
        <v>FCC</v>
      </c>
      <c r="F1009" s="15" t="n">
        <v>20.4</v>
      </c>
      <c r="G1009" s="16" t="n">
        <f aca="false">IF(A1009="2025",INDEX(Products!$C$2:$C$13,MATCH(D1009,Products!$A$2:$A$13,0)),INDEX(Products!$E$2:$E$13,MATCH(D1009,Products!$A$2:$A$13,0)))</f>
        <v>4578</v>
      </c>
      <c r="H1009" s="13" t="n">
        <f aca="false">IF(A1009="2025",INDEX(Customers!$D$2:$D$41,MATCH(C1009,Customers!$A$2:$A$41,0)),INDEX(Customers!$F$2:$F$41,MATCH(C1009,Customers!$A$2:$A$41,0)))</f>
        <v>0.108</v>
      </c>
      <c r="I1009" s="16" t="n">
        <f aca="false">F1009*G1009</f>
        <v>93391.2</v>
      </c>
      <c r="J1009" s="16" t="n">
        <f aca="false">I1009*(1-H1009)</f>
        <v>83304.9504</v>
      </c>
      <c r="K1009" s="16" t="n">
        <f aca="false">J1009*INDEX(Customers!$G$2:$G$41,MATCH(C1009,Customers!$A$2:$A$41,0))</f>
        <v>1666.099008</v>
      </c>
      <c r="L1009" s="16" t="n">
        <f aca="false">F1009*INDEX(Customers!$H$2:$H$41,MATCH(C1009,Customers!$A$2:$A$41,0))</f>
        <v>6732</v>
      </c>
      <c r="M1009" s="16" t="n">
        <f aca="false">J1009*INDEX(Customers!$I$2:$I$41,MATCH(C1009,Customers!$A$2:$A$41,0))/365*Assumptions!$B$6</f>
        <v>1643.27573391781</v>
      </c>
      <c r="N1009" s="16" t="n">
        <f aca="false">J1009-K1009-L1009-M1009</f>
        <v>73263.5756580822</v>
      </c>
      <c r="O1009" s="16" t="n">
        <f aca="false">F1009*IF(A1009="2025",INDEX(Products!$D$2:$D$13,MATCH(D1009,Products!$A$2:$A$13,0)),INDEX(Products!$F$2:$F$13,MATCH(D1009,Products!$A$2:$A$13,0)))</f>
        <v>58203.24</v>
      </c>
      <c r="P1009" s="16" t="n">
        <f aca="false">N1009-O1009</f>
        <v>15060.3356580822</v>
      </c>
    </row>
    <row r="1010" customFormat="false" ht="15" hidden="false" customHeight="false" outlineLevel="0" collapsed="false">
      <c r="A1010" s="2" t="s">
        <v>118</v>
      </c>
      <c r="B1010" s="2" t="n">
        <v>1</v>
      </c>
      <c r="C1010" s="2" t="s">
        <v>77</v>
      </c>
      <c r="D1010" s="2" t="s">
        <v>47</v>
      </c>
      <c r="E1010" s="2" t="str">
        <f aca="false">INDEX(Products!$B$2:$B$13,MATCH(D1010,Products!$A$2:$A$13,0))</f>
        <v>Specialty</v>
      </c>
      <c r="F1010" s="15" t="n">
        <v>2.4</v>
      </c>
      <c r="G1010" s="16" t="n">
        <f aca="false">IF(A1010="2025",INDEX(Products!$C$2:$C$13,MATCH(D1010,Products!$A$2:$A$13,0)),INDEX(Products!$E$2:$E$13,MATCH(D1010,Products!$A$2:$A$13,0)))</f>
        <v>30520</v>
      </c>
      <c r="H1010" s="13" t="n">
        <f aca="false">IF(A1010="2025",INDEX(Customers!$D$2:$D$41,MATCH(C1010,Customers!$A$2:$A$41,0)),INDEX(Customers!$F$2:$F$41,MATCH(C1010,Customers!$A$2:$A$41,0)))</f>
        <v>0.037</v>
      </c>
      <c r="I1010" s="16" t="n">
        <f aca="false">F1010*G1010</f>
        <v>73248</v>
      </c>
      <c r="J1010" s="16" t="n">
        <f aca="false">I1010*(1-H1010)</f>
        <v>70537.824</v>
      </c>
      <c r="K1010" s="16" t="n">
        <f aca="false">J1010*INDEX(Customers!$G$2:$G$41,MATCH(C1010,Customers!$A$2:$A$41,0))</f>
        <v>1410.75648</v>
      </c>
      <c r="L1010" s="16" t="n">
        <f aca="false">F1010*INDEX(Customers!$H$2:$H$41,MATCH(C1010,Customers!$A$2:$A$41,0))</f>
        <v>696</v>
      </c>
      <c r="M1010" s="16" t="n">
        <f aca="false">J1010*INDEX(Customers!$I$2:$I$41,MATCH(C1010,Customers!$A$2:$A$41,0))/365*Assumptions!$B$6</f>
        <v>927.620699178082</v>
      </c>
      <c r="N1010" s="16" t="n">
        <f aca="false">J1010-K1010-L1010-M1010</f>
        <v>67503.4468208219</v>
      </c>
      <c r="O1010" s="16" t="n">
        <f aca="false">F1010*IF(A1010="2025",INDEX(Products!$D$2:$D$13,MATCH(D1010,Products!$A$2:$A$13,0)),INDEX(Products!$F$2:$F$13,MATCH(D1010,Products!$A$2:$A$13,0)))</f>
        <v>37056</v>
      </c>
      <c r="P1010" s="16" t="n">
        <f aca="false">N1010-O1010</f>
        <v>30447.4468208219</v>
      </c>
    </row>
    <row r="1011" customFormat="false" ht="15" hidden="false" customHeight="false" outlineLevel="0" collapsed="false">
      <c r="A1011" s="2" t="s">
        <v>118</v>
      </c>
      <c r="B1011" s="2" t="n">
        <v>2</v>
      </c>
      <c r="C1011" s="2" t="s">
        <v>77</v>
      </c>
      <c r="D1011" s="2" t="s">
        <v>47</v>
      </c>
      <c r="E1011" s="2" t="str">
        <f aca="false">INDEX(Products!$B$2:$B$13,MATCH(D1011,Products!$A$2:$A$13,0))</f>
        <v>Specialty</v>
      </c>
      <c r="F1011" s="15" t="n">
        <v>2.2</v>
      </c>
      <c r="G1011" s="16" t="n">
        <f aca="false">IF(A1011="2025",INDEX(Products!$C$2:$C$13,MATCH(D1011,Products!$A$2:$A$13,0)),INDEX(Products!$E$2:$E$13,MATCH(D1011,Products!$A$2:$A$13,0)))</f>
        <v>30520</v>
      </c>
      <c r="H1011" s="13" t="n">
        <f aca="false">IF(A1011="2025",INDEX(Customers!$D$2:$D$41,MATCH(C1011,Customers!$A$2:$A$41,0)),INDEX(Customers!$F$2:$F$41,MATCH(C1011,Customers!$A$2:$A$41,0)))</f>
        <v>0.037</v>
      </c>
      <c r="I1011" s="16" t="n">
        <f aca="false">F1011*G1011</f>
        <v>67144</v>
      </c>
      <c r="J1011" s="16" t="n">
        <f aca="false">I1011*(1-H1011)</f>
        <v>64659.672</v>
      </c>
      <c r="K1011" s="16" t="n">
        <f aca="false">J1011*INDEX(Customers!$G$2:$G$41,MATCH(C1011,Customers!$A$2:$A$41,0))</f>
        <v>1293.19344</v>
      </c>
      <c r="L1011" s="16" t="n">
        <f aca="false">F1011*INDEX(Customers!$H$2:$H$41,MATCH(C1011,Customers!$A$2:$A$41,0))</f>
        <v>638</v>
      </c>
      <c r="M1011" s="16" t="n">
        <f aca="false">J1011*INDEX(Customers!$I$2:$I$41,MATCH(C1011,Customers!$A$2:$A$41,0))/365*Assumptions!$B$6</f>
        <v>850.318974246575</v>
      </c>
      <c r="N1011" s="16" t="n">
        <f aca="false">J1011-K1011-L1011-M1011</f>
        <v>61878.1595857534</v>
      </c>
      <c r="O1011" s="16" t="n">
        <f aca="false">F1011*IF(A1011="2025",INDEX(Products!$D$2:$D$13,MATCH(D1011,Products!$A$2:$A$13,0)),INDEX(Products!$F$2:$F$13,MATCH(D1011,Products!$A$2:$A$13,0)))</f>
        <v>33968</v>
      </c>
      <c r="P1011" s="16" t="n">
        <f aca="false">N1011-O1011</f>
        <v>27910.1595857534</v>
      </c>
    </row>
    <row r="1012" customFormat="false" ht="15" hidden="false" customHeight="false" outlineLevel="0" collapsed="false">
      <c r="A1012" s="2" t="s">
        <v>118</v>
      </c>
      <c r="B1012" s="2" t="n">
        <v>3</v>
      </c>
      <c r="C1012" s="2" t="s">
        <v>77</v>
      </c>
      <c r="D1012" s="2" t="s">
        <v>47</v>
      </c>
      <c r="E1012" s="2" t="str">
        <f aca="false">INDEX(Products!$B$2:$B$13,MATCH(D1012,Products!$A$2:$A$13,0))</f>
        <v>Specialty</v>
      </c>
      <c r="F1012" s="15" t="n">
        <v>3.2</v>
      </c>
      <c r="G1012" s="16" t="n">
        <f aca="false">IF(A1012="2025",INDEX(Products!$C$2:$C$13,MATCH(D1012,Products!$A$2:$A$13,0)),INDEX(Products!$E$2:$E$13,MATCH(D1012,Products!$A$2:$A$13,0)))</f>
        <v>30520</v>
      </c>
      <c r="H1012" s="13" t="n">
        <f aca="false">IF(A1012="2025",INDEX(Customers!$D$2:$D$41,MATCH(C1012,Customers!$A$2:$A$41,0)),INDEX(Customers!$F$2:$F$41,MATCH(C1012,Customers!$A$2:$A$41,0)))</f>
        <v>0.037</v>
      </c>
      <c r="I1012" s="16" t="n">
        <f aca="false">F1012*G1012</f>
        <v>97664</v>
      </c>
      <c r="J1012" s="16" t="n">
        <f aca="false">I1012*(1-H1012)</f>
        <v>94050.432</v>
      </c>
      <c r="K1012" s="16" t="n">
        <f aca="false">J1012*INDEX(Customers!$G$2:$G$41,MATCH(C1012,Customers!$A$2:$A$41,0))</f>
        <v>1881.00864</v>
      </c>
      <c r="L1012" s="16" t="n">
        <f aca="false">F1012*INDEX(Customers!$H$2:$H$41,MATCH(C1012,Customers!$A$2:$A$41,0))</f>
        <v>928</v>
      </c>
      <c r="M1012" s="16" t="n">
        <f aca="false">J1012*INDEX(Customers!$I$2:$I$41,MATCH(C1012,Customers!$A$2:$A$41,0))/365*Assumptions!$B$6</f>
        <v>1236.82759890411</v>
      </c>
      <c r="N1012" s="16" t="n">
        <f aca="false">J1012-K1012-L1012-M1012</f>
        <v>90004.5957610959</v>
      </c>
      <c r="O1012" s="16" t="n">
        <f aca="false">F1012*IF(A1012="2025",INDEX(Products!$D$2:$D$13,MATCH(D1012,Products!$A$2:$A$13,0)),INDEX(Products!$F$2:$F$13,MATCH(D1012,Products!$A$2:$A$13,0)))</f>
        <v>49408</v>
      </c>
      <c r="P1012" s="16" t="n">
        <f aca="false">N1012-O1012</f>
        <v>40596.5957610959</v>
      </c>
    </row>
    <row r="1013" customFormat="false" ht="15" hidden="false" customHeight="false" outlineLevel="0" collapsed="false">
      <c r="A1013" s="2" t="s">
        <v>118</v>
      </c>
      <c r="B1013" s="2" t="n">
        <v>4</v>
      </c>
      <c r="C1013" s="2" t="s">
        <v>77</v>
      </c>
      <c r="D1013" s="2" t="s">
        <v>47</v>
      </c>
      <c r="E1013" s="2" t="str">
        <f aca="false">INDEX(Products!$B$2:$B$13,MATCH(D1013,Products!$A$2:$A$13,0))</f>
        <v>Specialty</v>
      </c>
      <c r="F1013" s="15" t="n">
        <v>1.9</v>
      </c>
      <c r="G1013" s="16" t="n">
        <f aca="false">IF(A1013="2025",INDEX(Products!$C$2:$C$13,MATCH(D1013,Products!$A$2:$A$13,0)),INDEX(Products!$E$2:$E$13,MATCH(D1013,Products!$A$2:$A$13,0)))</f>
        <v>30520</v>
      </c>
      <c r="H1013" s="13" t="n">
        <f aca="false">IF(A1013="2025",INDEX(Customers!$D$2:$D$41,MATCH(C1013,Customers!$A$2:$A$41,0)),INDEX(Customers!$F$2:$F$41,MATCH(C1013,Customers!$A$2:$A$41,0)))</f>
        <v>0.037</v>
      </c>
      <c r="I1013" s="16" t="n">
        <f aca="false">F1013*G1013</f>
        <v>57988</v>
      </c>
      <c r="J1013" s="16" t="n">
        <f aca="false">I1013*(1-H1013)</f>
        <v>55842.444</v>
      </c>
      <c r="K1013" s="16" t="n">
        <f aca="false">J1013*INDEX(Customers!$G$2:$G$41,MATCH(C1013,Customers!$A$2:$A$41,0))</f>
        <v>1116.84888</v>
      </c>
      <c r="L1013" s="16" t="n">
        <f aca="false">F1013*INDEX(Customers!$H$2:$H$41,MATCH(C1013,Customers!$A$2:$A$41,0))</f>
        <v>551</v>
      </c>
      <c r="M1013" s="16" t="n">
        <f aca="false">J1013*INDEX(Customers!$I$2:$I$41,MATCH(C1013,Customers!$A$2:$A$41,0))/365*Assumptions!$B$6</f>
        <v>734.366386849315</v>
      </c>
      <c r="N1013" s="16" t="n">
        <f aca="false">J1013-K1013-L1013-M1013</f>
        <v>53440.2287331507</v>
      </c>
      <c r="O1013" s="16" t="n">
        <f aca="false">F1013*IF(A1013="2025",INDEX(Products!$D$2:$D$13,MATCH(D1013,Products!$A$2:$A$13,0)),INDEX(Products!$F$2:$F$13,MATCH(D1013,Products!$A$2:$A$13,0)))</f>
        <v>29336</v>
      </c>
      <c r="P1013" s="16" t="n">
        <f aca="false">N1013-O1013</f>
        <v>24104.2287331507</v>
      </c>
    </row>
    <row r="1014" customFormat="false" ht="15" hidden="false" customHeight="false" outlineLevel="0" collapsed="false">
      <c r="A1014" s="2" t="s">
        <v>118</v>
      </c>
      <c r="B1014" s="2" t="n">
        <v>5</v>
      </c>
      <c r="C1014" s="2" t="s">
        <v>77</v>
      </c>
      <c r="D1014" s="2" t="s">
        <v>47</v>
      </c>
      <c r="E1014" s="2" t="str">
        <f aca="false">INDEX(Products!$B$2:$B$13,MATCH(D1014,Products!$A$2:$A$13,0))</f>
        <v>Specialty</v>
      </c>
      <c r="F1014" s="15" t="n">
        <v>2.6</v>
      </c>
      <c r="G1014" s="16" t="n">
        <f aca="false">IF(A1014="2025",INDEX(Products!$C$2:$C$13,MATCH(D1014,Products!$A$2:$A$13,0)),INDEX(Products!$E$2:$E$13,MATCH(D1014,Products!$A$2:$A$13,0)))</f>
        <v>30520</v>
      </c>
      <c r="H1014" s="13" t="n">
        <f aca="false">IF(A1014="2025",INDEX(Customers!$D$2:$D$41,MATCH(C1014,Customers!$A$2:$A$41,0)),INDEX(Customers!$F$2:$F$41,MATCH(C1014,Customers!$A$2:$A$41,0)))</f>
        <v>0.037</v>
      </c>
      <c r="I1014" s="16" t="n">
        <f aca="false">F1014*G1014</f>
        <v>79352</v>
      </c>
      <c r="J1014" s="16" t="n">
        <f aca="false">I1014*(1-H1014)</f>
        <v>76415.976</v>
      </c>
      <c r="K1014" s="16" t="n">
        <f aca="false">J1014*INDEX(Customers!$G$2:$G$41,MATCH(C1014,Customers!$A$2:$A$41,0))</f>
        <v>1528.31952</v>
      </c>
      <c r="L1014" s="16" t="n">
        <f aca="false">F1014*INDEX(Customers!$H$2:$H$41,MATCH(C1014,Customers!$A$2:$A$41,0))</f>
        <v>754</v>
      </c>
      <c r="M1014" s="16" t="n">
        <f aca="false">J1014*INDEX(Customers!$I$2:$I$41,MATCH(C1014,Customers!$A$2:$A$41,0))/365*Assumptions!$B$6</f>
        <v>1004.92242410959</v>
      </c>
      <c r="N1014" s="16" t="n">
        <f aca="false">J1014-K1014-L1014-M1014</f>
        <v>73128.7340558904</v>
      </c>
      <c r="O1014" s="16" t="n">
        <f aca="false">F1014*IF(A1014="2025",INDEX(Products!$D$2:$D$13,MATCH(D1014,Products!$A$2:$A$13,0)),INDEX(Products!$F$2:$F$13,MATCH(D1014,Products!$A$2:$A$13,0)))</f>
        <v>40144</v>
      </c>
      <c r="P1014" s="16" t="n">
        <f aca="false">N1014-O1014</f>
        <v>32984.7340558904</v>
      </c>
    </row>
    <row r="1015" customFormat="false" ht="15" hidden="false" customHeight="false" outlineLevel="0" collapsed="false">
      <c r="A1015" s="2" t="s">
        <v>118</v>
      </c>
      <c r="B1015" s="2" t="n">
        <v>6</v>
      </c>
      <c r="C1015" s="2" t="s">
        <v>77</v>
      </c>
      <c r="D1015" s="2" t="s">
        <v>47</v>
      </c>
      <c r="E1015" s="2" t="str">
        <f aca="false">INDEX(Products!$B$2:$B$13,MATCH(D1015,Products!$A$2:$A$13,0))</f>
        <v>Specialty</v>
      </c>
      <c r="F1015" s="15" t="n">
        <v>2.9</v>
      </c>
      <c r="G1015" s="16" t="n">
        <f aca="false">IF(A1015="2025",INDEX(Products!$C$2:$C$13,MATCH(D1015,Products!$A$2:$A$13,0)),INDEX(Products!$E$2:$E$13,MATCH(D1015,Products!$A$2:$A$13,0)))</f>
        <v>30520</v>
      </c>
      <c r="H1015" s="13" t="n">
        <f aca="false">IF(A1015="2025",INDEX(Customers!$D$2:$D$41,MATCH(C1015,Customers!$A$2:$A$41,0)),INDEX(Customers!$F$2:$F$41,MATCH(C1015,Customers!$A$2:$A$41,0)))</f>
        <v>0.037</v>
      </c>
      <c r="I1015" s="16" t="n">
        <f aca="false">F1015*G1015</f>
        <v>88508</v>
      </c>
      <c r="J1015" s="16" t="n">
        <f aca="false">I1015*(1-H1015)</f>
        <v>85233.204</v>
      </c>
      <c r="K1015" s="16" t="n">
        <f aca="false">J1015*INDEX(Customers!$G$2:$G$41,MATCH(C1015,Customers!$A$2:$A$41,0))</f>
        <v>1704.66408</v>
      </c>
      <c r="L1015" s="16" t="n">
        <f aca="false">F1015*INDEX(Customers!$H$2:$H$41,MATCH(C1015,Customers!$A$2:$A$41,0))</f>
        <v>841</v>
      </c>
      <c r="M1015" s="16" t="n">
        <f aca="false">J1015*INDEX(Customers!$I$2:$I$41,MATCH(C1015,Customers!$A$2:$A$41,0))/365*Assumptions!$B$6</f>
        <v>1120.87501150685</v>
      </c>
      <c r="N1015" s="16" t="n">
        <f aca="false">J1015-K1015-L1015-M1015</f>
        <v>81566.6649084931</v>
      </c>
      <c r="O1015" s="16" t="n">
        <f aca="false">F1015*IF(A1015="2025",INDEX(Products!$D$2:$D$13,MATCH(D1015,Products!$A$2:$A$13,0)),INDEX(Products!$F$2:$F$13,MATCH(D1015,Products!$A$2:$A$13,0)))</f>
        <v>44776</v>
      </c>
      <c r="P1015" s="16" t="n">
        <f aca="false">N1015-O1015</f>
        <v>36790.6649084931</v>
      </c>
    </row>
    <row r="1016" customFormat="false" ht="15" hidden="false" customHeight="false" outlineLevel="0" collapsed="false">
      <c r="A1016" s="2" t="s">
        <v>118</v>
      </c>
      <c r="B1016" s="2" t="n">
        <v>7</v>
      </c>
      <c r="C1016" s="2" t="s">
        <v>77</v>
      </c>
      <c r="D1016" s="2" t="s">
        <v>47</v>
      </c>
      <c r="E1016" s="2" t="str">
        <f aca="false">INDEX(Products!$B$2:$B$13,MATCH(D1016,Products!$A$2:$A$13,0))</f>
        <v>Specialty</v>
      </c>
      <c r="F1016" s="15" t="n">
        <v>2.2</v>
      </c>
      <c r="G1016" s="16" t="n">
        <f aca="false">IF(A1016="2025",INDEX(Products!$C$2:$C$13,MATCH(D1016,Products!$A$2:$A$13,0)),INDEX(Products!$E$2:$E$13,MATCH(D1016,Products!$A$2:$A$13,0)))</f>
        <v>30520</v>
      </c>
      <c r="H1016" s="13" t="n">
        <f aca="false">IF(A1016="2025",INDEX(Customers!$D$2:$D$41,MATCH(C1016,Customers!$A$2:$A$41,0)),INDEX(Customers!$F$2:$F$41,MATCH(C1016,Customers!$A$2:$A$41,0)))</f>
        <v>0.037</v>
      </c>
      <c r="I1016" s="16" t="n">
        <f aca="false">F1016*G1016</f>
        <v>67144</v>
      </c>
      <c r="J1016" s="16" t="n">
        <f aca="false">I1016*(1-H1016)</f>
        <v>64659.672</v>
      </c>
      <c r="K1016" s="16" t="n">
        <f aca="false">J1016*INDEX(Customers!$G$2:$G$41,MATCH(C1016,Customers!$A$2:$A$41,0))</f>
        <v>1293.19344</v>
      </c>
      <c r="L1016" s="16" t="n">
        <f aca="false">F1016*INDEX(Customers!$H$2:$H$41,MATCH(C1016,Customers!$A$2:$A$41,0))</f>
        <v>638</v>
      </c>
      <c r="M1016" s="16" t="n">
        <f aca="false">J1016*INDEX(Customers!$I$2:$I$41,MATCH(C1016,Customers!$A$2:$A$41,0))/365*Assumptions!$B$6</f>
        <v>850.318974246575</v>
      </c>
      <c r="N1016" s="16" t="n">
        <f aca="false">J1016-K1016-L1016-M1016</f>
        <v>61878.1595857534</v>
      </c>
      <c r="O1016" s="16" t="n">
        <f aca="false">F1016*IF(A1016="2025",INDEX(Products!$D$2:$D$13,MATCH(D1016,Products!$A$2:$A$13,0)),INDEX(Products!$F$2:$F$13,MATCH(D1016,Products!$A$2:$A$13,0)))</f>
        <v>33968</v>
      </c>
      <c r="P1016" s="16" t="n">
        <f aca="false">N1016-O1016</f>
        <v>27910.1595857534</v>
      </c>
    </row>
    <row r="1017" customFormat="false" ht="15" hidden="false" customHeight="false" outlineLevel="0" collapsed="false">
      <c r="A1017" s="2" t="s">
        <v>118</v>
      </c>
      <c r="B1017" s="2" t="n">
        <v>8</v>
      </c>
      <c r="C1017" s="2" t="s">
        <v>77</v>
      </c>
      <c r="D1017" s="2" t="s">
        <v>47</v>
      </c>
      <c r="E1017" s="2" t="str">
        <f aca="false">INDEX(Products!$B$2:$B$13,MATCH(D1017,Products!$A$2:$A$13,0))</f>
        <v>Specialty</v>
      </c>
      <c r="F1017" s="15" t="n">
        <v>2.6</v>
      </c>
      <c r="G1017" s="16" t="n">
        <f aca="false">IF(A1017="2025",INDEX(Products!$C$2:$C$13,MATCH(D1017,Products!$A$2:$A$13,0)),INDEX(Products!$E$2:$E$13,MATCH(D1017,Products!$A$2:$A$13,0)))</f>
        <v>30520</v>
      </c>
      <c r="H1017" s="13" t="n">
        <f aca="false">IF(A1017="2025",INDEX(Customers!$D$2:$D$41,MATCH(C1017,Customers!$A$2:$A$41,0)),INDEX(Customers!$F$2:$F$41,MATCH(C1017,Customers!$A$2:$A$41,0)))</f>
        <v>0.037</v>
      </c>
      <c r="I1017" s="16" t="n">
        <f aca="false">F1017*G1017</f>
        <v>79352</v>
      </c>
      <c r="J1017" s="16" t="n">
        <f aca="false">I1017*(1-H1017)</f>
        <v>76415.976</v>
      </c>
      <c r="K1017" s="16" t="n">
        <f aca="false">J1017*INDEX(Customers!$G$2:$G$41,MATCH(C1017,Customers!$A$2:$A$41,0))</f>
        <v>1528.31952</v>
      </c>
      <c r="L1017" s="16" t="n">
        <f aca="false">F1017*INDEX(Customers!$H$2:$H$41,MATCH(C1017,Customers!$A$2:$A$41,0))</f>
        <v>754</v>
      </c>
      <c r="M1017" s="16" t="n">
        <f aca="false">J1017*INDEX(Customers!$I$2:$I$41,MATCH(C1017,Customers!$A$2:$A$41,0))/365*Assumptions!$B$6</f>
        <v>1004.92242410959</v>
      </c>
      <c r="N1017" s="16" t="n">
        <f aca="false">J1017-K1017-L1017-M1017</f>
        <v>73128.7340558904</v>
      </c>
      <c r="O1017" s="16" t="n">
        <f aca="false">F1017*IF(A1017="2025",INDEX(Products!$D$2:$D$13,MATCH(D1017,Products!$A$2:$A$13,0)),INDEX(Products!$F$2:$F$13,MATCH(D1017,Products!$A$2:$A$13,0)))</f>
        <v>40144</v>
      </c>
      <c r="P1017" s="16" t="n">
        <f aca="false">N1017-O1017</f>
        <v>32984.7340558904</v>
      </c>
    </row>
    <row r="1018" customFormat="false" ht="15" hidden="false" customHeight="false" outlineLevel="0" collapsed="false">
      <c r="A1018" s="2" t="s">
        <v>118</v>
      </c>
      <c r="B1018" s="2" t="n">
        <v>9</v>
      </c>
      <c r="C1018" s="2" t="s">
        <v>77</v>
      </c>
      <c r="D1018" s="2" t="s">
        <v>47</v>
      </c>
      <c r="E1018" s="2" t="str">
        <f aca="false">INDEX(Products!$B$2:$B$13,MATCH(D1018,Products!$A$2:$A$13,0))</f>
        <v>Specialty</v>
      </c>
      <c r="F1018" s="15" t="n">
        <v>2.4</v>
      </c>
      <c r="G1018" s="16" t="n">
        <f aca="false">IF(A1018="2025",INDEX(Products!$C$2:$C$13,MATCH(D1018,Products!$A$2:$A$13,0)),INDEX(Products!$E$2:$E$13,MATCH(D1018,Products!$A$2:$A$13,0)))</f>
        <v>30520</v>
      </c>
      <c r="H1018" s="13" t="n">
        <f aca="false">IF(A1018="2025",INDEX(Customers!$D$2:$D$41,MATCH(C1018,Customers!$A$2:$A$41,0)),INDEX(Customers!$F$2:$F$41,MATCH(C1018,Customers!$A$2:$A$41,0)))</f>
        <v>0.037</v>
      </c>
      <c r="I1018" s="16" t="n">
        <f aca="false">F1018*G1018</f>
        <v>73248</v>
      </c>
      <c r="J1018" s="16" t="n">
        <f aca="false">I1018*(1-H1018)</f>
        <v>70537.824</v>
      </c>
      <c r="K1018" s="16" t="n">
        <f aca="false">J1018*INDEX(Customers!$G$2:$G$41,MATCH(C1018,Customers!$A$2:$A$41,0))</f>
        <v>1410.75648</v>
      </c>
      <c r="L1018" s="16" t="n">
        <f aca="false">F1018*INDEX(Customers!$H$2:$H$41,MATCH(C1018,Customers!$A$2:$A$41,0))</f>
        <v>696</v>
      </c>
      <c r="M1018" s="16" t="n">
        <f aca="false">J1018*INDEX(Customers!$I$2:$I$41,MATCH(C1018,Customers!$A$2:$A$41,0))/365*Assumptions!$B$6</f>
        <v>927.620699178082</v>
      </c>
      <c r="N1018" s="16" t="n">
        <f aca="false">J1018-K1018-L1018-M1018</f>
        <v>67503.4468208219</v>
      </c>
      <c r="O1018" s="16" t="n">
        <f aca="false">F1018*IF(A1018="2025",INDEX(Products!$D$2:$D$13,MATCH(D1018,Products!$A$2:$A$13,0)),INDEX(Products!$F$2:$F$13,MATCH(D1018,Products!$A$2:$A$13,0)))</f>
        <v>37056</v>
      </c>
      <c r="P1018" s="16" t="n">
        <f aca="false">N1018-O1018</f>
        <v>30447.4468208219</v>
      </c>
    </row>
    <row r="1019" customFormat="false" ht="15" hidden="false" customHeight="false" outlineLevel="0" collapsed="false">
      <c r="A1019" s="2" t="s">
        <v>118</v>
      </c>
      <c r="B1019" s="2" t="n">
        <v>10</v>
      </c>
      <c r="C1019" s="2" t="s">
        <v>77</v>
      </c>
      <c r="D1019" s="2" t="s">
        <v>47</v>
      </c>
      <c r="E1019" s="2" t="str">
        <f aca="false">INDEX(Products!$B$2:$B$13,MATCH(D1019,Products!$A$2:$A$13,0))</f>
        <v>Specialty</v>
      </c>
      <c r="F1019" s="15" t="n">
        <v>3.2</v>
      </c>
      <c r="G1019" s="16" t="n">
        <f aca="false">IF(A1019="2025",INDEX(Products!$C$2:$C$13,MATCH(D1019,Products!$A$2:$A$13,0)),INDEX(Products!$E$2:$E$13,MATCH(D1019,Products!$A$2:$A$13,0)))</f>
        <v>30520</v>
      </c>
      <c r="H1019" s="13" t="n">
        <f aca="false">IF(A1019="2025",INDEX(Customers!$D$2:$D$41,MATCH(C1019,Customers!$A$2:$A$41,0)),INDEX(Customers!$F$2:$F$41,MATCH(C1019,Customers!$A$2:$A$41,0)))</f>
        <v>0.037</v>
      </c>
      <c r="I1019" s="16" t="n">
        <f aca="false">F1019*G1019</f>
        <v>97664</v>
      </c>
      <c r="J1019" s="16" t="n">
        <f aca="false">I1019*(1-H1019)</f>
        <v>94050.432</v>
      </c>
      <c r="K1019" s="16" t="n">
        <f aca="false">J1019*INDEX(Customers!$G$2:$G$41,MATCH(C1019,Customers!$A$2:$A$41,0))</f>
        <v>1881.00864</v>
      </c>
      <c r="L1019" s="16" t="n">
        <f aca="false">F1019*INDEX(Customers!$H$2:$H$41,MATCH(C1019,Customers!$A$2:$A$41,0))</f>
        <v>928</v>
      </c>
      <c r="M1019" s="16" t="n">
        <f aca="false">J1019*INDEX(Customers!$I$2:$I$41,MATCH(C1019,Customers!$A$2:$A$41,0))/365*Assumptions!$B$6</f>
        <v>1236.82759890411</v>
      </c>
      <c r="N1019" s="16" t="n">
        <f aca="false">J1019-K1019-L1019-M1019</f>
        <v>90004.5957610959</v>
      </c>
      <c r="O1019" s="16" t="n">
        <f aca="false">F1019*IF(A1019="2025",INDEX(Products!$D$2:$D$13,MATCH(D1019,Products!$A$2:$A$13,0)),INDEX(Products!$F$2:$F$13,MATCH(D1019,Products!$A$2:$A$13,0)))</f>
        <v>49408</v>
      </c>
      <c r="P1019" s="16" t="n">
        <f aca="false">N1019-O1019</f>
        <v>40596.5957610959</v>
      </c>
    </row>
    <row r="1020" customFormat="false" ht="15" hidden="false" customHeight="false" outlineLevel="0" collapsed="false">
      <c r="A1020" s="2" t="s">
        <v>118</v>
      </c>
      <c r="B1020" s="2" t="n">
        <v>11</v>
      </c>
      <c r="C1020" s="2" t="s">
        <v>77</v>
      </c>
      <c r="D1020" s="2" t="s">
        <v>47</v>
      </c>
      <c r="E1020" s="2" t="str">
        <f aca="false">INDEX(Products!$B$2:$B$13,MATCH(D1020,Products!$A$2:$A$13,0))</f>
        <v>Specialty</v>
      </c>
      <c r="F1020" s="15" t="n">
        <v>1.9</v>
      </c>
      <c r="G1020" s="16" t="n">
        <f aca="false">IF(A1020="2025",INDEX(Products!$C$2:$C$13,MATCH(D1020,Products!$A$2:$A$13,0)),INDEX(Products!$E$2:$E$13,MATCH(D1020,Products!$A$2:$A$13,0)))</f>
        <v>30520</v>
      </c>
      <c r="H1020" s="13" t="n">
        <f aca="false">IF(A1020="2025",INDEX(Customers!$D$2:$D$41,MATCH(C1020,Customers!$A$2:$A$41,0)),INDEX(Customers!$F$2:$F$41,MATCH(C1020,Customers!$A$2:$A$41,0)))</f>
        <v>0.037</v>
      </c>
      <c r="I1020" s="16" t="n">
        <f aca="false">F1020*G1020</f>
        <v>57988</v>
      </c>
      <c r="J1020" s="16" t="n">
        <f aca="false">I1020*(1-H1020)</f>
        <v>55842.444</v>
      </c>
      <c r="K1020" s="16" t="n">
        <f aca="false">J1020*INDEX(Customers!$G$2:$G$41,MATCH(C1020,Customers!$A$2:$A$41,0))</f>
        <v>1116.84888</v>
      </c>
      <c r="L1020" s="16" t="n">
        <f aca="false">F1020*INDEX(Customers!$H$2:$H$41,MATCH(C1020,Customers!$A$2:$A$41,0))</f>
        <v>551</v>
      </c>
      <c r="M1020" s="16" t="n">
        <f aca="false">J1020*INDEX(Customers!$I$2:$I$41,MATCH(C1020,Customers!$A$2:$A$41,0))/365*Assumptions!$B$6</f>
        <v>734.366386849315</v>
      </c>
      <c r="N1020" s="16" t="n">
        <f aca="false">J1020-K1020-L1020-M1020</f>
        <v>53440.2287331507</v>
      </c>
      <c r="O1020" s="16" t="n">
        <f aca="false">F1020*IF(A1020="2025",INDEX(Products!$D$2:$D$13,MATCH(D1020,Products!$A$2:$A$13,0)),INDEX(Products!$F$2:$F$13,MATCH(D1020,Products!$A$2:$A$13,0)))</f>
        <v>29336</v>
      </c>
      <c r="P1020" s="16" t="n">
        <f aca="false">N1020-O1020</f>
        <v>24104.2287331507</v>
      </c>
    </row>
    <row r="1021" customFormat="false" ht="15" hidden="false" customHeight="false" outlineLevel="0" collapsed="false">
      <c r="A1021" s="2" t="s">
        <v>118</v>
      </c>
      <c r="B1021" s="2" t="n">
        <v>12</v>
      </c>
      <c r="C1021" s="2" t="s">
        <v>77</v>
      </c>
      <c r="D1021" s="2" t="s">
        <v>47</v>
      </c>
      <c r="E1021" s="2" t="str">
        <f aca="false">INDEX(Products!$B$2:$B$13,MATCH(D1021,Products!$A$2:$A$13,0))</f>
        <v>Specialty</v>
      </c>
      <c r="F1021" s="15" t="n">
        <v>2</v>
      </c>
      <c r="G1021" s="16" t="n">
        <f aca="false">IF(A1021="2025",INDEX(Products!$C$2:$C$13,MATCH(D1021,Products!$A$2:$A$13,0)),INDEX(Products!$E$2:$E$13,MATCH(D1021,Products!$A$2:$A$13,0)))</f>
        <v>30520</v>
      </c>
      <c r="H1021" s="13" t="n">
        <f aca="false">IF(A1021="2025",INDEX(Customers!$D$2:$D$41,MATCH(C1021,Customers!$A$2:$A$41,0)),INDEX(Customers!$F$2:$F$41,MATCH(C1021,Customers!$A$2:$A$41,0)))</f>
        <v>0.037</v>
      </c>
      <c r="I1021" s="16" t="n">
        <f aca="false">F1021*G1021</f>
        <v>61040</v>
      </c>
      <c r="J1021" s="16" t="n">
        <f aca="false">I1021*(1-H1021)</f>
        <v>58781.52</v>
      </c>
      <c r="K1021" s="16" t="n">
        <f aca="false">J1021*INDEX(Customers!$G$2:$G$41,MATCH(C1021,Customers!$A$2:$A$41,0))</f>
        <v>1175.6304</v>
      </c>
      <c r="L1021" s="16" t="n">
        <f aca="false">F1021*INDEX(Customers!$H$2:$H$41,MATCH(C1021,Customers!$A$2:$A$41,0))</f>
        <v>580</v>
      </c>
      <c r="M1021" s="16" t="n">
        <f aca="false">J1021*INDEX(Customers!$I$2:$I$41,MATCH(C1021,Customers!$A$2:$A$41,0))/365*Assumptions!$B$6</f>
        <v>773.017249315069</v>
      </c>
      <c r="N1021" s="16" t="n">
        <f aca="false">J1021-K1021-L1021-M1021</f>
        <v>56252.8723506849</v>
      </c>
      <c r="O1021" s="16" t="n">
        <f aca="false">F1021*IF(A1021="2025",INDEX(Products!$D$2:$D$13,MATCH(D1021,Products!$A$2:$A$13,0)),INDEX(Products!$F$2:$F$13,MATCH(D1021,Products!$A$2:$A$13,0)))</f>
        <v>30880</v>
      </c>
      <c r="P1021" s="16" t="n">
        <f aca="false">N1021-O1021</f>
        <v>25372.8723506849</v>
      </c>
    </row>
    <row r="1022" customFormat="false" ht="15" hidden="false" customHeight="false" outlineLevel="0" collapsed="false">
      <c r="A1022" s="2" t="s">
        <v>119</v>
      </c>
      <c r="B1022" s="2" t="n">
        <v>1</v>
      </c>
      <c r="C1022" s="2" t="s">
        <v>77</v>
      </c>
      <c r="D1022" s="2" t="s">
        <v>47</v>
      </c>
      <c r="E1022" s="2" t="str">
        <f aca="false">INDEX(Products!$B$2:$B$13,MATCH(D1022,Products!$A$2:$A$13,0))</f>
        <v>Specialty</v>
      </c>
      <c r="F1022" s="15" t="n">
        <v>2.6</v>
      </c>
      <c r="G1022" s="16" t="n">
        <f aca="false">IF(A1022="2025",INDEX(Products!$C$2:$C$13,MATCH(D1022,Products!$A$2:$A$13,0)),INDEX(Products!$E$2:$E$13,MATCH(D1022,Products!$A$2:$A$13,0)))</f>
        <v>32046</v>
      </c>
      <c r="H1022" s="13" t="n">
        <f aca="false">IF(A1022="2025",INDEX(Customers!$D$2:$D$41,MATCH(C1022,Customers!$A$2:$A$41,0)),INDEX(Customers!$F$2:$F$41,MATCH(C1022,Customers!$A$2:$A$41,0)))</f>
        <v>0.088</v>
      </c>
      <c r="I1022" s="16" t="n">
        <f aca="false">F1022*G1022</f>
        <v>83319.6</v>
      </c>
      <c r="J1022" s="16" t="n">
        <f aca="false">I1022*(1-H1022)</f>
        <v>75987.4752</v>
      </c>
      <c r="K1022" s="16" t="n">
        <f aca="false">J1022*INDEX(Customers!$G$2:$G$41,MATCH(C1022,Customers!$A$2:$A$41,0))</f>
        <v>1519.749504</v>
      </c>
      <c r="L1022" s="16" t="n">
        <f aca="false">F1022*INDEX(Customers!$H$2:$H$41,MATCH(C1022,Customers!$A$2:$A$41,0))</f>
        <v>754</v>
      </c>
      <c r="M1022" s="16" t="n">
        <f aca="false">J1022*INDEX(Customers!$I$2:$I$41,MATCH(C1022,Customers!$A$2:$A$41,0))/365*Assumptions!$B$6</f>
        <v>999.287345095891</v>
      </c>
      <c r="N1022" s="16" t="n">
        <f aca="false">J1022-K1022-L1022-M1022</f>
        <v>72714.4383509041</v>
      </c>
      <c r="O1022" s="16" t="n">
        <f aca="false">F1022*IF(A1022="2025",INDEX(Products!$D$2:$D$13,MATCH(D1022,Products!$A$2:$A$13,0)),INDEX(Products!$F$2:$F$13,MATCH(D1022,Products!$A$2:$A$13,0)))</f>
        <v>41348.32</v>
      </c>
      <c r="P1022" s="16" t="n">
        <f aca="false">N1022-O1022</f>
        <v>31366.1183509041</v>
      </c>
    </row>
    <row r="1023" customFormat="false" ht="15" hidden="false" customHeight="false" outlineLevel="0" collapsed="false">
      <c r="A1023" s="2" t="s">
        <v>119</v>
      </c>
      <c r="B1023" s="2" t="n">
        <v>2</v>
      </c>
      <c r="C1023" s="2" t="s">
        <v>77</v>
      </c>
      <c r="D1023" s="2" t="s">
        <v>47</v>
      </c>
      <c r="E1023" s="2" t="str">
        <f aca="false">INDEX(Products!$B$2:$B$13,MATCH(D1023,Products!$A$2:$A$13,0))</f>
        <v>Specialty</v>
      </c>
      <c r="F1023" s="15" t="n">
        <v>2.9</v>
      </c>
      <c r="G1023" s="16" t="n">
        <f aca="false">IF(A1023="2025",INDEX(Products!$C$2:$C$13,MATCH(D1023,Products!$A$2:$A$13,0)),INDEX(Products!$E$2:$E$13,MATCH(D1023,Products!$A$2:$A$13,0)))</f>
        <v>32046</v>
      </c>
      <c r="H1023" s="13" t="n">
        <f aca="false">IF(A1023="2025",INDEX(Customers!$D$2:$D$41,MATCH(C1023,Customers!$A$2:$A$41,0)),INDEX(Customers!$F$2:$F$41,MATCH(C1023,Customers!$A$2:$A$41,0)))</f>
        <v>0.088</v>
      </c>
      <c r="I1023" s="16" t="n">
        <f aca="false">F1023*G1023</f>
        <v>92933.4</v>
      </c>
      <c r="J1023" s="16" t="n">
        <f aca="false">I1023*(1-H1023)</f>
        <v>84755.2608</v>
      </c>
      <c r="K1023" s="16" t="n">
        <f aca="false">J1023*INDEX(Customers!$G$2:$G$41,MATCH(C1023,Customers!$A$2:$A$41,0))</f>
        <v>1695.105216</v>
      </c>
      <c r="L1023" s="16" t="n">
        <f aca="false">F1023*INDEX(Customers!$H$2:$H$41,MATCH(C1023,Customers!$A$2:$A$41,0))</f>
        <v>841</v>
      </c>
      <c r="M1023" s="16" t="n">
        <f aca="false">J1023*INDEX(Customers!$I$2:$I$41,MATCH(C1023,Customers!$A$2:$A$41,0))/365*Assumptions!$B$6</f>
        <v>1114.58973106849</v>
      </c>
      <c r="N1023" s="16" t="n">
        <f aca="false">J1023-K1023-L1023-M1023</f>
        <v>81104.5658529315</v>
      </c>
      <c r="O1023" s="16" t="n">
        <f aca="false">F1023*IF(A1023="2025",INDEX(Products!$D$2:$D$13,MATCH(D1023,Products!$A$2:$A$13,0)),INDEX(Products!$F$2:$F$13,MATCH(D1023,Products!$A$2:$A$13,0)))</f>
        <v>46119.28</v>
      </c>
      <c r="P1023" s="16" t="n">
        <f aca="false">N1023-O1023</f>
        <v>34985.2858529315</v>
      </c>
    </row>
    <row r="1024" customFormat="false" ht="15" hidden="false" customHeight="false" outlineLevel="0" collapsed="false">
      <c r="A1024" s="2" t="s">
        <v>119</v>
      </c>
      <c r="B1024" s="2" t="n">
        <v>3</v>
      </c>
      <c r="C1024" s="2" t="s">
        <v>77</v>
      </c>
      <c r="D1024" s="2" t="s">
        <v>47</v>
      </c>
      <c r="E1024" s="2" t="str">
        <f aca="false">INDEX(Products!$B$2:$B$13,MATCH(D1024,Products!$A$2:$A$13,0))</f>
        <v>Specialty</v>
      </c>
      <c r="F1024" s="15" t="n">
        <v>3.2</v>
      </c>
      <c r="G1024" s="16" t="n">
        <f aca="false">IF(A1024="2025",INDEX(Products!$C$2:$C$13,MATCH(D1024,Products!$A$2:$A$13,0)),INDEX(Products!$E$2:$E$13,MATCH(D1024,Products!$A$2:$A$13,0)))</f>
        <v>32046</v>
      </c>
      <c r="H1024" s="13" t="n">
        <f aca="false">IF(A1024="2025",INDEX(Customers!$D$2:$D$41,MATCH(C1024,Customers!$A$2:$A$41,0)),INDEX(Customers!$F$2:$F$41,MATCH(C1024,Customers!$A$2:$A$41,0)))</f>
        <v>0.088</v>
      </c>
      <c r="I1024" s="16" t="n">
        <f aca="false">F1024*G1024</f>
        <v>102547.2</v>
      </c>
      <c r="J1024" s="16" t="n">
        <f aca="false">I1024*(1-H1024)</f>
        <v>93523.0464</v>
      </c>
      <c r="K1024" s="16" t="n">
        <f aca="false">J1024*INDEX(Customers!$G$2:$G$41,MATCH(C1024,Customers!$A$2:$A$41,0))</f>
        <v>1870.460928</v>
      </c>
      <c r="L1024" s="16" t="n">
        <f aca="false">F1024*INDEX(Customers!$H$2:$H$41,MATCH(C1024,Customers!$A$2:$A$41,0))</f>
        <v>928</v>
      </c>
      <c r="M1024" s="16" t="n">
        <f aca="false">J1024*INDEX(Customers!$I$2:$I$41,MATCH(C1024,Customers!$A$2:$A$41,0))/365*Assumptions!$B$6</f>
        <v>1229.8921170411</v>
      </c>
      <c r="N1024" s="16" t="n">
        <f aca="false">J1024-K1024-L1024-M1024</f>
        <v>89494.6933549589</v>
      </c>
      <c r="O1024" s="16" t="n">
        <f aca="false">F1024*IF(A1024="2025",INDEX(Products!$D$2:$D$13,MATCH(D1024,Products!$A$2:$A$13,0)),INDEX(Products!$F$2:$F$13,MATCH(D1024,Products!$A$2:$A$13,0)))</f>
        <v>50890.24</v>
      </c>
      <c r="P1024" s="16" t="n">
        <f aca="false">N1024-O1024</f>
        <v>38604.4533549589</v>
      </c>
    </row>
    <row r="1025" customFormat="false" ht="15" hidden="false" customHeight="false" outlineLevel="0" collapsed="false">
      <c r="A1025" s="2" t="s">
        <v>119</v>
      </c>
      <c r="B1025" s="2" t="n">
        <v>4</v>
      </c>
      <c r="C1025" s="2" t="s">
        <v>77</v>
      </c>
      <c r="D1025" s="2" t="s">
        <v>47</v>
      </c>
      <c r="E1025" s="2" t="str">
        <f aca="false">INDEX(Products!$B$2:$B$13,MATCH(D1025,Products!$A$2:$A$13,0))</f>
        <v>Specialty</v>
      </c>
      <c r="F1025" s="15" t="n">
        <v>2.6</v>
      </c>
      <c r="G1025" s="16" t="n">
        <f aca="false">IF(A1025="2025",INDEX(Products!$C$2:$C$13,MATCH(D1025,Products!$A$2:$A$13,0)),INDEX(Products!$E$2:$E$13,MATCH(D1025,Products!$A$2:$A$13,0)))</f>
        <v>32046</v>
      </c>
      <c r="H1025" s="13" t="n">
        <f aca="false">IF(A1025="2025",INDEX(Customers!$D$2:$D$41,MATCH(C1025,Customers!$A$2:$A$41,0)),INDEX(Customers!$F$2:$F$41,MATCH(C1025,Customers!$A$2:$A$41,0)))</f>
        <v>0.088</v>
      </c>
      <c r="I1025" s="16" t="n">
        <f aca="false">F1025*G1025</f>
        <v>83319.6</v>
      </c>
      <c r="J1025" s="16" t="n">
        <f aca="false">I1025*(1-H1025)</f>
        <v>75987.4752</v>
      </c>
      <c r="K1025" s="16" t="n">
        <f aca="false">J1025*INDEX(Customers!$G$2:$G$41,MATCH(C1025,Customers!$A$2:$A$41,0))</f>
        <v>1519.749504</v>
      </c>
      <c r="L1025" s="16" t="n">
        <f aca="false">F1025*INDEX(Customers!$H$2:$H$41,MATCH(C1025,Customers!$A$2:$A$41,0))</f>
        <v>754</v>
      </c>
      <c r="M1025" s="16" t="n">
        <f aca="false">J1025*INDEX(Customers!$I$2:$I$41,MATCH(C1025,Customers!$A$2:$A$41,0))/365*Assumptions!$B$6</f>
        <v>999.287345095891</v>
      </c>
      <c r="N1025" s="16" t="n">
        <f aca="false">J1025-K1025-L1025-M1025</f>
        <v>72714.4383509041</v>
      </c>
      <c r="O1025" s="16" t="n">
        <f aca="false">F1025*IF(A1025="2025",INDEX(Products!$D$2:$D$13,MATCH(D1025,Products!$A$2:$A$13,0)),INDEX(Products!$F$2:$F$13,MATCH(D1025,Products!$A$2:$A$13,0)))</f>
        <v>41348.32</v>
      </c>
      <c r="P1025" s="16" t="n">
        <f aca="false">N1025-O1025</f>
        <v>31366.1183509041</v>
      </c>
    </row>
    <row r="1026" customFormat="false" ht="15" hidden="false" customHeight="false" outlineLevel="0" collapsed="false">
      <c r="A1026" s="2" t="s">
        <v>119</v>
      </c>
      <c r="B1026" s="2" t="n">
        <v>5</v>
      </c>
      <c r="C1026" s="2" t="s">
        <v>77</v>
      </c>
      <c r="D1026" s="2" t="s">
        <v>47</v>
      </c>
      <c r="E1026" s="2" t="str">
        <f aca="false">INDEX(Products!$B$2:$B$13,MATCH(D1026,Products!$A$2:$A$13,0))</f>
        <v>Specialty</v>
      </c>
      <c r="F1026" s="15" t="n">
        <v>3.3</v>
      </c>
      <c r="G1026" s="16" t="n">
        <f aca="false">IF(A1026="2025",INDEX(Products!$C$2:$C$13,MATCH(D1026,Products!$A$2:$A$13,0)),INDEX(Products!$E$2:$E$13,MATCH(D1026,Products!$A$2:$A$13,0)))</f>
        <v>32046</v>
      </c>
      <c r="H1026" s="13" t="n">
        <f aca="false">IF(A1026="2025",INDEX(Customers!$D$2:$D$41,MATCH(C1026,Customers!$A$2:$A$41,0)),INDEX(Customers!$F$2:$F$41,MATCH(C1026,Customers!$A$2:$A$41,0)))</f>
        <v>0.088</v>
      </c>
      <c r="I1026" s="16" t="n">
        <f aca="false">F1026*G1026</f>
        <v>105751.8</v>
      </c>
      <c r="J1026" s="16" t="n">
        <f aca="false">I1026*(1-H1026)</f>
        <v>96445.6416</v>
      </c>
      <c r="K1026" s="16" t="n">
        <f aca="false">J1026*INDEX(Customers!$G$2:$G$41,MATCH(C1026,Customers!$A$2:$A$41,0))</f>
        <v>1928.912832</v>
      </c>
      <c r="L1026" s="16" t="n">
        <f aca="false">F1026*INDEX(Customers!$H$2:$H$41,MATCH(C1026,Customers!$A$2:$A$41,0))</f>
        <v>957</v>
      </c>
      <c r="M1026" s="16" t="n">
        <f aca="false">J1026*INDEX(Customers!$I$2:$I$41,MATCH(C1026,Customers!$A$2:$A$41,0))/365*Assumptions!$B$6</f>
        <v>1268.32624569863</v>
      </c>
      <c r="N1026" s="16" t="n">
        <f aca="false">J1026-K1026-L1026-M1026</f>
        <v>92291.4025223014</v>
      </c>
      <c r="O1026" s="16" t="n">
        <f aca="false">F1026*IF(A1026="2025",INDEX(Products!$D$2:$D$13,MATCH(D1026,Products!$A$2:$A$13,0)),INDEX(Products!$F$2:$F$13,MATCH(D1026,Products!$A$2:$A$13,0)))</f>
        <v>52480.56</v>
      </c>
      <c r="P1026" s="16" t="n">
        <f aca="false">N1026-O1026</f>
        <v>39810.8425223014</v>
      </c>
    </row>
    <row r="1027" customFormat="false" ht="15" hidden="false" customHeight="false" outlineLevel="0" collapsed="false">
      <c r="A1027" s="2" t="s">
        <v>119</v>
      </c>
      <c r="B1027" s="2" t="n">
        <v>6</v>
      </c>
      <c r="C1027" s="2" t="s">
        <v>77</v>
      </c>
      <c r="D1027" s="2" t="s">
        <v>47</v>
      </c>
      <c r="E1027" s="2" t="str">
        <f aca="false">INDEX(Products!$B$2:$B$13,MATCH(D1027,Products!$A$2:$A$13,0))</f>
        <v>Specialty</v>
      </c>
      <c r="F1027" s="15" t="n">
        <v>2.9</v>
      </c>
      <c r="G1027" s="16" t="n">
        <f aca="false">IF(A1027="2025",INDEX(Products!$C$2:$C$13,MATCH(D1027,Products!$A$2:$A$13,0)),INDEX(Products!$E$2:$E$13,MATCH(D1027,Products!$A$2:$A$13,0)))</f>
        <v>32046</v>
      </c>
      <c r="H1027" s="13" t="n">
        <f aca="false">IF(A1027="2025",INDEX(Customers!$D$2:$D$41,MATCH(C1027,Customers!$A$2:$A$41,0)),INDEX(Customers!$F$2:$F$41,MATCH(C1027,Customers!$A$2:$A$41,0)))</f>
        <v>0.088</v>
      </c>
      <c r="I1027" s="16" t="n">
        <f aca="false">F1027*G1027</f>
        <v>92933.4</v>
      </c>
      <c r="J1027" s="16" t="n">
        <f aca="false">I1027*(1-H1027)</f>
        <v>84755.2608</v>
      </c>
      <c r="K1027" s="16" t="n">
        <f aca="false">J1027*INDEX(Customers!$G$2:$G$41,MATCH(C1027,Customers!$A$2:$A$41,0))</f>
        <v>1695.105216</v>
      </c>
      <c r="L1027" s="16" t="n">
        <f aca="false">F1027*INDEX(Customers!$H$2:$H$41,MATCH(C1027,Customers!$A$2:$A$41,0))</f>
        <v>841</v>
      </c>
      <c r="M1027" s="16" t="n">
        <f aca="false">J1027*INDEX(Customers!$I$2:$I$41,MATCH(C1027,Customers!$A$2:$A$41,0))/365*Assumptions!$B$6</f>
        <v>1114.58973106849</v>
      </c>
      <c r="N1027" s="16" t="n">
        <f aca="false">J1027-K1027-L1027-M1027</f>
        <v>81104.5658529315</v>
      </c>
      <c r="O1027" s="16" t="n">
        <f aca="false">F1027*IF(A1027="2025",INDEX(Products!$D$2:$D$13,MATCH(D1027,Products!$A$2:$A$13,0)),INDEX(Products!$F$2:$F$13,MATCH(D1027,Products!$A$2:$A$13,0)))</f>
        <v>46119.28</v>
      </c>
      <c r="P1027" s="16" t="n">
        <f aca="false">N1027-O1027</f>
        <v>34985.2858529315</v>
      </c>
    </row>
    <row r="1028" customFormat="false" ht="15" hidden="false" customHeight="false" outlineLevel="0" collapsed="false">
      <c r="A1028" s="2" t="s">
        <v>119</v>
      </c>
      <c r="B1028" s="2" t="n">
        <v>7</v>
      </c>
      <c r="C1028" s="2" t="s">
        <v>77</v>
      </c>
      <c r="D1028" s="2" t="s">
        <v>47</v>
      </c>
      <c r="E1028" s="2" t="str">
        <f aca="false">INDEX(Products!$B$2:$B$13,MATCH(D1028,Products!$A$2:$A$13,0))</f>
        <v>Specialty</v>
      </c>
      <c r="F1028" s="15" t="n">
        <v>3.3</v>
      </c>
      <c r="G1028" s="16" t="n">
        <f aca="false">IF(A1028="2025",INDEX(Products!$C$2:$C$13,MATCH(D1028,Products!$A$2:$A$13,0)),INDEX(Products!$E$2:$E$13,MATCH(D1028,Products!$A$2:$A$13,0)))</f>
        <v>32046</v>
      </c>
      <c r="H1028" s="13" t="n">
        <f aca="false">IF(A1028="2025",INDEX(Customers!$D$2:$D$41,MATCH(C1028,Customers!$A$2:$A$41,0)),INDEX(Customers!$F$2:$F$41,MATCH(C1028,Customers!$A$2:$A$41,0)))</f>
        <v>0.088</v>
      </c>
      <c r="I1028" s="16" t="n">
        <f aca="false">F1028*G1028</f>
        <v>105751.8</v>
      </c>
      <c r="J1028" s="16" t="n">
        <f aca="false">I1028*(1-H1028)</f>
        <v>96445.6416</v>
      </c>
      <c r="K1028" s="16" t="n">
        <f aca="false">J1028*INDEX(Customers!$G$2:$G$41,MATCH(C1028,Customers!$A$2:$A$41,0))</f>
        <v>1928.912832</v>
      </c>
      <c r="L1028" s="16" t="n">
        <f aca="false">F1028*INDEX(Customers!$H$2:$H$41,MATCH(C1028,Customers!$A$2:$A$41,0))</f>
        <v>957</v>
      </c>
      <c r="M1028" s="16" t="n">
        <f aca="false">J1028*INDEX(Customers!$I$2:$I$41,MATCH(C1028,Customers!$A$2:$A$41,0))/365*Assumptions!$B$6</f>
        <v>1268.32624569863</v>
      </c>
      <c r="N1028" s="16" t="n">
        <f aca="false">J1028-K1028-L1028-M1028</f>
        <v>92291.4025223014</v>
      </c>
      <c r="O1028" s="16" t="n">
        <f aca="false">F1028*IF(A1028="2025",INDEX(Products!$D$2:$D$13,MATCH(D1028,Products!$A$2:$A$13,0)),INDEX(Products!$F$2:$F$13,MATCH(D1028,Products!$A$2:$A$13,0)))</f>
        <v>52480.56</v>
      </c>
      <c r="P1028" s="16" t="n">
        <f aca="false">N1028-O1028</f>
        <v>39810.8425223014</v>
      </c>
    </row>
    <row r="1029" customFormat="false" ht="15" hidden="false" customHeight="false" outlineLevel="0" collapsed="false">
      <c r="A1029" s="2" t="s">
        <v>119</v>
      </c>
      <c r="B1029" s="2" t="n">
        <v>8</v>
      </c>
      <c r="C1029" s="2" t="s">
        <v>77</v>
      </c>
      <c r="D1029" s="2" t="s">
        <v>47</v>
      </c>
      <c r="E1029" s="2" t="str">
        <f aca="false">INDEX(Products!$B$2:$B$13,MATCH(D1029,Products!$A$2:$A$13,0))</f>
        <v>Specialty</v>
      </c>
      <c r="F1029" s="15" t="n">
        <v>3.2</v>
      </c>
      <c r="G1029" s="16" t="n">
        <f aca="false">IF(A1029="2025",INDEX(Products!$C$2:$C$13,MATCH(D1029,Products!$A$2:$A$13,0)),INDEX(Products!$E$2:$E$13,MATCH(D1029,Products!$A$2:$A$13,0)))</f>
        <v>32046</v>
      </c>
      <c r="H1029" s="13" t="n">
        <f aca="false">IF(A1029="2025",INDEX(Customers!$D$2:$D$41,MATCH(C1029,Customers!$A$2:$A$41,0)),INDEX(Customers!$F$2:$F$41,MATCH(C1029,Customers!$A$2:$A$41,0)))</f>
        <v>0.088</v>
      </c>
      <c r="I1029" s="16" t="n">
        <f aca="false">F1029*G1029</f>
        <v>102547.2</v>
      </c>
      <c r="J1029" s="16" t="n">
        <f aca="false">I1029*(1-H1029)</f>
        <v>93523.0464</v>
      </c>
      <c r="K1029" s="16" t="n">
        <f aca="false">J1029*INDEX(Customers!$G$2:$G$41,MATCH(C1029,Customers!$A$2:$A$41,0))</f>
        <v>1870.460928</v>
      </c>
      <c r="L1029" s="16" t="n">
        <f aca="false">F1029*INDEX(Customers!$H$2:$H$41,MATCH(C1029,Customers!$A$2:$A$41,0))</f>
        <v>928</v>
      </c>
      <c r="M1029" s="16" t="n">
        <f aca="false">J1029*INDEX(Customers!$I$2:$I$41,MATCH(C1029,Customers!$A$2:$A$41,0))/365*Assumptions!$B$6</f>
        <v>1229.8921170411</v>
      </c>
      <c r="N1029" s="16" t="n">
        <f aca="false">J1029-K1029-L1029-M1029</f>
        <v>89494.6933549589</v>
      </c>
      <c r="O1029" s="16" t="n">
        <f aca="false">F1029*IF(A1029="2025",INDEX(Products!$D$2:$D$13,MATCH(D1029,Products!$A$2:$A$13,0)),INDEX(Products!$F$2:$F$13,MATCH(D1029,Products!$A$2:$A$13,0)))</f>
        <v>50890.24</v>
      </c>
      <c r="P1029" s="16" t="n">
        <f aca="false">N1029-O1029</f>
        <v>38604.4533549589</v>
      </c>
    </row>
    <row r="1030" customFormat="false" ht="15" hidden="false" customHeight="false" outlineLevel="0" collapsed="false">
      <c r="A1030" s="2" t="s">
        <v>119</v>
      </c>
      <c r="B1030" s="2" t="n">
        <v>9</v>
      </c>
      <c r="C1030" s="2" t="s">
        <v>77</v>
      </c>
      <c r="D1030" s="2" t="s">
        <v>47</v>
      </c>
      <c r="E1030" s="2" t="str">
        <f aca="false">INDEX(Products!$B$2:$B$13,MATCH(D1030,Products!$A$2:$A$13,0))</f>
        <v>Specialty</v>
      </c>
      <c r="F1030" s="15" t="n">
        <v>3.2</v>
      </c>
      <c r="G1030" s="16" t="n">
        <f aca="false">IF(A1030="2025",INDEX(Products!$C$2:$C$13,MATCH(D1030,Products!$A$2:$A$13,0)),INDEX(Products!$E$2:$E$13,MATCH(D1030,Products!$A$2:$A$13,0)))</f>
        <v>32046</v>
      </c>
      <c r="H1030" s="13" t="n">
        <f aca="false">IF(A1030="2025",INDEX(Customers!$D$2:$D$41,MATCH(C1030,Customers!$A$2:$A$41,0)),INDEX(Customers!$F$2:$F$41,MATCH(C1030,Customers!$A$2:$A$41,0)))</f>
        <v>0.088</v>
      </c>
      <c r="I1030" s="16" t="n">
        <f aca="false">F1030*G1030</f>
        <v>102547.2</v>
      </c>
      <c r="J1030" s="16" t="n">
        <f aca="false">I1030*(1-H1030)</f>
        <v>93523.0464</v>
      </c>
      <c r="K1030" s="16" t="n">
        <f aca="false">J1030*INDEX(Customers!$G$2:$G$41,MATCH(C1030,Customers!$A$2:$A$41,0))</f>
        <v>1870.460928</v>
      </c>
      <c r="L1030" s="16" t="n">
        <f aca="false">F1030*INDEX(Customers!$H$2:$H$41,MATCH(C1030,Customers!$A$2:$A$41,0))</f>
        <v>928</v>
      </c>
      <c r="M1030" s="16" t="n">
        <f aca="false">J1030*INDEX(Customers!$I$2:$I$41,MATCH(C1030,Customers!$A$2:$A$41,0))/365*Assumptions!$B$6</f>
        <v>1229.8921170411</v>
      </c>
      <c r="N1030" s="16" t="n">
        <f aca="false">J1030-K1030-L1030-M1030</f>
        <v>89494.6933549589</v>
      </c>
      <c r="O1030" s="16" t="n">
        <f aca="false">F1030*IF(A1030="2025",INDEX(Products!$D$2:$D$13,MATCH(D1030,Products!$A$2:$A$13,0)),INDEX(Products!$F$2:$F$13,MATCH(D1030,Products!$A$2:$A$13,0)))</f>
        <v>50890.24</v>
      </c>
      <c r="P1030" s="16" t="n">
        <f aca="false">N1030-O1030</f>
        <v>38604.4533549589</v>
      </c>
    </row>
    <row r="1031" customFormat="false" ht="15" hidden="false" customHeight="false" outlineLevel="0" collapsed="false">
      <c r="A1031" s="2" t="s">
        <v>119</v>
      </c>
      <c r="B1031" s="2" t="n">
        <v>10</v>
      </c>
      <c r="C1031" s="2" t="s">
        <v>77</v>
      </c>
      <c r="D1031" s="2" t="s">
        <v>47</v>
      </c>
      <c r="E1031" s="2" t="str">
        <f aca="false">INDEX(Products!$B$2:$B$13,MATCH(D1031,Products!$A$2:$A$13,0))</f>
        <v>Specialty</v>
      </c>
      <c r="F1031" s="15" t="n">
        <v>1.9</v>
      </c>
      <c r="G1031" s="16" t="n">
        <f aca="false">IF(A1031="2025",INDEX(Products!$C$2:$C$13,MATCH(D1031,Products!$A$2:$A$13,0)),INDEX(Products!$E$2:$E$13,MATCH(D1031,Products!$A$2:$A$13,0)))</f>
        <v>32046</v>
      </c>
      <c r="H1031" s="13" t="n">
        <f aca="false">IF(A1031="2025",INDEX(Customers!$D$2:$D$41,MATCH(C1031,Customers!$A$2:$A$41,0)),INDEX(Customers!$F$2:$F$41,MATCH(C1031,Customers!$A$2:$A$41,0)))</f>
        <v>0.088</v>
      </c>
      <c r="I1031" s="16" t="n">
        <f aca="false">F1031*G1031</f>
        <v>60887.4</v>
      </c>
      <c r="J1031" s="16" t="n">
        <f aca="false">I1031*(1-H1031)</f>
        <v>55529.3088</v>
      </c>
      <c r="K1031" s="16" t="n">
        <f aca="false">J1031*INDEX(Customers!$G$2:$G$41,MATCH(C1031,Customers!$A$2:$A$41,0))</f>
        <v>1110.586176</v>
      </c>
      <c r="L1031" s="16" t="n">
        <f aca="false">F1031*INDEX(Customers!$H$2:$H$41,MATCH(C1031,Customers!$A$2:$A$41,0))</f>
        <v>551</v>
      </c>
      <c r="M1031" s="16" t="n">
        <f aca="false">J1031*INDEX(Customers!$I$2:$I$41,MATCH(C1031,Customers!$A$2:$A$41,0))/365*Assumptions!$B$6</f>
        <v>730.248444493151</v>
      </c>
      <c r="N1031" s="16" t="n">
        <f aca="false">J1031-K1031-L1031-M1031</f>
        <v>53137.4741795069</v>
      </c>
      <c r="O1031" s="16" t="n">
        <f aca="false">F1031*IF(A1031="2025",INDEX(Products!$D$2:$D$13,MATCH(D1031,Products!$A$2:$A$13,0)),INDEX(Products!$F$2:$F$13,MATCH(D1031,Products!$A$2:$A$13,0)))</f>
        <v>30216.08</v>
      </c>
      <c r="P1031" s="16" t="n">
        <f aca="false">N1031-O1031</f>
        <v>22921.3941795069</v>
      </c>
    </row>
    <row r="1032" customFormat="false" ht="15" hidden="false" customHeight="false" outlineLevel="0" collapsed="false">
      <c r="A1032" s="2" t="s">
        <v>119</v>
      </c>
      <c r="B1032" s="2" t="n">
        <v>11</v>
      </c>
      <c r="C1032" s="2" t="s">
        <v>77</v>
      </c>
      <c r="D1032" s="2" t="s">
        <v>47</v>
      </c>
      <c r="E1032" s="2" t="str">
        <f aca="false">INDEX(Products!$B$2:$B$13,MATCH(D1032,Products!$A$2:$A$13,0))</f>
        <v>Specialty</v>
      </c>
      <c r="F1032" s="15" t="n">
        <v>3.2</v>
      </c>
      <c r="G1032" s="16" t="n">
        <f aca="false">IF(A1032="2025",INDEX(Products!$C$2:$C$13,MATCH(D1032,Products!$A$2:$A$13,0)),INDEX(Products!$E$2:$E$13,MATCH(D1032,Products!$A$2:$A$13,0)))</f>
        <v>32046</v>
      </c>
      <c r="H1032" s="13" t="n">
        <f aca="false">IF(A1032="2025",INDEX(Customers!$D$2:$D$41,MATCH(C1032,Customers!$A$2:$A$41,0)),INDEX(Customers!$F$2:$F$41,MATCH(C1032,Customers!$A$2:$A$41,0)))</f>
        <v>0.088</v>
      </c>
      <c r="I1032" s="16" t="n">
        <f aca="false">F1032*G1032</f>
        <v>102547.2</v>
      </c>
      <c r="J1032" s="16" t="n">
        <f aca="false">I1032*(1-H1032)</f>
        <v>93523.0464</v>
      </c>
      <c r="K1032" s="16" t="n">
        <f aca="false">J1032*INDEX(Customers!$G$2:$G$41,MATCH(C1032,Customers!$A$2:$A$41,0))</f>
        <v>1870.460928</v>
      </c>
      <c r="L1032" s="16" t="n">
        <f aca="false">F1032*INDEX(Customers!$H$2:$H$41,MATCH(C1032,Customers!$A$2:$A$41,0))</f>
        <v>928</v>
      </c>
      <c r="M1032" s="16" t="n">
        <f aca="false">J1032*INDEX(Customers!$I$2:$I$41,MATCH(C1032,Customers!$A$2:$A$41,0))/365*Assumptions!$B$6</f>
        <v>1229.8921170411</v>
      </c>
      <c r="N1032" s="16" t="n">
        <f aca="false">J1032-K1032-L1032-M1032</f>
        <v>89494.6933549589</v>
      </c>
      <c r="O1032" s="16" t="n">
        <f aca="false">F1032*IF(A1032="2025",INDEX(Products!$D$2:$D$13,MATCH(D1032,Products!$A$2:$A$13,0)),INDEX(Products!$F$2:$F$13,MATCH(D1032,Products!$A$2:$A$13,0)))</f>
        <v>50890.24</v>
      </c>
      <c r="P1032" s="16" t="n">
        <f aca="false">N1032-O1032</f>
        <v>38604.4533549589</v>
      </c>
    </row>
    <row r="1033" customFormat="false" ht="15" hidden="false" customHeight="false" outlineLevel="0" collapsed="false">
      <c r="A1033" s="2" t="s">
        <v>119</v>
      </c>
      <c r="B1033" s="2" t="n">
        <v>12</v>
      </c>
      <c r="C1033" s="2" t="s">
        <v>77</v>
      </c>
      <c r="D1033" s="2" t="s">
        <v>47</v>
      </c>
      <c r="E1033" s="2" t="str">
        <f aca="false">INDEX(Products!$B$2:$B$13,MATCH(D1033,Products!$A$2:$A$13,0))</f>
        <v>Specialty</v>
      </c>
      <c r="F1033" s="15" t="n">
        <v>2.9</v>
      </c>
      <c r="G1033" s="16" t="n">
        <f aca="false">IF(A1033="2025",INDEX(Products!$C$2:$C$13,MATCH(D1033,Products!$A$2:$A$13,0)),INDEX(Products!$E$2:$E$13,MATCH(D1033,Products!$A$2:$A$13,0)))</f>
        <v>32046</v>
      </c>
      <c r="H1033" s="13" t="n">
        <f aca="false">IF(A1033="2025",INDEX(Customers!$D$2:$D$41,MATCH(C1033,Customers!$A$2:$A$41,0)),INDEX(Customers!$F$2:$F$41,MATCH(C1033,Customers!$A$2:$A$41,0)))</f>
        <v>0.088</v>
      </c>
      <c r="I1033" s="16" t="n">
        <f aca="false">F1033*G1033</f>
        <v>92933.4</v>
      </c>
      <c r="J1033" s="16" t="n">
        <f aca="false">I1033*(1-H1033)</f>
        <v>84755.2608</v>
      </c>
      <c r="K1033" s="16" t="n">
        <f aca="false">J1033*INDEX(Customers!$G$2:$G$41,MATCH(C1033,Customers!$A$2:$A$41,0))</f>
        <v>1695.105216</v>
      </c>
      <c r="L1033" s="16" t="n">
        <f aca="false">F1033*INDEX(Customers!$H$2:$H$41,MATCH(C1033,Customers!$A$2:$A$41,0))</f>
        <v>841</v>
      </c>
      <c r="M1033" s="16" t="n">
        <f aca="false">J1033*INDEX(Customers!$I$2:$I$41,MATCH(C1033,Customers!$A$2:$A$41,0))/365*Assumptions!$B$6</f>
        <v>1114.58973106849</v>
      </c>
      <c r="N1033" s="16" t="n">
        <f aca="false">J1033-K1033-L1033-M1033</f>
        <v>81104.5658529315</v>
      </c>
      <c r="O1033" s="16" t="n">
        <f aca="false">F1033*IF(A1033="2025",INDEX(Products!$D$2:$D$13,MATCH(D1033,Products!$A$2:$A$13,0)),INDEX(Products!$F$2:$F$13,MATCH(D1033,Products!$A$2:$A$13,0)))</f>
        <v>46119.28</v>
      </c>
      <c r="P1033" s="16" t="n">
        <f aca="false">N1033-O1033</f>
        <v>34985.2858529315</v>
      </c>
    </row>
    <row r="1034" customFormat="false" ht="15" hidden="false" customHeight="false" outlineLevel="0" collapsed="false">
      <c r="A1034" s="2" t="s">
        <v>118</v>
      </c>
      <c r="B1034" s="2" t="n">
        <v>1</v>
      </c>
      <c r="C1034" s="2" t="s">
        <v>77</v>
      </c>
      <c r="D1034" s="2" t="s">
        <v>38</v>
      </c>
      <c r="E1034" s="2" t="str">
        <f aca="false">INDEX(Products!$B$2:$B$13,MATCH(D1034,Products!$A$2:$A$13,0))</f>
        <v>FCC</v>
      </c>
      <c r="F1034" s="15" t="n">
        <v>6.7</v>
      </c>
      <c r="G1034" s="16" t="n">
        <f aca="false">IF(A1034="2025",INDEX(Products!$C$2:$C$13,MATCH(D1034,Products!$A$2:$A$13,0)),INDEX(Products!$E$2:$E$13,MATCH(D1034,Products!$A$2:$A$13,0)))</f>
        <v>4360</v>
      </c>
      <c r="H1034" s="13" t="n">
        <f aca="false">IF(A1034="2025",INDEX(Customers!$D$2:$D$41,MATCH(C1034,Customers!$A$2:$A$41,0)),INDEX(Customers!$F$2:$F$41,MATCH(C1034,Customers!$A$2:$A$41,0)))</f>
        <v>0.037</v>
      </c>
      <c r="I1034" s="16" t="n">
        <f aca="false">F1034*G1034</f>
        <v>29212</v>
      </c>
      <c r="J1034" s="16" t="n">
        <f aca="false">I1034*(1-H1034)</f>
        <v>28131.156</v>
      </c>
      <c r="K1034" s="16" t="n">
        <f aca="false">J1034*INDEX(Customers!$G$2:$G$41,MATCH(C1034,Customers!$A$2:$A$41,0))</f>
        <v>562.62312</v>
      </c>
      <c r="L1034" s="16" t="n">
        <f aca="false">F1034*INDEX(Customers!$H$2:$H$41,MATCH(C1034,Customers!$A$2:$A$41,0))</f>
        <v>1943</v>
      </c>
      <c r="M1034" s="16" t="n">
        <f aca="false">J1034*INDEX(Customers!$I$2:$I$41,MATCH(C1034,Customers!$A$2:$A$41,0))/365*Assumptions!$B$6</f>
        <v>369.943969315068</v>
      </c>
      <c r="N1034" s="16" t="n">
        <f aca="false">J1034-K1034-L1034-M1034</f>
        <v>25255.5889106849</v>
      </c>
      <c r="O1034" s="16" t="n">
        <f aca="false">F1034*IF(A1034="2025",INDEX(Products!$D$2:$D$13,MATCH(D1034,Products!$A$2:$A$13,0)),INDEX(Products!$F$2:$F$13,MATCH(D1034,Products!$A$2:$A$13,0)))</f>
        <v>18559</v>
      </c>
      <c r="P1034" s="16" t="n">
        <f aca="false">N1034-O1034</f>
        <v>6696.58891068493</v>
      </c>
    </row>
    <row r="1035" customFormat="false" ht="15" hidden="false" customHeight="false" outlineLevel="0" collapsed="false">
      <c r="A1035" s="2" t="s">
        <v>118</v>
      </c>
      <c r="B1035" s="2" t="n">
        <v>2</v>
      </c>
      <c r="C1035" s="2" t="s">
        <v>77</v>
      </c>
      <c r="D1035" s="2" t="s">
        <v>38</v>
      </c>
      <c r="E1035" s="2" t="str">
        <f aca="false">INDEX(Products!$B$2:$B$13,MATCH(D1035,Products!$A$2:$A$13,0))</f>
        <v>FCC</v>
      </c>
      <c r="F1035" s="15" t="n">
        <v>6.4</v>
      </c>
      <c r="G1035" s="16" t="n">
        <f aca="false">IF(A1035="2025",INDEX(Products!$C$2:$C$13,MATCH(D1035,Products!$A$2:$A$13,0)),INDEX(Products!$E$2:$E$13,MATCH(D1035,Products!$A$2:$A$13,0)))</f>
        <v>4360</v>
      </c>
      <c r="H1035" s="13" t="n">
        <f aca="false">IF(A1035="2025",INDEX(Customers!$D$2:$D$41,MATCH(C1035,Customers!$A$2:$A$41,0)),INDEX(Customers!$F$2:$F$41,MATCH(C1035,Customers!$A$2:$A$41,0)))</f>
        <v>0.037</v>
      </c>
      <c r="I1035" s="16" t="n">
        <f aca="false">F1035*G1035</f>
        <v>27904</v>
      </c>
      <c r="J1035" s="16" t="n">
        <f aca="false">I1035*(1-H1035)</f>
        <v>26871.552</v>
      </c>
      <c r="K1035" s="16" t="n">
        <f aca="false">J1035*INDEX(Customers!$G$2:$G$41,MATCH(C1035,Customers!$A$2:$A$41,0))</f>
        <v>537.43104</v>
      </c>
      <c r="L1035" s="16" t="n">
        <f aca="false">F1035*INDEX(Customers!$H$2:$H$41,MATCH(C1035,Customers!$A$2:$A$41,0))</f>
        <v>1856</v>
      </c>
      <c r="M1035" s="16" t="n">
        <f aca="false">J1035*INDEX(Customers!$I$2:$I$41,MATCH(C1035,Customers!$A$2:$A$41,0))/365*Assumptions!$B$6</f>
        <v>353.379313972603</v>
      </c>
      <c r="N1035" s="16" t="n">
        <f aca="false">J1035-K1035-L1035-M1035</f>
        <v>24124.7416460274</v>
      </c>
      <c r="O1035" s="16" t="n">
        <f aca="false">F1035*IF(A1035="2025",INDEX(Products!$D$2:$D$13,MATCH(D1035,Products!$A$2:$A$13,0)),INDEX(Products!$F$2:$F$13,MATCH(D1035,Products!$A$2:$A$13,0)))</f>
        <v>17728</v>
      </c>
      <c r="P1035" s="16" t="n">
        <f aca="false">N1035-O1035</f>
        <v>6396.7416460274</v>
      </c>
    </row>
    <row r="1036" customFormat="false" ht="15" hidden="false" customHeight="false" outlineLevel="0" collapsed="false">
      <c r="A1036" s="2" t="s">
        <v>118</v>
      </c>
      <c r="B1036" s="2" t="n">
        <v>3</v>
      </c>
      <c r="C1036" s="2" t="s">
        <v>77</v>
      </c>
      <c r="D1036" s="2" t="s">
        <v>38</v>
      </c>
      <c r="E1036" s="2" t="str">
        <f aca="false">INDEX(Products!$B$2:$B$13,MATCH(D1036,Products!$A$2:$A$13,0))</f>
        <v>FCC</v>
      </c>
      <c r="F1036" s="15" t="n">
        <v>6.6</v>
      </c>
      <c r="G1036" s="16" t="n">
        <f aca="false">IF(A1036="2025",INDEX(Products!$C$2:$C$13,MATCH(D1036,Products!$A$2:$A$13,0)),INDEX(Products!$E$2:$E$13,MATCH(D1036,Products!$A$2:$A$13,0)))</f>
        <v>4360</v>
      </c>
      <c r="H1036" s="13" t="n">
        <f aca="false">IF(A1036="2025",INDEX(Customers!$D$2:$D$41,MATCH(C1036,Customers!$A$2:$A$41,0)),INDEX(Customers!$F$2:$F$41,MATCH(C1036,Customers!$A$2:$A$41,0)))</f>
        <v>0.037</v>
      </c>
      <c r="I1036" s="16" t="n">
        <f aca="false">F1036*G1036</f>
        <v>28776</v>
      </c>
      <c r="J1036" s="16" t="n">
        <f aca="false">I1036*(1-H1036)</f>
        <v>27711.288</v>
      </c>
      <c r="K1036" s="16" t="n">
        <f aca="false">J1036*INDEX(Customers!$G$2:$G$41,MATCH(C1036,Customers!$A$2:$A$41,0))</f>
        <v>554.22576</v>
      </c>
      <c r="L1036" s="16" t="n">
        <f aca="false">F1036*INDEX(Customers!$H$2:$H$41,MATCH(C1036,Customers!$A$2:$A$41,0))</f>
        <v>1914</v>
      </c>
      <c r="M1036" s="16" t="n">
        <f aca="false">J1036*INDEX(Customers!$I$2:$I$41,MATCH(C1036,Customers!$A$2:$A$41,0))/365*Assumptions!$B$6</f>
        <v>364.422417534247</v>
      </c>
      <c r="N1036" s="16" t="n">
        <f aca="false">J1036-K1036-L1036-M1036</f>
        <v>24878.6398224658</v>
      </c>
      <c r="O1036" s="16" t="n">
        <f aca="false">F1036*IF(A1036="2025",INDEX(Products!$D$2:$D$13,MATCH(D1036,Products!$A$2:$A$13,0)),INDEX(Products!$F$2:$F$13,MATCH(D1036,Products!$A$2:$A$13,0)))</f>
        <v>18282</v>
      </c>
      <c r="P1036" s="16" t="n">
        <f aca="false">N1036-O1036</f>
        <v>6596.63982246575</v>
      </c>
    </row>
    <row r="1037" customFormat="false" ht="15" hidden="false" customHeight="false" outlineLevel="0" collapsed="false">
      <c r="A1037" s="2" t="s">
        <v>118</v>
      </c>
      <c r="B1037" s="2" t="n">
        <v>4</v>
      </c>
      <c r="C1037" s="2" t="s">
        <v>77</v>
      </c>
      <c r="D1037" s="2" t="s">
        <v>38</v>
      </c>
      <c r="E1037" s="2" t="str">
        <f aca="false">INDEX(Products!$B$2:$B$13,MATCH(D1037,Products!$A$2:$A$13,0))</f>
        <v>FCC</v>
      </c>
      <c r="F1037" s="15" t="n">
        <v>8.5</v>
      </c>
      <c r="G1037" s="16" t="n">
        <f aca="false">IF(A1037="2025",INDEX(Products!$C$2:$C$13,MATCH(D1037,Products!$A$2:$A$13,0)),INDEX(Products!$E$2:$E$13,MATCH(D1037,Products!$A$2:$A$13,0)))</f>
        <v>4360</v>
      </c>
      <c r="H1037" s="13" t="n">
        <f aca="false">IF(A1037="2025",INDEX(Customers!$D$2:$D$41,MATCH(C1037,Customers!$A$2:$A$41,0)),INDEX(Customers!$F$2:$F$41,MATCH(C1037,Customers!$A$2:$A$41,0)))</f>
        <v>0.037</v>
      </c>
      <c r="I1037" s="16" t="n">
        <f aca="false">F1037*G1037</f>
        <v>37060</v>
      </c>
      <c r="J1037" s="16" t="n">
        <f aca="false">I1037*(1-H1037)</f>
        <v>35688.78</v>
      </c>
      <c r="K1037" s="16" t="n">
        <f aca="false">J1037*INDEX(Customers!$G$2:$G$41,MATCH(C1037,Customers!$A$2:$A$41,0))</f>
        <v>713.7756</v>
      </c>
      <c r="L1037" s="16" t="n">
        <f aca="false">F1037*INDEX(Customers!$H$2:$H$41,MATCH(C1037,Customers!$A$2:$A$41,0))</f>
        <v>2465</v>
      </c>
      <c r="M1037" s="16" t="n">
        <f aca="false">J1037*INDEX(Customers!$I$2:$I$41,MATCH(C1037,Customers!$A$2:$A$41,0))/365*Assumptions!$B$6</f>
        <v>469.331901369863</v>
      </c>
      <c r="N1037" s="16" t="n">
        <f aca="false">J1037-K1037-L1037-M1037</f>
        <v>32040.6724986301</v>
      </c>
      <c r="O1037" s="16" t="n">
        <f aca="false">F1037*IF(A1037="2025",INDEX(Products!$D$2:$D$13,MATCH(D1037,Products!$A$2:$A$13,0)),INDEX(Products!$F$2:$F$13,MATCH(D1037,Products!$A$2:$A$13,0)))</f>
        <v>23545</v>
      </c>
      <c r="P1037" s="16" t="n">
        <f aca="false">N1037-O1037</f>
        <v>8495.67249863013</v>
      </c>
    </row>
    <row r="1038" customFormat="false" ht="15" hidden="false" customHeight="false" outlineLevel="0" collapsed="false">
      <c r="A1038" s="2" t="s">
        <v>118</v>
      </c>
      <c r="B1038" s="2" t="n">
        <v>5</v>
      </c>
      <c r="C1038" s="2" t="s">
        <v>77</v>
      </c>
      <c r="D1038" s="2" t="s">
        <v>38</v>
      </c>
      <c r="E1038" s="2" t="str">
        <f aca="false">INDEX(Products!$B$2:$B$13,MATCH(D1038,Products!$A$2:$A$13,0))</f>
        <v>FCC</v>
      </c>
      <c r="F1038" s="15" t="n">
        <v>6.3</v>
      </c>
      <c r="G1038" s="16" t="n">
        <f aca="false">IF(A1038="2025",INDEX(Products!$C$2:$C$13,MATCH(D1038,Products!$A$2:$A$13,0)),INDEX(Products!$E$2:$E$13,MATCH(D1038,Products!$A$2:$A$13,0)))</f>
        <v>4360</v>
      </c>
      <c r="H1038" s="13" t="n">
        <f aca="false">IF(A1038="2025",INDEX(Customers!$D$2:$D$41,MATCH(C1038,Customers!$A$2:$A$41,0)),INDEX(Customers!$F$2:$F$41,MATCH(C1038,Customers!$A$2:$A$41,0)))</f>
        <v>0.037</v>
      </c>
      <c r="I1038" s="16" t="n">
        <f aca="false">F1038*G1038</f>
        <v>27468</v>
      </c>
      <c r="J1038" s="16" t="n">
        <f aca="false">I1038*(1-H1038)</f>
        <v>26451.684</v>
      </c>
      <c r="K1038" s="16" t="n">
        <f aca="false">J1038*INDEX(Customers!$G$2:$G$41,MATCH(C1038,Customers!$A$2:$A$41,0))</f>
        <v>529.03368</v>
      </c>
      <c r="L1038" s="16" t="n">
        <f aca="false">F1038*INDEX(Customers!$H$2:$H$41,MATCH(C1038,Customers!$A$2:$A$41,0))</f>
        <v>1827</v>
      </c>
      <c r="M1038" s="16" t="n">
        <f aca="false">J1038*INDEX(Customers!$I$2:$I$41,MATCH(C1038,Customers!$A$2:$A$41,0))/365*Assumptions!$B$6</f>
        <v>347.857762191781</v>
      </c>
      <c r="N1038" s="16" t="n">
        <f aca="false">J1038-K1038-L1038-M1038</f>
        <v>23747.7925578082</v>
      </c>
      <c r="O1038" s="16" t="n">
        <f aca="false">F1038*IF(A1038="2025",INDEX(Products!$D$2:$D$13,MATCH(D1038,Products!$A$2:$A$13,0)),INDEX(Products!$F$2:$F$13,MATCH(D1038,Products!$A$2:$A$13,0)))</f>
        <v>17451</v>
      </c>
      <c r="P1038" s="16" t="n">
        <f aca="false">N1038-O1038</f>
        <v>6296.79255780822</v>
      </c>
    </row>
    <row r="1039" customFormat="false" ht="15" hidden="false" customHeight="false" outlineLevel="0" collapsed="false">
      <c r="A1039" s="2" t="s">
        <v>118</v>
      </c>
      <c r="B1039" s="2" t="n">
        <v>6</v>
      </c>
      <c r="C1039" s="2" t="s">
        <v>77</v>
      </c>
      <c r="D1039" s="2" t="s">
        <v>38</v>
      </c>
      <c r="E1039" s="2" t="str">
        <f aca="false">INDEX(Products!$B$2:$B$13,MATCH(D1039,Products!$A$2:$A$13,0))</f>
        <v>FCC</v>
      </c>
      <c r="F1039" s="15" t="n">
        <v>8.1</v>
      </c>
      <c r="G1039" s="16" t="n">
        <f aca="false">IF(A1039="2025",INDEX(Products!$C$2:$C$13,MATCH(D1039,Products!$A$2:$A$13,0)),INDEX(Products!$E$2:$E$13,MATCH(D1039,Products!$A$2:$A$13,0)))</f>
        <v>4360</v>
      </c>
      <c r="H1039" s="13" t="n">
        <f aca="false">IF(A1039="2025",INDEX(Customers!$D$2:$D$41,MATCH(C1039,Customers!$A$2:$A$41,0)),INDEX(Customers!$F$2:$F$41,MATCH(C1039,Customers!$A$2:$A$41,0)))</f>
        <v>0.037</v>
      </c>
      <c r="I1039" s="16" t="n">
        <f aca="false">F1039*G1039</f>
        <v>35316</v>
      </c>
      <c r="J1039" s="16" t="n">
        <f aca="false">I1039*(1-H1039)</f>
        <v>34009.308</v>
      </c>
      <c r="K1039" s="16" t="n">
        <f aca="false">J1039*INDEX(Customers!$G$2:$G$41,MATCH(C1039,Customers!$A$2:$A$41,0))</f>
        <v>680.18616</v>
      </c>
      <c r="L1039" s="16" t="n">
        <f aca="false">F1039*INDEX(Customers!$H$2:$H$41,MATCH(C1039,Customers!$A$2:$A$41,0))</f>
        <v>2349</v>
      </c>
      <c r="M1039" s="16" t="n">
        <f aca="false">J1039*INDEX(Customers!$I$2:$I$41,MATCH(C1039,Customers!$A$2:$A$41,0))/365*Assumptions!$B$6</f>
        <v>447.245694246575</v>
      </c>
      <c r="N1039" s="16" t="n">
        <f aca="false">J1039-K1039-L1039-M1039</f>
        <v>30532.8761457534</v>
      </c>
      <c r="O1039" s="16" t="n">
        <f aca="false">F1039*IF(A1039="2025",INDEX(Products!$D$2:$D$13,MATCH(D1039,Products!$A$2:$A$13,0)),INDEX(Products!$F$2:$F$13,MATCH(D1039,Products!$A$2:$A$13,0)))</f>
        <v>22437</v>
      </c>
      <c r="P1039" s="16" t="n">
        <f aca="false">N1039-O1039</f>
        <v>8095.87614575342</v>
      </c>
    </row>
    <row r="1040" customFormat="false" ht="15" hidden="false" customHeight="false" outlineLevel="0" collapsed="false">
      <c r="A1040" s="2" t="s">
        <v>118</v>
      </c>
      <c r="B1040" s="2" t="n">
        <v>7</v>
      </c>
      <c r="C1040" s="2" t="s">
        <v>77</v>
      </c>
      <c r="D1040" s="2" t="s">
        <v>38</v>
      </c>
      <c r="E1040" s="2" t="str">
        <f aca="false">INDEX(Products!$B$2:$B$13,MATCH(D1040,Products!$A$2:$A$13,0))</f>
        <v>FCC</v>
      </c>
      <c r="F1040" s="15" t="n">
        <v>6.8</v>
      </c>
      <c r="G1040" s="16" t="n">
        <f aca="false">IF(A1040="2025",INDEX(Products!$C$2:$C$13,MATCH(D1040,Products!$A$2:$A$13,0)),INDEX(Products!$E$2:$E$13,MATCH(D1040,Products!$A$2:$A$13,0)))</f>
        <v>4360</v>
      </c>
      <c r="H1040" s="13" t="n">
        <f aca="false">IF(A1040="2025",INDEX(Customers!$D$2:$D$41,MATCH(C1040,Customers!$A$2:$A$41,0)),INDEX(Customers!$F$2:$F$41,MATCH(C1040,Customers!$A$2:$A$41,0)))</f>
        <v>0.037</v>
      </c>
      <c r="I1040" s="16" t="n">
        <f aca="false">F1040*G1040</f>
        <v>29648</v>
      </c>
      <c r="J1040" s="16" t="n">
        <f aca="false">I1040*(1-H1040)</f>
        <v>28551.024</v>
      </c>
      <c r="K1040" s="16" t="n">
        <f aca="false">J1040*INDEX(Customers!$G$2:$G$41,MATCH(C1040,Customers!$A$2:$A$41,0))</f>
        <v>571.02048</v>
      </c>
      <c r="L1040" s="16" t="n">
        <f aca="false">F1040*INDEX(Customers!$H$2:$H$41,MATCH(C1040,Customers!$A$2:$A$41,0))</f>
        <v>1972</v>
      </c>
      <c r="M1040" s="16" t="n">
        <f aca="false">J1040*INDEX(Customers!$I$2:$I$41,MATCH(C1040,Customers!$A$2:$A$41,0))/365*Assumptions!$B$6</f>
        <v>375.46552109589</v>
      </c>
      <c r="N1040" s="16" t="n">
        <f aca="false">J1040-K1040-L1040-M1040</f>
        <v>25632.5379989041</v>
      </c>
      <c r="O1040" s="16" t="n">
        <f aca="false">F1040*IF(A1040="2025",INDEX(Products!$D$2:$D$13,MATCH(D1040,Products!$A$2:$A$13,0)),INDEX(Products!$F$2:$F$13,MATCH(D1040,Products!$A$2:$A$13,0)))</f>
        <v>18836</v>
      </c>
      <c r="P1040" s="16" t="n">
        <f aca="false">N1040-O1040</f>
        <v>6796.53799890411</v>
      </c>
    </row>
    <row r="1041" customFormat="false" ht="15" hidden="false" customHeight="false" outlineLevel="0" collapsed="false">
      <c r="A1041" s="2" t="s">
        <v>118</v>
      </c>
      <c r="B1041" s="2" t="n">
        <v>8</v>
      </c>
      <c r="C1041" s="2" t="s">
        <v>77</v>
      </c>
      <c r="D1041" s="2" t="s">
        <v>38</v>
      </c>
      <c r="E1041" s="2" t="str">
        <f aca="false">INDEX(Products!$B$2:$B$13,MATCH(D1041,Products!$A$2:$A$13,0))</f>
        <v>FCC</v>
      </c>
      <c r="F1041" s="15" t="n">
        <v>6.2</v>
      </c>
      <c r="G1041" s="16" t="n">
        <f aca="false">IF(A1041="2025",INDEX(Products!$C$2:$C$13,MATCH(D1041,Products!$A$2:$A$13,0)),INDEX(Products!$E$2:$E$13,MATCH(D1041,Products!$A$2:$A$13,0)))</f>
        <v>4360</v>
      </c>
      <c r="H1041" s="13" t="n">
        <f aca="false">IF(A1041="2025",INDEX(Customers!$D$2:$D$41,MATCH(C1041,Customers!$A$2:$A$41,0)),INDEX(Customers!$F$2:$F$41,MATCH(C1041,Customers!$A$2:$A$41,0)))</f>
        <v>0.037</v>
      </c>
      <c r="I1041" s="16" t="n">
        <f aca="false">F1041*G1041</f>
        <v>27032</v>
      </c>
      <c r="J1041" s="16" t="n">
        <f aca="false">I1041*(1-H1041)</f>
        <v>26031.816</v>
      </c>
      <c r="K1041" s="16" t="n">
        <f aca="false">J1041*INDEX(Customers!$G$2:$G$41,MATCH(C1041,Customers!$A$2:$A$41,0))</f>
        <v>520.63632</v>
      </c>
      <c r="L1041" s="16" t="n">
        <f aca="false">F1041*INDEX(Customers!$H$2:$H$41,MATCH(C1041,Customers!$A$2:$A$41,0))</f>
        <v>1798</v>
      </c>
      <c r="M1041" s="16" t="n">
        <f aca="false">J1041*INDEX(Customers!$I$2:$I$41,MATCH(C1041,Customers!$A$2:$A$41,0))/365*Assumptions!$B$6</f>
        <v>342.336210410959</v>
      </c>
      <c r="N1041" s="16" t="n">
        <f aca="false">J1041-K1041-L1041-M1041</f>
        <v>23370.843469589</v>
      </c>
      <c r="O1041" s="16" t="n">
        <f aca="false">F1041*IF(A1041="2025",INDEX(Products!$D$2:$D$13,MATCH(D1041,Products!$A$2:$A$13,0)),INDEX(Products!$F$2:$F$13,MATCH(D1041,Products!$A$2:$A$13,0)))</f>
        <v>17174</v>
      </c>
      <c r="P1041" s="16" t="n">
        <f aca="false">N1041-O1041</f>
        <v>6196.84346958904</v>
      </c>
    </row>
    <row r="1042" customFormat="false" ht="15" hidden="false" customHeight="false" outlineLevel="0" collapsed="false">
      <c r="A1042" s="2" t="s">
        <v>118</v>
      </c>
      <c r="B1042" s="2" t="n">
        <v>9</v>
      </c>
      <c r="C1042" s="2" t="s">
        <v>77</v>
      </c>
      <c r="D1042" s="2" t="s">
        <v>38</v>
      </c>
      <c r="E1042" s="2" t="str">
        <f aca="false">INDEX(Products!$B$2:$B$13,MATCH(D1042,Products!$A$2:$A$13,0))</f>
        <v>FCC</v>
      </c>
      <c r="F1042" s="15" t="n">
        <v>6.5</v>
      </c>
      <c r="G1042" s="16" t="n">
        <f aca="false">IF(A1042="2025",INDEX(Products!$C$2:$C$13,MATCH(D1042,Products!$A$2:$A$13,0)),INDEX(Products!$E$2:$E$13,MATCH(D1042,Products!$A$2:$A$13,0)))</f>
        <v>4360</v>
      </c>
      <c r="H1042" s="13" t="n">
        <f aca="false">IF(A1042="2025",INDEX(Customers!$D$2:$D$41,MATCH(C1042,Customers!$A$2:$A$41,0)),INDEX(Customers!$F$2:$F$41,MATCH(C1042,Customers!$A$2:$A$41,0)))</f>
        <v>0.037</v>
      </c>
      <c r="I1042" s="16" t="n">
        <f aca="false">F1042*G1042</f>
        <v>28340</v>
      </c>
      <c r="J1042" s="16" t="n">
        <f aca="false">I1042*(1-H1042)</f>
        <v>27291.42</v>
      </c>
      <c r="K1042" s="16" t="n">
        <f aca="false">J1042*INDEX(Customers!$G$2:$G$41,MATCH(C1042,Customers!$A$2:$A$41,0))</f>
        <v>545.8284</v>
      </c>
      <c r="L1042" s="16" t="n">
        <f aca="false">F1042*INDEX(Customers!$H$2:$H$41,MATCH(C1042,Customers!$A$2:$A$41,0))</f>
        <v>1885</v>
      </c>
      <c r="M1042" s="16" t="n">
        <f aca="false">J1042*INDEX(Customers!$I$2:$I$41,MATCH(C1042,Customers!$A$2:$A$41,0))/365*Assumptions!$B$6</f>
        <v>358.900865753425</v>
      </c>
      <c r="N1042" s="16" t="n">
        <f aca="false">J1042-K1042-L1042-M1042</f>
        <v>24501.6907342466</v>
      </c>
      <c r="O1042" s="16" t="n">
        <f aca="false">F1042*IF(A1042="2025",INDEX(Products!$D$2:$D$13,MATCH(D1042,Products!$A$2:$A$13,0)),INDEX(Products!$F$2:$F$13,MATCH(D1042,Products!$A$2:$A$13,0)))</f>
        <v>18005</v>
      </c>
      <c r="P1042" s="16" t="n">
        <f aca="false">N1042-O1042</f>
        <v>6496.69073424658</v>
      </c>
    </row>
    <row r="1043" customFormat="false" ht="15" hidden="false" customHeight="false" outlineLevel="0" collapsed="false">
      <c r="A1043" s="2" t="s">
        <v>118</v>
      </c>
      <c r="B1043" s="2" t="n">
        <v>10</v>
      </c>
      <c r="C1043" s="2" t="s">
        <v>77</v>
      </c>
      <c r="D1043" s="2" t="s">
        <v>38</v>
      </c>
      <c r="E1043" s="2" t="str">
        <f aca="false">INDEX(Products!$B$2:$B$13,MATCH(D1043,Products!$A$2:$A$13,0))</f>
        <v>FCC</v>
      </c>
      <c r="F1043" s="15" t="n">
        <v>6.4</v>
      </c>
      <c r="G1043" s="16" t="n">
        <f aca="false">IF(A1043="2025",INDEX(Products!$C$2:$C$13,MATCH(D1043,Products!$A$2:$A$13,0)),INDEX(Products!$E$2:$E$13,MATCH(D1043,Products!$A$2:$A$13,0)))</f>
        <v>4360</v>
      </c>
      <c r="H1043" s="13" t="n">
        <f aca="false">IF(A1043="2025",INDEX(Customers!$D$2:$D$41,MATCH(C1043,Customers!$A$2:$A$41,0)),INDEX(Customers!$F$2:$F$41,MATCH(C1043,Customers!$A$2:$A$41,0)))</f>
        <v>0.037</v>
      </c>
      <c r="I1043" s="16" t="n">
        <f aca="false">F1043*G1043</f>
        <v>27904</v>
      </c>
      <c r="J1043" s="16" t="n">
        <f aca="false">I1043*(1-H1043)</f>
        <v>26871.552</v>
      </c>
      <c r="K1043" s="16" t="n">
        <f aca="false">J1043*INDEX(Customers!$G$2:$G$41,MATCH(C1043,Customers!$A$2:$A$41,0))</f>
        <v>537.43104</v>
      </c>
      <c r="L1043" s="16" t="n">
        <f aca="false">F1043*INDEX(Customers!$H$2:$H$41,MATCH(C1043,Customers!$A$2:$A$41,0))</f>
        <v>1856</v>
      </c>
      <c r="M1043" s="16" t="n">
        <f aca="false">J1043*INDEX(Customers!$I$2:$I$41,MATCH(C1043,Customers!$A$2:$A$41,0))/365*Assumptions!$B$6</f>
        <v>353.379313972603</v>
      </c>
      <c r="N1043" s="16" t="n">
        <f aca="false">J1043-K1043-L1043-M1043</f>
        <v>24124.7416460274</v>
      </c>
      <c r="O1043" s="16" t="n">
        <f aca="false">F1043*IF(A1043="2025",INDEX(Products!$D$2:$D$13,MATCH(D1043,Products!$A$2:$A$13,0)),INDEX(Products!$F$2:$F$13,MATCH(D1043,Products!$A$2:$A$13,0)))</f>
        <v>17728</v>
      </c>
      <c r="P1043" s="16" t="n">
        <f aca="false">N1043-O1043</f>
        <v>6396.7416460274</v>
      </c>
    </row>
    <row r="1044" customFormat="false" ht="15" hidden="false" customHeight="false" outlineLevel="0" collapsed="false">
      <c r="A1044" s="2" t="s">
        <v>118</v>
      </c>
      <c r="B1044" s="2" t="n">
        <v>11</v>
      </c>
      <c r="C1044" s="2" t="s">
        <v>77</v>
      </c>
      <c r="D1044" s="2" t="s">
        <v>38</v>
      </c>
      <c r="E1044" s="2" t="str">
        <f aca="false">INDEX(Products!$B$2:$B$13,MATCH(D1044,Products!$A$2:$A$13,0))</f>
        <v>FCC</v>
      </c>
      <c r="F1044" s="15" t="n">
        <v>10.6</v>
      </c>
      <c r="G1044" s="16" t="n">
        <f aca="false">IF(A1044="2025",INDEX(Products!$C$2:$C$13,MATCH(D1044,Products!$A$2:$A$13,0)),INDEX(Products!$E$2:$E$13,MATCH(D1044,Products!$A$2:$A$13,0)))</f>
        <v>4360</v>
      </c>
      <c r="H1044" s="13" t="n">
        <f aca="false">IF(A1044="2025",INDEX(Customers!$D$2:$D$41,MATCH(C1044,Customers!$A$2:$A$41,0)),INDEX(Customers!$F$2:$F$41,MATCH(C1044,Customers!$A$2:$A$41,0)))</f>
        <v>0.037</v>
      </c>
      <c r="I1044" s="16" t="n">
        <f aca="false">F1044*G1044</f>
        <v>46216</v>
      </c>
      <c r="J1044" s="16" t="n">
        <f aca="false">I1044*(1-H1044)</f>
        <v>44506.008</v>
      </c>
      <c r="K1044" s="16" t="n">
        <f aca="false">J1044*INDEX(Customers!$G$2:$G$41,MATCH(C1044,Customers!$A$2:$A$41,0))</f>
        <v>890.12016</v>
      </c>
      <c r="L1044" s="16" t="n">
        <f aca="false">F1044*INDEX(Customers!$H$2:$H$41,MATCH(C1044,Customers!$A$2:$A$41,0))</f>
        <v>3074</v>
      </c>
      <c r="M1044" s="16" t="n">
        <f aca="false">J1044*INDEX(Customers!$I$2:$I$41,MATCH(C1044,Customers!$A$2:$A$41,0))/365*Assumptions!$B$6</f>
        <v>585.284488767123</v>
      </c>
      <c r="N1044" s="16" t="n">
        <f aca="false">J1044-K1044-L1044-M1044</f>
        <v>39956.6033512329</v>
      </c>
      <c r="O1044" s="16" t="n">
        <f aca="false">F1044*IF(A1044="2025",INDEX(Products!$D$2:$D$13,MATCH(D1044,Products!$A$2:$A$13,0)),INDEX(Products!$F$2:$F$13,MATCH(D1044,Products!$A$2:$A$13,0)))</f>
        <v>29362</v>
      </c>
      <c r="P1044" s="16" t="n">
        <f aca="false">N1044-O1044</f>
        <v>10594.6033512329</v>
      </c>
    </row>
    <row r="1045" customFormat="false" ht="15" hidden="false" customHeight="false" outlineLevel="0" collapsed="false">
      <c r="A1045" s="2" t="s">
        <v>118</v>
      </c>
      <c r="B1045" s="2" t="n">
        <v>12</v>
      </c>
      <c r="C1045" s="2" t="s">
        <v>77</v>
      </c>
      <c r="D1045" s="2" t="s">
        <v>38</v>
      </c>
      <c r="E1045" s="2" t="str">
        <f aca="false">INDEX(Products!$B$2:$B$13,MATCH(D1045,Products!$A$2:$A$13,0))</f>
        <v>FCC</v>
      </c>
      <c r="F1045" s="15" t="n">
        <v>9.3</v>
      </c>
      <c r="G1045" s="16" t="n">
        <f aca="false">IF(A1045="2025",INDEX(Products!$C$2:$C$13,MATCH(D1045,Products!$A$2:$A$13,0)),INDEX(Products!$E$2:$E$13,MATCH(D1045,Products!$A$2:$A$13,0)))</f>
        <v>4360</v>
      </c>
      <c r="H1045" s="13" t="n">
        <f aca="false">IF(A1045="2025",INDEX(Customers!$D$2:$D$41,MATCH(C1045,Customers!$A$2:$A$41,0)),INDEX(Customers!$F$2:$F$41,MATCH(C1045,Customers!$A$2:$A$41,0)))</f>
        <v>0.037</v>
      </c>
      <c r="I1045" s="16" t="n">
        <f aca="false">F1045*G1045</f>
        <v>40548</v>
      </c>
      <c r="J1045" s="16" t="n">
        <f aca="false">I1045*(1-H1045)</f>
        <v>39047.724</v>
      </c>
      <c r="K1045" s="16" t="n">
        <f aca="false">J1045*INDEX(Customers!$G$2:$G$41,MATCH(C1045,Customers!$A$2:$A$41,0))</f>
        <v>780.95448</v>
      </c>
      <c r="L1045" s="16" t="n">
        <f aca="false">F1045*INDEX(Customers!$H$2:$H$41,MATCH(C1045,Customers!$A$2:$A$41,0))</f>
        <v>2697</v>
      </c>
      <c r="M1045" s="16" t="n">
        <f aca="false">J1045*INDEX(Customers!$I$2:$I$41,MATCH(C1045,Customers!$A$2:$A$41,0))/365*Assumptions!$B$6</f>
        <v>513.504315616438</v>
      </c>
      <c r="N1045" s="16" t="n">
        <f aca="false">J1045-K1045-L1045-M1045</f>
        <v>35056.2652043836</v>
      </c>
      <c r="O1045" s="16" t="n">
        <f aca="false">F1045*IF(A1045="2025",INDEX(Products!$D$2:$D$13,MATCH(D1045,Products!$A$2:$A$13,0)),INDEX(Products!$F$2:$F$13,MATCH(D1045,Products!$A$2:$A$13,0)))</f>
        <v>25761</v>
      </c>
      <c r="P1045" s="16" t="n">
        <f aca="false">N1045-O1045</f>
        <v>9295.26520438356</v>
      </c>
    </row>
    <row r="1046" customFormat="false" ht="15" hidden="false" customHeight="false" outlineLevel="0" collapsed="false">
      <c r="A1046" s="2" t="s">
        <v>119</v>
      </c>
      <c r="B1046" s="2" t="n">
        <v>1</v>
      </c>
      <c r="C1046" s="2" t="s">
        <v>77</v>
      </c>
      <c r="D1046" s="2" t="s">
        <v>38</v>
      </c>
      <c r="E1046" s="2" t="str">
        <f aca="false">INDEX(Products!$B$2:$B$13,MATCH(D1046,Products!$A$2:$A$13,0))</f>
        <v>FCC</v>
      </c>
      <c r="F1046" s="15" t="n">
        <v>7.9</v>
      </c>
      <c r="G1046" s="16" t="n">
        <f aca="false">IF(A1046="2025",INDEX(Products!$C$2:$C$13,MATCH(D1046,Products!$A$2:$A$13,0)),INDEX(Products!$E$2:$E$13,MATCH(D1046,Products!$A$2:$A$13,0)))</f>
        <v>4578</v>
      </c>
      <c r="H1046" s="13" t="n">
        <f aca="false">IF(A1046="2025",INDEX(Customers!$D$2:$D$41,MATCH(C1046,Customers!$A$2:$A$41,0)),INDEX(Customers!$F$2:$F$41,MATCH(C1046,Customers!$A$2:$A$41,0)))</f>
        <v>0.088</v>
      </c>
      <c r="I1046" s="16" t="n">
        <f aca="false">F1046*G1046</f>
        <v>36166.2</v>
      </c>
      <c r="J1046" s="16" t="n">
        <f aca="false">I1046*(1-H1046)</f>
        <v>32983.5744</v>
      </c>
      <c r="K1046" s="16" t="n">
        <f aca="false">J1046*INDEX(Customers!$G$2:$G$41,MATCH(C1046,Customers!$A$2:$A$41,0))</f>
        <v>659.671488</v>
      </c>
      <c r="L1046" s="16" t="n">
        <f aca="false">F1046*INDEX(Customers!$H$2:$H$41,MATCH(C1046,Customers!$A$2:$A$41,0))</f>
        <v>2291</v>
      </c>
      <c r="M1046" s="16" t="n">
        <f aca="false">J1046*INDEX(Customers!$I$2:$I$41,MATCH(C1046,Customers!$A$2:$A$41,0))/365*Assumptions!$B$6</f>
        <v>433.756594849315</v>
      </c>
      <c r="N1046" s="16" t="n">
        <f aca="false">J1046-K1046-L1046-M1046</f>
        <v>29599.1463171507</v>
      </c>
      <c r="O1046" s="16" t="n">
        <f aca="false">F1046*IF(A1046="2025",INDEX(Products!$D$2:$D$13,MATCH(D1046,Products!$A$2:$A$13,0)),INDEX(Products!$F$2:$F$13,MATCH(D1046,Products!$A$2:$A$13,0)))</f>
        <v>22539.49</v>
      </c>
      <c r="P1046" s="16" t="n">
        <f aca="false">N1046-O1046</f>
        <v>7059.65631715069</v>
      </c>
    </row>
    <row r="1047" customFormat="false" ht="15" hidden="false" customHeight="false" outlineLevel="0" collapsed="false">
      <c r="A1047" s="2" t="s">
        <v>119</v>
      </c>
      <c r="B1047" s="2" t="n">
        <v>2</v>
      </c>
      <c r="C1047" s="2" t="s">
        <v>77</v>
      </c>
      <c r="D1047" s="2" t="s">
        <v>38</v>
      </c>
      <c r="E1047" s="2" t="str">
        <f aca="false">INDEX(Products!$B$2:$B$13,MATCH(D1047,Products!$A$2:$A$13,0))</f>
        <v>FCC</v>
      </c>
      <c r="F1047" s="15" t="n">
        <v>9.4</v>
      </c>
      <c r="G1047" s="16" t="n">
        <f aca="false">IF(A1047="2025",INDEX(Products!$C$2:$C$13,MATCH(D1047,Products!$A$2:$A$13,0)),INDEX(Products!$E$2:$E$13,MATCH(D1047,Products!$A$2:$A$13,0)))</f>
        <v>4578</v>
      </c>
      <c r="H1047" s="13" t="n">
        <f aca="false">IF(A1047="2025",INDEX(Customers!$D$2:$D$41,MATCH(C1047,Customers!$A$2:$A$41,0)),INDEX(Customers!$F$2:$F$41,MATCH(C1047,Customers!$A$2:$A$41,0)))</f>
        <v>0.088</v>
      </c>
      <c r="I1047" s="16" t="n">
        <f aca="false">F1047*G1047</f>
        <v>43033.2</v>
      </c>
      <c r="J1047" s="16" t="n">
        <f aca="false">I1047*(1-H1047)</f>
        <v>39246.2784</v>
      </c>
      <c r="K1047" s="16" t="n">
        <f aca="false">J1047*INDEX(Customers!$G$2:$G$41,MATCH(C1047,Customers!$A$2:$A$41,0))</f>
        <v>784.925568</v>
      </c>
      <c r="L1047" s="16" t="n">
        <f aca="false">F1047*INDEX(Customers!$H$2:$H$41,MATCH(C1047,Customers!$A$2:$A$41,0))</f>
        <v>2726</v>
      </c>
      <c r="M1047" s="16" t="n">
        <f aca="false">J1047*INDEX(Customers!$I$2:$I$41,MATCH(C1047,Customers!$A$2:$A$41,0))/365*Assumptions!$B$6</f>
        <v>516.115441972603</v>
      </c>
      <c r="N1047" s="16" t="n">
        <f aca="false">J1047-K1047-L1047-M1047</f>
        <v>35219.2373900274</v>
      </c>
      <c r="O1047" s="16" t="n">
        <f aca="false">F1047*IF(A1047="2025",INDEX(Products!$D$2:$D$13,MATCH(D1047,Products!$A$2:$A$13,0)),INDEX(Products!$F$2:$F$13,MATCH(D1047,Products!$A$2:$A$13,0)))</f>
        <v>26819.14</v>
      </c>
      <c r="P1047" s="16" t="n">
        <f aca="false">N1047-O1047</f>
        <v>8400.0973900274</v>
      </c>
    </row>
    <row r="1048" customFormat="false" ht="15" hidden="false" customHeight="false" outlineLevel="0" collapsed="false">
      <c r="A1048" s="2" t="s">
        <v>119</v>
      </c>
      <c r="B1048" s="2" t="n">
        <v>3</v>
      </c>
      <c r="C1048" s="2" t="s">
        <v>77</v>
      </c>
      <c r="D1048" s="2" t="s">
        <v>38</v>
      </c>
      <c r="E1048" s="2" t="str">
        <f aca="false">INDEX(Products!$B$2:$B$13,MATCH(D1048,Products!$A$2:$A$13,0))</f>
        <v>FCC</v>
      </c>
      <c r="F1048" s="15" t="n">
        <v>7.5</v>
      </c>
      <c r="G1048" s="16" t="n">
        <f aca="false">IF(A1048="2025",INDEX(Products!$C$2:$C$13,MATCH(D1048,Products!$A$2:$A$13,0)),INDEX(Products!$E$2:$E$13,MATCH(D1048,Products!$A$2:$A$13,0)))</f>
        <v>4578</v>
      </c>
      <c r="H1048" s="13" t="n">
        <f aca="false">IF(A1048="2025",INDEX(Customers!$D$2:$D$41,MATCH(C1048,Customers!$A$2:$A$41,0)),INDEX(Customers!$F$2:$F$41,MATCH(C1048,Customers!$A$2:$A$41,0)))</f>
        <v>0.088</v>
      </c>
      <c r="I1048" s="16" t="n">
        <f aca="false">F1048*G1048</f>
        <v>34335</v>
      </c>
      <c r="J1048" s="16" t="n">
        <f aca="false">I1048*(1-H1048)</f>
        <v>31313.52</v>
      </c>
      <c r="K1048" s="16" t="n">
        <f aca="false">J1048*INDEX(Customers!$G$2:$G$41,MATCH(C1048,Customers!$A$2:$A$41,0))</f>
        <v>626.2704</v>
      </c>
      <c r="L1048" s="16" t="n">
        <f aca="false">F1048*INDEX(Customers!$H$2:$H$41,MATCH(C1048,Customers!$A$2:$A$41,0))</f>
        <v>2175</v>
      </c>
      <c r="M1048" s="16" t="n">
        <f aca="false">J1048*INDEX(Customers!$I$2:$I$41,MATCH(C1048,Customers!$A$2:$A$41,0))/365*Assumptions!$B$6</f>
        <v>411.794235616438</v>
      </c>
      <c r="N1048" s="16" t="n">
        <f aca="false">J1048-K1048-L1048-M1048</f>
        <v>28100.4553643836</v>
      </c>
      <c r="O1048" s="16" t="n">
        <f aca="false">F1048*IF(A1048="2025",INDEX(Products!$D$2:$D$13,MATCH(D1048,Products!$A$2:$A$13,0)),INDEX(Products!$F$2:$F$13,MATCH(D1048,Products!$A$2:$A$13,0)))</f>
        <v>21398.25</v>
      </c>
      <c r="P1048" s="16" t="n">
        <f aca="false">N1048-O1048</f>
        <v>6702.20536438356</v>
      </c>
    </row>
    <row r="1049" customFormat="false" ht="15" hidden="false" customHeight="false" outlineLevel="0" collapsed="false">
      <c r="A1049" s="2" t="s">
        <v>119</v>
      </c>
      <c r="B1049" s="2" t="n">
        <v>4</v>
      </c>
      <c r="C1049" s="2" t="s">
        <v>77</v>
      </c>
      <c r="D1049" s="2" t="s">
        <v>38</v>
      </c>
      <c r="E1049" s="2" t="str">
        <f aca="false">INDEX(Products!$B$2:$B$13,MATCH(D1049,Products!$A$2:$A$13,0))</f>
        <v>FCC</v>
      </c>
      <c r="F1049" s="15" t="n">
        <v>9.2</v>
      </c>
      <c r="G1049" s="16" t="n">
        <f aca="false">IF(A1049="2025",INDEX(Products!$C$2:$C$13,MATCH(D1049,Products!$A$2:$A$13,0)),INDEX(Products!$E$2:$E$13,MATCH(D1049,Products!$A$2:$A$13,0)))</f>
        <v>4578</v>
      </c>
      <c r="H1049" s="13" t="n">
        <f aca="false">IF(A1049="2025",INDEX(Customers!$D$2:$D$41,MATCH(C1049,Customers!$A$2:$A$41,0)),INDEX(Customers!$F$2:$F$41,MATCH(C1049,Customers!$A$2:$A$41,0)))</f>
        <v>0.088</v>
      </c>
      <c r="I1049" s="16" t="n">
        <f aca="false">F1049*G1049</f>
        <v>42117.6</v>
      </c>
      <c r="J1049" s="16" t="n">
        <f aca="false">I1049*(1-H1049)</f>
        <v>38411.2512</v>
      </c>
      <c r="K1049" s="16" t="n">
        <f aca="false">J1049*INDEX(Customers!$G$2:$G$41,MATCH(C1049,Customers!$A$2:$A$41,0))</f>
        <v>768.225024</v>
      </c>
      <c r="L1049" s="16" t="n">
        <f aca="false">F1049*INDEX(Customers!$H$2:$H$41,MATCH(C1049,Customers!$A$2:$A$41,0))</f>
        <v>2668</v>
      </c>
      <c r="M1049" s="16" t="n">
        <f aca="false">J1049*INDEX(Customers!$I$2:$I$41,MATCH(C1049,Customers!$A$2:$A$41,0))/365*Assumptions!$B$6</f>
        <v>505.134262356164</v>
      </c>
      <c r="N1049" s="16" t="n">
        <f aca="false">J1049-K1049-L1049-M1049</f>
        <v>34469.8919136438</v>
      </c>
      <c r="O1049" s="16" t="n">
        <f aca="false">F1049*IF(A1049="2025",INDEX(Products!$D$2:$D$13,MATCH(D1049,Products!$A$2:$A$13,0)),INDEX(Products!$F$2:$F$13,MATCH(D1049,Products!$A$2:$A$13,0)))</f>
        <v>26248.52</v>
      </c>
      <c r="P1049" s="16" t="n">
        <f aca="false">N1049-O1049</f>
        <v>8221.37191364384</v>
      </c>
    </row>
    <row r="1050" customFormat="false" ht="15" hidden="false" customHeight="false" outlineLevel="0" collapsed="false">
      <c r="A1050" s="2" t="s">
        <v>119</v>
      </c>
      <c r="B1050" s="2" t="n">
        <v>5</v>
      </c>
      <c r="C1050" s="2" t="s">
        <v>77</v>
      </c>
      <c r="D1050" s="2" t="s">
        <v>38</v>
      </c>
      <c r="E1050" s="2" t="str">
        <f aca="false">INDEX(Products!$B$2:$B$13,MATCH(D1050,Products!$A$2:$A$13,0))</f>
        <v>FCC</v>
      </c>
      <c r="F1050" s="15" t="n">
        <v>8</v>
      </c>
      <c r="G1050" s="16" t="n">
        <f aca="false">IF(A1050="2025",INDEX(Products!$C$2:$C$13,MATCH(D1050,Products!$A$2:$A$13,0)),INDEX(Products!$E$2:$E$13,MATCH(D1050,Products!$A$2:$A$13,0)))</f>
        <v>4578</v>
      </c>
      <c r="H1050" s="13" t="n">
        <f aca="false">IF(A1050="2025",INDEX(Customers!$D$2:$D$41,MATCH(C1050,Customers!$A$2:$A$41,0)),INDEX(Customers!$F$2:$F$41,MATCH(C1050,Customers!$A$2:$A$41,0)))</f>
        <v>0.088</v>
      </c>
      <c r="I1050" s="16" t="n">
        <f aca="false">F1050*G1050</f>
        <v>36624</v>
      </c>
      <c r="J1050" s="16" t="n">
        <f aca="false">I1050*(1-H1050)</f>
        <v>33401.088</v>
      </c>
      <c r="K1050" s="16" t="n">
        <f aca="false">J1050*INDEX(Customers!$G$2:$G$41,MATCH(C1050,Customers!$A$2:$A$41,0))</f>
        <v>668.02176</v>
      </c>
      <c r="L1050" s="16" t="n">
        <f aca="false">F1050*INDEX(Customers!$H$2:$H$41,MATCH(C1050,Customers!$A$2:$A$41,0))</f>
        <v>2320</v>
      </c>
      <c r="M1050" s="16" t="n">
        <f aca="false">J1050*INDEX(Customers!$I$2:$I$41,MATCH(C1050,Customers!$A$2:$A$41,0))/365*Assumptions!$B$6</f>
        <v>439.247184657534</v>
      </c>
      <c r="N1050" s="16" t="n">
        <f aca="false">J1050-K1050-L1050-M1050</f>
        <v>29973.8190553425</v>
      </c>
      <c r="O1050" s="16" t="n">
        <f aca="false">F1050*IF(A1050="2025",INDEX(Products!$D$2:$D$13,MATCH(D1050,Products!$A$2:$A$13,0)),INDEX(Products!$F$2:$F$13,MATCH(D1050,Products!$A$2:$A$13,0)))</f>
        <v>22824.8</v>
      </c>
      <c r="P1050" s="16" t="n">
        <f aca="false">N1050-O1050</f>
        <v>7149.01905534247</v>
      </c>
    </row>
    <row r="1051" customFormat="false" ht="15" hidden="false" customHeight="false" outlineLevel="0" collapsed="false">
      <c r="A1051" s="2" t="s">
        <v>119</v>
      </c>
      <c r="B1051" s="2" t="n">
        <v>6</v>
      </c>
      <c r="C1051" s="2" t="s">
        <v>77</v>
      </c>
      <c r="D1051" s="2" t="s">
        <v>38</v>
      </c>
      <c r="E1051" s="2" t="str">
        <f aca="false">INDEX(Products!$B$2:$B$13,MATCH(D1051,Products!$A$2:$A$13,0))</f>
        <v>FCC</v>
      </c>
      <c r="F1051" s="15" t="n">
        <v>7.1</v>
      </c>
      <c r="G1051" s="16" t="n">
        <f aca="false">IF(A1051="2025",INDEX(Products!$C$2:$C$13,MATCH(D1051,Products!$A$2:$A$13,0)),INDEX(Products!$E$2:$E$13,MATCH(D1051,Products!$A$2:$A$13,0)))</f>
        <v>4578</v>
      </c>
      <c r="H1051" s="13" t="n">
        <f aca="false">IF(A1051="2025",INDEX(Customers!$D$2:$D$41,MATCH(C1051,Customers!$A$2:$A$41,0)),INDEX(Customers!$F$2:$F$41,MATCH(C1051,Customers!$A$2:$A$41,0)))</f>
        <v>0.088</v>
      </c>
      <c r="I1051" s="16" t="n">
        <f aca="false">F1051*G1051</f>
        <v>32503.8</v>
      </c>
      <c r="J1051" s="16" t="n">
        <f aca="false">I1051*(1-H1051)</f>
        <v>29643.4656</v>
      </c>
      <c r="K1051" s="16" t="n">
        <f aca="false">J1051*INDEX(Customers!$G$2:$G$41,MATCH(C1051,Customers!$A$2:$A$41,0))</f>
        <v>592.869312</v>
      </c>
      <c r="L1051" s="16" t="n">
        <f aca="false">F1051*INDEX(Customers!$H$2:$H$41,MATCH(C1051,Customers!$A$2:$A$41,0))</f>
        <v>2059</v>
      </c>
      <c r="M1051" s="16" t="n">
        <f aca="false">J1051*INDEX(Customers!$I$2:$I$41,MATCH(C1051,Customers!$A$2:$A$41,0))/365*Assumptions!$B$6</f>
        <v>389.831876383562</v>
      </c>
      <c r="N1051" s="16" t="n">
        <f aca="false">J1051-K1051-L1051-M1051</f>
        <v>26601.7644116164</v>
      </c>
      <c r="O1051" s="16" t="n">
        <f aca="false">F1051*IF(A1051="2025",INDEX(Products!$D$2:$D$13,MATCH(D1051,Products!$A$2:$A$13,0)),INDEX(Products!$F$2:$F$13,MATCH(D1051,Products!$A$2:$A$13,0)))</f>
        <v>20257.01</v>
      </c>
      <c r="P1051" s="16" t="n">
        <f aca="false">N1051-O1051</f>
        <v>6344.75441161644</v>
      </c>
    </row>
    <row r="1052" customFormat="false" ht="15" hidden="false" customHeight="false" outlineLevel="0" collapsed="false">
      <c r="A1052" s="2" t="s">
        <v>119</v>
      </c>
      <c r="B1052" s="2" t="n">
        <v>7</v>
      </c>
      <c r="C1052" s="2" t="s">
        <v>77</v>
      </c>
      <c r="D1052" s="2" t="s">
        <v>38</v>
      </c>
      <c r="E1052" s="2" t="str">
        <f aca="false">INDEX(Products!$B$2:$B$13,MATCH(D1052,Products!$A$2:$A$13,0))</f>
        <v>FCC</v>
      </c>
      <c r="F1052" s="15" t="n">
        <v>8.2</v>
      </c>
      <c r="G1052" s="16" t="n">
        <f aca="false">IF(A1052="2025",INDEX(Products!$C$2:$C$13,MATCH(D1052,Products!$A$2:$A$13,0)),INDEX(Products!$E$2:$E$13,MATCH(D1052,Products!$A$2:$A$13,0)))</f>
        <v>4578</v>
      </c>
      <c r="H1052" s="13" t="n">
        <f aca="false">IF(A1052="2025",INDEX(Customers!$D$2:$D$41,MATCH(C1052,Customers!$A$2:$A$41,0)),INDEX(Customers!$F$2:$F$41,MATCH(C1052,Customers!$A$2:$A$41,0)))</f>
        <v>0.088</v>
      </c>
      <c r="I1052" s="16" t="n">
        <f aca="false">F1052*G1052</f>
        <v>37539.6</v>
      </c>
      <c r="J1052" s="16" t="n">
        <f aca="false">I1052*(1-H1052)</f>
        <v>34236.1152</v>
      </c>
      <c r="K1052" s="16" t="n">
        <f aca="false">J1052*INDEX(Customers!$G$2:$G$41,MATCH(C1052,Customers!$A$2:$A$41,0))</f>
        <v>684.722304</v>
      </c>
      <c r="L1052" s="16" t="n">
        <f aca="false">F1052*INDEX(Customers!$H$2:$H$41,MATCH(C1052,Customers!$A$2:$A$41,0))</f>
        <v>2378</v>
      </c>
      <c r="M1052" s="16" t="n">
        <f aca="false">J1052*INDEX(Customers!$I$2:$I$41,MATCH(C1052,Customers!$A$2:$A$41,0))/365*Assumptions!$B$6</f>
        <v>450.228364273973</v>
      </c>
      <c r="N1052" s="16" t="n">
        <f aca="false">J1052-K1052-L1052-M1052</f>
        <v>30723.164531726</v>
      </c>
      <c r="O1052" s="16" t="n">
        <f aca="false">F1052*IF(A1052="2025",INDEX(Products!$D$2:$D$13,MATCH(D1052,Products!$A$2:$A$13,0)),INDEX(Products!$F$2:$F$13,MATCH(D1052,Products!$A$2:$A$13,0)))</f>
        <v>23395.42</v>
      </c>
      <c r="P1052" s="16" t="n">
        <f aca="false">N1052-O1052</f>
        <v>7327.74453172603</v>
      </c>
    </row>
    <row r="1053" customFormat="false" ht="15" hidden="false" customHeight="false" outlineLevel="0" collapsed="false">
      <c r="A1053" s="2" t="s">
        <v>119</v>
      </c>
      <c r="B1053" s="2" t="n">
        <v>8</v>
      </c>
      <c r="C1053" s="2" t="s">
        <v>77</v>
      </c>
      <c r="D1053" s="2" t="s">
        <v>38</v>
      </c>
      <c r="E1053" s="2" t="str">
        <f aca="false">INDEX(Products!$B$2:$B$13,MATCH(D1053,Products!$A$2:$A$13,0))</f>
        <v>FCC</v>
      </c>
      <c r="F1053" s="15" t="n">
        <v>7</v>
      </c>
      <c r="G1053" s="16" t="n">
        <f aca="false">IF(A1053="2025",INDEX(Products!$C$2:$C$13,MATCH(D1053,Products!$A$2:$A$13,0)),INDEX(Products!$E$2:$E$13,MATCH(D1053,Products!$A$2:$A$13,0)))</f>
        <v>4578</v>
      </c>
      <c r="H1053" s="13" t="n">
        <f aca="false">IF(A1053="2025",INDEX(Customers!$D$2:$D$41,MATCH(C1053,Customers!$A$2:$A$41,0)),INDEX(Customers!$F$2:$F$41,MATCH(C1053,Customers!$A$2:$A$41,0)))</f>
        <v>0.088</v>
      </c>
      <c r="I1053" s="16" t="n">
        <f aca="false">F1053*G1053</f>
        <v>32046</v>
      </c>
      <c r="J1053" s="16" t="n">
        <f aca="false">I1053*(1-H1053)</f>
        <v>29225.952</v>
      </c>
      <c r="K1053" s="16" t="n">
        <f aca="false">J1053*INDEX(Customers!$G$2:$G$41,MATCH(C1053,Customers!$A$2:$A$41,0))</f>
        <v>584.51904</v>
      </c>
      <c r="L1053" s="16" t="n">
        <f aca="false">F1053*INDEX(Customers!$H$2:$H$41,MATCH(C1053,Customers!$A$2:$A$41,0))</f>
        <v>2030</v>
      </c>
      <c r="M1053" s="16" t="n">
        <f aca="false">J1053*INDEX(Customers!$I$2:$I$41,MATCH(C1053,Customers!$A$2:$A$41,0))/365*Assumptions!$B$6</f>
        <v>384.341286575342</v>
      </c>
      <c r="N1053" s="16" t="n">
        <f aca="false">J1053-K1053-L1053-M1053</f>
        <v>26227.0916734247</v>
      </c>
      <c r="O1053" s="16" t="n">
        <f aca="false">F1053*IF(A1053="2025",INDEX(Products!$D$2:$D$13,MATCH(D1053,Products!$A$2:$A$13,0)),INDEX(Products!$F$2:$F$13,MATCH(D1053,Products!$A$2:$A$13,0)))</f>
        <v>19971.7</v>
      </c>
      <c r="P1053" s="16" t="n">
        <f aca="false">N1053-O1053</f>
        <v>6255.39167342466</v>
      </c>
    </row>
    <row r="1054" customFormat="false" ht="15" hidden="false" customHeight="false" outlineLevel="0" collapsed="false">
      <c r="A1054" s="2" t="s">
        <v>119</v>
      </c>
      <c r="B1054" s="2" t="n">
        <v>9</v>
      </c>
      <c r="C1054" s="2" t="s">
        <v>77</v>
      </c>
      <c r="D1054" s="2" t="s">
        <v>38</v>
      </c>
      <c r="E1054" s="2" t="str">
        <f aca="false">INDEX(Products!$B$2:$B$13,MATCH(D1054,Products!$A$2:$A$13,0))</f>
        <v>FCC</v>
      </c>
      <c r="F1054" s="15" t="n">
        <v>5.9</v>
      </c>
      <c r="G1054" s="16" t="n">
        <f aca="false">IF(A1054="2025",INDEX(Products!$C$2:$C$13,MATCH(D1054,Products!$A$2:$A$13,0)),INDEX(Products!$E$2:$E$13,MATCH(D1054,Products!$A$2:$A$13,0)))</f>
        <v>4578</v>
      </c>
      <c r="H1054" s="13" t="n">
        <f aca="false">IF(A1054="2025",INDEX(Customers!$D$2:$D$41,MATCH(C1054,Customers!$A$2:$A$41,0)),INDEX(Customers!$F$2:$F$41,MATCH(C1054,Customers!$A$2:$A$41,0)))</f>
        <v>0.088</v>
      </c>
      <c r="I1054" s="16" t="n">
        <f aca="false">F1054*G1054</f>
        <v>27010.2</v>
      </c>
      <c r="J1054" s="16" t="n">
        <f aca="false">I1054*(1-H1054)</f>
        <v>24633.3024</v>
      </c>
      <c r="K1054" s="16" t="n">
        <f aca="false">J1054*INDEX(Customers!$G$2:$G$41,MATCH(C1054,Customers!$A$2:$A$41,0))</f>
        <v>492.666048</v>
      </c>
      <c r="L1054" s="16" t="n">
        <f aca="false">F1054*INDEX(Customers!$H$2:$H$41,MATCH(C1054,Customers!$A$2:$A$41,0))</f>
        <v>1711</v>
      </c>
      <c r="M1054" s="16" t="n">
        <f aca="false">J1054*INDEX(Customers!$I$2:$I$41,MATCH(C1054,Customers!$A$2:$A$41,0))/365*Assumptions!$B$6</f>
        <v>323.944798684932</v>
      </c>
      <c r="N1054" s="16" t="n">
        <f aca="false">J1054-K1054-L1054-M1054</f>
        <v>22105.6915533151</v>
      </c>
      <c r="O1054" s="16" t="n">
        <f aca="false">F1054*IF(A1054="2025",INDEX(Products!$D$2:$D$13,MATCH(D1054,Products!$A$2:$A$13,0)),INDEX(Products!$F$2:$F$13,MATCH(D1054,Products!$A$2:$A$13,0)))</f>
        <v>16833.29</v>
      </c>
      <c r="P1054" s="16" t="n">
        <f aca="false">N1054-O1054</f>
        <v>5272.40155331507</v>
      </c>
    </row>
    <row r="1055" customFormat="false" ht="15" hidden="false" customHeight="false" outlineLevel="0" collapsed="false">
      <c r="A1055" s="2" t="s">
        <v>119</v>
      </c>
      <c r="B1055" s="2" t="n">
        <v>10</v>
      </c>
      <c r="C1055" s="2" t="s">
        <v>77</v>
      </c>
      <c r="D1055" s="2" t="s">
        <v>38</v>
      </c>
      <c r="E1055" s="2" t="str">
        <f aca="false">INDEX(Products!$B$2:$B$13,MATCH(D1055,Products!$A$2:$A$13,0))</f>
        <v>FCC</v>
      </c>
      <c r="F1055" s="15" t="n">
        <v>5.3</v>
      </c>
      <c r="G1055" s="16" t="n">
        <f aca="false">IF(A1055="2025",INDEX(Products!$C$2:$C$13,MATCH(D1055,Products!$A$2:$A$13,0)),INDEX(Products!$E$2:$E$13,MATCH(D1055,Products!$A$2:$A$13,0)))</f>
        <v>4578</v>
      </c>
      <c r="H1055" s="13" t="n">
        <f aca="false">IF(A1055="2025",INDEX(Customers!$D$2:$D$41,MATCH(C1055,Customers!$A$2:$A$41,0)),INDEX(Customers!$F$2:$F$41,MATCH(C1055,Customers!$A$2:$A$41,0)))</f>
        <v>0.088</v>
      </c>
      <c r="I1055" s="16" t="n">
        <f aca="false">F1055*G1055</f>
        <v>24263.4</v>
      </c>
      <c r="J1055" s="16" t="n">
        <f aca="false">I1055*(1-H1055)</f>
        <v>22128.2208</v>
      </c>
      <c r="K1055" s="16" t="n">
        <f aca="false">J1055*INDEX(Customers!$G$2:$G$41,MATCH(C1055,Customers!$A$2:$A$41,0))</f>
        <v>442.564416</v>
      </c>
      <c r="L1055" s="16" t="n">
        <f aca="false">F1055*INDEX(Customers!$H$2:$H$41,MATCH(C1055,Customers!$A$2:$A$41,0))</f>
        <v>1537</v>
      </c>
      <c r="M1055" s="16" t="n">
        <f aca="false">J1055*INDEX(Customers!$I$2:$I$41,MATCH(C1055,Customers!$A$2:$A$41,0))/365*Assumptions!$B$6</f>
        <v>291.001259835616</v>
      </c>
      <c r="N1055" s="16" t="n">
        <f aca="false">J1055-K1055-L1055-M1055</f>
        <v>19857.6551241644</v>
      </c>
      <c r="O1055" s="16" t="n">
        <f aca="false">F1055*IF(A1055="2025",INDEX(Products!$D$2:$D$13,MATCH(D1055,Products!$A$2:$A$13,0)),INDEX(Products!$F$2:$F$13,MATCH(D1055,Products!$A$2:$A$13,0)))</f>
        <v>15121.43</v>
      </c>
      <c r="P1055" s="16" t="n">
        <f aca="false">N1055-O1055</f>
        <v>4736.22512416438</v>
      </c>
    </row>
    <row r="1056" customFormat="false" ht="15" hidden="false" customHeight="false" outlineLevel="0" collapsed="false">
      <c r="A1056" s="2" t="s">
        <v>119</v>
      </c>
      <c r="B1056" s="2" t="n">
        <v>11</v>
      </c>
      <c r="C1056" s="2" t="s">
        <v>77</v>
      </c>
      <c r="D1056" s="2" t="s">
        <v>38</v>
      </c>
      <c r="E1056" s="2" t="str">
        <f aca="false">INDEX(Products!$B$2:$B$13,MATCH(D1056,Products!$A$2:$A$13,0))</f>
        <v>FCC</v>
      </c>
      <c r="F1056" s="15" t="n">
        <v>9.1</v>
      </c>
      <c r="G1056" s="16" t="n">
        <f aca="false">IF(A1056="2025",INDEX(Products!$C$2:$C$13,MATCH(D1056,Products!$A$2:$A$13,0)),INDEX(Products!$E$2:$E$13,MATCH(D1056,Products!$A$2:$A$13,0)))</f>
        <v>4578</v>
      </c>
      <c r="H1056" s="13" t="n">
        <f aca="false">IF(A1056="2025",INDEX(Customers!$D$2:$D$41,MATCH(C1056,Customers!$A$2:$A$41,0)),INDEX(Customers!$F$2:$F$41,MATCH(C1056,Customers!$A$2:$A$41,0)))</f>
        <v>0.088</v>
      </c>
      <c r="I1056" s="16" t="n">
        <f aca="false">F1056*G1056</f>
        <v>41659.8</v>
      </c>
      <c r="J1056" s="16" t="n">
        <f aca="false">I1056*(1-H1056)</f>
        <v>37993.7376</v>
      </c>
      <c r="K1056" s="16" t="n">
        <f aca="false">J1056*INDEX(Customers!$G$2:$G$41,MATCH(C1056,Customers!$A$2:$A$41,0))</f>
        <v>759.874752</v>
      </c>
      <c r="L1056" s="16" t="n">
        <f aca="false">F1056*INDEX(Customers!$H$2:$H$41,MATCH(C1056,Customers!$A$2:$A$41,0))</f>
        <v>2639</v>
      </c>
      <c r="M1056" s="16" t="n">
        <f aca="false">J1056*INDEX(Customers!$I$2:$I$41,MATCH(C1056,Customers!$A$2:$A$41,0))/365*Assumptions!$B$6</f>
        <v>499.643672547945</v>
      </c>
      <c r="N1056" s="16" t="n">
        <f aca="false">J1056-K1056-L1056-M1056</f>
        <v>34095.2191754521</v>
      </c>
      <c r="O1056" s="16" t="n">
        <f aca="false">F1056*IF(A1056="2025",INDEX(Products!$D$2:$D$13,MATCH(D1056,Products!$A$2:$A$13,0)),INDEX(Products!$F$2:$F$13,MATCH(D1056,Products!$A$2:$A$13,0)))</f>
        <v>25963.21</v>
      </c>
      <c r="P1056" s="16" t="n">
        <f aca="false">N1056-O1056</f>
        <v>8132.00917545205</v>
      </c>
    </row>
    <row r="1057" customFormat="false" ht="15" hidden="false" customHeight="false" outlineLevel="0" collapsed="false">
      <c r="A1057" s="2" t="s">
        <v>119</v>
      </c>
      <c r="B1057" s="2" t="n">
        <v>12</v>
      </c>
      <c r="C1057" s="2" t="s">
        <v>77</v>
      </c>
      <c r="D1057" s="2" t="s">
        <v>38</v>
      </c>
      <c r="E1057" s="2" t="str">
        <f aca="false">INDEX(Products!$B$2:$B$13,MATCH(D1057,Products!$A$2:$A$13,0))</f>
        <v>FCC</v>
      </c>
      <c r="F1057" s="15" t="n">
        <v>6.7</v>
      </c>
      <c r="G1057" s="16" t="n">
        <f aca="false">IF(A1057="2025",INDEX(Products!$C$2:$C$13,MATCH(D1057,Products!$A$2:$A$13,0)),INDEX(Products!$E$2:$E$13,MATCH(D1057,Products!$A$2:$A$13,0)))</f>
        <v>4578</v>
      </c>
      <c r="H1057" s="13" t="n">
        <f aca="false">IF(A1057="2025",INDEX(Customers!$D$2:$D$41,MATCH(C1057,Customers!$A$2:$A$41,0)),INDEX(Customers!$F$2:$F$41,MATCH(C1057,Customers!$A$2:$A$41,0)))</f>
        <v>0.088</v>
      </c>
      <c r="I1057" s="16" t="n">
        <f aca="false">F1057*G1057</f>
        <v>30672.6</v>
      </c>
      <c r="J1057" s="16" t="n">
        <f aca="false">I1057*(1-H1057)</f>
        <v>27973.4112</v>
      </c>
      <c r="K1057" s="16" t="n">
        <f aca="false">J1057*INDEX(Customers!$G$2:$G$41,MATCH(C1057,Customers!$A$2:$A$41,0))</f>
        <v>559.468224</v>
      </c>
      <c r="L1057" s="16" t="n">
        <f aca="false">F1057*INDEX(Customers!$H$2:$H$41,MATCH(C1057,Customers!$A$2:$A$41,0))</f>
        <v>1943</v>
      </c>
      <c r="M1057" s="16" t="n">
        <f aca="false">J1057*INDEX(Customers!$I$2:$I$41,MATCH(C1057,Customers!$A$2:$A$41,0))/365*Assumptions!$B$6</f>
        <v>367.869517150685</v>
      </c>
      <c r="N1057" s="16" t="n">
        <f aca="false">J1057-K1057-L1057-M1057</f>
        <v>25103.0734588493</v>
      </c>
      <c r="O1057" s="16" t="n">
        <f aca="false">F1057*IF(A1057="2025",INDEX(Products!$D$2:$D$13,MATCH(D1057,Products!$A$2:$A$13,0)),INDEX(Products!$F$2:$F$13,MATCH(D1057,Products!$A$2:$A$13,0)))</f>
        <v>19115.77</v>
      </c>
      <c r="P1057" s="16" t="n">
        <f aca="false">N1057-O1057</f>
        <v>5987.30345884932</v>
      </c>
    </row>
    <row r="1058" customFormat="false" ht="15" hidden="false" customHeight="false" outlineLevel="0" collapsed="false">
      <c r="A1058" s="2" t="s">
        <v>118</v>
      </c>
      <c r="B1058" s="2" t="n">
        <v>1</v>
      </c>
      <c r="C1058" s="2" t="s">
        <v>78</v>
      </c>
      <c r="D1058" s="2" t="s">
        <v>43</v>
      </c>
      <c r="E1058" s="2" t="str">
        <f aca="false">INDEX(Products!$B$2:$B$13,MATCH(D1058,Products!$A$2:$A$13,0))</f>
        <v>Hydroprocessing</v>
      </c>
      <c r="F1058" s="15" t="n">
        <v>14.2</v>
      </c>
      <c r="G1058" s="16" t="n">
        <f aca="false">IF(A1058="2025",INDEX(Products!$C$2:$C$13,MATCH(D1058,Products!$A$2:$A$13,0)),INDEX(Products!$E$2:$E$13,MATCH(D1058,Products!$A$2:$A$13,0)))</f>
        <v>11610</v>
      </c>
      <c r="H1058" s="13" t="n">
        <f aca="false">IF(A1058="2025",INDEX(Customers!$D$2:$D$41,MATCH(C1058,Customers!$A$2:$A$41,0)),INDEX(Customers!$F$2:$F$41,MATCH(C1058,Customers!$A$2:$A$41,0)))</f>
        <v>0.129</v>
      </c>
      <c r="I1058" s="16" t="n">
        <f aca="false">F1058*G1058</f>
        <v>164862</v>
      </c>
      <c r="J1058" s="16" t="n">
        <f aca="false">I1058*(1-H1058)</f>
        <v>143594.802</v>
      </c>
      <c r="K1058" s="16" t="n">
        <f aca="false">J1058*INDEX(Customers!$G$2:$G$41,MATCH(C1058,Customers!$A$2:$A$41,0))</f>
        <v>0</v>
      </c>
      <c r="L1058" s="16" t="n">
        <f aca="false">F1058*INDEX(Customers!$H$2:$H$41,MATCH(C1058,Customers!$A$2:$A$41,0))</f>
        <v>2414</v>
      </c>
      <c r="M1058" s="16" t="n">
        <f aca="false">J1058*INDEX(Customers!$I$2:$I$41,MATCH(C1058,Customers!$A$2:$A$41,0))/365*Assumptions!$B$6</f>
        <v>2832.55499835616</v>
      </c>
      <c r="N1058" s="16" t="n">
        <f aca="false">J1058-K1058-L1058-M1058</f>
        <v>138348.247001644</v>
      </c>
      <c r="O1058" s="16" t="n">
        <f aca="false">F1058*IF(A1058="2025",INDEX(Products!$D$2:$D$13,MATCH(D1058,Products!$A$2:$A$13,0)),INDEX(Products!$F$2:$F$13,MATCH(D1058,Products!$A$2:$A$13,0)))</f>
        <v>104228</v>
      </c>
      <c r="P1058" s="16" t="n">
        <f aca="false">N1058-O1058</f>
        <v>34120.2470016438</v>
      </c>
    </row>
    <row r="1059" customFormat="false" ht="15" hidden="false" customHeight="false" outlineLevel="0" collapsed="false">
      <c r="A1059" s="2" t="s">
        <v>118</v>
      </c>
      <c r="B1059" s="2" t="n">
        <v>2</v>
      </c>
      <c r="C1059" s="2" t="s">
        <v>78</v>
      </c>
      <c r="D1059" s="2" t="s">
        <v>43</v>
      </c>
      <c r="E1059" s="2" t="str">
        <f aca="false">INDEX(Products!$B$2:$B$13,MATCH(D1059,Products!$A$2:$A$13,0))</f>
        <v>Hydroprocessing</v>
      </c>
      <c r="F1059" s="15" t="n">
        <v>19.8</v>
      </c>
      <c r="G1059" s="16" t="n">
        <f aca="false">IF(A1059="2025",INDEX(Products!$C$2:$C$13,MATCH(D1059,Products!$A$2:$A$13,0)),INDEX(Products!$E$2:$E$13,MATCH(D1059,Products!$A$2:$A$13,0)))</f>
        <v>11610</v>
      </c>
      <c r="H1059" s="13" t="n">
        <f aca="false">IF(A1059="2025",INDEX(Customers!$D$2:$D$41,MATCH(C1059,Customers!$A$2:$A$41,0)),INDEX(Customers!$F$2:$F$41,MATCH(C1059,Customers!$A$2:$A$41,0)))</f>
        <v>0.129</v>
      </c>
      <c r="I1059" s="16" t="n">
        <f aca="false">F1059*G1059</f>
        <v>229878</v>
      </c>
      <c r="J1059" s="16" t="n">
        <f aca="false">I1059*(1-H1059)</f>
        <v>200223.738</v>
      </c>
      <c r="K1059" s="16" t="n">
        <f aca="false">J1059*INDEX(Customers!$G$2:$G$41,MATCH(C1059,Customers!$A$2:$A$41,0))</f>
        <v>0</v>
      </c>
      <c r="L1059" s="16" t="n">
        <f aca="false">F1059*INDEX(Customers!$H$2:$H$41,MATCH(C1059,Customers!$A$2:$A$41,0))</f>
        <v>3366</v>
      </c>
      <c r="M1059" s="16" t="n">
        <f aca="false">J1059*INDEX(Customers!$I$2:$I$41,MATCH(C1059,Customers!$A$2:$A$41,0))/365*Assumptions!$B$6</f>
        <v>3949.61894136986</v>
      </c>
      <c r="N1059" s="16" t="n">
        <f aca="false">J1059-K1059-L1059-M1059</f>
        <v>192908.11905863</v>
      </c>
      <c r="O1059" s="16" t="n">
        <f aca="false">F1059*IF(A1059="2025",INDEX(Products!$D$2:$D$13,MATCH(D1059,Products!$A$2:$A$13,0)),INDEX(Products!$F$2:$F$13,MATCH(D1059,Products!$A$2:$A$13,0)))</f>
        <v>145332</v>
      </c>
      <c r="P1059" s="16" t="n">
        <f aca="false">N1059-O1059</f>
        <v>47576.1190586301</v>
      </c>
    </row>
    <row r="1060" customFormat="false" ht="15" hidden="false" customHeight="false" outlineLevel="0" collapsed="false">
      <c r="A1060" s="2" t="s">
        <v>118</v>
      </c>
      <c r="B1060" s="2" t="n">
        <v>3</v>
      </c>
      <c r="C1060" s="2" t="s">
        <v>78</v>
      </c>
      <c r="D1060" s="2" t="s">
        <v>43</v>
      </c>
      <c r="E1060" s="2" t="str">
        <f aca="false">INDEX(Products!$B$2:$B$13,MATCH(D1060,Products!$A$2:$A$13,0))</f>
        <v>Hydroprocessing</v>
      </c>
      <c r="F1060" s="15" t="n">
        <v>14.4</v>
      </c>
      <c r="G1060" s="16" t="n">
        <f aca="false">IF(A1060="2025",INDEX(Products!$C$2:$C$13,MATCH(D1060,Products!$A$2:$A$13,0)),INDEX(Products!$E$2:$E$13,MATCH(D1060,Products!$A$2:$A$13,0)))</f>
        <v>11610</v>
      </c>
      <c r="H1060" s="13" t="n">
        <f aca="false">IF(A1060="2025",INDEX(Customers!$D$2:$D$41,MATCH(C1060,Customers!$A$2:$A$41,0)),INDEX(Customers!$F$2:$F$41,MATCH(C1060,Customers!$A$2:$A$41,0)))</f>
        <v>0.129</v>
      </c>
      <c r="I1060" s="16" t="n">
        <f aca="false">F1060*G1060</f>
        <v>167184</v>
      </c>
      <c r="J1060" s="16" t="n">
        <f aca="false">I1060*(1-H1060)</f>
        <v>145617.264</v>
      </c>
      <c r="K1060" s="16" t="n">
        <f aca="false">J1060*INDEX(Customers!$G$2:$G$41,MATCH(C1060,Customers!$A$2:$A$41,0))</f>
        <v>0</v>
      </c>
      <c r="L1060" s="16" t="n">
        <f aca="false">F1060*INDEX(Customers!$H$2:$H$41,MATCH(C1060,Customers!$A$2:$A$41,0))</f>
        <v>2448</v>
      </c>
      <c r="M1060" s="16" t="n">
        <f aca="false">J1060*INDEX(Customers!$I$2:$I$41,MATCH(C1060,Customers!$A$2:$A$41,0))/365*Assumptions!$B$6</f>
        <v>2872.45013917808</v>
      </c>
      <c r="N1060" s="16" t="n">
        <f aca="false">J1060-K1060-L1060-M1060</f>
        <v>140296.813860822</v>
      </c>
      <c r="O1060" s="16" t="n">
        <f aca="false">F1060*IF(A1060="2025",INDEX(Products!$D$2:$D$13,MATCH(D1060,Products!$A$2:$A$13,0)),INDEX(Products!$F$2:$F$13,MATCH(D1060,Products!$A$2:$A$13,0)))</f>
        <v>105696</v>
      </c>
      <c r="P1060" s="16" t="n">
        <f aca="false">N1060-O1060</f>
        <v>34600.8138608219</v>
      </c>
    </row>
    <row r="1061" customFormat="false" ht="15" hidden="false" customHeight="false" outlineLevel="0" collapsed="false">
      <c r="A1061" s="2" t="s">
        <v>118</v>
      </c>
      <c r="B1061" s="2" t="n">
        <v>4</v>
      </c>
      <c r="C1061" s="2" t="s">
        <v>78</v>
      </c>
      <c r="D1061" s="2" t="s">
        <v>43</v>
      </c>
      <c r="E1061" s="2" t="str">
        <f aca="false">INDEX(Products!$B$2:$B$13,MATCH(D1061,Products!$A$2:$A$13,0))</f>
        <v>Hydroprocessing</v>
      </c>
      <c r="F1061" s="15" t="n">
        <v>21.8</v>
      </c>
      <c r="G1061" s="16" t="n">
        <f aca="false">IF(A1061="2025",INDEX(Products!$C$2:$C$13,MATCH(D1061,Products!$A$2:$A$13,0)),INDEX(Products!$E$2:$E$13,MATCH(D1061,Products!$A$2:$A$13,0)))</f>
        <v>11610</v>
      </c>
      <c r="H1061" s="13" t="n">
        <f aca="false">IF(A1061="2025",INDEX(Customers!$D$2:$D$41,MATCH(C1061,Customers!$A$2:$A$41,0)),INDEX(Customers!$F$2:$F$41,MATCH(C1061,Customers!$A$2:$A$41,0)))</f>
        <v>0.129</v>
      </c>
      <c r="I1061" s="16" t="n">
        <f aca="false">F1061*G1061</f>
        <v>253098</v>
      </c>
      <c r="J1061" s="16" t="n">
        <f aca="false">I1061*(1-H1061)</f>
        <v>220448.358</v>
      </c>
      <c r="K1061" s="16" t="n">
        <f aca="false">J1061*INDEX(Customers!$G$2:$G$41,MATCH(C1061,Customers!$A$2:$A$41,0))</f>
        <v>0</v>
      </c>
      <c r="L1061" s="16" t="n">
        <f aca="false">F1061*INDEX(Customers!$H$2:$H$41,MATCH(C1061,Customers!$A$2:$A$41,0))</f>
        <v>3706</v>
      </c>
      <c r="M1061" s="16" t="n">
        <f aca="false">J1061*INDEX(Customers!$I$2:$I$41,MATCH(C1061,Customers!$A$2:$A$41,0))/365*Assumptions!$B$6</f>
        <v>4348.57034958904</v>
      </c>
      <c r="N1061" s="16" t="n">
        <f aca="false">J1061-K1061-L1061-M1061</f>
        <v>212393.787650411</v>
      </c>
      <c r="O1061" s="16" t="n">
        <f aca="false">F1061*IF(A1061="2025",INDEX(Products!$D$2:$D$13,MATCH(D1061,Products!$A$2:$A$13,0)),INDEX(Products!$F$2:$F$13,MATCH(D1061,Products!$A$2:$A$13,0)))</f>
        <v>160012</v>
      </c>
      <c r="P1061" s="16" t="n">
        <f aca="false">N1061-O1061</f>
        <v>52381.787650411</v>
      </c>
    </row>
    <row r="1062" customFormat="false" ht="15" hidden="false" customHeight="false" outlineLevel="0" collapsed="false">
      <c r="A1062" s="2" t="s">
        <v>118</v>
      </c>
      <c r="B1062" s="2" t="n">
        <v>5</v>
      </c>
      <c r="C1062" s="2" t="s">
        <v>78</v>
      </c>
      <c r="D1062" s="2" t="s">
        <v>43</v>
      </c>
      <c r="E1062" s="2" t="str">
        <f aca="false">INDEX(Products!$B$2:$B$13,MATCH(D1062,Products!$A$2:$A$13,0))</f>
        <v>Hydroprocessing</v>
      </c>
      <c r="F1062" s="15" t="n">
        <v>17.9</v>
      </c>
      <c r="G1062" s="16" t="n">
        <f aca="false">IF(A1062="2025",INDEX(Products!$C$2:$C$13,MATCH(D1062,Products!$A$2:$A$13,0)),INDEX(Products!$E$2:$E$13,MATCH(D1062,Products!$A$2:$A$13,0)))</f>
        <v>11610</v>
      </c>
      <c r="H1062" s="13" t="n">
        <f aca="false">IF(A1062="2025",INDEX(Customers!$D$2:$D$41,MATCH(C1062,Customers!$A$2:$A$41,0)),INDEX(Customers!$F$2:$F$41,MATCH(C1062,Customers!$A$2:$A$41,0)))</f>
        <v>0.129</v>
      </c>
      <c r="I1062" s="16" t="n">
        <f aca="false">F1062*G1062</f>
        <v>207819</v>
      </c>
      <c r="J1062" s="16" t="n">
        <f aca="false">I1062*(1-H1062)</f>
        <v>181010.349</v>
      </c>
      <c r="K1062" s="16" t="n">
        <f aca="false">J1062*INDEX(Customers!$G$2:$G$41,MATCH(C1062,Customers!$A$2:$A$41,0))</f>
        <v>0</v>
      </c>
      <c r="L1062" s="16" t="n">
        <f aca="false">F1062*INDEX(Customers!$H$2:$H$41,MATCH(C1062,Customers!$A$2:$A$41,0))</f>
        <v>3043</v>
      </c>
      <c r="M1062" s="16" t="n">
        <f aca="false">J1062*INDEX(Customers!$I$2:$I$41,MATCH(C1062,Customers!$A$2:$A$41,0))/365*Assumptions!$B$6</f>
        <v>3570.61510356164</v>
      </c>
      <c r="N1062" s="16" t="n">
        <f aca="false">J1062-K1062-L1062-M1062</f>
        <v>174396.733896438</v>
      </c>
      <c r="O1062" s="16" t="n">
        <f aca="false">F1062*IF(A1062="2025",INDEX(Products!$D$2:$D$13,MATCH(D1062,Products!$A$2:$A$13,0)),INDEX(Products!$F$2:$F$13,MATCH(D1062,Products!$A$2:$A$13,0)))</f>
        <v>131386</v>
      </c>
      <c r="P1062" s="16" t="n">
        <f aca="false">N1062-O1062</f>
        <v>43010.7338964384</v>
      </c>
    </row>
    <row r="1063" customFormat="false" ht="15" hidden="false" customHeight="false" outlineLevel="0" collapsed="false">
      <c r="A1063" s="2" t="s">
        <v>118</v>
      </c>
      <c r="B1063" s="2" t="n">
        <v>6</v>
      </c>
      <c r="C1063" s="2" t="s">
        <v>78</v>
      </c>
      <c r="D1063" s="2" t="s">
        <v>43</v>
      </c>
      <c r="E1063" s="2" t="str">
        <f aca="false">INDEX(Products!$B$2:$B$13,MATCH(D1063,Products!$A$2:$A$13,0))</f>
        <v>Hydroprocessing</v>
      </c>
      <c r="F1063" s="15" t="n">
        <v>22.6</v>
      </c>
      <c r="G1063" s="16" t="n">
        <f aca="false">IF(A1063="2025",INDEX(Products!$C$2:$C$13,MATCH(D1063,Products!$A$2:$A$13,0)),INDEX(Products!$E$2:$E$13,MATCH(D1063,Products!$A$2:$A$13,0)))</f>
        <v>11610</v>
      </c>
      <c r="H1063" s="13" t="n">
        <f aca="false">IF(A1063="2025",INDEX(Customers!$D$2:$D$41,MATCH(C1063,Customers!$A$2:$A$41,0)),INDEX(Customers!$F$2:$F$41,MATCH(C1063,Customers!$A$2:$A$41,0)))</f>
        <v>0.129</v>
      </c>
      <c r="I1063" s="16" t="n">
        <f aca="false">F1063*G1063</f>
        <v>262386</v>
      </c>
      <c r="J1063" s="16" t="n">
        <f aca="false">I1063*(1-H1063)</f>
        <v>228538.206</v>
      </c>
      <c r="K1063" s="16" t="n">
        <f aca="false">J1063*INDEX(Customers!$G$2:$G$41,MATCH(C1063,Customers!$A$2:$A$41,0))</f>
        <v>0</v>
      </c>
      <c r="L1063" s="16" t="n">
        <f aca="false">F1063*INDEX(Customers!$H$2:$H$41,MATCH(C1063,Customers!$A$2:$A$41,0))</f>
        <v>3842</v>
      </c>
      <c r="M1063" s="16" t="n">
        <f aca="false">J1063*INDEX(Customers!$I$2:$I$41,MATCH(C1063,Customers!$A$2:$A$41,0))/365*Assumptions!$B$6</f>
        <v>4508.15091287671</v>
      </c>
      <c r="N1063" s="16" t="n">
        <f aca="false">J1063-K1063-L1063-M1063</f>
        <v>220188.055087123</v>
      </c>
      <c r="O1063" s="16" t="n">
        <f aca="false">F1063*IF(A1063="2025",INDEX(Products!$D$2:$D$13,MATCH(D1063,Products!$A$2:$A$13,0)),INDEX(Products!$F$2:$F$13,MATCH(D1063,Products!$A$2:$A$13,0)))</f>
        <v>165884</v>
      </c>
      <c r="P1063" s="16" t="n">
        <f aca="false">N1063-O1063</f>
        <v>54304.0550871233</v>
      </c>
    </row>
    <row r="1064" customFormat="false" ht="15" hidden="false" customHeight="false" outlineLevel="0" collapsed="false">
      <c r="A1064" s="2" t="s">
        <v>118</v>
      </c>
      <c r="B1064" s="2" t="n">
        <v>7</v>
      </c>
      <c r="C1064" s="2" t="s">
        <v>78</v>
      </c>
      <c r="D1064" s="2" t="s">
        <v>43</v>
      </c>
      <c r="E1064" s="2" t="str">
        <f aca="false">INDEX(Products!$B$2:$B$13,MATCH(D1064,Products!$A$2:$A$13,0))</f>
        <v>Hydroprocessing</v>
      </c>
      <c r="F1064" s="15" t="n">
        <v>14.6</v>
      </c>
      <c r="G1064" s="16" t="n">
        <f aca="false">IF(A1064="2025",INDEX(Products!$C$2:$C$13,MATCH(D1064,Products!$A$2:$A$13,0)),INDEX(Products!$E$2:$E$13,MATCH(D1064,Products!$A$2:$A$13,0)))</f>
        <v>11610</v>
      </c>
      <c r="H1064" s="13" t="n">
        <f aca="false">IF(A1064="2025",INDEX(Customers!$D$2:$D$41,MATCH(C1064,Customers!$A$2:$A$41,0)),INDEX(Customers!$F$2:$F$41,MATCH(C1064,Customers!$A$2:$A$41,0)))</f>
        <v>0.129</v>
      </c>
      <c r="I1064" s="16" t="n">
        <f aca="false">F1064*G1064</f>
        <v>169506</v>
      </c>
      <c r="J1064" s="16" t="n">
        <f aca="false">I1064*(1-H1064)</f>
        <v>147639.726</v>
      </c>
      <c r="K1064" s="16" t="n">
        <f aca="false">J1064*INDEX(Customers!$G$2:$G$41,MATCH(C1064,Customers!$A$2:$A$41,0))</f>
        <v>0</v>
      </c>
      <c r="L1064" s="16" t="n">
        <f aca="false">F1064*INDEX(Customers!$H$2:$H$41,MATCH(C1064,Customers!$A$2:$A$41,0))</f>
        <v>2482</v>
      </c>
      <c r="M1064" s="16" t="n">
        <f aca="false">J1064*INDEX(Customers!$I$2:$I$41,MATCH(C1064,Customers!$A$2:$A$41,0))/365*Assumptions!$B$6</f>
        <v>2912.34528</v>
      </c>
      <c r="N1064" s="16" t="n">
        <f aca="false">J1064-K1064-L1064-M1064</f>
        <v>142245.38072</v>
      </c>
      <c r="O1064" s="16" t="n">
        <f aca="false">F1064*IF(A1064="2025",INDEX(Products!$D$2:$D$13,MATCH(D1064,Products!$A$2:$A$13,0)),INDEX(Products!$F$2:$F$13,MATCH(D1064,Products!$A$2:$A$13,0)))</f>
        <v>107164</v>
      </c>
      <c r="P1064" s="16" t="n">
        <f aca="false">N1064-O1064</f>
        <v>35081.38072</v>
      </c>
    </row>
    <row r="1065" customFormat="false" ht="15" hidden="false" customHeight="false" outlineLevel="0" collapsed="false">
      <c r="A1065" s="2" t="s">
        <v>118</v>
      </c>
      <c r="B1065" s="2" t="n">
        <v>8</v>
      </c>
      <c r="C1065" s="2" t="s">
        <v>78</v>
      </c>
      <c r="D1065" s="2" t="s">
        <v>43</v>
      </c>
      <c r="E1065" s="2" t="str">
        <f aca="false">INDEX(Products!$B$2:$B$13,MATCH(D1065,Products!$A$2:$A$13,0))</f>
        <v>Hydroprocessing</v>
      </c>
      <c r="F1065" s="15" t="n">
        <v>13.7</v>
      </c>
      <c r="G1065" s="16" t="n">
        <f aca="false">IF(A1065="2025",INDEX(Products!$C$2:$C$13,MATCH(D1065,Products!$A$2:$A$13,0)),INDEX(Products!$E$2:$E$13,MATCH(D1065,Products!$A$2:$A$13,0)))</f>
        <v>11610</v>
      </c>
      <c r="H1065" s="13" t="n">
        <f aca="false">IF(A1065="2025",INDEX(Customers!$D$2:$D$41,MATCH(C1065,Customers!$A$2:$A$41,0)),INDEX(Customers!$F$2:$F$41,MATCH(C1065,Customers!$A$2:$A$41,0)))</f>
        <v>0.129</v>
      </c>
      <c r="I1065" s="16" t="n">
        <f aca="false">F1065*G1065</f>
        <v>159057</v>
      </c>
      <c r="J1065" s="16" t="n">
        <f aca="false">I1065*(1-H1065)</f>
        <v>138538.647</v>
      </c>
      <c r="K1065" s="16" t="n">
        <f aca="false">J1065*INDEX(Customers!$G$2:$G$41,MATCH(C1065,Customers!$A$2:$A$41,0))</f>
        <v>0</v>
      </c>
      <c r="L1065" s="16" t="n">
        <f aca="false">F1065*INDEX(Customers!$H$2:$H$41,MATCH(C1065,Customers!$A$2:$A$41,0))</f>
        <v>2329</v>
      </c>
      <c r="M1065" s="16" t="n">
        <f aca="false">J1065*INDEX(Customers!$I$2:$I$41,MATCH(C1065,Customers!$A$2:$A$41,0))/365*Assumptions!$B$6</f>
        <v>2732.81714630137</v>
      </c>
      <c r="N1065" s="16" t="n">
        <f aca="false">J1065-K1065-L1065-M1065</f>
        <v>133476.829853699</v>
      </c>
      <c r="O1065" s="16" t="n">
        <f aca="false">F1065*IF(A1065="2025",INDEX(Products!$D$2:$D$13,MATCH(D1065,Products!$A$2:$A$13,0)),INDEX(Products!$F$2:$F$13,MATCH(D1065,Products!$A$2:$A$13,0)))</f>
        <v>100558</v>
      </c>
      <c r="P1065" s="16" t="n">
        <f aca="false">N1065-O1065</f>
        <v>32918.8298536986</v>
      </c>
    </row>
    <row r="1066" customFormat="false" ht="15" hidden="false" customHeight="false" outlineLevel="0" collapsed="false">
      <c r="A1066" s="2" t="s">
        <v>118</v>
      </c>
      <c r="B1066" s="2" t="n">
        <v>9</v>
      </c>
      <c r="C1066" s="2" t="s">
        <v>78</v>
      </c>
      <c r="D1066" s="2" t="s">
        <v>43</v>
      </c>
      <c r="E1066" s="2" t="str">
        <f aca="false">INDEX(Products!$B$2:$B$13,MATCH(D1066,Products!$A$2:$A$13,0))</f>
        <v>Hydroprocessing</v>
      </c>
      <c r="F1066" s="15" t="n">
        <v>14.8</v>
      </c>
      <c r="G1066" s="16" t="n">
        <f aca="false">IF(A1066="2025",INDEX(Products!$C$2:$C$13,MATCH(D1066,Products!$A$2:$A$13,0)),INDEX(Products!$E$2:$E$13,MATCH(D1066,Products!$A$2:$A$13,0)))</f>
        <v>11610</v>
      </c>
      <c r="H1066" s="13" t="n">
        <f aca="false">IF(A1066="2025",INDEX(Customers!$D$2:$D$41,MATCH(C1066,Customers!$A$2:$A$41,0)),INDEX(Customers!$F$2:$F$41,MATCH(C1066,Customers!$A$2:$A$41,0)))</f>
        <v>0.129</v>
      </c>
      <c r="I1066" s="16" t="n">
        <f aca="false">F1066*G1066</f>
        <v>171828</v>
      </c>
      <c r="J1066" s="16" t="n">
        <f aca="false">I1066*(1-H1066)</f>
        <v>149662.188</v>
      </c>
      <c r="K1066" s="16" t="n">
        <f aca="false">J1066*INDEX(Customers!$G$2:$G$41,MATCH(C1066,Customers!$A$2:$A$41,0))</f>
        <v>0</v>
      </c>
      <c r="L1066" s="16" t="n">
        <f aca="false">F1066*INDEX(Customers!$H$2:$H$41,MATCH(C1066,Customers!$A$2:$A$41,0))</f>
        <v>2516</v>
      </c>
      <c r="M1066" s="16" t="n">
        <f aca="false">J1066*INDEX(Customers!$I$2:$I$41,MATCH(C1066,Customers!$A$2:$A$41,0))/365*Assumptions!$B$6</f>
        <v>2952.24042082192</v>
      </c>
      <c r="N1066" s="16" t="n">
        <f aca="false">J1066-K1066-L1066-M1066</f>
        <v>144193.947579178</v>
      </c>
      <c r="O1066" s="16" t="n">
        <f aca="false">F1066*IF(A1066="2025",INDEX(Products!$D$2:$D$13,MATCH(D1066,Products!$A$2:$A$13,0)),INDEX(Products!$F$2:$F$13,MATCH(D1066,Products!$A$2:$A$13,0)))</f>
        <v>108632</v>
      </c>
      <c r="P1066" s="16" t="n">
        <f aca="false">N1066-O1066</f>
        <v>35561.9475791781</v>
      </c>
    </row>
    <row r="1067" customFormat="false" ht="15" hidden="false" customHeight="false" outlineLevel="0" collapsed="false">
      <c r="A1067" s="2" t="s">
        <v>118</v>
      </c>
      <c r="B1067" s="2" t="n">
        <v>10</v>
      </c>
      <c r="C1067" s="2" t="s">
        <v>78</v>
      </c>
      <c r="D1067" s="2" t="s">
        <v>43</v>
      </c>
      <c r="E1067" s="2" t="str">
        <f aca="false">INDEX(Products!$B$2:$B$13,MATCH(D1067,Products!$A$2:$A$13,0))</f>
        <v>Hydroprocessing</v>
      </c>
      <c r="F1067" s="15" t="n">
        <v>24.3</v>
      </c>
      <c r="G1067" s="16" t="n">
        <f aca="false">IF(A1067="2025",INDEX(Products!$C$2:$C$13,MATCH(D1067,Products!$A$2:$A$13,0)),INDEX(Products!$E$2:$E$13,MATCH(D1067,Products!$A$2:$A$13,0)))</f>
        <v>11610</v>
      </c>
      <c r="H1067" s="13" t="n">
        <f aca="false">IF(A1067="2025",INDEX(Customers!$D$2:$D$41,MATCH(C1067,Customers!$A$2:$A$41,0)),INDEX(Customers!$F$2:$F$41,MATCH(C1067,Customers!$A$2:$A$41,0)))</f>
        <v>0.129</v>
      </c>
      <c r="I1067" s="16" t="n">
        <f aca="false">F1067*G1067</f>
        <v>282123</v>
      </c>
      <c r="J1067" s="16" t="n">
        <f aca="false">I1067*(1-H1067)</f>
        <v>245729.133</v>
      </c>
      <c r="K1067" s="16" t="n">
        <f aca="false">J1067*INDEX(Customers!$G$2:$G$41,MATCH(C1067,Customers!$A$2:$A$41,0))</f>
        <v>0</v>
      </c>
      <c r="L1067" s="16" t="n">
        <f aca="false">F1067*INDEX(Customers!$H$2:$H$41,MATCH(C1067,Customers!$A$2:$A$41,0))</f>
        <v>4131</v>
      </c>
      <c r="M1067" s="16" t="n">
        <f aca="false">J1067*INDEX(Customers!$I$2:$I$41,MATCH(C1067,Customers!$A$2:$A$41,0))/365*Assumptions!$B$6</f>
        <v>4847.25960986301</v>
      </c>
      <c r="N1067" s="16" t="n">
        <f aca="false">J1067-K1067-L1067-M1067</f>
        <v>236750.873390137</v>
      </c>
      <c r="O1067" s="16" t="n">
        <f aca="false">F1067*IF(A1067="2025",INDEX(Products!$D$2:$D$13,MATCH(D1067,Products!$A$2:$A$13,0)),INDEX(Products!$F$2:$F$13,MATCH(D1067,Products!$A$2:$A$13,0)))</f>
        <v>178362</v>
      </c>
      <c r="P1067" s="16" t="n">
        <f aca="false">N1067-O1067</f>
        <v>58388.873390137</v>
      </c>
    </row>
    <row r="1068" customFormat="false" ht="15" hidden="false" customHeight="false" outlineLevel="0" collapsed="false">
      <c r="A1068" s="2" t="s">
        <v>118</v>
      </c>
      <c r="B1068" s="2" t="n">
        <v>11</v>
      </c>
      <c r="C1068" s="2" t="s">
        <v>78</v>
      </c>
      <c r="D1068" s="2" t="s">
        <v>43</v>
      </c>
      <c r="E1068" s="2" t="str">
        <f aca="false">INDEX(Products!$B$2:$B$13,MATCH(D1068,Products!$A$2:$A$13,0))</f>
        <v>Hydroprocessing</v>
      </c>
      <c r="F1068" s="15" t="n">
        <v>16.6</v>
      </c>
      <c r="G1068" s="16" t="n">
        <f aca="false">IF(A1068="2025",INDEX(Products!$C$2:$C$13,MATCH(D1068,Products!$A$2:$A$13,0)),INDEX(Products!$E$2:$E$13,MATCH(D1068,Products!$A$2:$A$13,0)))</f>
        <v>11610</v>
      </c>
      <c r="H1068" s="13" t="n">
        <f aca="false">IF(A1068="2025",INDEX(Customers!$D$2:$D$41,MATCH(C1068,Customers!$A$2:$A$41,0)),INDEX(Customers!$F$2:$F$41,MATCH(C1068,Customers!$A$2:$A$41,0)))</f>
        <v>0.129</v>
      </c>
      <c r="I1068" s="16" t="n">
        <f aca="false">F1068*G1068</f>
        <v>192726</v>
      </c>
      <c r="J1068" s="16" t="n">
        <f aca="false">I1068*(1-H1068)</f>
        <v>167864.346</v>
      </c>
      <c r="K1068" s="16" t="n">
        <f aca="false">J1068*INDEX(Customers!$G$2:$G$41,MATCH(C1068,Customers!$A$2:$A$41,0))</f>
        <v>0</v>
      </c>
      <c r="L1068" s="16" t="n">
        <f aca="false">F1068*INDEX(Customers!$H$2:$H$41,MATCH(C1068,Customers!$A$2:$A$41,0))</f>
        <v>2822</v>
      </c>
      <c r="M1068" s="16" t="n">
        <f aca="false">J1068*INDEX(Customers!$I$2:$I$41,MATCH(C1068,Customers!$A$2:$A$41,0))/365*Assumptions!$B$6</f>
        <v>3311.29668821918</v>
      </c>
      <c r="N1068" s="16" t="n">
        <f aca="false">J1068-K1068-L1068-M1068</f>
        <v>161731.049311781</v>
      </c>
      <c r="O1068" s="16" t="n">
        <f aca="false">F1068*IF(A1068="2025",INDEX(Products!$D$2:$D$13,MATCH(D1068,Products!$A$2:$A$13,0)),INDEX(Products!$F$2:$F$13,MATCH(D1068,Products!$A$2:$A$13,0)))</f>
        <v>121844</v>
      </c>
      <c r="P1068" s="16" t="n">
        <f aca="false">N1068-O1068</f>
        <v>39887.0493117808</v>
      </c>
    </row>
    <row r="1069" customFormat="false" ht="15" hidden="false" customHeight="false" outlineLevel="0" collapsed="false">
      <c r="A1069" s="2" t="s">
        <v>118</v>
      </c>
      <c r="B1069" s="2" t="n">
        <v>12</v>
      </c>
      <c r="C1069" s="2" t="s">
        <v>78</v>
      </c>
      <c r="D1069" s="2" t="s">
        <v>43</v>
      </c>
      <c r="E1069" s="2" t="str">
        <f aca="false">INDEX(Products!$B$2:$B$13,MATCH(D1069,Products!$A$2:$A$13,0))</f>
        <v>Hydroprocessing</v>
      </c>
      <c r="F1069" s="15" t="n">
        <v>20.2</v>
      </c>
      <c r="G1069" s="16" t="n">
        <f aca="false">IF(A1069="2025",INDEX(Products!$C$2:$C$13,MATCH(D1069,Products!$A$2:$A$13,0)),INDEX(Products!$E$2:$E$13,MATCH(D1069,Products!$A$2:$A$13,0)))</f>
        <v>11610</v>
      </c>
      <c r="H1069" s="13" t="n">
        <f aca="false">IF(A1069="2025",INDEX(Customers!$D$2:$D$41,MATCH(C1069,Customers!$A$2:$A$41,0)),INDEX(Customers!$F$2:$F$41,MATCH(C1069,Customers!$A$2:$A$41,0)))</f>
        <v>0.129</v>
      </c>
      <c r="I1069" s="16" t="n">
        <f aca="false">F1069*G1069</f>
        <v>234522</v>
      </c>
      <c r="J1069" s="16" t="n">
        <f aca="false">I1069*(1-H1069)</f>
        <v>204268.662</v>
      </c>
      <c r="K1069" s="16" t="n">
        <f aca="false">J1069*INDEX(Customers!$G$2:$G$41,MATCH(C1069,Customers!$A$2:$A$41,0))</f>
        <v>0</v>
      </c>
      <c r="L1069" s="16" t="n">
        <f aca="false">F1069*INDEX(Customers!$H$2:$H$41,MATCH(C1069,Customers!$A$2:$A$41,0))</f>
        <v>3434</v>
      </c>
      <c r="M1069" s="16" t="n">
        <f aca="false">J1069*INDEX(Customers!$I$2:$I$41,MATCH(C1069,Customers!$A$2:$A$41,0))/365*Assumptions!$B$6</f>
        <v>4029.4092230137</v>
      </c>
      <c r="N1069" s="16" t="n">
        <f aca="false">J1069-K1069-L1069-M1069</f>
        <v>196805.252776986</v>
      </c>
      <c r="O1069" s="16" t="n">
        <f aca="false">F1069*IF(A1069="2025",INDEX(Products!$D$2:$D$13,MATCH(D1069,Products!$A$2:$A$13,0)),INDEX(Products!$F$2:$F$13,MATCH(D1069,Products!$A$2:$A$13,0)))</f>
        <v>148268</v>
      </c>
      <c r="P1069" s="16" t="n">
        <f aca="false">N1069-O1069</f>
        <v>48537.2527769863</v>
      </c>
    </row>
    <row r="1070" customFormat="false" ht="15" hidden="false" customHeight="false" outlineLevel="0" collapsed="false">
      <c r="A1070" s="2" t="s">
        <v>119</v>
      </c>
      <c r="B1070" s="2" t="n">
        <v>1</v>
      </c>
      <c r="C1070" s="2" t="s">
        <v>78</v>
      </c>
      <c r="D1070" s="2" t="s">
        <v>43</v>
      </c>
      <c r="E1070" s="2" t="str">
        <f aca="false">INDEX(Products!$B$2:$B$13,MATCH(D1070,Products!$A$2:$A$13,0))</f>
        <v>Hydroprocessing</v>
      </c>
      <c r="F1070" s="15" t="n">
        <v>20.6</v>
      </c>
      <c r="G1070" s="16" t="n">
        <f aca="false">IF(A1070="2025",INDEX(Products!$C$2:$C$13,MATCH(D1070,Products!$A$2:$A$13,0)),INDEX(Products!$E$2:$E$13,MATCH(D1070,Products!$A$2:$A$13,0)))</f>
        <v>12190.5</v>
      </c>
      <c r="H1070" s="13" t="n">
        <f aca="false">IF(A1070="2025",INDEX(Customers!$D$2:$D$41,MATCH(C1070,Customers!$A$2:$A$41,0)),INDEX(Customers!$F$2:$F$41,MATCH(C1070,Customers!$A$2:$A$41,0)))</f>
        <v>0.129</v>
      </c>
      <c r="I1070" s="16" t="n">
        <f aca="false">F1070*G1070</f>
        <v>251124.3</v>
      </c>
      <c r="J1070" s="16" t="n">
        <f aca="false">I1070*(1-H1070)</f>
        <v>218729.2653</v>
      </c>
      <c r="K1070" s="16" t="n">
        <f aca="false">J1070*INDEX(Customers!$G$2:$G$41,MATCH(C1070,Customers!$A$2:$A$41,0))</f>
        <v>0</v>
      </c>
      <c r="L1070" s="16" t="n">
        <f aca="false">F1070*INDEX(Customers!$H$2:$H$41,MATCH(C1070,Customers!$A$2:$A$41,0))</f>
        <v>3502</v>
      </c>
      <c r="M1070" s="16" t="n">
        <f aca="false">J1070*INDEX(Customers!$I$2:$I$41,MATCH(C1070,Customers!$A$2:$A$41,0))/365*Assumptions!$B$6</f>
        <v>4314.65947989041</v>
      </c>
      <c r="N1070" s="16" t="n">
        <f aca="false">J1070-K1070-L1070-M1070</f>
        <v>210912.60582011</v>
      </c>
      <c r="O1070" s="16" t="n">
        <f aca="false">F1070*IF(A1070="2025",INDEX(Products!$D$2:$D$13,MATCH(D1070,Products!$A$2:$A$13,0)),INDEX(Products!$F$2:$F$13,MATCH(D1070,Products!$A$2:$A$13,0)))</f>
        <v>155740.12</v>
      </c>
      <c r="P1070" s="16" t="n">
        <f aca="false">N1070-O1070</f>
        <v>55172.4858201096</v>
      </c>
    </row>
    <row r="1071" customFormat="false" ht="15" hidden="false" customHeight="false" outlineLevel="0" collapsed="false">
      <c r="A1071" s="2" t="s">
        <v>119</v>
      </c>
      <c r="B1071" s="2" t="n">
        <v>2</v>
      </c>
      <c r="C1071" s="2" t="s">
        <v>78</v>
      </c>
      <c r="D1071" s="2" t="s">
        <v>43</v>
      </c>
      <c r="E1071" s="2" t="str">
        <f aca="false">INDEX(Products!$B$2:$B$13,MATCH(D1071,Products!$A$2:$A$13,0))</f>
        <v>Hydroprocessing</v>
      </c>
      <c r="F1071" s="15" t="n">
        <v>18.3</v>
      </c>
      <c r="G1071" s="16" t="n">
        <f aca="false">IF(A1071="2025",INDEX(Products!$C$2:$C$13,MATCH(D1071,Products!$A$2:$A$13,0)),INDEX(Products!$E$2:$E$13,MATCH(D1071,Products!$A$2:$A$13,0)))</f>
        <v>12190.5</v>
      </c>
      <c r="H1071" s="13" t="n">
        <f aca="false">IF(A1071="2025",INDEX(Customers!$D$2:$D$41,MATCH(C1071,Customers!$A$2:$A$41,0)),INDEX(Customers!$F$2:$F$41,MATCH(C1071,Customers!$A$2:$A$41,0)))</f>
        <v>0.129</v>
      </c>
      <c r="I1071" s="16" t="n">
        <f aca="false">F1071*G1071</f>
        <v>223086.15</v>
      </c>
      <c r="J1071" s="16" t="n">
        <f aca="false">I1071*(1-H1071)</f>
        <v>194308.03665</v>
      </c>
      <c r="K1071" s="16" t="n">
        <f aca="false">J1071*INDEX(Customers!$G$2:$G$41,MATCH(C1071,Customers!$A$2:$A$41,0))</f>
        <v>0</v>
      </c>
      <c r="L1071" s="16" t="n">
        <f aca="false">F1071*INDEX(Customers!$H$2:$H$41,MATCH(C1071,Customers!$A$2:$A$41,0))</f>
        <v>3111</v>
      </c>
      <c r="M1071" s="16" t="n">
        <f aca="false">J1071*INDEX(Customers!$I$2:$I$41,MATCH(C1071,Customers!$A$2:$A$41,0))/365*Assumptions!$B$6</f>
        <v>3832.92565446575</v>
      </c>
      <c r="N1071" s="16" t="n">
        <f aca="false">J1071-K1071-L1071-M1071</f>
        <v>187364.110995534</v>
      </c>
      <c r="O1071" s="16" t="n">
        <f aca="false">F1071*IF(A1071="2025",INDEX(Products!$D$2:$D$13,MATCH(D1071,Products!$A$2:$A$13,0)),INDEX(Products!$F$2:$F$13,MATCH(D1071,Products!$A$2:$A$13,0)))</f>
        <v>138351.66</v>
      </c>
      <c r="P1071" s="16" t="n">
        <f aca="false">N1071-O1071</f>
        <v>49012.4509955343</v>
      </c>
    </row>
    <row r="1072" customFormat="false" ht="15" hidden="false" customHeight="false" outlineLevel="0" collapsed="false">
      <c r="A1072" s="2" t="s">
        <v>119</v>
      </c>
      <c r="B1072" s="2" t="n">
        <v>3</v>
      </c>
      <c r="C1072" s="2" t="s">
        <v>78</v>
      </c>
      <c r="D1072" s="2" t="s">
        <v>43</v>
      </c>
      <c r="E1072" s="2" t="str">
        <f aca="false">INDEX(Products!$B$2:$B$13,MATCH(D1072,Products!$A$2:$A$13,0))</f>
        <v>Hydroprocessing</v>
      </c>
      <c r="F1072" s="15" t="n">
        <v>17.5</v>
      </c>
      <c r="G1072" s="16" t="n">
        <f aca="false">IF(A1072="2025",INDEX(Products!$C$2:$C$13,MATCH(D1072,Products!$A$2:$A$13,0)),INDEX(Products!$E$2:$E$13,MATCH(D1072,Products!$A$2:$A$13,0)))</f>
        <v>12190.5</v>
      </c>
      <c r="H1072" s="13" t="n">
        <f aca="false">IF(A1072="2025",INDEX(Customers!$D$2:$D$41,MATCH(C1072,Customers!$A$2:$A$41,0)),INDEX(Customers!$F$2:$F$41,MATCH(C1072,Customers!$A$2:$A$41,0)))</f>
        <v>0.129</v>
      </c>
      <c r="I1072" s="16" t="n">
        <f aca="false">F1072*G1072</f>
        <v>213333.75</v>
      </c>
      <c r="J1072" s="16" t="n">
        <f aca="false">I1072*(1-H1072)</f>
        <v>185813.69625</v>
      </c>
      <c r="K1072" s="16" t="n">
        <f aca="false">J1072*INDEX(Customers!$G$2:$G$41,MATCH(C1072,Customers!$A$2:$A$41,0))</f>
        <v>0</v>
      </c>
      <c r="L1072" s="16" t="n">
        <f aca="false">F1072*INDEX(Customers!$H$2:$H$41,MATCH(C1072,Customers!$A$2:$A$41,0))</f>
        <v>2975</v>
      </c>
      <c r="M1072" s="16" t="n">
        <f aca="false">J1072*INDEX(Customers!$I$2:$I$41,MATCH(C1072,Customers!$A$2:$A$41,0))/365*Assumptions!$B$6</f>
        <v>3665.3660630137</v>
      </c>
      <c r="N1072" s="16" t="n">
        <f aca="false">J1072-K1072-L1072-M1072</f>
        <v>179173.330186986</v>
      </c>
      <c r="O1072" s="16" t="n">
        <f aca="false">F1072*IF(A1072="2025",INDEX(Products!$D$2:$D$13,MATCH(D1072,Products!$A$2:$A$13,0)),INDEX(Products!$F$2:$F$13,MATCH(D1072,Products!$A$2:$A$13,0)))</f>
        <v>132303.5</v>
      </c>
      <c r="P1072" s="16" t="n">
        <f aca="false">N1072-O1072</f>
        <v>46869.8301869863</v>
      </c>
    </row>
    <row r="1073" customFormat="false" ht="15" hidden="false" customHeight="false" outlineLevel="0" collapsed="false">
      <c r="A1073" s="2" t="s">
        <v>119</v>
      </c>
      <c r="B1073" s="2" t="n">
        <v>4</v>
      </c>
      <c r="C1073" s="2" t="s">
        <v>78</v>
      </c>
      <c r="D1073" s="2" t="s">
        <v>43</v>
      </c>
      <c r="E1073" s="2" t="str">
        <f aca="false">INDEX(Products!$B$2:$B$13,MATCH(D1073,Products!$A$2:$A$13,0))</f>
        <v>Hydroprocessing</v>
      </c>
      <c r="F1073" s="15" t="n">
        <v>23.3</v>
      </c>
      <c r="G1073" s="16" t="n">
        <f aca="false">IF(A1073="2025",INDEX(Products!$C$2:$C$13,MATCH(D1073,Products!$A$2:$A$13,0)),INDEX(Products!$E$2:$E$13,MATCH(D1073,Products!$A$2:$A$13,0)))</f>
        <v>12190.5</v>
      </c>
      <c r="H1073" s="13" t="n">
        <f aca="false">IF(A1073="2025",INDEX(Customers!$D$2:$D$41,MATCH(C1073,Customers!$A$2:$A$41,0)),INDEX(Customers!$F$2:$F$41,MATCH(C1073,Customers!$A$2:$A$41,0)))</f>
        <v>0.129</v>
      </c>
      <c r="I1073" s="16" t="n">
        <f aca="false">F1073*G1073</f>
        <v>284038.65</v>
      </c>
      <c r="J1073" s="16" t="n">
        <f aca="false">I1073*(1-H1073)</f>
        <v>247397.66415</v>
      </c>
      <c r="K1073" s="16" t="n">
        <f aca="false">J1073*INDEX(Customers!$G$2:$G$41,MATCH(C1073,Customers!$A$2:$A$41,0))</f>
        <v>0</v>
      </c>
      <c r="L1073" s="16" t="n">
        <f aca="false">F1073*INDEX(Customers!$H$2:$H$41,MATCH(C1073,Customers!$A$2:$A$41,0))</f>
        <v>3961</v>
      </c>
      <c r="M1073" s="16" t="n">
        <f aca="false">J1073*INDEX(Customers!$I$2:$I$41,MATCH(C1073,Customers!$A$2:$A$41,0))/365*Assumptions!$B$6</f>
        <v>4880.1731010411</v>
      </c>
      <c r="N1073" s="16" t="n">
        <f aca="false">J1073-K1073-L1073-M1073</f>
        <v>238556.491048959</v>
      </c>
      <c r="O1073" s="16" t="n">
        <f aca="false">F1073*IF(A1073="2025",INDEX(Products!$D$2:$D$13,MATCH(D1073,Products!$A$2:$A$13,0)),INDEX(Products!$F$2:$F$13,MATCH(D1073,Products!$A$2:$A$13,0)))</f>
        <v>176152.66</v>
      </c>
      <c r="P1073" s="16" t="n">
        <f aca="false">N1073-O1073</f>
        <v>62403.8310489589</v>
      </c>
    </row>
    <row r="1074" customFormat="false" ht="15" hidden="false" customHeight="false" outlineLevel="0" collapsed="false">
      <c r="A1074" s="2" t="s">
        <v>119</v>
      </c>
      <c r="B1074" s="2" t="n">
        <v>5</v>
      </c>
      <c r="C1074" s="2" t="s">
        <v>78</v>
      </c>
      <c r="D1074" s="2" t="s">
        <v>43</v>
      </c>
      <c r="E1074" s="2" t="str">
        <f aca="false">INDEX(Products!$B$2:$B$13,MATCH(D1074,Products!$A$2:$A$13,0))</f>
        <v>Hydroprocessing</v>
      </c>
      <c r="F1074" s="15" t="n">
        <v>21.6</v>
      </c>
      <c r="G1074" s="16" t="n">
        <f aca="false">IF(A1074="2025",INDEX(Products!$C$2:$C$13,MATCH(D1074,Products!$A$2:$A$13,0)),INDEX(Products!$E$2:$E$13,MATCH(D1074,Products!$A$2:$A$13,0)))</f>
        <v>12190.5</v>
      </c>
      <c r="H1074" s="13" t="n">
        <f aca="false">IF(A1074="2025",INDEX(Customers!$D$2:$D$41,MATCH(C1074,Customers!$A$2:$A$41,0)),INDEX(Customers!$F$2:$F$41,MATCH(C1074,Customers!$A$2:$A$41,0)))</f>
        <v>0.129</v>
      </c>
      <c r="I1074" s="16" t="n">
        <f aca="false">F1074*G1074</f>
        <v>263314.8</v>
      </c>
      <c r="J1074" s="16" t="n">
        <f aca="false">I1074*(1-H1074)</f>
        <v>229347.1908</v>
      </c>
      <c r="K1074" s="16" t="n">
        <f aca="false">J1074*INDEX(Customers!$G$2:$G$41,MATCH(C1074,Customers!$A$2:$A$41,0))</f>
        <v>0</v>
      </c>
      <c r="L1074" s="16" t="n">
        <f aca="false">F1074*INDEX(Customers!$H$2:$H$41,MATCH(C1074,Customers!$A$2:$A$41,0))</f>
        <v>3672</v>
      </c>
      <c r="M1074" s="16" t="n">
        <f aca="false">J1074*INDEX(Customers!$I$2:$I$41,MATCH(C1074,Customers!$A$2:$A$41,0))/365*Assumptions!$B$6</f>
        <v>4524.10896920548</v>
      </c>
      <c r="N1074" s="16" t="n">
        <f aca="false">J1074-K1074-L1074-M1074</f>
        <v>221151.081830795</v>
      </c>
      <c r="O1074" s="16" t="n">
        <f aca="false">F1074*IF(A1074="2025",INDEX(Products!$D$2:$D$13,MATCH(D1074,Products!$A$2:$A$13,0)),INDEX(Products!$F$2:$F$13,MATCH(D1074,Products!$A$2:$A$13,0)))</f>
        <v>163300.32</v>
      </c>
      <c r="P1074" s="16" t="n">
        <f aca="false">N1074-O1074</f>
        <v>57850.7618307945</v>
      </c>
    </row>
    <row r="1075" customFormat="false" ht="15" hidden="false" customHeight="false" outlineLevel="0" collapsed="false">
      <c r="A1075" s="2" t="s">
        <v>119</v>
      </c>
      <c r="B1075" s="2" t="n">
        <v>6</v>
      </c>
      <c r="C1075" s="2" t="s">
        <v>78</v>
      </c>
      <c r="D1075" s="2" t="s">
        <v>43</v>
      </c>
      <c r="E1075" s="2" t="str">
        <f aca="false">INDEX(Products!$B$2:$B$13,MATCH(D1075,Products!$A$2:$A$13,0))</f>
        <v>Hydroprocessing</v>
      </c>
      <c r="F1075" s="15" t="n">
        <v>28.1</v>
      </c>
      <c r="G1075" s="16" t="n">
        <f aca="false">IF(A1075="2025",INDEX(Products!$C$2:$C$13,MATCH(D1075,Products!$A$2:$A$13,0)),INDEX(Products!$E$2:$E$13,MATCH(D1075,Products!$A$2:$A$13,0)))</f>
        <v>12190.5</v>
      </c>
      <c r="H1075" s="13" t="n">
        <f aca="false">IF(A1075="2025",INDEX(Customers!$D$2:$D$41,MATCH(C1075,Customers!$A$2:$A$41,0)),INDEX(Customers!$F$2:$F$41,MATCH(C1075,Customers!$A$2:$A$41,0)))</f>
        <v>0.129</v>
      </c>
      <c r="I1075" s="16" t="n">
        <f aca="false">F1075*G1075</f>
        <v>342553.05</v>
      </c>
      <c r="J1075" s="16" t="n">
        <f aca="false">I1075*(1-H1075)</f>
        <v>298363.70655</v>
      </c>
      <c r="K1075" s="16" t="n">
        <f aca="false">J1075*INDEX(Customers!$G$2:$G$41,MATCH(C1075,Customers!$A$2:$A$41,0))</f>
        <v>0</v>
      </c>
      <c r="L1075" s="16" t="n">
        <f aca="false">F1075*INDEX(Customers!$H$2:$H$41,MATCH(C1075,Customers!$A$2:$A$41,0))</f>
        <v>4777</v>
      </c>
      <c r="M1075" s="16" t="n">
        <f aca="false">J1075*INDEX(Customers!$I$2:$I$41,MATCH(C1075,Customers!$A$2:$A$41,0))/365*Assumptions!$B$6</f>
        <v>5885.53064975343</v>
      </c>
      <c r="N1075" s="16" t="n">
        <f aca="false">J1075-K1075-L1075-M1075</f>
        <v>287701.175900247</v>
      </c>
      <c r="O1075" s="16" t="n">
        <f aca="false">F1075*IF(A1075="2025",INDEX(Products!$D$2:$D$13,MATCH(D1075,Products!$A$2:$A$13,0)),INDEX(Products!$F$2:$F$13,MATCH(D1075,Products!$A$2:$A$13,0)))</f>
        <v>212441.62</v>
      </c>
      <c r="P1075" s="16" t="n">
        <f aca="false">N1075-O1075</f>
        <v>75259.5559002466</v>
      </c>
    </row>
    <row r="1076" customFormat="false" ht="15" hidden="false" customHeight="false" outlineLevel="0" collapsed="false">
      <c r="A1076" s="2" t="s">
        <v>119</v>
      </c>
      <c r="B1076" s="2" t="n">
        <v>7</v>
      </c>
      <c r="C1076" s="2" t="s">
        <v>78</v>
      </c>
      <c r="D1076" s="2" t="s">
        <v>43</v>
      </c>
      <c r="E1076" s="2" t="str">
        <f aca="false">INDEX(Products!$B$2:$B$13,MATCH(D1076,Products!$A$2:$A$13,0))</f>
        <v>Hydroprocessing</v>
      </c>
      <c r="F1076" s="15" t="n">
        <v>26.4</v>
      </c>
      <c r="G1076" s="16" t="n">
        <f aca="false">IF(A1076="2025",INDEX(Products!$C$2:$C$13,MATCH(D1076,Products!$A$2:$A$13,0)),INDEX(Products!$E$2:$E$13,MATCH(D1076,Products!$A$2:$A$13,0)))</f>
        <v>12190.5</v>
      </c>
      <c r="H1076" s="13" t="n">
        <f aca="false">IF(A1076="2025",INDEX(Customers!$D$2:$D$41,MATCH(C1076,Customers!$A$2:$A$41,0)),INDEX(Customers!$F$2:$F$41,MATCH(C1076,Customers!$A$2:$A$41,0)))</f>
        <v>0.129</v>
      </c>
      <c r="I1076" s="16" t="n">
        <f aca="false">F1076*G1076</f>
        <v>321829.2</v>
      </c>
      <c r="J1076" s="16" t="n">
        <f aca="false">I1076*(1-H1076)</f>
        <v>280313.2332</v>
      </c>
      <c r="K1076" s="16" t="n">
        <f aca="false">J1076*INDEX(Customers!$G$2:$G$41,MATCH(C1076,Customers!$A$2:$A$41,0))</f>
        <v>0</v>
      </c>
      <c r="L1076" s="16" t="n">
        <f aca="false">F1076*INDEX(Customers!$H$2:$H$41,MATCH(C1076,Customers!$A$2:$A$41,0))</f>
        <v>4488</v>
      </c>
      <c r="M1076" s="16" t="n">
        <f aca="false">J1076*INDEX(Customers!$I$2:$I$41,MATCH(C1076,Customers!$A$2:$A$41,0))/365*Assumptions!$B$6</f>
        <v>5529.46651791781</v>
      </c>
      <c r="N1076" s="16" t="n">
        <f aca="false">J1076-K1076-L1076-M1076</f>
        <v>270295.766682082</v>
      </c>
      <c r="O1076" s="16" t="n">
        <f aca="false">F1076*IF(A1076="2025",INDEX(Products!$D$2:$D$13,MATCH(D1076,Products!$A$2:$A$13,0)),INDEX(Products!$F$2:$F$13,MATCH(D1076,Products!$A$2:$A$13,0)))</f>
        <v>199589.28</v>
      </c>
      <c r="P1076" s="16" t="n">
        <f aca="false">N1076-O1076</f>
        <v>70706.4866820822</v>
      </c>
    </row>
    <row r="1077" customFormat="false" ht="15" hidden="false" customHeight="false" outlineLevel="0" collapsed="false">
      <c r="A1077" s="2" t="s">
        <v>119</v>
      </c>
      <c r="B1077" s="2" t="n">
        <v>8</v>
      </c>
      <c r="C1077" s="2" t="s">
        <v>78</v>
      </c>
      <c r="D1077" s="2" t="s">
        <v>43</v>
      </c>
      <c r="E1077" s="2" t="str">
        <f aca="false">INDEX(Products!$B$2:$B$13,MATCH(D1077,Products!$A$2:$A$13,0))</f>
        <v>Hydroprocessing</v>
      </c>
      <c r="F1077" s="15" t="n">
        <v>26.3</v>
      </c>
      <c r="G1077" s="16" t="n">
        <f aca="false">IF(A1077="2025",INDEX(Products!$C$2:$C$13,MATCH(D1077,Products!$A$2:$A$13,0)),INDEX(Products!$E$2:$E$13,MATCH(D1077,Products!$A$2:$A$13,0)))</f>
        <v>12190.5</v>
      </c>
      <c r="H1077" s="13" t="n">
        <f aca="false">IF(A1077="2025",INDEX(Customers!$D$2:$D$41,MATCH(C1077,Customers!$A$2:$A$41,0)),INDEX(Customers!$F$2:$F$41,MATCH(C1077,Customers!$A$2:$A$41,0)))</f>
        <v>0.129</v>
      </c>
      <c r="I1077" s="16" t="n">
        <f aca="false">F1077*G1077</f>
        <v>320610.15</v>
      </c>
      <c r="J1077" s="16" t="n">
        <f aca="false">I1077*(1-H1077)</f>
        <v>279251.44065</v>
      </c>
      <c r="K1077" s="16" t="n">
        <f aca="false">J1077*INDEX(Customers!$G$2:$G$41,MATCH(C1077,Customers!$A$2:$A$41,0))</f>
        <v>0</v>
      </c>
      <c r="L1077" s="16" t="n">
        <f aca="false">F1077*INDEX(Customers!$H$2:$H$41,MATCH(C1077,Customers!$A$2:$A$41,0))</f>
        <v>4471</v>
      </c>
      <c r="M1077" s="16" t="n">
        <f aca="false">J1077*INDEX(Customers!$I$2:$I$41,MATCH(C1077,Customers!$A$2:$A$41,0))/365*Assumptions!$B$6</f>
        <v>5508.5215689863</v>
      </c>
      <c r="N1077" s="16" t="n">
        <f aca="false">J1077-K1077-L1077-M1077</f>
        <v>269271.919081014</v>
      </c>
      <c r="O1077" s="16" t="n">
        <f aca="false">F1077*IF(A1077="2025",INDEX(Products!$D$2:$D$13,MATCH(D1077,Products!$A$2:$A$13,0)),INDEX(Products!$F$2:$F$13,MATCH(D1077,Products!$A$2:$A$13,0)))</f>
        <v>198833.26</v>
      </c>
      <c r="P1077" s="16" t="n">
        <f aca="false">N1077-O1077</f>
        <v>70438.6590810137</v>
      </c>
    </row>
    <row r="1078" customFormat="false" ht="15" hidden="false" customHeight="false" outlineLevel="0" collapsed="false">
      <c r="A1078" s="2" t="s">
        <v>119</v>
      </c>
      <c r="B1078" s="2" t="n">
        <v>9</v>
      </c>
      <c r="C1078" s="2" t="s">
        <v>78</v>
      </c>
      <c r="D1078" s="2" t="s">
        <v>43</v>
      </c>
      <c r="E1078" s="2" t="str">
        <f aca="false">INDEX(Products!$B$2:$B$13,MATCH(D1078,Products!$A$2:$A$13,0))</f>
        <v>Hydroprocessing</v>
      </c>
      <c r="F1078" s="15" t="n">
        <v>16.3</v>
      </c>
      <c r="G1078" s="16" t="n">
        <f aca="false">IF(A1078="2025",INDEX(Products!$C$2:$C$13,MATCH(D1078,Products!$A$2:$A$13,0)),INDEX(Products!$E$2:$E$13,MATCH(D1078,Products!$A$2:$A$13,0)))</f>
        <v>12190.5</v>
      </c>
      <c r="H1078" s="13" t="n">
        <f aca="false">IF(A1078="2025",INDEX(Customers!$D$2:$D$41,MATCH(C1078,Customers!$A$2:$A$41,0)),INDEX(Customers!$F$2:$F$41,MATCH(C1078,Customers!$A$2:$A$41,0)))</f>
        <v>0.129</v>
      </c>
      <c r="I1078" s="16" t="n">
        <f aca="false">F1078*G1078</f>
        <v>198705.15</v>
      </c>
      <c r="J1078" s="16" t="n">
        <f aca="false">I1078*(1-H1078)</f>
        <v>173072.18565</v>
      </c>
      <c r="K1078" s="16" t="n">
        <f aca="false">J1078*INDEX(Customers!$G$2:$G$41,MATCH(C1078,Customers!$A$2:$A$41,0))</f>
        <v>0</v>
      </c>
      <c r="L1078" s="16" t="n">
        <f aca="false">F1078*INDEX(Customers!$H$2:$H$41,MATCH(C1078,Customers!$A$2:$A$41,0))</f>
        <v>2771</v>
      </c>
      <c r="M1078" s="16" t="n">
        <f aca="false">J1078*INDEX(Customers!$I$2:$I$41,MATCH(C1078,Customers!$A$2:$A$41,0))/365*Assumptions!$B$6</f>
        <v>3414.02667583562</v>
      </c>
      <c r="N1078" s="16" t="n">
        <f aca="false">J1078-K1078-L1078-M1078</f>
        <v>166887.158974164</v>
      </c>
      <c r="O1078" s="16" t="n">
        <f aca="false">F1078*IF(A1078="2025",INDEX(Products!$D$2:$D$13,MATCH(D1078,Products!$A$2:$A$13,0)),INDEX(Products!$F$2:$F$13,MATCH(D1078,Products!$A$2:$A$13,0)))</f>
        <v>123231.26</v>
      </c>
      <c r="P1078" s="16" t="n">
        <f aca="false">N1078-O1078</f>
        <v>43655.8989741644</v>
      </c>
    </row>
    <row r="1079" customFormat="false" ht="15" hidden="false" customHeight="false" outlineLevel="0" collapsed="false">
      <c r="A1079" s="2" t="s">
        <v>119</v>
      </c>
      <c r="B1079" s="2" t="n">
        <v>10</v>
      </c>
      <c r="C1079" s="2" t="s">
        <v>78</v>
      </c>
      <c r="D1079" s="2" t="s">
        <v>43</v>
      </c>
      <c r="E1079" s="2" t="str">
        <f aca="false">INDEX(Products!$B$2:$B$13,MATCH(D1079,Products!$A$2:$A$13,0))</f>
        <v>Hydroprocessing</v>
      </c>
      <c r="F1079" s="15" t="n">
        <v>21.4</v>
      </c>
      <c r="G1079" s="16" t="n">
        <f aca="false">IF(A1079="2025",INDEX(Products!$C$2:$C$13,MATCH(D1079,Products!$A$2:$A$13,0)),INDEX(Products!$E$2:$E$13,MATCH(D1079,Products!$A$2:$A$13,0)))</f>
        <v>12190.5</v>
      </c>
      <c r="H1079" s="13" t="n">
        <f aca="false">IF(A1079="2025",INDEX(Customers!$D$2:$D$41,MATCH(C1079,Customers!$A$2:$A$41,0)),INDEX(Customers!$F$2:$F$41,MATCH(C1079,Customers!$A$2:$A$41,0)))</f>
        <v>0.129</v>
      </c>
      <c r="I1079" s="16" t="n">
        <f aca="false">F1079*G1079</f>
        <v>260876.7</v>
      </c>
      <c r="J1079" s="16" t="n">
        <f aca="false">I1079*(1-H1079)</f>
        <v>227223.6057</v>
      </c>
      <c r="K1079" s="16" t="n">
        <f aca="false">J1079*INDEX(Customers!$G$2:$G$41,MATCH(C1079,Customers!$A$2:$A$41,0))</f>
        <v>0</v>
      </c>
      <c r="L1079" s="16" t="n">
        <f aca="false">F1079*INDEX(Customers!$H$2:$H$41,MATCH(C1079,Customers!$A$2:$A$41,0))</f>
        <v>3638</v>
      </c>
      <c r="M1079" s="16" t="n">
        <f aca="false">J1079*INDEX(Customers!$I$2:$I$41,MATCH(C1079,Customers!$A$2:$A$41,0))/365*Assumptions!$B$6</f>
        <v>4482.21907134247</v>
      </c>
      <c r="N1079" s="16" t="n">
        <f aca="false">J1079-K1079-L1079-M1079</f>
        <v>219103.386628658</v>
      </c>
      <c r="O1079" s="16" t="n">
        <f aca="false">F1079*IF(A1079="2025",INDEX(Products!$D$2:$D$13,MATCH(D1079,Products!$A$2:$A$13,0)),INDEX(Products!$F$2:$F$13,MATCH(D1079,Products!$A$2:$A$13,0)))</f>
        <v>161788.28</v>
      </c>
      <c r="P1079" s="16" t="n">
        <f aca="false">N1079-O1079</f>
        <v>57315.1066286575</v>
      </c>
    </row>
    <row r="1080" customFormat="false" ht="15" hidden="false" customHeight="false" outlineLevel="0" collapsed="false">
      <c r="A1080" s="2" t="s">
        <v>119</v>
      </c>
      <c r="B1080" s="2" t="n">
        <v>11</v>
      </c>
      <c r="C1080" s="2" t="s">
        <v>78</v>
      </c>
      <c r="D1080" s="2" t="s">
        <v>43</v>
      </c>
      <c r="E1080" s="2" t="str">
        <f aca="false">INDEX(Products!$B$2:$B$13,MATCH(D1080,Products!$A$2:$A$13,0))</f>
        <v>Hydroprocessing</v>
      </c>
      <c r="F1080" s="15" t="n">
        <v>15.5</v>
      </c>
      <c r="G1080" s="16" t="n">
        <f aca="false">IF(A1080="2025",INDEX(Products!$C$2:$C$13,MATCH(D1080,Products!$A$2:$A$13,0)),INDEX(Products!$E$2:$E$13,MATCH(D1080,Products!$A$2:$A$13,0)))</f>
        <v>12190.5</v>
      </c>
      <c r="H1080" s="13" t="n">
        <f aca="false">IF(A1080="2025",INDEX(Customers!$D$2:$D$41,MATCH(C1080,Customers!$A$2:$A$41,0)),INDEX(Customers!$F$2:$F$41,MATCH(C1080,Customers!$A$2:$A$41,0)))</f>
        <v>0.129</v>
      </c>
      <c r="I1080" s="16" t="n">
        <f aca="false">F1080*G1080</f>
        <v>188952.75</v>
      </c>
      <c r="J1080" s="16" t="n">
        <f aca="false">I1080*(1-H1080)</f>
        <v>164577.84525</v>
      </c>
      <c r="K1080" s="16" t="n">
        <f aca="false">J1080*INDEX(Customers!$G$2:$G$41,MATCH(C1080,Customers!$A$2:$A$41,0))</f>
        <v>0</v>
      </c>
      <c r="L1080" s="16" t="n">
        <f aca="false">F1080*INDEX(Customers!$H$2:$H$41,MATCH(C1080,Customers!$A$2:$A$41,0))</f>
        <v>2635</v>
      </c>
      <c r="M1080" s="16" t="n">
        <f aca="false">J1080*INDEX(Customers!$I$2:$I$41,MATCH(C1080,Customers!$A$2:$A$41,0))/365*Assumptions!$B$6</f>
        <v>3246.46708438356</v>
      </c>
      <c r="N1080" s="16" t="n">
        <f aca="false">J1080-K1080-L1080-M1080</f>
        <v>158696.378165616</v>
      </c>
      <c r="O1080" s="16" t="n">
        <f aca="false">F1080*IF(A1080="2025",INDEX(Products!$D$2:$D$13,MATCH(D1080,Products!$A$2:$A$13,0)),INDEX(Products!$F$2:$F$13,MATCH(D1080,Products!$A$2:$A$13,0)))</f>
        <v>117183.1</v>
      </c>
      <c r="P1080" s="16" t="n">
        <f aca="false">N1080-O1080</f>
        <v>41513.2781656165</v>
      </c>
    </row>
    <row r="1081" customFormat="false" ht="15" hidden="false" customHeight="false" outlineLevel="0" collapsed="false">
      <c r="A1081" s="2" t="s">
        <v>119</v>
      </c>
      <c r="B1081" s="2" t="n">
        <v>12</v>
      </c>
      <c r="C1081" s="2" t="s">
        <v>78</v>
      </c>
      <c r="D1081" s="2" t="s">
        <v>43</v>
      </c>
      <c r="E1081" s="2" t="str">
        <f aca="false">INDEX(Products!$B$2:$B$13,MATCH(D1081,Products!$A$2:$A$13,0))</f>
        <v>Hydroprocessing</v>
      </c>
      <c r="F1081" s="15" t="n">
        <v>26.7</v>
      </c>
      <c r="G1081" s="16" t="n">
        <f aca="false">IF(A1081="2025",INDEX(Products!$C$2:$C$13,MATCH(D1081,Products!$A$2:$A$13,0)),INDEX(Products!$E$2:$E$13,MATCH(D1081,Products!$A$2:$A$13,0)))</f>
        <v>12190.5</v>
      </c>
      <c r="H1081" s="13" t="n">
        <f aca="false">IF(A1081="2025",INDEX(Customers!$D$2:$D$41,MATCH(C1081,Customers!$A$2:$A$41,0)),INDEX(Customers!$F$2:$F$41,MATCH(C1081,Customers!$A$2:$A$41,0)))</f>
        <v>0.129</v>
      </c>
      <c r="I1081" s="16" t="n">
        <f aca="false">F1081*G1081</f>
        <v>325486.35</v>
      </c>
      <c r="J1081" s="16" t="n">
        <f aca="false">I1081*(1-H1081)</f>
        <v>283498.61085</v>
      </c>
      <c r="K1081" s="16" t="n">
        <f aca="false">J1081*INDEX(Customers!$G$2:$G$41,MATCH(C1081,Customers!$A$2:$A$41,0))</f>
        <v>0</v>
      </c>
      <c r="L1081" s="16" t="n">
        <f aca="false">F1081*INDEX(Customers!$H$2:$H$41,MATCH(C1081,Customers!$A$2:$A$41,0))</f>
        <v>4539</v>
      </c>
      <c r="M1081" s="16" t="n">
        <f aca="false">J1081*INDEX(Customers!$I$2:$I$41,MATCH(C1081,Customers!$A$2:$A$41,0))/365*Assumptions!$B$6</f>
        <v>5592.30136471233</v>
      </c>
      <c r="N1081" s="16" t="n">
        <f aca="false">J1081-K1081-L1081-M1081</f>
        <v>273367.309485288</v>
      </c>
      <c r="O1081" s="16" t="n">
        <f aca="false">F1081*IF(A1081="2025",INDEX(Products!$D$2:$D$13,MATCH(D1081,Products!$A$2:$A$13,0)),INDEX(Products!$F$2:$F$13,MATCH(D1081,Products!$A$2:$A$13,0)))</f>
        <v>201857.34</v>
      </c>
      <c r="P1081" s="16" t="n">
        <f aca="false">N1081-O1081</f>
        <v>71509.9694852877</v>
      </c>
    </row>
    <row r="1082" customFormat="false" ht="15" hidden="false" customHeight="false" outlineLevel="0" collapsed="false">
      <c r="A1082" s="2" t="s">
        <v>118</v>
      </c>
      <c r="B1082" s="2" t="n">
        <v>1</v>
      </c>
      <c r="C1082" s="2" t="s">
        <v>78</v>
      </c>
      <c r="D1082" s="2" t="s">
        <v>48</v>
      </c>
      <c r="E1082" s="2" t="str">
        <f aca="false">INDEX(Products!$B$2:$B$13,MATCH(D1082,Products!$A$2:$A$13,0))</f>
        <v>Specialty</v>
      </c>
      <c r="F1082" s="15" t="n">
        <v>8.7</v>
      </c>
      <c r="G1082" s="16" t="n">
        <f aca="false">IF(A1082="2025",INDEX(Products!$C$2:$C$13,MATCH(D1082,Products!$A$2:$A$13,0)),INDEX(Products!$E$2:$E$13,MATCH(D1082,Products!$A$2:$A$13,0)))</f>
        <v>33260</v>
      </c>
      <c r="H1082" s="13" t="n">
        <f aca="false">IF(A1082="2025",INDEX(Customers!$D$2:$D$41,MATCH(C1082,Customers!$A$2:$A$41,0)),INDEX(Customers!$F$2:$F$41,MATCH(C1082,Customers!$A$2:$A$41,0)))</f>
        <v>0.129</v>
      </c>
      <c r="I1082" s="16" t="n">
        <f aca="false">F1082*G1082</f>
        <v>289362</v>
      </c>
      <c r="J1082" s="16" t="n">
        <f aca="false">I1082*(1-H1082)</f>
        <v>252034.302</v>
      </c>
      <c r="K1082" s="16" t="n">
        <f aca="false">J1082*INDEX(Customers!$G$2:$G$41,MATCH(C1082,Customers!$A$2:$A$41,0))</f>
        <v>0</v>
      </c>
      <c r="L1082" s="16" t="n">
        <f aca="false">F1082*INDEX(Customers!$H$2:$H$41,MATCH(C1082,Customers!$A$2:$A$41,0))</f>
        <v>1479</v>
      </c>
      <c r="M1082" s="16" t="n">
        <f aca="false">J1082*INDEX(Customers!$I$2:$I$41,MATCH(C1082,Customers!$A$2:$A$41,0))/365*Assumptions!$B$6</f>
        <v>4971.63554630137</v>
      </c>
      <c r="N1082" s="16" t="n">
        <f aca="false">J1082-K1082-L1082-M1082</f>
        <v>245583.666453699</v>
      </c>
      <c r="O1082" s="16" t="n">
        <f aca="false">F1082*IF(A1082="2025",INDEX(Products!$D$2:$D$13,MATCH(D1082,Products!$A$2:$A$13,0)),INDEX(Products!$F$2:$F$13,MATCH(D1082,Products!$A$2:$A$13,0)))</f>
        <v>130674</v>
      </c>
      <c r="P1082" s="16" t="n">
        <f aca="false">N1082-O1082</f>
        <v>114909.666453699</v>
      </c>
    </row>
    <row r="1083" customFormat="false" ht="15" hidden="false" customHeight="false" outlineLevel="0" collapsed="false">
      <c r="A1083" s="2" t="s">
        <v>118</v>
      </c>
      <c r="B1083" s="2" t="n">
        <v>2</v>
      </c>
      <c r="C1083" s="2" t="s">
        <v>78</v>
      </c>
      <c r="D1083" s="2" t="s">
        <v>48</v>
      </c>
      <c r="E1083" s="2" t="str">
        <f aca="false">INDEX(Products!$B$2:$B$13,MATCH(D1083,Products!$A$2:$A$13,0))</f>
        <v>Specialty</v>
      </c>
      <c r="F1083" s="15" t="n">
        <v>9.8</v>
      </c>
      <c r="G1083" s="16" t="n">
        <f aca="false">IF(A1083="2025",INDEX(Products!$C$2:$C$13,MATCH(D1083,Products!$A$2:$A$13,0)),INDEX(Products!$E$2:$E$13,MATCH(D1083,Products!$A$2:$A$13,0)))</f>
        <v>33260</v>
      </c>
      <c r="H1083" s="13" t="n">
        <f aca="false">IF(A1083="2025",INDEX(Customers!$D$2:$D$41,MATCH(C1083,Customers!$A$2:$A$41,0)),INDEX(Customers!$F$2:$F$41,MATCH(C1083,Customers!$A$2:$A$41,0)))</f>
        <v>0.129</v>
      </c>
      <c r="I1083" s="16" t="n">
        <f aca="false">F1083*G1083</f>
        <v>325948</v>
      </c>
      <c r="J1083" s="16" t="n">
        <f aca="false">I1083*(1-H1083)</f>
        <v>283900.708</v>
      </c>
      <c r="K1083" s="16" t="n">
        <f aca="false">J1083*INDEX(Customers!$G$2:$G$41,MATCH(C1083,Customers!$A$2:$A$41,0))</f>
        <v>0</v>
      </c>
      <c r="L1083" s="16" t="n">
        <f aca="false">F1083*INDEX(Customers!$H$2:$H$41,MATCH(C1083,Customers!$A$2:$A$41,0))</f>
        <v>1666</v>
      </c>
      <c r="M1083" s="16" t="n">
        <f aca="false">J1083*INDEX(Customers!$I$2:$I$41,MATCH(C1083,Customers!$A$2:$A$41,0))/365*Assumptions!$B$6</f>
        <v>5600.23314410959</v>
      </c>
      <c r="N1083" s="16" t="n">
        <f aca="false">J1083-K1083-L1083-M1083</f>
        <v>276634.47485589</v>
      </c>
      <c r="O1083" s="16" t="n">
        <f aca="false">F1083*IF(A1083="2025",INDEX(Products!$D$2:$D$13,MATCH(D1083,Products!$A$2:$A$13,0)),INDEX(Products!$F$2:$F$13,MATCH(D1083,Products!$A$2:$A$13,0)))</f>
        <v>147196</v>
      </c>
      <c r="P1083" s="16" t="n">
        <f aca="false">N1083-O1083</f>
        <v>129438.47485589</v>
      </c>
    </row>
    <row r="1084" customFormat="false" ht="15" hidden="false" customHeight="false" outlineLevel="0" collapsed="false">
      <c r="A1084" s="2" t="s">
        <v>118</v>
      </c>
      <c r="B1084" s="2" t="n">
        <v>3</v>
      </c>
      <c r="C1084" s="2" t="s">
        <v>78</v>
      </c>
      <c r="D1084" s="2" t="s">
        <v>48</v>
      </c>
      <c r="E1084" s="2" t="str">
        <f aca="false">INDEX(Products!$B$2:$B$13,MATCH(D1084,Products!$A$2:$A$13,0))</f>
        <v>Specialty</v>
      </c>
      <c r="F1084" s="15" t="n">
        <v>8.6</v>
      </c>
      <c r="G1084" s="16" t="n">
        <f aca="false">IF(A1084="2025",INDEX(Products!$C$2:$C$13,MATCH(D1084,Products!$A$2:$A$13,0)),INDEX(Products!$E$2:$E$13,MATCH(D1084,Products!$A$2:$A$13,0)))</f>
        <v>33260</v>
      </c>
      <c r="H1084" s="13" t="n">
        <f aca="false">IF(A1084="2025",INDEX(Customers!$D$2:$D$41,MATCH(C1084,Customers!$A$2:$A$41,0)),INDEX(Customers!$F$2:$F$41,MATCH(C1084,Customers!$A$2:$A$41,0)))</f>
        <v>0.129</v>
      </c>
      <c r="I1084" s="16" t="n">
        <f aca="false">F1084*G1084</f>
        <v>286036</v>
      </c>
      <c r="J1084" s="16" t="n">
        <f aca="false">I1084*(1-H1084)</f>
        <v>249137.356</v>
      </c>
      <c r="K1084" s="16" t="n">
        <f aca="false">J1084*INDEX(Customers!$G$2:$G$41,MATCH(C1084,Customers!$A$2:$A$41,0))</f>
        <v>0</v>
      </c>
      <c r="L1084" s="16" t="n">
        <f aca="false">F1084*INDEX(Customers!$H$2:$H$41,MATCH(C1084,Customers!$A$2:$A$41,0))</f>
        <v>1462</v>
      </c>
      <c r="M1084" s="16" t="n">
        <f aca="false">J1084*INDEX(Customers!$I$2:$I$41,MATCH(C1084,Customers!$A$2:$A$41,0))/365*Assumptions!$B$6</f>
        <v>4914.49031013699</v>
      </c>
      <c r="N1084" s="16" t="n">
        <f aca="false">J1084-K1084-L1084-M1084</f>
        <v>242760.865689863</v>
      </c>
      <c r="O1084" s="16" t="n">
        <f aca="false">F1084*IF(A1084="2025",INDEX(Products!$D$2:$D$13,MATCH(D1084,Products!$A$2:$A$13,0)),INDEX(Products!$F$2:$F$13,MATCH(D1084,Products!$A$2:$A$13,0)))</f>
        <v>129172</v>
      </c>
      <c r="P1084" s="16" t="n">
        <f aca="false">N1084-O1084</f>
        <v>113588.865689863</v>
      </c>
    </row>
    <row r="1085" customFormat="false" ht="15" hidden="false" customHeight="false" outlineLevel="0" collapsed="false">
      <c r="A1085" s="2" t="s">
        <v>118</v>
      </c>
      <c r="B1085" s="2" t="n">
        <v>4</v>
      </c>
      <c r="C1085" s="2" t="s">
        <v>78</v>
      </c>
      <c r="D1085" s="2" t="s">
        <v>48</v>
      </c>
      <c r="E1085" s="2" t="str">
        <f aca="false">INDEX(Products!$B$2:$B$13,MATCH(D1085,Products!$A$2:$A$13,0))</f>
        <v>Specialty</v>
      </c>
      <c r="F1085" s="15" t="n">
        <v>7.7</v>
      </c>
      <c r="G1085" s="16" t="n">
        <f aca="false">IF(A1085="2025",INDEX(Products!$C$2:$C$13,MATCH(D1085,Products!$A$2:$A$13,0)),INDEX(Products!$E$2:$E$13,MATCH(D1085,Products!$A$2:$A$13,0)))</f>
        <v>33260</v>
      </c>
      <c r="H1085" s="13" t="n">
        <f aca="false">IF(A1085="2025",INDEX(Customers!$D$2:$D$41,MATCH(C1085,Customers!$A$2:$A$41,0)),INDEX(Customers!$F$2:$F$41,MATCH(C1085,Customers!$A$2:$A$41,0)))</f>
        <v>0.129</v>
      </c>
      <c r="I1085" s="16" t="n">
        <f aca="false">F1085*G1085</f>
        <v>256102</v>
      </c>
      <c r="J1085" s="16" t="n">
        <f aca="false">I1085*(1-H1085)</f>
        <v>223064.842</v>
      </c>
      <c r="K1085" s="16" t="n">
        <f aca="false">J1085*INDEX(Customers!$G$2:$G$41,MATCH(C1085,Customers!$A$2:$A$41,0))</f>
        <v>0</v>
      </c>
      <c r="L1085" s="16" t="n">
        <f aca="false">F1085*INDEX(Customers!$H$2:$H$41,MATCH(C1085,Customers!$A$2:$A$41,0))</f>
        <v>1309</v>
      </c>
      <c r="M1085" s="16" t="n">
        <f aca="false">J1085*INDEX(Customers!$I$2:$I$41,MATCH(C1085,Customers!$A$2:$A$41,0))/365*Assumptions!$B$6</f>
        <v>4400.18318465754</v>
      </c>
      <c r="N1085" s="16" t="n">
        <f aca="false">J1085-K1085-L1085-M1085</f>
        <v>217355.658815342</v>
      </c>
      <c r="O1085" s="16" t="n">
        <f aca="false">F1085*IF(A1085="2025",INDEX(Products!$D$2:$D$13,MATCH(D1085,Products!$A$2:$A$13,0)),INDEX(Products!$F$2:$F$13,MATCH(D1085,Products!$A$2:$A$13,0)))</f>
        <v>115654</v>
      </c>
      <c r="P1085" s="16" t="n">
        <f aca="false">N1085-O1085</f>
        <v>101701.658815342</v>
      </c>
    </row>
    <row r="1086" customFormat="false" ht="15" hidden="false" customHeight="false" outlineLevel="0" collapsed="false">
      <c r="A1086" s="2" t="s">
        <v>118</v>
      </c>
      <c r="B1086" s="2" t="n">
        <v>5</v>
      </c>
      <c r="C1086" s="2" t="s">
        <v>78</v>
      </c>
      <c r="D1086" s="2" t="s">
        <v>48</v>
      </c>
      <c r="E1086" s="2" t="str">
        <f aca="false">INDEX(Products!$B$2:$B$13,MATCH(D1086,Products!$A$2:$A$13,0))</f>
        <v>Specialty</v>
      </c>
      <c r="F1086" s="15" t="n">
        <v>13</v>
      </c>
      <c r="G1086" s="16" t="n">
        <f aca="false">IF(A1086="2025",INDEX(Products!$C$2:$C$13,MATCH(D1086,Products!$A$2:$A$13,0)),INDEX(Products!$E$2:$E$13,MATCH(D1086,Products!$A$2:$A$13,0)))</f>
        <v>33260</v>
      </c>
      <c r="H1086" s="13" t="n">
        <f aca="false">IF(A1086="2025",INDEX(Customers!$D$2:$D$41,MATCH(C1086,Customers!$A$2:$A$41,0)),INDEX(Customers!$F$2:$F$41,MATCH(C1086,Customers!$A$2:$A$41,0)))</f>
        <v>0.129</v>
      </c>
      <c r="I1086" s="16" t="n">
        <f aca="false">F1086*G1086</f>
        <v>432380</v>
      </c>
      <c r="J1086" s="16" t="n">
        <f aca="false">I1086*(1-H1086)</f>
        <v>376602.98</v>
      </c>
      <c r="K1086" s="16" t="n">
        <f aca="false">J1086*INDEX(Customers!$G$2:$G$41,MATCH(C1086,Customers!$A$2:$A$41,0))</f>
        <v>0</v>
      </c>
      <c r="L1086" s="16" t="n">
        <f aca="false">F1086*INDEX(Customers!$H$2:$H$41,MATCH(C1086,Customers!$A$2:$A$41,0))</f>
        <v>2210</v>
      </c>
      <c r="M1086" s="16" t="n">
        <f aca="false">J1086*INDEX(Customers!$I$2:$I$41,MATCH(C1086,Customers!$A$2:$A$41,0))/365*Assumptions!$B$6</f>
        <v>7428.88070136986</v>
      </c>
      <c r="N1086" s="16" t="n">
        <f aca="false">J1086-K1086-L1086-M1086</f>
        <v>366964.09929863</v>
      </c>
      <c r="O1086" s="16" t="n">
        <f aca="false">F1086*IF(A1086="2025",INDEX(Products!$D$2:$D$13,MATCH(D1086,Products!$A$2:$A$13,0)),INDEX(Products!$F$2:$F$13,MATCH(D1086,Products!$A$2:$A$13,0)))</f>
        <v>195260</v>
      </c>
      <c r="P1086" s="16" t="n">
        <f aca="false">N1086-O1086</f>
        <v>171704.09929863</v>
      </c>
    </row>
    <row r="1087" customFormat="false" ht="15" hidden="false" customHeight="false" outlineLevel="0" collapsed="false">
      <c r="A1087" s="2" t="s">
        <v>118</v>
      </c>
      <c r="B1087" s="2" t="n">
        <v>6</v>
      </c>
      <c r="C1087" s="2" t="s">
        <v>78</v>
      </c>
      <c r="D1087" s="2" t="s">
        <v>48</v>
      </c>
      <c r="E1087" s="2" t="str">
        <f aca="false">INDEX(Products!$B$2:$B$13,MATCH(D1087,Products!$A$2:$A$13,0))</f>
        <v>Specialty</v>
      </c>
      <c r="F1087" s="15" t="n">
        <v>10.6</v>
      </c>
      <c r="G1087" s="16" t="n">
        <f aca="false">IF(A1087="2025",INDEX(Products!$C$2:$C$13,MATCH(D1087,Products!$A$2:$A$13,0)),INDEX(Products!$E$2:$E$13,MATCH(D1087,Products!$A$2:$A$13,0)))</f>
        <v>33260</v>
      </c>
      <c r="H1087" s="13" t="n">
        <f aca="false">IF(A1087="2025",INDEX(Customers!$D$2:$D$41,MATCH(C1087,Customers!$A$2:$A$41,0)),INDEX(Customers!$F$2:$F$41,MATCH(C1087,Customers!$A$2:$A$41,0)))</f>
        <v>0.129</v>
      </c>
      <c r="I1087" s="16" t="n">
        <f aca="false">F1087*G1087</f>
        <v>352556</v>
      </c>
      <c r="J1087" s="16" t="n">
        <f aca="false">I1087*(1-H1087)</f>
        <v>307076.276</v>
      </c>
      <c r="K1087" s="16" t="n">
        <f aca="false">J1087*INDEX(Customers!$G$2:$G$41,MATCH(C1087,Customers!$A$2:$A$41,0))</f>
        <v>0</v>
      </c>
      <c r="L1087" s="16" t="n">
        <f aca="false">F1087*INDEX(Customers!$H$2:$H$41,MATCH(C1087,Customers!$A$2:$A$41,0))</f>
        <v>1802</v>
      </c>
      <c r="M1087" s="16" t="n">
        <f aca="false">J1087*INDEX(Customers!$I$2:$I$41,MATCH(C1087,Customers!$A$2:$A$41,0))/365*Assumptions!$B$6</f>
        <v>6057.39503342466</v>
      </c>
      <c r="N1087" s="16" t="n">
        <f aca="false">J1087-K1087-L1087-M1087</f>
        <v>299216.880966575</v>
      </c>
      <c r="O1087" s="16" t="n">
        <f aca="false">F1087*IF(A1087="2025",INDEX(Products!$D$2:$D$13,MATCH(D1087,Products!$A$2:$A$13,0)),INDEX(Products!$F$2:$F$13,MATCH(D1087,Products!$A$2:$A$13,0)))</f>
        <v>159212</v>
      </c>
      <c r="P1087" s="16" t="n">
        <f aca="false">N1087-O1087</f>
        <v>140004.880966575</v>
      </c>
    </row>
    <row r="1088" customFormat="false" ht="15" hidden="false" customHeight="false" outlineLevel="0" collapsed="false">
      <c r="A1088" s="2" t="s">
        <v>118</v>
      </c>
      <c r="B1088" s="2" t="n">
        <v>7</v>
      </c>
      <c r="C1088" s="2" t="s">
        <v>78</v>
      </c>
      <c r="D1088" s="2" t="s">
        <v>48</v>
      </c>
      <c r="E1088" s="2" t="str">
        <f aca="false">INDEX(Products!$B$2:$B$13,MATCH(D1088,Products!$A$2:$A$13,0))</f>
        <v>Specialty</v>
      </c>
      <c r="F1088" s="15" t="n">
        <v>9.9</v>
      </c>
      <c r="G1088" s="16" t="n">
        <f aca="false">IF(A1088="2025",INDEX(Products!$C$2:$C$13,MATCH(D1088,Products!$A$2:$A$13,0)),INDEX(Products!$E$2:$E$13,MATCH(D1088,Products!$A$2:$A$13,0)))</f>
        <v>33260</v>
      </c>
      <c r="H1088" s="13" t="n">
        <f aca="false">IF(A1088="2025",INDEX(Customers!$D$2:$D$41,MATCH(C1088,Customers!$A$2:$A$41,0)),INDEX(Customers!$F$2:$F$41,MATCH(C1088,Customers!$A$2:$A$41,0)))</f>
        <v>0.129</v>
      </c>
      <c r="I1088" s="16" t="n">
        <f aca="false">F1088*G1088</f>
        <v>329274</v>
      </c>
      <c r="J1088" s="16" t="n">
        <f aca="false">I1088*(1-H1088)</f>
        <v>286797.654</v>
      </c>
      <c r="K1088" s="16" t="n">
        <f aca="false">J1088*INDEX(Customers!$G$2:$G$41,MATCH(C1088,Customers!$A$2:$A$41,0))</f>
        <v>0</v>
      </c>
      <c r="L1088" s="16" t="n">
        <f aca="false">F1088*INDEX(Customers!$H$2:$H$41,MATCH(C1088,Customers!$A$2:$A$41,0))</f>
        <v>1683</v>
      </c>
      <c r="M1088" s="16" t="n">
        <f aca="false">J1088*INDEX(Customers!$I$2:$I$41,MATCH(C1088,Customers!$A$2:$A$41,0))/365*Assumptions!$B$6</f>
        <v>5657.37838027397</v>
      </c>
      <c r="N1088" s="16" t="n">
        <f aca="false">J1088-K1088-L1088-M1088</f>
        <v>279457.275619726</v>
      </c>
      <c r="O1088" s="16" t="n">
        <f aca="false">F1088*IF(A1088="2025",INDEX(Products!$D$2:$D$13,MATCH(D1088,Products!$A$2:$A$13,0)),INDEX(Products!$F$2:$F$13,MATCH(D1088,Products!$A$2:$A$13,0)))</f>
        <v>148698</v>
      </c>
      <c r="P1088" s="16" t="n">
        <f aca="false">N1088-O1088</f>
        <v>130759.275619726</v>
      </c>
    </row>
    <row r="1089" customFormat="false" ht="15" hidden="false" customHeight="false" outlineLevel="0" collapsed="false">
      <c r="A1089" s="2" t="s">
        <v>118</v>
      </c>
      <c r="B1089" s="2" t="n">
        <v>8</v>
      </c>
      <c r="C1089" s="2" t="s">
        <v>78</v>
      </c>
      <c r="D1089" s="2" t="s">
        <v>48</v>
      </c>
      <c r="E1089" s="2" t="str">
        <f aca="false">INDEX(Products!$B$2:$B$13,MATCH(D1089,Products!$A$2:$A$13,0))</f>
        <v>Specialty</v>
      </c>
      <c r="F1089" s="15" t="n">
        <v>11.9</v>
      </c>
      <c r="G1089" s="16" t="n">
        <f aca="false">IF(A1089="2025",INDEX(Products!$C$2:$C$13,MATCH(D1089,Products!$A$2:$A$13,0)),INDEX(Products!$E$2:$E$13,MATCH(D1089,Products!$A$2:$A$13,0)))</f>
        <v>33260</v>
      </c>
      <c r="H1089" s="13" t="n">
        <f aca="false">IF(A1089="2025",INDEX(Customers!$D$2:$D$41,MATCH(C1089,Customers!$A$2:$A$41,0)),INDEX(Customers!$F$2:$F$41,MATCH(C1089,Customers!$A$2:$A$41,0)))</f>
        <v>0.129</v>
      </c>
      <c r="I1089" s="16" t="n">
        <f aca="false">F1089*G1089</f>
        <v>395794</v>
      </c>
      <c r="J1089" s="16" t="n">
        <f aca="false">I1089*(1-H1089)</f>
        <v>344736.574</v>
      </c>
      <c r="K1089" s="16" t="n">
        <f aca="false">J1089*INDEX(Customers!$G$2:$G$41,MATCH(C1089,Customers!$A$2:$A$41,0))</f>
        <v>0</v>
      </c>
      <c r="L1089" s="16" t="n">
        <f aca="false">F1089*INDEX(Customers!$H$2:$H$41,MATCH(C1089,Customers!$A$2:$A$41,0))</f>
        <v>2023</v>
      </c>
      <c r="M1089" s="16" t="n">
        <f aca="false">J1089*INDEX(Customers!$I$2:$I$41,MATCH(C1089,Customers!$A$2:$A$41,0))/365*Assumptions!$B$6</f>
        <v>6800.28310356165</v>
      </c>
      <c r="N1089" s="16" t="n">
        <f aca="false">J1089-K1089-L1089-M1089</f>
        <v>335913.290896438</v>
      </c>
      <c r="O1089" s="16" t="n">
        <f aca="false">F1089*IF(A1089="2025",INDEX(Products!$D$2:$D$13,MATCH(D1089,Products!$A$2:$A$13,0)),INDEX(Products!$F$2:$F$13,MATCH(D1089,Products!$A$2:$A$13,0)))</f>
        <v>178738</v>
      </c>
      <c r="P1089" s="16" t="n">
        <f aca="false">N1089-O1089</f>
        <v>157175.290896438</v>
      </c>
    </row>
    <row r="1090" customFormat="false" ht="15" hidden="false" customHeight="false" outlineLevel="0" collapsed="false">
      <c r="A1090" s="2" t="s">
        <v>118</v>
      </c>
      <c r="B1090" s="2" t="n">
        <v>9</v>
      </c>
      <c r="C1090" s="2" t="s">
        <v>78</v>
      </c>
      <c r="D1090" s="2" t="s">
        <v>48</v>
      </c>
      <c r="E1090" s="2" t="str">
        <f aca="false">INDEX(Products!$B$2:$B$13,MATCH(D1090,Products!$A$2:$A$13,0))</f>
        <v>Specialty</v>
      </c>
      <c r="F1090" s="15" t="n">
        <v>10.1</v>
      </c>
      <c r="G1090" s="16" t="n">
        <f aca="false">IF(A1090="2025",INDEX(Products!$C$2:$C$13,MATCH(D1090,Products!$A$2:$A$13,0)),INDEX(Products!$E$2:$E$13,MATCH(D1090,Products!$A$2:$A$13,0)))</f>
        <v>33260</v>
      </c>
      <c r="H1090" s="13" t="n">
        <f aca="false">IF(A1090="2025",INDEX(Customers!$D$2:$D$41,MATCH(C1090,Customers!$A$2:$A$41,0)),INDEX(Customers!$F$2:$F$41,MATCH(C1090,Customers!$A$2:$A$41,0)))</f>
        <v>0.129</v>
      </c>
      <c r="I1090" s="16" t="n">
        <f aca="false">F1090*G1090</f>
        <v>335926</v>
      </c>
      <c r="J1090" s="16" t="n">
        <f aca="false">I1090*(1-H1090)</f>
        <v>292591.546</v>
      </c>
      <c r="K1090" s="16" t="n">
        <f aca="false">J1090*INDEX(Customers!$G$2:$G$41,MATCH(C1090,Customers!$A$2:$A$41,0))</f>
        <v>0</v>
      </c>
      <c r="L1090" s="16" t="n">
        <f aca="false">F1090*INDEX(Customers!$H$2:$H$41,MATCH(C1090,Customers!$A$2:$A$41,0))</f>
        <v>1717</v>
      </c>
      <c r="M1090" s="16" t="n">
        <f aca="false">J1090*INDEX(Customers!$I$2:$I$41,MATCH(C1090,Customers!$A$2:$A$41,0))/365*Assumptions!$B$6</f>
        <v>5771.66885260274</v>
      </c>
      <c r="N1090" s="16" t="n">
        <f aca="false">J1090-K1090-L1090-M1090</f>
        <v>285102.877147397</v>
      </c>
      <c r="O1090" s="16" t="n">
        <f aca="false">F1090*IF(A1090="2025",INDEX(Products!$D$2:$D$13,MATCH(D1090,Products!$A$2:$A$13,0)),INDEX(Products!$F$2:$F$13,MATCH(D1090,Products!$A$2:$A$13,0)))</f>
        <v>151702</v>
      </c>
      <c r="P1090" s="16" t="n">
        <f aca="false">N1090-O1090</f>
        <v>133400.877147397</v>
      </c>
    </row>
    <row r="1091" customFormat="false" ht="15" hidden="false" customHeight="false" outlineLevel="0" collapsed="false">
      <c r="A1091" s="2" t="s">
        <v>118</v>
      </c>
      <c r="B1091" s="2" t="n">
        <v>10</v>
      </c>
      <c r="C1091" s="2" t="s">
        <v>78</v>
      </c>
      <c r="D1091" s="2" t="s">
        <v>48</v>
      </c>
      <c r="E1091" s="2" t="str">
        <f aca="false">INDEX(Products!$B$2:$B$13,MATCH(D1091,Products!$A$2:$A$13,0))</f>
        <v>Specialty</v>
      </c>
      <c r="F1091" s="15" t="n">
        <v>12.3</v>
      </c>
      <c r="G1091" s="16" t="n">
        <f aca="false">IF(A1091="2025",INDEX(Products!$C$2:$C$13,MATCH(D1091,Products!$A$2:$A$13,0)),INDEX(Products!$E$2:$E$13,MATCH(D1091,Products!$A$2:$A$13,0)))</f>
        <v>33260</v>
      </c>
      <c r="H1091" s="13" t="n">
        <f aca="false">IF(A1091="2025",INDEX(Customers!$D$2:$D$41,MATCH(C1091,Customers!$A$2:$A$41,0)),INDEX(Customers!$F$2:$F$41,MATCH(C1091,Customers!$A$2:$A$41,0)))</f>
        <v>0.129</v>
      </c>
      <c r="I1091" s="16" t="n">
        <f aca="false">F1091*G1091</f>
        <v>409098</v>
      </c>
      <c r="J1091" s="16" t="n">
        <f aca="false">I1091*(1-H1091)</f>
        <v>356324.358</v>
      </c>
      <c r="K1091" s="16" t="n">
        <f aca="false">J1091*INDEX(Customers!$G$2:$G$41,MATCH(C1091,Customers!$A$2:$A$41,0))</f>
        <v>0</v>
      </c>
      <c r="L1091" s="16" t="n">
        <f aca="false">F1091*INDEX(Customers!$H$2:$H$41,MATCH(C1091,Customers!$A$2:$A$41,0))</f>
        <v>2091</v>
      </c>
      <c r="M1091" s="16" t="n">
        <f aca="false">J1091*INDEX(Customers!$I$2:$I$41,MATCH(C1091,Customers!$A$2:$A$41,0))/365*Assumptions!$B$6</f>
        <v>7028.86404821918</v>
      </c>
      <c r="N1091" s="16" t="n">
        <f aca="false">J1091-K1091-L1091-M1091</f>
        <v>347204.493951781</v>
      </c>
      <c r="O1091" s="16" t="n">
        <f aca="false">F1091*IF(A1091="2025",INDEX(Products!$D$2:$D$13,MATCH(D1091,Products!$A$2:$A$13,0)),INDEX(Products!$F$2:$F$13,MATCH(D1091,Products!$A$2:$A$13,0)))</f>
        <v>184746</v>
      </c>
      <c r="P1091" s="16" t="n">
        <f aca="false">N1091-O1091</f>
        <v>162458.493951781</v>
      </c>
    </row>
    <row r="1092" customFormat="false" ht="15" hidden="false" customHeight="false" outlineLevel="0" collapsed="false">
      <c r="A1092" s="2" t="s">
        <v>118</v>
      </c>
      <c r="B1092" s="2" t="n">
        <v>11</v>
      </c>
      <c r="C1092" s="2" t="s">
        <v>78</v>
      </c>
      <c r="D1092" s="2" t="s">
        <v>48</v>
      </c>
      <c r="E1092" s="2" t="str">
        <f aca="false">INDEX(Products!$B$2:$B$13,MATCH(D1092,Products!$A$2:$A$13,0))</f>
        <v>Specialty</v>
      </c>
      <c r="F1092" s="15" t="n">
        <v>12.1</v>
      </c>
      <c r="G1092" s="16" t="n">
        <f aca="false">IF(A1092="2025",INDEX(Products!$C$2:$C$13,MATCH(D1092,Products!$A$2:$A$13,0)),INDEX(Products!$E$2:$E$13,MATCH(D1092,Products!$A$2:$A$13,0)))</f>
        <v>33260</v>
      </c>
      <c r="H1092" s="13" t="n">
        <f aca="false">IF(A1092="2025",INDEX(Customers!$D$2:$D$41,MATCH(C1092,Customers!$A$2:$A$41,0)),INDEX(Customers!$F$2:$F$41,MATCH(C1092,Customers!$A$2:$A$41,0)))</f>
        <v>0.129</v>
      </c>
      <c r="I1092" s="16" t="n">
        <f aca="false">F1092*G1092</f>
        <v>402446</v>
      </c>
      <c r="J1092" s="16" t="n">
        <f aca="false">I1092*(1-H1092)</f>
        <v>350530.466</v>
      </c>
      <c r="K1092" s="16" t="n">
        <f aca="false">J1092*INDEX(Customers!$G$2:$G$41,MATCH(C1092,Customers!$A$2:$A$41,0))</f>
        <v>0</v>
      </c>
      <c r="L1092" s="16" t="n">
        <f aca="false">F1092*INDEX(Customers!$H$2:$H$41,MATCH(C1092,Customers!$A$2:$A$41,0))</f>
        <v>2057</v>
      </c>
      <c r="M1092" s="16" t="n">
        <f aca="false">J1092*INDEX(Customers!$I$2:$I$41,MATCH(C1092,Customers!$A$2:$A$41,0))/365*Assumptions!$B$6</f>
        <v>6914.57357589041</v>
      </c>
      <c r="N1092" s="16" t="n">
        <f aca="false">J1092-K1092-L1092-M1092</f>
        <v>341558.89242411</v>
      </c>
      <c r="O1092" s="16" t="n">
        <f aca="false">F1092*IF(A1092="2025",INDEX(Products!$D$2:$D$13,MATCH(D1092,Products!$A$2:$A$13,0)),INDEX(Products!$F$2:$F$13,MATCH(D1092,Products!$A$2:$A$13,0)))</f>
        <v>181742</v>
      </c>
      <c r="P1092" s="16" t="n">
        <f aca="false">N1092-O1092</f>
        <v>159816.89242411</v>
      </c>
    </row>
    <row r="1093" customFormat="false" ht="15" hidden="false" customHeight="false" outlineLevel="0" collapsed="false">
      <c r="A1093" s="2" t="s">
        <v>118</v>
      </c>
      <c r="B1093" s="2" t="n">
        <v>12</v>
      </c>
      <c r="C1093" s="2" t="s">
        <v>78</v>
      </c>
      <c r="D1093" s="2" t="s">
        <v>48</v>
      </c>
      <c r="E1093" s="2" t="str">
        <f aca="false">INDEX(Products!$B$2:$B$13,MATCH(D1093,Products!$A$2:$A$13,0))</f>
        <v>Specialty</v>
      </c>
      <c r="F1093" s="15" t="n">
        <v>7.3</v>
      </c>
      <c r="G1093" s="16" t="n">
        <f aca="false">IF(A1093="2025",INDEX(Products!$C$2:$C$13,MATCH(D1093,Products!$A$2:$A$13,0)),INDEX(Products!$E$2:$E$13,MATCH(D1093,Products!$A$2:$A$13,0)))</f>
        <v>33260</v>
      </c>
      <c r="H1093" s="13" t="n">
        <f aca="false">IF(A1093="2025",INDEX(Customers!$D$2:$D$41,MATCH(C1093,Customers!$A$2:$A$41,0)),INDEX(Customers!$F$2:$F$41,MATCH(C1093,Customers!$A$2:$A$41,0)))</f>
        <v>0.129</v>
      </c>
      <c r="I1093" s="16" t="n">
        <f aca="false">F1093*G1093</f>
        <v>242798</v>
      </c>
      <c r="J1093" s="16" t="n">
        <f aca="false">I1093*(1-H1093)</f>
        <v>211477.058</v>
      </c>
      <c r="K1093" s="16" t="n">
        <f aca="false">J1093*INDEX(Customers!$G$2:$G$41,MATCH(C1093,Customers!$A$2:$A$41,0))</f>
        <v>0</v>
      </c>
      <c r="L1093" s="16" t="n">
        <f aca="false">F1093*INDEX(Customers!$H$2:$H$41,MATCH(C1093,Customers!$A$2:$A$41,0))</f>
        <v>1241</v>
      </c>
      <c r="M1093" s="16" t="n">
        <f aca="false">J1093*INDEX(Customers!$I$2:$I$41,MATCH(C1093,Customers!$A$2:$A$41,0))/365*Assumptions!$B$6</f>
        <v>4171.60224</v>
      </c>
      <c r="N1093" s="16" t="n">
        <f aca="false">J1093-K1093-L1093-M1093</f>
        <v>206064.45576</v>
      </c>
      <c r="O1093" s="16" t="n">
        <f aca="false">F1093*IF(A1093="2025",INDEX(Products!$D$2:$D$13,MATCH(D1093,Products!$A$2:$A$13,0)),INDEX(Products!$F$2:$F$13,MATCH(D1093,Products!$A$2:$A$13,0)))</f>
        <v>109646</v>
      </c>
      <c r="P1093" s="16" t="n">
        <f aca="false">N1093-O1093</f>
        <v>96418.45576</v>
      </c>
    </row>
    <row r="1094" customFormat="false" ht="15" hidden="false" customHeight="false" outlineLevel="0" collapsed="false">
      <c r="A1094" s="2" t="s">
        <v>119</v>
      </c>
      <c r="B1094" s="2" t="n">
        <v>1</v>
      </c>
      <c r="C1094" s="2" t="s">
        <v>78</v>
      </c>
      <c r="D1094" s="2" t="s">
        <v>48</v>
      </c>
      <c r="E1094" s="2" t="str">
        <f aca="false">INDEX(Products!$B$2:$B$13,MATCH(D1094,Products!$A$2:$A$13,0))</f>
        <v>Specialty</v>
      </c>
      <c r="F1094" s="15" t="n">
        <v>13.5</v>
      </c>
      <c r="G1094" s="16" t="n">
        <f aca="false">IF(A1094="2025",INDEX(Products!$C$2:$C$13,MATCH(D1094,Products!$A$2:$A$13,0)),INDEX(Products!$E$2:$E$13,MATCH(D1094,Products!$A$2:$A$13,0)))</f>
        <v>34923</v>
      </c>
      <c r="H1094" s="13" t="n">
        <f aca="false">IF(A1094="2025",INDEX(Customers!$D$2:$D$41,MATCH(C1094,Customers!$A$2:$A$41,0)),INDEX(Customers!$F$2:$F$41,MATCH(C1094,Customers!$A$2:$A$41,0)))</f>
        <v>0.129</v>
      </c>
      <c r="I1094" s="16" t="n">
        <f aca="false">F1094*G1094</f>
        <v>471460.5</v>
      </c>
      <c r="J1094" s="16" t="n">
        <f aca="false">I1094*(1-H1094)</f>
        <v>410642.0955</v>
      </c>
      <c r="K1094" s="16" t="n">
        <f aca="false">J1094*INDEX(Customers!$G$2:$G$41,MATCH(C1094,Customers!$A$2:$A$41,0))</f>
        <v>0</v>
      </c>
      <c r="L1094" s="16" t="n">
        <f aca="false">F1094*INDEX(Customers!$H$2:$H$41,MATCH(C1094,Customers!$A$2:$A$41,0))</f>
        <v>2295</v>
      </c>
      <c r="M1094" s="16" t="n">
        <f aca="false">J1094*INDEX(Customers!$I$2:$I$41,MATCH(C1094,Customers!$A$2:$A$41,0))/365*Assumptions!$B$6</f>
        <v>8100.33722630137</v>
      </c>
      <c r="N1094" s="16" t="n">
        <f aca="false">J1094-K1094-L1094-M1094</f>
        <v>400246.758273699</v>
      </c>
      <c r="O1094" s="16" t="n">
        <f aca="false">F1094*IF(A1094="2025",INDEX(Products!$D$2:$D$13,MATCH(D1094,Products!$A$2:$A$13,0)),INDEX(Products!$F$2:$F$13,MATCH(D1094,Products!$A$2:$A$13,0)))</f>
        <v>208853.1</v>
      </c>
      <c r="P1094" s="16" t="n">
        <f aca="false">N1094-O1094</f>
        <v>191393.658273699</v>
      </c>
    </row>
    <row r="1095" customFormat="false" ht="15" hidden="false" customHeight="false" outlineLevel="0" collapsed="false">
      <c r="A1095" s="2" t="s">
        <v>119</v>
      </c>
      <c r="B1095" s="2" t="n">
        <v>2</v>
      </c>
      <c r="C1095" s="2" t="s">
        <v>78</v>
      </c>
      <c r="D1095" s="2" t="s">
        <v>48</v>
      </c>
      <c r="E1095" s="2" t="str">
        <f aca="false">INDEX(Products!$B$2:$B$13,MATCH(D1095,Products!$A$2:$A$13,0))</f>
        <v>Specialty</v>
      </c>
      <c r="F1095" s="15" t="n">
        <v>9.8</v>
      </c>
      <c r="G1095" s="16" t="n">
        <f aca="false">IF(A1095="2025",INDEX(Products!$C$2:$C$13,MATCH(D1095,Products!$A$2:$A$13,0)),INDEX(Products!$E$2:$E$13,MATCH(D1095,Products!$A$2:$A$13,0)))</f>
        <v>34923</v>
      </c>
      <c r="H1095" s="13" t="n">
        <f aca="false">IF(A1095="2025",INDEX(Customers!$D$2:$D$41,MATCH(C1095,Customers!$A$2:$A$41,0)),INDEX(Customers!$F$2:$F$41,MATCH(C1095,Customers!$A$2:$A$41,0)))</f>
        <v>0.129</v>
      </c>
      <c r="I1095" s="16" t="n">
        <f aca="false">F1095*G1095</f>
        <v>342245.4</v>
      </c>
      <c r="J1095" s="16" t="n">
        <f aca="false">I1095*(1-H1095)</f>
        <v>298095.7434</v>
      </c>
      <c r="K1095" s="16" t="n">
        <f aca="false">J1095*INDEX(Customers!$G$2:$G$41,MATCH(C1095,Customers!$A$2:$A$41,0))</f>
        <v>0</v>
      </c>
      <c r="L1095" s="16" t="n">
        <f aca="false">F1095*INDEX(Customers!$H$2:$H$41,MATCH(C1095,Customers!$A$2:$A$41,0))</f>
        <v>1666</v>
      </c>
      <c r="M1095" s="16" t="n">
        <f aca="false">J1095*INDEX(Customers!$I$2:$I$41,MATCH(C1095,Customers!$A$2:$A$41,0))/365*Assumptions!$B$6</f>
        <v>5880.24480131507</v>
      </c>
      <c r="N1095" s="16" t="n">
        <f aca="false">J1095-K1095-L1095-M1095</f>
        <v>290549.498598685</v>
      </c>
      <c r="O1095" s="16" t="n">
        <f aca="false">F1095*IF(A1095="2025",INDEX(Products!$D$2:$D$13,MATCH(D1095,Products!$A$2:$A$13,0)),INDEX(Products!$F$2:$F$13,MATCH(D1095,Products!$A$2:$A$13,0)))</f>
        <v>151611.88</v>
      </c>
      <c r="P1095" s="16" t="n">
        <f aca="false">N1095-O1095</f>
        <v>138937.618598685</v>
      </c>
    </row>
    <row r="1096" customFormat="false" ht="15" hidden="false" customHeight="false" outlineLevel="0" collapsed="false">
      <c r="A1096" s="2" t="s">
        <v>119</v>
      </c>
      <c r="B1096" s="2" t="n">
        <v>3</v>
      </c>
      <c r="C1096" s="2" t="s">
        <v>78</v>
      </c>
      <c r="D1096" s="2" t="s">
        <v>48</v>
      </c>
      <c r="E1096" s="2" t="str">
        <f aca="false">INDEX(Products!$B$2:$B$13,MATCH(D1096,Products!$A$2:$A$13,0))</f>
        <v>Specialty</v>
      </c>
      <c r="F1096" s="15" t="n">
        <v>12.6</v>
      </c>
      <c r="G1096" s="16" t="n">
        <f aca="false">IF(A1096="2025",INDEX(Products!$C$2:$C$13,MATCH(D1096,Products!$A$2:$A$13,0)),INDEX(Products!$E$2:$E$13,MATCH(D1096,Products!$A$2:$A$13,0)))</f>
        <v>34923</v>
      </c>
      <c r="H1096" s="13" t="n">
        <f aca="false">IF(A1096="2025",INDEX(Customers!$D$2:$D$41,MATCH(C1096,Customers!$A$2:$A$41,0)),INDEX(Customers!$F$2:$F$41,MATCH(C1096,Customers!$A$2:$A$41,0)))</f>
        <v>0.129</v>
      </c>
      <c r="I1096" s="16" t="n">
        <f aca="false">F1096*G1096</f>
        <v>440029.8</v>
      </c>
      <c r="J1096" s="16" t="n">
        <f aca="false">I1096*(1-H1096)</f>
        <v>383265.9558</v>
      </c>
      <c r="K1096" s="16" t="n">
        <f aca="false">J1096*INDEX(Customers!$G$2:$G$41,MATCH(C1096,Customers!$A$2:$A$41,0))</f>
        <v>0</v>
      </c>
      <c r="L1096" s="16" t="n">
        <f aca="false">F1096*INDEX(Customers!$H$2:$H$41,MATCH(C1096,Customers!$A$2:$A$41,0))</f>
        <v>2142</v>
      </c>
      <c r="M1096" s="16" t="n">
        <f aca="false">J1096*INDEX(Customers!$I$2:$I$41,MATCH(C1096,Customers!$A$2:$A$41,0))/365*Assumptions!$B$6</f>
        <v>7560.31474454795</v>
      </c>
      <c r="N1096" s="16" t="n">
        <f aca="false">J1096-K1096-L1096-M1096</f>
        <v>373563.641055452</v>
      </c>
      <c r="O1096" s="16" t="n">
        <f aca="false">F1096*IF(A1096="2025",INDEX(Products!$D$2:$D$13,MATCH(D1096,Products!$A$2:$A$13,0)),INDEX(Products!$F$2:$F$13,MATCH(D1096,Products!$A$2:$A$13,0)))</f>
        <v>194929.56</v>
      </c>
      <c r="P1096" s="16" t="n">
        <f aca="false">N1096-O1096</f>
        <v>178634.081055452</v>
      </c>
    </row>
    <row r="1097" customFormat="false" ht="15" hidden="false" customHeight="false" outlineLevel="0" collapsed="false">
      <c r="A1097" s="2" t="s">
        <v>119</v>
      </c>
      <c r="B1097" s="2" t="n">
        <v>4</v>
      </c>
      <c r="C1097" s="2" t="s">
        <v>78</v>
      </c>
      <c r="D1097" s="2" t="s">
        <v>48</v>
      </c>
      <c r="E1097" s="2" t="str">
        <f aca="false">INDEX(Products!$B$2:$B$13,MATCH(D1097,Products!$A$2:$A$13,0))</f>
        <v>Specialty</v>
      </c>
      <c r="F1097" s="15" t="n">
        <v>12.5</v>
      </c>
      <c r="G1097" s="16" t="n">
        <f aca="false">IF(A1097="2025",INDEX(Products!$C$2:$C$13,MATCH(D1097,Products!$A$2:$A$13,0)),INDEX(Products!$E$2:$E$13,MATCH(D1097,Products!$A$2:$A$13,0)))</f>
        <v>34923</v>
      </c>
      <c r="H1097" s="13" t="n">
        <f aca="false">IF(A1097="2025",INDEX(Customers!$D$2:$D$41,MATCH(C1097,Customers!$A$2:$A$41,0)),INDEX(Customers!$F$2:$F$41,MATCH(C1097,Customers!$A$2:$A$41,0)))</f>
        <v>0.129</v>
      </c>
      <c r="I1097" s="16" t="n">
        <f aca="false">F1097*G1097</f>
        <v>436537.5</v>
      </c>
      <c r="J1097" s="16" t="n">
        <f aca="false">I1097*(1-H1097)</f>
        <v>380224.1625</v>
      </c>
      <c r="K1097" s="16" t="n">
        <f aca="false">J1097*INDEX(Customers!$G$2:$G$41,MATCH(C1097,Customers!$A$2:$A$41,0))</f>
        <v>0</v>
      </c>
      <c r="L1097" s="16" t="n">
        <f aca="false">F1097*INDEX(Customers!$H$2:$H$41,MATCH(C1097,Customers!$A$2:$A$41,0))</f>
        <v>2125</v>
      </c>
      <c r="M1097" s="16" t="n">
        <f aca="false">J1097*INDEX(Customers!$I$2:$I$41,MATCH(C1097,Customers!$A$2:$A$41,0))/365*Assumptions!$B$6</f>
        <v>7500.31224657534</v>
      </c>
      <c r="N1097" s="16" t="n">
        <f aca="false">J1097-K1097-L1097-M1097</f>
        <v>370598.850253425</v>
      </c>
      <c r="O1097" s="16" t="n">
        <f aca="false">F1097*IF(A1097="2025",INDEX(Products!$D$2:$D$13,MATCH(D1097,Products!$A$2:$A$13,0)),INDEX(Products!$F$2:$F$13,MATCH(D1097,Products!$A$2:$A$13,0)))</f>
        <v>193382.5</v>
      </c>
      <c r="P1097" s="16" t="n">
        <f aca="false">N1097-O1097</f>
        <v>177216.350253425</v>
      </c>
    </row>
    <row r="1098" customFormat="false" ht="15" hidden="false" customHeight="false" outlineLevel="0" collapsed="false">
      <c r="A1098" s="2" t="s">
        <v>119</v>
      </c>
      <c r="B1098" s="2" t="n">
        <v>5</v>
      </c>
      <c r="C1098" s="2" t="s">
        <v>78</v>
      </c>
      <c r="D1098" s="2" t="s">
        <v>48</v>
      </c>
      <c r="E1098" s="2" t="str">
        <f aca="false">INDEX(Products!$B$2:$B$13,MATCH(D1098,Products!$A$2:$A$13,0))</f>
        <v>Specialty</v>
      </c>
      <c r="F1098" s="15" t="n">
        <v>16</v>
      </c>
      <c r="G1098" s="16" t="n">
        <f aca="false">IF(A1098="2025",INDEX(Products!$C$2:$C$13,MATCH(D1098,Products!$A$2:$A$13,0)),INDEX(Products!$E$2:$E$13,MATCH(D1098,Products!$A$2:$A$13,0)))</f>
        <v>34923</v>
      </c>
      <c r="H1098" s="13" t="n">
        <f aca="false">IF(A1098="2025",INDEX(Customers!$D$2:$D$41,MATCH(C1098,Customers!$A$2:$A$41,0)),INDEX(Customers!$F$2:$F$41,MATCH(C1098,Customers!$A$2:$A$41,0)))</f>
        <v>0.129</v>
      </c>
      <c r="I1098" s="16" t="n">
        <f aca="false">F1098*G1098</f>
        <v>558768</v>
      </c>
      <c r="J1098" s="16" t="n">
        <f aca="false">I1098*(1-H1098)</f>
        <v>486686.928</v>
      </c>
      <c r="K1098" s="16" t="n">
        <f aca="false">J1098*INDEX(Customers!$G$2:$G$41,MATCH(C1098,Customers!$A$2:$A$41,0))</f>
        <v>0</v>
      </c>
      <c r="L1098" s="16" t="n">
        <f aca="false">F1098*INDEX(Customers!$H$2:$H$41,MATCH(C1098,Customers!$A$2:$A$41,0))</f>
        <v>2720</v>
      </c>
      <c r="M1098" s="16" t="n">
        <f aca="false">J1098*INDEX(Customers!$I$2:$I$41,MATCH(C1098,Customers!$A$2:$A$41,0))/365*Assumptions!$B$6</f>
        <v>9600.39967561644</v>
      </c>
      <c r="N1098" s="16" t="n">
        <f aca="false">J1098-K1098-L1098-M1098</f>
        <v>474366.528324384</v>
      </c>
      <c r="O1098" s="16" t="n">
        <f aca="false">F1098*IF(A1098="2025",INDEX(Products!$D$2:$D$13,MATCH(D1098,Products!$A$2:$A$13,0)),INDEX(Products!$F$2:$F$13,MATCH(D1098,Products!$A$2:$A$13,0)))</f>
        <v>247529.6</v>
      </c>
      <c r="P1098" s="16" t="n">
        <f aca="false">N1098-O1098</f>
        <v>226836.928324384</v>
      </c>
    </row>
    <row r="1099" customFormat="false" ht="15" hidden="false" customHeight="false" outlineLevel="0" collapsed="false">
      <c r="A1099" s="2" t="s">
        <v>119</v>
      </c>
      <c r="B1099" s="2" t="n">
        <v>6</v>
      </c>
      <c r="C1099" s="2" t="s">
        <v>78</v>
      </c>
      <c r="D1099" s="2" t="s">
        <v>48</v>
      </c>
      <c r="E1099" s="2" t="str">
        <f aca="false">INDEX(Products!$B$2:$B$13,MATCH(D1099,Products!$A$2:$A$13,0))</f>
        <v>Specialty</v>
      </c>
      <c r="F1099" s="15" t="n">
        <v>11.3</v>
      </c>
      <c r="G1099" s="16" t="n">
        <f aca="false">IF(A1099="2025",INDEX(Products!$C$2:$C$13,MATCH(D1099,Products!$A$2:$A$13,0)),INDEX(Products!$E$2:$E$13,MATCH(D1099,Products!$A$2:$A$13,0)))</f>
        <v>34923</v>
      </c>
      <c r="H1099" s="13" t="n">
        <f aca="false">IF(A1099="2025",INDEX(Customers!$D$2:$D$41,MATCH(C1099,Customers!$A$2:$A$41,0)),INDEX(Customers!$F$2:$F$41,MATCH(C1099,Customers!$A$2:$A$41,0)))</f>
        <v>0.129</v>
      </c>
      <c r="I1099" s="16" t="n">
        <f aca="false">F1099*G1099</f>
        <v>394629.9</v>
      </c>
      <c r="J1099" s="16" t="n">
        <f aca="false">I1099*(1-H1099)</f>
        <v>343722.6429</v>
      </c>
      <c r="K1099" s="16" t="n">
        <f aca="false">J1099*INDEX(Customers!$G$2:$G$41,MATCH(C1099,Customers!$A$2:$A$41,0))</f>
        <v>0</v>
      </c>
      <c r="L1099" s="16" t="n">
        <f aca="false">F1099*INDEX(Customers!$H$2:$H$41,MATCH(C1099,Customers!$A$2:$A$41,0))</f>
        <v>1921</v>
      </c>
      <c r="M1099" s="16" t="n">
        <f aca="false">J1099*INDEX(Customers!$I$2:$I$41,MATCH(C1099,Customers!$A$2:$A$41,0))/365*Assumptions!$B$6</f>
        <v>6780.28227090411</v>
      </c>
      <c r="N1099" s="16" t="n">
        <f aca="false">J1099-K1099-L1099-M1099</f>
        <v>335021.360629096</v>
      </c>
      <c r="O1099" s="16" t="n">
        <f aca="false">F1099*IF(A1099="2025",INDEX(Products!$D$2:$D$13,MATCH(D1099,Products!$A$2:$A$13,0)),INDEX(Products!$F$2:$F$13,MATCH(D1099,Products!$A$2:$A$13,0)))</f>
        <v>174817.78</v>
      </c>
      <c r="P1099" s="16" t="n">
        <f aca="false">N1099-O1099</f>
        <v>160203.580629096</v>
      </c>
    </row>
    <row r="1100" customFormat="false" ht="15" hidden="false" customHeight="false" outlineLevel="0" collapsed="false">
      <c r="A1100" s="2" t="s">
        <v>119</v>
      </c>
      <c r="B1100" s="2" t="n">
        <v>7</v>
      </c>
      <c r="C1100" s="2" t="s">
        <v>78</v>
      </c>
      <c r="D1100" s="2" t="s">
        <v>48</v>
      </c>
      <c r="E1100" s="2" t="str">
        <f aca="false">INDEX(Products!$B$2:$B$13,MATCH(D1100,Products!$A$2:$A$13,0))</f>
        <v>Specialty</v>
      </c>
      <c r="F1100" s="15" t="n">
        <v>14.3</v>
      </c>
      <c r="G1100" s="16" t="n">
        <f aca="false">IF(A1100="2025",INDEX(Products!$C$2:$C$13,MATCH(D1100,Products!$A$2:$A$13,0)),INDEX(Products!$E$2:$E$13,MATCH(D1100,Products!$A$2:$A$13,0)))</f>
        <v>34923</v>
      </c>
      <c r="H1100" s="13" t="n">
        <f aca="false">IF(A1100="2025",INDEX(Customers!$D$2:$D$41,MATCH(C1100,Customers!$A$2:$A$41,0)),INDEX(Customers!$F$2:$F$41,MATCH(C1100,Customers!$A$2:$A$41,0)))</f>
        <v>0.129</v>
      </c>
      <c r="I1100" s="16" t="n">
        <f aca="false">F1100*G1100</f>
        <v>499398.9</v>
      </c>
      <c r="J1100" s="16" t="n">
        <f aca="false">I1100*(1-H1100)</f>
        <v>434976.4419</v>
      </c>
      <c r="K1100" s="16" t="n">
        <f aca="false">J1100*INDEX(Customers!$G$2:$G$41,MATCH(C1100,Customers!$A$2:$A$41,0))</f>
        <v>0</v>
      </c>
      <c r="L1100" s="16" t="n">
        <f aca="false">F1100*INDEX(Customers!$H$2:$H$41,MATCH(C1100,Customers!$A$2:$A$41,0))</f>
        <v>2431</v>
      </c>
      <c r="M1100" s="16" t="n">
        <f aca="false">J1100*INDEX(Customers!$I$2:$I$41,MATCH(C1100,Customers!$A$2:$A$41,0))/365*Assumptions!$B$6</f>
        <v>8580.35721008219</v>
      </c>
      <c r="N1100" s="16" t="n">
        <f aca="false">J1100-K1100-L1100-M1100</f>
        <v>423965.084689918</v>
      </c>
      <c r="O1100" s="16" t="n">
        <f aca="false">F1100*IF(A1100="2025",INDEX(Products!$D$2:$D$13,MATCH(D1100,Products!$A$2:$A$13,0)),INDEX(Products!$F$2:$F$13,MATCH(D1100,Products!$A$2:$A$13,0)))</f>
        <v>221229.58</v>
      </c>
      <c r="P1100" s="16" t="n">
        <f aca="false">N1100-O1100</f>
        <v>202735.504689918</v>
      </c>
    </row>
    <row r="1101" customFormat="false" ht="15" hidden="false" customHeight="false" outlineLevel="0" collapsed="false">
      <c r="A1101" s="2" t="s">
        <v>119</v>
      </c>
      <c r="B1101" s="2" t="n">
        <v>8</v>
      </c>
      <c r="C1101" s="2" t="s">
        <v>78</v>
      </c>
      <c r="D1101" s="2" t="s">
        <v>48</v>
      </c>
      <c r="E1101" s="2" t="str">
        <f aca="false">INDEX(Products!$B$2:$B$13,MATCH(D1101,Products!$A$2:$A$13,0))</f>
        <v>Specialty</v>
      </c>
      <c r="F1101" s="15" t="n">
        <v>13.3</v>
      </c>
      <c r="G1101" s="16" t="n">
        <f aca="false">IF(A1101="2025",INDEX(Products!$C$2:$C$13,MATCH(D1101,Products!$A$2:$A$13,0)),INDEX(Products!$E$2:$E$13,MATCH(D1101,Products!$A$2:$A$13,0)))</f>
        <v>34923</v>
      </c>
      <c r="H1101" s="13" t="n">
        <f aca="false">IF(A1101="2025",INDEX(Customers!$D$2:$D$41,MATCH(C1101,Customers!$A$2:$A$41,0)),INDEX(Customers!$F$2:$F$41,MATCH(C1101,Customers!$A$2:$A$41,0)))</f>
        <v>0.129</v>
      </c>
      <c r="I1101" s="16" t="n">
        <f aca="false">F1101*G1101</f>
        <v>464475.9</v>
      </c>
      <c r="J1101" s="16" t="n">
        <f aca="false">I1101*(1-H1101)</f>
        <v>404558.5089</v>
      </c>
      <c r="K1101" s="16" t="n">
        <f aca="false">J1101*INDEX(Customers!$G$2:$G$41,MATCH(C1101,Customers!$A$2:$A$41,0))</f>
        <v>0</v>
      </c>
      <c r="L1101" s="16" t="n">
        <f aca="false">F1101*INDEX(Customers!$H$2:$H$41,MATCH(C1101,Customers!$A$2:$A$41,0))</f>
        <v>2261</v>
      </c>
      <c r="M1101" s="16" t="n">
        <f aca="false">J1101*INDEX(Customers!$I$2:$I$41,MATCH(C1101,Customers!$A$2:$A$41,0))/365*Assumptions!$B$6</f>
        <v>7980.33223035616</v>
      </c>
      <c r="N1101" s="16" t="n">
        <f aca="false">J1101-K1101-L1101-M1101</f>
        <v>394317.176669644</v>
      </c>
      <c r="O1101" s="16" t="n">
        <f aca="false">F1101*IF(A1101="2025",INDEX(Products!$D$2:$D$13,MATCH(D1101,Products!$A$2:$A$13,0)),INDEX(Products!$F$2:$F$13,MATCH(D1101,Products!$A$2:$A$13,0)))</f>
        <v>205758.98</v>
      </c>
      <c r="P1101" s="16" t="n">
        <f aca="false">N1101-O1101</f>
        <v>188558.196669644</v>
      </c>
    </row>
    <row r="1102" customFormat="false" ht="15" hidden="false" customHeight="false" outlineLevel="0" collapsed="false">
      <c r="A1102" s="2" t="s">
        <v>119</v>
      </c>
      <c r="B1102" s="2" t="n">
        <v>9</v>
      </c>
      <c r="C1102" s="2" t="s">
        <v>78</v>
      </c>
      <c r="D1102" s="2" t="s">
        <v>48</v>
      </c>
      <c r="E1102" s="2" t="str">
        <f aca="false">INDEX(Products!$B$2:$B$13,MATCH(D1102,Products!$A$2:$A$13,0))</f>
        <v>Specialty</v>
      </c>
      <c r="F1102" s="15" t="n">
        <v>16.2</v>
      </c>
      <c r="G1102" s="16" t="n">
        <f aca="false">IF(A1102="2025",INDEX(Products!$C$2:$C$13,MATCH(D1102,Products!$A$2:$A$13,0)),INDEX(Products!$E$2:$E$13,MATCH(D1102,Products!$A$2:$A$13,0)))</f>
        <v>34923</v>
      </c>
      <c r="H1102" s="13" t="n">
        <f aca="false">IF(A1102="2025",INDEX(Customers!$D$2:$D$41,MATCH(C1102,Customers!$A$2:$A$41,0)),INDEX(Customers!$F$2:$F$41,MATCH(C1102,Customers!$A$2:$A$41,0)))</f>
        <v>0.129</v>
      </c>
      <c r="I1102" s="16" t="n">
        <f aca="false">F1102*G1102</f>
        <v>565752.6</v>
      </c>
      <c r="J1102" s="16" t="n">
        <f aca="false">I1102*(1-H1102)</f>
        <v>492770.5146</v>
      </c>
      <c r="K1102" s="16" t="n">
        <f aca="false">J1102*INDEX(Customers!$G$2:$G$41,MATCH(C1102,Customers!$A$2:$A$41,0))</f>
        <v>0</v>
      </c>
      <c r="L1102" s="16" t="n">
        <f aca="false">F1102*INDEX(Customers!$H$2:$H$41,MATCH(C1102,Customers!$A$2:$A$41,0))</f>
        <v>2754</v>
      </c>
      <c r="M1102" s="16" t="n">
        <f aca="false">J1102*INDEX(Customers!$I$2:$I$41,MATCH(C1102,Customers!$A$2:$A$41,0))/365*Assumptions!$B$6</f>
        <v>9720.40467156164</v>
      </c>
      <c r="N1102" s="16" t="n">
        <f aca="false">J1102-K1102-L1102-M1102</f>
        <v>480296.109928438</v>
      </c>
      <c r="O1102" s="16" t="n">
        <f aca="false">F1102*IF(A1102="2025",INDEX(Products!$D$2:$D$13,MATCH(D1102,Products!$A$2:$A$13,0)),INDEX(Products!$F$2:$F$13,MATCH(D1102,Products!$A$2:$A$13,0)))</f>
        <v>250623.72</v>
      </c>
      <c r="P1102" s="16" t="n">
        <f aca="false">N1102-O1102</f>
        <v>229672.389928438</v>
      </c>
    </row>
    <row r="1103" customFormat="false" ht="15" hidden="false" customHeight="false" outlineLevel="0" collapsed="false">
      <c r="A1103" s="2" t="s">
        <v>119</v>
      </c>
      <c r="B1103" s="2" t="n">
        <v>10</v>
      </c>
      <c r="C1103" s="2" t="s">
        <v>78</v>
      </c>
      <c r="D1103" s="2" t="s">
        <v>48</v>
      </c>
      <c r="E1103" s="2" t="str">
        <f aca="false">INDEX(Products!$B$2:$B$13,MATCH(D1103,Products!$A$2:$A$13,0))</f>
        <v>Specialty</v>
      </c>
      <c r="F1103" s="15" t="n">
        <v>16.1</v>
      </c>
      <c r="G1103" s="16" t="n">
        <f aca="false">IF(A1103="2025",INDEX(Products!$C$2:$C$13,MATCH(D1103,Products!$A$2:$A$13,0)),INDEX(Products!$E$2:$E$13,MATCH(D1103,Products!$A$2:$A$13,0)))</f>
        <v>34923</v>
      </c>
      <c r="H1103" s="13" t="n">
        <f aca="false">IF(A1103="2025",INDEX(Customers!$D$2:$D$41,MATCH(C1103,Customers!$A$2:$A$41,0)),INDEX(Customers!$F$2:$F$41,MATCH(C1103,Customers!$A$2:$A$41,0)))</f>
        <v>0.129</v>
      </c>
      <c r="I1103" s="16" t="n">
        <f aca="false">F1103*G1103</f>
        <v>562260.3</v>
      </c>
      <c r="J1103" s="16" t="n">
        <f aca="false">I1103*(1-H1103)</f>
        <v>489728.7213</v>
      </c>
      <c r="K1103" s="16" t="n">
        <f aca="false">J1103*INDEX(Customers!$G$2:$G$41,MATCH(C1103,Customers!$A$2:$A$41,0))</f>
        <v>0</v>
      </c>
      <c r="L1103" s="16" t="n">
        <f aca="false">F1103*INDEX(Customers!$H$2:$H$41,MATCH(C1103,Customers!$A$2:$A$41,0))</f>
        <v>2737</v>
      </c>
      <c r="M1103" s="16" t="n">
        <f aca="false">J1103*INDEX(Customers!$I$2:$I$41,MATCH(C1103,Customers!$A$2:$A$41,0))/365*Assumptions!$B$6</f>
        <v>9660.40217358904</v>
      </c>
      <c r="N1103" s="16" t="n">
        <f aca="false">J1103-K1103-L1103-M1103</f>
        <v>477331.319126411</v>
      </c>
      <c r="O1103" s="16" t="n">
        <f aca="false">F1103*IF(A1103="2025",INDEX(Products!$D$2:$D$13,MATCH(D1103,Products!$A$2:$A$13,0)),INDEX(Products!$F$2:$F$13,MATCH(D1103,Products!$A$2:$A$13,0)))</f>
        <v>249076.66</v>
      </c>
      <c r="P1103" s="16" t="n">
        <f aca="false">N1103-O1103</f>
        <v>228254.659126411</v>
      </c>
    </row>
    <row r="1104" customFormat="false" ht="15" hidden="false" customHeight="false" outlineLevel="0" collapsed="false">
      <c r="A1104" s="2" t="s">
        <v>119</v>
      </c>
      <c r="B1104" s="2" t="n">
        <v>11</v>
      </c>
      <c r="C1104" s="2" t="s">
        <v>78</v>
      </c>
      <c r="D1104" s="2" t="s">
        <v>48</v>
      </c>
      <c r="E1104" s="2" t="str">
        <f aca="false">INDEX(Products!$B$2:$B$13,MATCH(D1104,Products!$A$2:$A$13,0))</f>
        <v>Specialty</v>
      </c>
      <c r="F1104" s="15" t="n">
        <v>10</v>
      </c>
      <c r="G1104" s="16" t="n">
        <f aca="false">IF(A1104="2025",INDEX(Products!$C$2:$C$13,MATCH(D1104,Products!$A$2:$A$13,0)),INDEX(Products!$E$2:$E$13,MATCH(D1104,Products!$A$2:$A$13,0)))</f>
        <v>34923</v>
      </c>
      <c r="H1104" s="13" t="n">
        <f aca="false">IF(A1104="2025",INDEX(Customers!$D$2:$D$41,MATCH(C1104,Customers!$A$2:$A$41,0)),INDEX(Customers!$F$2:$F$41,MATCH(C1104,Customers!$A$2:$A$41,0)))</f>
        <v>0.129</v>
      </c>
      <c r="I1104" s="16" t="n">
        <f aca="false">F1104*G1104</f>
        <v>349230</v>
      </c>
      <c r="J1104" s="16" t="n">
        <f aca="false">I1104*(1-H1104)</f>
        <v>304179.33</v>
      </c>
      <c r="K1104" s="16" t="n">
        <f aca="false">J1104*INDEX(Customers!$G$2:$G$41,MATCH(C1104,Customers!$A$2:$A$41,0))</f>
        <v>0</v>
      </c>
      <c r="L1104" s="16" t="n">
        <f aca="false">F1104*INDEX(Customers!$H$2:$H$41,MATCH(C1104,Customers!$A$2:$A$41,0))</f>
        <v>1700</v>
      </c>
      <c r="M1104" s="16" t="n">
        <f aca="false">J1104*INDEX(Customers!$I$2:$I$41,MATCH(C1104,Customers!$A$2:$A$41,0))/365*Assumptions!$B$6</f>
        <v>6000.24979726028</v>
      </c>
      <c r="N1104" s="16" t="n">
        <f aca="false">J1104-K1104-L1104-M1104</f>
        <v>296479.08020274</v>
      </c>
      <c r="O1104" s="16" t="n">
        <f aca="false">F1104*IF(A1104="2025",INDEX(Products!$D$2:$D$13,MATCH(D1104,Products!$A$2:$A$13,0)),INDEX(Products!$F$2:$F$13,MATCH(D1104,Products!$A$2:$A$13,0)))</f>
        <v>154706</v>
      </c>
      <c r="P1104" s="16" t="n">
        <f aca="false">N1104-O1104</f>
        <v>141773.08020274</v>
      </c>
    </row>
    <row r="1105" customFormat="false" ht="15" hidden="false" customHeight="false" outlineLevel="0" collapsed="false">
      <c r="A1105" s="2" t="s">
        <v>119</v>
      </c>
      <c r="B1105" s="2" t="n">
        <v>12</v>
      </c>
      <c r="C1105" s="2" t="s">
        <v>78</v>
      </c>
      <c r="D1105" s="2" t="s">
        <v>48</v>
      </c>
      <c r="E1105" s="2" t="str">
        <f aca="false">INDEX(Products!$B$2:$B$13,MATCH(D1105,Products!$A$2:$A$13,0))</f>
        <v>Specialty</v>
      </c>
      <c r="F1105" s="15" t="n">
        <v>16</v>
      </c>
      <c r="G1105" s="16" t="n">
        <f aca="false">IF(A1105="2025",INDEX(Products!$C$2:$C$13,MATCH(D1105,Products!$A$2:$A$13,0)),INDEX(Products!$E$2:$E$13,MATCH(D1105,Products!$A$2:$A$13,0)))</f>
        <v>34923</v>
      </c>
      <c r="H1105" s="13" t="n">
        <f aca="false">IF(A1105="2025",INDEX(Customers!$D$2:$D$41,MATCH(C1105,Customers!$A$2:$A$41,0)),INDEX(Customers!$F$2:$F$41,MATCH(C1105,Customers!$A$2:$A$41,0)))</f>
        <v>0.129</v>
      </c>
      <c r="I1105" s="16" t="n">
        <f aca="false">F1105*G1105</f>
        <v>558768</v>
      </c>
      <c r="J1105" s="16" t="n">
        <f aca="false">I1105*(1-H1105)</f>
        <v>486686.928</v>
      </c>
      <c r="K1105" s="16" t="n">
        <f aca="false">J1105*INDEX(Customers!$G$2:$G$41,MATCH(C1105,Customers!$A$2:$A$41,0))</f>
        <v>0</v>
      </c>
      <c r="L1105" s="16" t="n">
        <f aca="false">F1105*INDEX(Customers!$H$2:$H$41,MATCH(C1105,Customers!$A$2:$A$41,0))</f>
        <v>2720</v>
      </c>
      <c r="M1105" s="16" t="n">
        <f aca="false">J1105*INDEX(Customers!$I$2:$I$41,MATCH(C1105,Customers!$A$2:$A$41,0))/365*Assumptions!$B$6</f>
        <v>9600.39967561644</v>
      </c>
      <c r="N1105" s="16" t="n">
        <f aca="false">J1105-K1105-L1105-M1105</f>
        <v>474366.528324384</v>
      </c>
      <c r="O1105" s="16" t="n">
        <f aca="false">F1105*IF(A1105="2025",INDEX(Products!$D$2:$D$13,MATCH(D1105,Products!$A$2:$A$13,0)),INDEX(Products!$F$2:$F$13,MATCH(D1105,Products!$A$2:$A$13,0)))</f>
        <v>247529.6</v>
      </c>
      <c r="P1105" s="16" t="n">
        <f aca="false">N1105-O1105</f>
        <v>226836.928324384</v>
      </c>
    </row>
    <row r="1106" customFormat="false" ht="15" hidden="false" customHeight="false" outlineLevel="0" collapsed="false">
      <c r="A1106" s="2" t="s">
        <v>118</v>
      </c>
      <c r="B1106" s="2" t="n">
        <v>1</v>
      </c>
      <c r="C1106" s="2" t="s">
        <v>80</v>
      </c>
      <c r="D1106" s="2" t="s">
        <v>48</v>
      </c>
      <c r="E1106" s="2" t="str">
        <f aca="false">INDEX(Products!$B$2:$B$13,MATCH(D1106,Products!$A$2:$A$13,0))</f>
        <v>Specialty</v>
      </c>
      <c r="F1106" s="15" t="n">
        <v>2.4</v>
      </c>
      <c r="G1106" s="16" t="n">
        <f aca="false">IF(A1106="2025",INDEX(Products!$C$2:$C$13,MATCH(D1106,Products!$A$2:$A$13,0)),INDEX(Products!$E$2:$E$13,MATCH(D1106,Products!$A$2:$A$13,0)))</f>
        <v>33260</v>
      </c>
      <c r="H1106" s="13" t="n">
        <f aca="false">IF(A1106="2025",INDEX(Customers!$D$2:$D$41,MATCH(C1106,Customers!$A$2:$A$41,0)),INDEX(Customers!$F$2:$F$41,MATCH(C1106,Customers!$A$2:$A$41,0)))</f>
        <v>0.026</v>
      </c>
      <c r="I1106" s="16" t="n">
        <f aca="false">F1106*G1106</f>
        <v>79824</v>
      </c>
      <c r="J1106" s="16" t="n">
        <f aca="false">I1106*(1-H1106)</f>
        <v>77748.576</v>
      </c>
      <c r="K1106" s="16" t="n">
        <f aca="false">J1106*INDEX(Customers!$G$2:$G$41,MATCH(C1106,Customers!$A$2:$A$41,0))</f>
        <v>2332.45728</v>
      </c>
      <c r="L1106" s="16" t="n">
        <f aca="false">F1106*INDEX(Customers!$H$2:$H$41,MATCH(C1106,Customers!$A$2:$A$41,0))</f>
        <v>528</v>
      </c>
      <c r="M1106" s="16" t="n">
        <f aca="false">J1106*INDEX(Customers!$I$2:$I$41,MATCH(C1106,Customers!$A$2:$A$41,0))/365*Assumptions!$B$6</f>
        <v>511.223513424658</v>
      </c>
      <c r="N1106" s="16" t="n">
        <f aca="false">J1106-K1106-L1106-M1106</f>
        <v>74376.8952065753</v>
      </c>
      <c r="O1106" s="16" t="n">
        <f aca="false">F1106*IF(A1106="2025",INDEX(Products!$D$2:$D$13,MATCH(D1106,Products!$A$2:$A$13,0)),INDEX(Products!$F$2:$F$13,MATCH(D1106,Products!$A$2:$A$13,0)))</f>
        <v>36048</v>
      </c>
      <c r="P1106" s="16" t="n">
        <f aca="false">N1106-O1106</f>
        <v>38328.8952065753</v>
      </c>
    </row>
    <row r="1107" customFormat="false" ht="15" hidden="false" customHeight="false" outlineLevel="0" collapsed="false">
      <c r="A1107" s="2" t="s">
        <v>118</v>
      </c>
      <c r="B1107" s="2" t="n">
        <v>2</v>
      </c>
      <c r="C1107" s="2" t="s">
        <v>80</v>
      </c>
      <c r="D1107" s="2" t="s">
        <v>48</v>
      </c>
      <c r="E1107" s="2" t="str">
        <f aca="false">INDEX(Products!$B$2:$B$13,MATCH(D1107,Products!$A$2:$A$13,0))</f>
        <v>Specialty</v>
      </c>
      <c r="F1107" s="15" t="n">
        <v>2.5</v>
      </c>
      <c r="G1107" s="16" t="n">
        <f aca="false">IF(A1107="2025",INDEX(Products!$C$2:$C$13,MATCH(D1107,Products!$A$2:$A$13,0)),INDEX(Products!$E$2:$E$13,MATCH(D1107,Products!$A$2:$A$13,0)))</f>
        <v>33260</v>
      </c>
      <c r="H1107" s="13" t="n">
        <f aca="false">IF(A1107="2025",INDEX(Customers!$D$2:$D$41,MATCH(C1107,Customers!$A$2:$A$41,0)),INDEX(Customers!$F$2:$F$41,MATCH(C1107,Customers!$A$2:$A$41,0)))</f>
        <v>0.026</v>
      </c>
      <c r="I1107" s="16" t="n">
        <f aca="false">F1107*G1107</f>
        <v>83150</v>
      </c>
      <c r="J1107" s="16" t="n">
        <f aca="false">I1107*(1-H1107)</f>
        <v>80988.1</v>
      </c>
      <c r="K1107" s="16" t="n">
        <f aca="false">J1107*INDEX(Customers!$G$2:$G$41,MATCH(C1107,Customers!$A$2:$A$41,0))</f>
        <v>2429.643</v>
      </c>
      <c r="L1107" s="16" t="n">
        <f aca="false">F1107*INDEX(Customers!$H$2:$H$41,MATCH(C1107,Customers!$A$2:$A$41,0))</f>
        <v>550</v>
      </c>
      <c r="M1107" s="16" t="n">
        <f aca="false">J1107*INDEX(Customers!$I$2:$I$41,MATCH(C1107,Customers!$A$2:$A$41,0))/365*Assumptions!$B$6</f>
        <v>532.524493150685</v>
      </c>
      <c r="N1107" s="16" t="n">
        <f aca="false">J1107-K1107-L1107-M1107</f>
        <v>77475.9325068493</v>
      </c>
      <c r="O1107" s="16" t="n">
        <f aca="false">F1107*IF(A1107="2025",INDEX(Products!$D$2:$D$13,MATCH(D1107,Products!$A$2:$A$13,0)),INDEX(Products!$F$2:$F$13,MATCH(D1107,Products!$A$2:$A$13,0)))</f>
        <v>37550</v>
      </c>
      <c r="P1107" s="16" t="n">
        <f aca="false">N1107-O1107</f>
        <v>39925.9325068493</v>
      </c>
    </row>
    <row r="1108" customFormat="false" ht="15" hidden="false" customHeight="false" outlineLevel="0" collapsed="false">
      <c r="A1108" s="2" t="s">
        <v>118</v>
      </c>
      <c r="B1108" s="2" t="n">
        <v>3</v>
      </c>
      <c r="C1108" s="2" t="s">
        <v>80</v>
      </c>
      <c r="D1108" s="2" t="s">
        <v>48</v>
      </c>
      <c r="E1108" s="2" t="str">
        <f aca="false">INDEX(Products!$B$2:$B$13,MATCH(D1108,Products!$A$2:$A$13,0))</f>
        <v>Specialty</v>
      </c>
      <c r="F1108" s="15" t="n">
        <v>4.2</v>
      </c>
      <c r="G1108" s="16" t="n">
        <f aca="false">IF(A1108="2025",INDEX(Products!$C$2:$C$13,MATCH(D1108,Products!$A$2:$A$13,0)),INDEX(Products!$E$2:$E$13,MATCH(D1108,Products!$A$2:$A$13,0)))</f>
        <v>33260</v>
      </c>
      <c r="H1108" s="13" t="n">
        <f aca="false">IF(A1108="2025",INDEX(Customers!$D$2:$D$41,MATCH(C1108,Customers!$A$2:$A$41,0)),INDEX(Customers!$F$2:$F$41,MATCH(C1108,Customers!$A$2:$A$41,0)))</f>
        <v>0.026</v>
      </c>
      <c r="I1108" s="16" t="n">
        <f aca="false">F1108*G1108</f>
        <v>139692</v>
      </c>
      <c r="J1108" s="16" t="n">
        <f aca="false">I1108*(1-H1108)</f>
        <v>136060.008</v>
      </c>
      <c r="K1108" s="16" t="n">
        <f aca="false">J1108*INDEX(Customers!$G$2:$G$41,MATCH(C1108,Customers!$A$2:$A$41,0))</f>
        <v>4081.80024</v>
      </c>
      <c r="L1108" s="16" t="n">
        <f aca="false">F1108*INDEX(Customers!$H$2:$H$41,MATCH(C1108,Customers!$A$2:$A$41,0))</f>
        <v>924</v>
      </c>
      <c r="M1108" s="16" t="n">
        <f aca="false">J1108*INDEX(Customers!$I$2:$I$41,MATCH(C1108,Customers!$A$2:$A$41,0))/365*Assumptions!$B$6</f>
        <v>894.641148493151</v>
      </c>
      <c r="N1108" s="16" t="n">
        <f aca="false">J1108-K1108-L1108-M1108</f>
        <v>130159.566611507</v>
      </c>
      <c r="O1108" s="16" t="n">
        <f aca="false">F1108*IF(A1108="2025",INDEX(Products!$D$2:$D$13,MATCH(D1108,Products!$A$2:$A$13,0)),INDEX(Products!$F$2:$F$13,MATCH(D1108,Products!$A$2:$A$13,0)))</f>
        <v>63084</v>
      </c>
      <c r="P1108" s="16" t="n">
        <f aca="false">N1108-O1108</f>
        <v>67075.5666115069</v>
      </c>
    </row>
    <row r="1109" customFormat="false" ht="15" hidden="false" customHeight="false" outlineLevel="0" collapsed="false">
      <c r="A1109" s="2" t="s">
        <v>118</v>
      </c>
      <c r="B1109" s="2" t="n">
        <v>4</v>
      </c>
      <c r="C1109" s="2" t="s">
        <v>80</v>
      </c>
      <c r="D1109" s="2" t="s">
        <v>48</v>
      </c>
      <c r="E1109" s="2" t="str">
        <f aca="false">INDEX(Products!$B$2:$B$13,MATCH(D1109,Products!$A$2:$A$13,0))</f>
        <v>Specialty</v>
      </c>
      <c r="F1109" s="15" t="n">
        <v>4</v>
      </c>
      <c r="G1109" s="16" t="n">
        <f aca="false">IF(A1109="2025",INDEX(Products!$C$2:$C$13,MATCH(D1109,Products!$A$2:$A$13,0)),INDEX(Products!$E$2:$E$13,MATCH(D1109,Products!$A$2:$A$13,0)))</f>
        <v>33260</v>
      </c>
      <c r="H1109" s="13" t="n">
        <f aca="false">IF(A1109="2025",INDEX(Customers!$D$2:$D$41,MATCH(C1109,Customers!$A$2:$A$41,0)),INDEX(Customers!$F$2:$F$41,MATCH(C1109,Customers!$A$2:$A$41,0)))</f>
        <v>0.026</v>
      </c>
      <c r="I1109" s="16" t="n">
        <f aca="false">F1109*G1109</f>
        <v>133040</v>
      </c>
      <c r="J1109" s="16" t="n">
        <f aca="false">I1109*(1-H1109)</f>
        <v>129580.96</v>
      </c>
      <c r="K1109" s="16" t="n">
        <f aca="false">J1109*INDEX(Customers!$G$2:$G$41,MATCH(C1109,Customers!$A$2:$A$41,0))</f>
        <v>3887.4288</v>
      </c>
      <c r="L1109" s="16" t="n">
        <f aca="false">F1109*INDEX(Customers!$H$2:$H$41,MATCH(C1109,Customers!$A$2:$A$41,0))</f>
        <v>880</v>
      </c>
      <c r="M1109" s="16" t="n">
        <f aca="false">J1109*INDEX(Customers!$I$2:$I$41,MATCH(C1109,Customers!$A$2:$A$41,0))/365*Assumptions!$B$6</f>
        <v>852.039189041096</v>
      </c>
      <c r="N1109" s="16" t="n">
        <f aca="false">J1109-K1109-L1109-M1109</f>
        <v>123961.492010959</v>
      </c>
      <c r="O1109" s="16" t="n">
        <f aca="false">F1109*IF(A1109="2025",INDEX(Products!$D$2:$D$13,MATCH(D1109,Products!$A$2:$A$13,0)),INDEX(Products!$F$2:$F$13,MATCH(D1109,Products!$A$2:$A$13,0)))</f>
        <v>60080</v>
      </c>
      <c r="P1109" s="16" t="n">
        <f aca="false">N1109-O1109</f>
        <v>63881.4920109589</v>
      </c>
    </row>
    <row r="1110" customFormat="false" ht="15" hidden="false" customHeight="false" outlineLevel="0" collapsed="false">
      <c r="A1110" s="2" t="s">
        <v>118</v>
      </c>
      <c r="B1110" s="2" t="n">
        <v>5</v>
      </c>
      <c r="C1110" s="2" t="s">
        <v>80</v>
      </c>
      <c r="D1110" s="2" t="s">
        <v>48</v>
      </c>
      <c r="E1110" s="2" t="str">
        <f aca="false">INDEX(Products!$B$2:$B$13,MATCH(D1110,Products!$A$2:$A$13,0))</f>
        <v>Specialty</v>
      </c>
      <c r="F1110" s="15" t="n">
        <v>3.2</v>
      </c>
      <c r="G1110" s="16" t="n">
        <f aca="false">IF(A1110="2025",INDEX(Products!$C$2:$C$13,MATCH(D1110,Products!$A$2:$A$13,0)),INDEX(Products!$E$2:$E$13,MATCH(D1110,Products!$A$2:$A$13,0)))</f>
        <v>33260</v>
      </c>
      <c r="H1110" s="13" t="n">
        <f aca="false">IF(A1110="2025",INDEX(Customers!$D$2:$D$41,MATCH(C1110,Customers!$A$2:$A$41,0)),INDEX(Customers!$F$2:$F$41,MATCH(C1110,Customers!$A$2:$A$41,0)))</f>
        <v>0.026</v>
      </c>
      <c r="I1110" s="16" t="n">
        <f aca="false">F1110*G1110</f>
        <v>106432</v>
      </c>
      <c r="J1110" s="16" t="n">
        <f aca="false">I1110*(1-H1110)</f>
        <v>103664.768</v>
      </c>
      <c r="K1110" s="16" t="n">
        <f aca="false">J1110*INDEX(Customers!$G$2:$G$41,MATCH(C1110,Customers!$A$2:$A$41,0))</f>
        <v>3109.94304</v>
      </c>
      <c r="L1110" s="16" t="n">
        <f aca="false">F1110*INDEX(Customers!$H$2:$H$41,MATCH(C1110,Customers!$A$2:$A$41,0))</f>
        <v>704</v>
      </c>
      <c r="M1110" s="16" t="n">
        <f aca="false">J1110*INDEX(Customers!$I$2:$I$41,MATCH(C1110,Customers!$A$2:$A$41,0))/365*Assumptions!$B$6</f>
        <v>681.631351232877</v>
      </c>
      <c r="N1110" s="16" t="n">
        <f aca="false">J1110-K1110-L1110-M1110</f>
        <v>99169.1936087671</v>
      </c>
      <c r="O1110" s="16" t="n">
        <f aca="false">F1110*IF(A1110="2025",INDEX(Products!$D$2:$D$13,MATCH(D1110,Products!$A$2:$A$13,0)),INDEX(Products!$F$2:$F$13,MATCH(D1110,Products!$A$2:$A$13,0)))</f>
        <v>48064</v>
      </c>
      <c r="P1110" s="16" t="n">
        <f aca="false">N1110-O1110</f>
        <v>51105.1936087671</v>
      </c>
    </row>
    <row r="1111" customFormat="false" ht="15" hidden="false" customHeight="false" outlineLevel="0" collapsed="false">
      <c r="A1111" s="2" t="s">
        <v>118</v>
      </c>
      <c r="B1111" s="2" t="n">
        <v>6</v>
      </c>
      <c r="C1111" s="2" t="s">
        <v>80</v>
      </c>
      <c r="D1111" s="2" t="s">
        <v>48</v>
      </c>
      <c r="E1111" s="2" t="str">
        <f aca="false">INDEX(Products!$B$2:$B$13,MATCH(D1111,Products!$A$2:$A$13,0))</f>
        <v>Specialty</v>
      </c>
      <c r="F1111" s="15" t="n">
        <v>2.7</v>
      </c>
      <c r="G1111" s="16" t="n">
        <f aca="false">IF(A1111="2025",INDEX(Products!$C$2:$C$13,MATCH(D1111,Products!$A$2:$A$13,0)),INDEX(Products!$E$2:$E$13,MATCH(D1111,Products!$A$2:$A$13,0)))</f>
        <v>33260</v>
      </c>
      <c r="H1111" s="13" t="n">
        <f aca="false">IF(A1111="2025",INDEX(Customers!$D$2:$D$41,MATCH(C1111,Customers!$A$2:$A$41,0)),INDEX(Customers!$F$2:$F$41,MATCH(C1111,Customers!$A$2:$A$41,0)))</f>
        <v>0.026</v>
      </c>
      <c r="I1111" s="16" t="n">
        <f aca="false">F1111*G1111</f>
        <v>89802</v>
      </c>
      <c r="J1111" s="16" t="n">
        <f aca="false">I1111*(1-H1111)</f>
        <v>87467.148</v>
      </c>
      <c r="K1111" s="16" t="n">
        <f aca="false">J1111*INDEX(Customers!$G$2:$G$41,MATCH(C1111,Customers!$A$2:$A$41,0))</f>
        <v>2624.01444</v>
      </c>
      <c r="L1111" s="16" t="n">
        <f aca="false">F1111*INDEX(Customers!$H$2:$H$41,MATCH(C1111,Customers!$A$2:$A$41,0))</f>
        <v>594</v>
      </c>
      <c r="M1111" s="16" t="n">
        <f aca="false">J1111*INDEX(Customers!$I$2:$I$41,MATCH(C1111,Customers!$A$2:$A$41,0))/365*Assumptions!$B$6</f>
        <v>575.12645260274</v>
      </c>
      <c r="N1111" s="16" t="n">
        <f aca="false">J1111-K1111-L1111-M1111</f>
        <v>83674.0071073973</v>
      </c>
      <c r="O1111" s="16" t="n">
        <f aca="false">F1111*IF(A1111="2025",INDEX(Products!$D$2:$D$13,MATCH(D1111,Products!$A$2:$A$13,0)),INDEX(Products!$F$2:$F$13,MATCH(D1111,Products!$A$2:$A$13,0)))</f>
        <v>40554</v>
      </c>
      <c r="P1111" s="16" t="n">
        <f aca="false">N1111-O1111</f>
        <v>43120.0071073973</v>
      </c>
    </row>
    <row r="1112" customFormat="false" ht="15" hidden="false" customHeight="false" outlineLevel="0" collapsed="false">
      <c r="A1112" s="2" t="s">
        <v>118</v>
      </c>
      <c r="B1112" s="2" t="n">
        <v>7</v>
      </c>
      <c r="C1112" s="2" t="s">
        <v>80</v>
      </c>
      <c r="D1112" s="2" t="s">
        <v>48</v>
      </c>
      <c r="E1112" s="2" t="str">
        <f aca="false">INDEX(Products!$B$2:$B$13,MATCH(D1112,Products!$A$2:$A$13,0))</f>
        <v>Specialty</v>
      </c>
      <c r="F1112" s="15" t="n">
        <v>2.8</v>
      </c>
      <c r="G1112" s="16" t="n">
        <f aca="false">IF(A1112="2025",INDEX(Products!$C$2:$C$13,MATCH(D1112,Products!$A$2:$A$13,0)),INDEX(Products!$E$2:$E$13,MATCH(D1112,Products!$A$2:$A$13,0)))</f>
        <v>33260</v>
      </c>
      <c r="H1112" s="13" t="n">
        <f aca="false">IF(A1112="2025",INDEX(Customers!$D$2:$D$41,MATCH(C1112,Customers!$A$2:$A$41,0)),INDEX(Customers!$F$2:$F$41,MATCH(C1112,Customers!$A$2:$A$41,0)))</f>
        <v>0.026</v>
      </c>
      <c r="I1112" s="16" t="n">
        <f aca="false">F1112*G1112</f>
        <v>93128</v>
      </c>
      <c r="J1112" s="16" t="n">
        <f aca="false">I1112*(1-H1112)</f>
        <v>90706.672</v>
      </c>
      <c r="K1112" s="16" t="n">
        <f aca="false">J1112*INDEX(Customers!$G$2:$G$41,MATCH(C1112,Customers!$A$2:$A$41,0))</f>
        <v>2721.20016</v>
      </c>
      <c r="L1112" s="16" t="n">
        <f aca="false">F1112*INDEX(Customers!$H$2:$H$41,MATCH(C1112,Customers!$A$2:$A$41,0))</f>
        <v>616</v>
      </c>
      <c r="M1112" s="16" t="n">
        <f aca="false">J1112*INDEX(Customers!$I$2:$I$41,MATCH(C1112,Customers!$A$2:$A$41,0))/365*Assumptions!$B$6</f>
        <v>596.427432328767</v>
      </c>
      <c r="N1112" s="16" t="n">
        <f aca="false">J1112-K1112-L1112-M1112</f>
        <v>86773.0444076712</v>
      </c>
      <c r="O1112" s="16" t="n">
        <f aca="false">F1112*IF(A1112="2025",INDEX(Products!$D$2:$D$13,MATCH(D1112,Products!$A$2:$A$13,0)),INDEX(Products!$F$2:$F$13,MATCH(D1112,Products!$A$2:$A$13,0)))</f>
        <v>42056</v>
      </c>
      <c r="P1112" s="16" t="n">
        <f aca="false">N1112-O1112</f>
        <v>44717.0444076712</v>
      </c>
    </row>
    <row r="1113" customFormat="false" ht="15" hidden="false" customHeight="false" outlineLevel="0" collapsed="false">
      <c r="A1113" s="2" t="s">
        <v>118</v>
      </c>
      <c r="B1113" s="2" t="n">
        <v>8</v>
      </c>
      <c r="C1113" s="2" t="s">
        <v>80</v>
      </c>
      <c r="D1113" s="2" t="s">
        <v>48</v>
      </c>
      <c r="E1113" s="2" t="str">
        <f aca="false">INDEX(Products!$B$2:$B$13,MATCH(D1113,Products!$A$2:$A$13,0))</f>
        <v>Specialty</v>
      </c>
      <c r="F1113" s="15" t="n">
        <v>2.9</v>
      </c>
      <c r="G1113" s="16" t="n">
        <f aca="false">IF(A1113="2025",INDEX(Products!$C$2:$C$13,MATCH(D1113,Products!$A$2:$A$13,0)),INDEX(Products!$E$2:$E$13,MATCH(D1113,Products!$A$2:$A$13,0)))</f>
        <v>33260</v>
      </c>
      <c r="H1113" s="13" t="n">
        <f aca="false">IF(A1113="2025",INDEX(Customers!$D$2:$D$41,MATCH(C1113,Customers!$A$2:$A$41,0)),INDEX(Customers!$F$2:$F$41,MATCH(C1113,Customers!$A$2:$A$41,0)))</f>
        <v>0.026</v>
      </c>
      <c r="I1113" s="16" t="n">
        <f aca="false">F1113*G1113</f>
        <v>96454</v>
      </c>
      <c r="J1113" s="16" t="n">
        <f aca="false">I1113*(1-H1113)</f>
        <v>93946.196</v>
      </c>
      <c r="K1113" s="16" t="n">
        <f aca="false">J1113*INDEX(Customers!$G$2:$G$41,MATCH(C1113,Customers!$A$2:$A$41,0))</f>
        <v>2818.38588</v>
      </c>
      <c r="L1113" s="16" t="n">
        <f aca="false">F1113*INDEX(Customers!$H$2:$H$41,MATCH(C1113,Customers!$A$2:$A$41,0))</f>
        <v>638</v>
      </c>
      <c r="M1113" s="16" t="n">
        <f aca="false">J1113*INDEX(Customers!$I$2:$I$41,MATCH(C1113,Customers!$A$2:$A$41,0))/365*Assumptions!$B$6</f>
        <v>617.728412054795</v>
      </c>
      <c r="N1113" s="16" t="n">
        <f aca="false">J1113-K1113-L1113-M1113</f>
        <v>89872.0817079452</v>
      </c>
      <c r="O1113" s="16" t="n">
        <f aca="false">F1113*IF(A1113="2025",INDEX(Products!$D$2:$D$13,MATCH(D1113,Products!$A$2:$A$13,0)),INDEX(Products!$F$2:$F$13,MATCH(D1113,Products!$A$2:$A$13,0)))</f>
        <v>43558</v>
      </c>
      <c r="P1113" s="16" t="n">
        <f aca="false">N1113-O1113</f>
        <v>46314.0817079452</v>
      </c>
    </row>
    <row r="1114" customFormat="false" ht="15" hidden="false" customHeight="false" outlineLevel="0" collapsed="false">
      <c r="A1114" s="2" t="s">
        <v>118</v>
      </c>
      <c r="B1114" s="2" t="n">
        <v>9</v>
      </c>
      <c r="C1114" s="2" t="s">
        <v>80</v>
      </c>
      <c r="D1114" s="2" t="s">
        <v>48</v>
      </c>
      <c r="E1114" s="2" t="str">
        <f aca="false">INDEX(Products!$B$2:$B$13,MATCH(D1114,Products!$A$2:$A$13,0))</f>
        <v>Specialty</v>
      </c>
      <c r="F1114" s="15" t="n">
        <v>3</v>
      </c>
      <c r="G1114" s="16" t="n">
        <f aca="false">IF(A1114="2025",INDEX(Products!$C$2:$C$13,MATCH(D1114,Products!$A$2:$A$13,0)),INDEX(Products!$E$2:$E$13,MATCH(D1114,Products!$A$2:$A$13,0)))</f>
        <v>33260</v>
      </c>
      <c r="H1114" s="13" t="n">
        <f aca="false">IF(A1114="2025",INDEX(Customers!$D$2:$D$41,MATCH(C1114,Customers!$A$2:$A$41,0)),INDEX(Customers!$F$2:$F$41,MATCH(C1114,Customers!$A$2:$A$41,0)))</f>
        <v>0.026</v>
      </c>
      <c r="I1114" s="16" t="n">
        <f aca="false">F1114*G1114</f>
        <v>99780</v>
      </c>
      <c r="J1114" s="16" t="n">
        <f aca="false">I1114*(1-H1114)</f>
        <v>97185.72</v>
      </c>
      <c r="K1114" s="16" t="n">
        <f aca="false">J1114*INDEX(Customers!$G$2:$G$41,MATCH(C1114,Customers!$A$2:$A$41,0))</f>
        <v>2915.5716</v>
      </c>
      <c r="L1114" s="16" t="n">
        <f aca="false">F1114*INDEX(Customers!$H$2:$H$41,MATCH(C1114,Customers!$A$2:$A$41,0))</f>
        <v>660</v>
      </c>
      <c r="M1114" s="16" t="n">
        <f aca="false">J1114*INDEX(Customers!$I$2:$I$41,MATCH(C1114,Customers!$A$2:$A$41,0))/365*Assumptions!$B$6</f>
        <v>639.029391780822</v>
      </c>
      <c r="N1114" s="16" t="n">
        <f aca="false">J1114-K1114-L1114-M1114</f>
        <v>92971.1190082192</v>
      </c>
      <c r="O1114" s="16" t="n">
        <f aca="false">F1114*IF(A1114="2025",INDEX(Products!$D$2:$D$13,MATCH(D1114,Products!$A$2:$A$13,0)),INDEX(Products!$F$2:$F$13,MATCH(D1114,Products!$A$2:$A$13,0)))</f>
        <v>45060</v>
      </c>
      <c r="P1114" s="16" t="n">
        <f aca="false">N1114-O1114</f>
        <v>47911.1190082192</v>
      </c>
    </row>
    <row r="1115" customFormat="false" ht="15" hidden="false" customHeight="false" outlineLevel="0" collapsed="false">
      <c r="A1115" s="2" t="s">
        <v>118</v>
      </c>
      <c r="B1115" s="2" t="n">
        <v>10</v>
      </c>
      <c r="C1115" s="2" t="s">
        <v>80</v>
      </c>
      <c r="D1115" s="2" t="s">
        <v>48</v>
      </c>
      <c r="E1115" s="2" t="str">
        <f aca="false">INDEX(Products!$B$2:$B$13,MATCH(D1115,Products!$A$2:$A$13,0))</f>
        <v>Specialty</v>
      </c>
      <c r="F1115" s="15" t="n">
        <v>2.5</v>
      </c>
      <c r="G1115" s="16" t="n">
        <f aca="false">IF(A1115="2025",INDEX(Products!$C$2:$C$13,MATCH(D1115,Products!$A$2:$A$13,0)),INDEX(Products!$E$2:$E$13,MATCH(D1115,Products!$A$2:$A$13,0)))</f>
        <v>33260</v>
      </c>
      <c r="H1115" s="13" t="n">
        <f aca="false">IF(A1115="2025",INDEX(Customers!$D$2:$D$41,MATCH(C1115,Customers!$A$2:$A$41,0)),INDEX(Customers!$F$2:$F$41,MATCH(C1115,Customers!$A$2:$A$41,0)))</f>
        <v>0.026</v>
      </c>
      <c r="I1115" s="16" t="n">
        <f aca="false">F1115*G1115</f>
        <v>83150</v>
      </c>
      <c r="J1115" s="16" t="n">
        <f aca="false">I1115*(1-H1115)</f>
        <v>80988.1</v>
      </c>
      <c r="K1115" s="16" t="n">
        <f aca="false">J1115*INDEX(Customers!$G$2:$G$41,MATCH(C1115,Customers!$A$2:$A$41,0))</f>
        <v>2429.643</v>
      </c>
      <c r="L1115" s="16" t="n">
        <f aca="false">F1115*INDEX(Customers!$H$2:$H$41,MATCH(C1115,Customers!$A$2:$A$41,0))</f>
        <v>550</v>
      </c>
      <c r="M1115" s="16" t="n">
        <f aca="false">J1115*INDEX(Customers!$I$2:$I$41,MATCH(C1115,Customers!$A$2:$A$41,0))/365*Assumptions!$B$6</f>
        <v>532.524493150685</v>
      </c>
      <c r="N1115" s="16" t="n">
        <f aca="false">J1115-K1115-L1115-M1115</f>
        <v>77475.9325068493</v>
      </c>
      <c r="O1115" s="16" t="n">
        <f aca="false">F1115*IF(A1115="2025",INDEX(Products!$D$2:$D$13,MATCH(D1115,Products!$A$2:$A$13,0)),INDEX(Products!$F$2:$F$13,MATCH(D1115,Products!$A$2:$A$13,0)))</f>
        <v>37550</v>
      </c>
      <c r="P1115" s="16" t="n">
        <f aca="false">N1115-O1115</f>
        <v>39925.9325068493</v>
      </c>
    </row>
    <row r="1116" customFormat="false" ht="15" hidden="false" customHeight="false" outlineLevel="0" collapsed="false">
      <c r="A1116" s="2" t="s">
        <v>118</v>
      </c>
      <c r="B1116" s="2" t="n">
        <v>11</v>
      </c>
      <c r="C1116" s="2" t="s">
        <v>80</v>
      </c>
      <c r="D1116" s="2" t="s">
        <v>48</v>
      </c>
      <c r="E1116" s="2" t="str">
        <f aca="false">INDEX(Products!$B$2:$B$13,MATCH(D1116,Products!$A$2:$A$13,0))</f>
        <v>Specialty</v>
      </c>
      <c r="F1116" s="15" t="n">
        <v>3</v>
      </c>
      <c r="G1116" s="16" t="n">
        <f aca="false">IF(A1116="2025",INDEX(Products!$C$2:$C$13,MATCH(D1116,Products!$A$2:$A$13,0)),INDEX(Products!$E$2:$E$13,MATCH(D1116,Products!$A$2:$A$13,0)))</f>
        <v>33260</v>
      </c>
      <c r="H1116" s="13" t="n">
        <f aca="false">IF(A1116="2025",INDEX(Customers!$D$2:$D$41,MATCH(C1116,Customers!$A$2:$A$41,0)),INDEX(Customers!$F$2:$F$41,MATCH(C1116,Customers!$A$2:$A$41,0)))</f>
        <v>0.026</v>
      </c>
      <c r="I1116" s="16" t="n">
        <f aca="false">F1116*G1116</f>
        <v>99780</v>
      </c>
      <c r="J1116" s="16" t="n">
        <f aca="false">I1116*(1-H1116)</f>
        <v>97185.72</v>
      </c>
      <c r="K1116" s="16" t="n">
        <f aca="false">J1116*INDEX(Customers!$G$2:$G$41,MATCH(C1116,Customers!$A$2:$A$41,0))</f>
        <v>2915.5716</v>
      </c>
      <c r="L1116" s="16" t="n">
        <f aca="false">F1116*INDEX(Customers!$H$2:$H$41,MATCH(C1116,Customers!$A$2:$A$41,0))</f>
        <v>660</v>
      </c>
      <c r="M1116" s="16" t="n">
        <f aca="false">J1116*INDEX(Customers!$I$2:$I$41,MATCH(C1116,Customers!$A$2:$A$41,0))/365*Assumptions!$B$6</f>
        <v>639.029391780822</v>
      </c>
      <c r="N1116" s="16" t="n">
        <f aca="false">J1116-K1116-L1116-M1116</f>
        <v>92971.1190082192</v>
      </c>
      <c r="O1116" s="16" t="n">
        <f aca="false">F1116*IF(A1116="2025",INDEX(Products!$D$2:$D$13,MATCH(D1116,Products!$A$2:$A$13,0)),INDEX(Products!$F$2:$F$13,MATCH(D1116,Products!$A$2:$A$13,0)))</f>
        <v>45060</v>
      </c>
      <c r="P1116" s="16" t="n">
        <f aca="false">N1116-O1116</f>
        <v>47911.1190082192</v>
      </c>
    </row>
    <row r="1117" customFormat="false" ht="15" hidden="false" customHeight="false" outlineLevel="0" collapsed="false">
      <c r="A1117" s="2" t="s">
        <v>118</v>
      </c>
      <c r="B1117" s="2" t="n">
        <v>12</v>
      </c>
      <c r="C1117" s="2" t="s">
        <v>80</v>
      </c>
      <c r="D1117" s="2" t="s">
        <v>48</v>
      </c>
      <c r="E1117" s="2" t="str">
        <f aca="false">INDEX(Products!$B$2:$B$13,MATCH(D1117,Products!$A$2:$A$13,0))</f>
        <v>Specialty</v>
      </c>
      <c r="F1117" s="15" t="n">
        <v>2.4</v>
      </c>
      <c r="G1117" s="16" t="n">
        <f aca="false">IF(A1117="2025",INDEX(Products!$C$2:$C$13,MATCH(D1117,Products!$A$2:$A$13,0)),INDEX(Products!$E$2:$E$13,MATCH(D1117,Products!$A$2:$A$13,0)))</f>
        <v>33260</v>
      </c>
      <c r="H1117" s="13" t="n">
        <f aca="false">IF(A1117="2025",INDEX(Customers!$D$2:$D$41,MATCH(C1117,Customers!$A$2:$A$41,0)),INDEX(Customers!$F$2:$F$41,MATCH(C1117,Customers!$A$2:$A$41,0)))</f>
        <v>0.026</v>
      </c>
      <c r="I1117" s="16" t="n">
        <f aca="false">F1117*G1117</f>
        <v>79824</v>
      </c>
      <c r="J1117" s="16" t="n">
        <f aca="false">I1117*(1-H1117)</f>
        <v>77748.576</v>
      </c>
      <c r="K1117" s="16" t="n">
        <f aca="false">J1117*INDEX(Customers!$G$2:$G$41,MATCH(C1117,Customers!$A$2:$A$41,0))</f>
        <v>2332.45728</v>
      </c>
      <c r="L1117" s="16" t="n">
        <f aca="false">F1117*INDEX(Customers!$H$2:$H$41,MATCH(C1117,Customers!$A$2:$A$41,0))</f>
        <v>528</v>
      </c>
      <c r="M1117" s="16" t="n">
        <f aca="false">J1117*INDEX(Customers!$I$2:$I$41,MATCH(C1117,Customers!$A$2:$A$41,0))/365*Assumptions!$B$6</f>
        <v>511.223513424658</v>
      </c>
      <c r="N1117" s="16" t="n">
        <f aca="false">J1117-K1117-L1117-M1117</f>
        <v>74376.8952065753</v>
      </c>
      <c r="O1117" s="16" t="n">
        <f aca="false">F1117*IF(A1117="2025",INDEX(Products!$D$2:$D$13,MATCH(D1117,Products!$A$2:$A$13,0)),INDEX(Products!$F$2:$F$13,MATCH(D1117,Products!$A$2:$A$13,0)))</f>
        <v>36048</v>
      </c>
      <c r="P1117" s="16" t="n">
        <f aca="false">N1117-O1117</f>
        <v>38328.8952065753</v>
      </c>
    </row>
    <row r="1118" customFormat="false" ht="15" hidden="false" customHeight="false" outlineLevel="0" collapsed="false">
      <c r="A1118" s="2" t="s">
        <v>119</v>
      </c>
      <c r="B1118" s="2" t="n">
        <v>1</v>
      </c>
      <c r="C1118" s="2" t="s">
        <v>80</v>
      </c>
      <c r="D1118" s="2" t="s">
        <v>48</v>
      </c>
      <c r="E1118" s="2" t="str">
        <f aca="false">INDEX(Products!$B$2:$B$13,MATCH(D1118,Products!$A$2:$A$13,0))</f>
        <v>Specialty</v>
      </c>
      <c r="F1118" s="15" t="n">
        <v>3</v>
      </c>
      <c r="G1118" s="16" t="n">
        <f aca="false">IF(A1118="2025",INDEX(Products!$C$2:$C$13,MATCH(D1118,Products!$A$2:$A$13,0)),INDEX(Products!$E$2:$E$13,MATCH(D1118,Products!$A$2:$A$13,0)))</f>
        <v>34923</v>
      </c>
      <c r="H1118" s="13" t="n">
        <f aca="false">IF(A1118="2025",INDEX(Customers!$D$2:$D$41,MATCH(C1118,Customers!$A$2:$A$41,0)),INDEX(Customers!$F$2:$F$41,MATCH(C1118,Customers!$A$2:$A$41,0)))</f>
        <v>0.026</v>
      </c>
      <c r="I1118" s="16" t="n">
        <f aca="false">F1118*G1118</f>
        <v>104769</v>
      </c>
      <c r="J1118" s="16" t="n">
        <f aca="false">I1118*(1-H1118)</f>
        <v>102045.006</v>
      </c>
      <c r="K1118" s="16" t="n">
        <f aca="false">J1118*INDEX(Customers!$G$2:$G$41,MATCH(C1118,Customers!$A$2:$A$41,0))</f>
        <v>3061.35018</v>
      </c>
      <c r="L1118" s="16" t="n">
        <f aca="false">F1118*INDEX(Customers!$H$2:$H$41,MATCH(C1118,Customers!$A$2:$A$41,0))</f>
        <v>660</v>
      </c>
      <c r="M1118" s="16" t="n">
        <f aca="false">J1118*INDEX(Customers!$I$2:$I$41,MATCH(C1118,Customers!$A$2:$A$41,0))/365*Assumptions!$B$6</f>
        <v>670.980861369863</v>
      </c>
      <c r="N1118" s="16" t="n">
        <f aca="false">J1118-K1118-L1118-M1118</f>
        <v>97652.6749586301</v>
      </c>
      <c r="O1118" s="16" t="n">
        <f aca="false">F1118*IF(A1118="2025",INDEX(Products!$D$2:$D$13,MATCH(D1118,Products!$A$2:$A$13,0)),INDEX(Products!$F$2:$F$13,MATCH(D1118,Products!$A$2:$A$13,0)))</f>
        <v>46411.8</v>
      </c>
      <c r="P1118" s="16" t="n">
        <f aca="false">N1118-O1118</f>
        <v>51240.8749586301</v>
      </c>
    </row>
    <row r="1119" customFormat="false" ht="15" hidden="false" customHeight="false" outlineLevel="0" collapsed="false">
      <c r="A1119" s="2" t="s">
        <v>119</v>
      </c>
      <c r="B1119" s="2" t="n">
        <v>2</v>
      </c>
      <c r="C1119" s="2" t="s">
        <v>80</v>
      </c>
      <c r="D1119" s="2" t="s">
        <v>48</v>
      </c>
      <c r="E1119" s="2" t="str">
        <f aca="false">INDEX(Products!$B$2:$B$13,MATCH(D1119,Products!$A$2:$A$13,0))</f>
        <v>Specialty</v>
      </c>
      <c r="F1119" s="15" t="n">
        <v>5</v>
      </c>
      <c r="G1119" s="16" t="n">
        <f aca="false">IF(A1119="2025",INDEX(Products!$C$2:$C$13,MATCH(D1119,Products!$A$2:$A$13,0)),INDEX(Products!$E$2:$E$13,MATCH(D1119,Products!$A$2:$A$13,0)))</f>
        <v>34923</v>
      </c>
      <c r="H1119" s="13" t="n">
        <f aca="false">IF(A1119="2025",INDEX(Customers!$D$2:$D$41,MATCH(C1119,Customers!$A$2:$A$41,0)),INDEX(Customers!$F$2:$F$41,MATCH(C1119,Customers!$A$2:$A$41,0)))</f>
        <v>0.026</v>
      </c>
      <c r="I1119" s="16" t="n">
        <f aca="false">F1119*G1119</f>
        <v>174615</v>
      </c>
      <c r="J1119" s="16" t="n">
        <f aca="false">I1119*(1-H1119)</f>
        <v>170075.01</v>
      </c>
      <c r="K1119" s="16" t="n">
        <f aca="false">J1119*INDEX(Customers!$G$2:$G$41,MATCH(C1119,Customers!$A$2:$A$41,0))</f>
        <v>5102.2503</v>
      </c>
      <c r="L1119" s="16" t="n">
        <f aca="false">F1119*INDEX(Customers!$H$2:$H$41,MATCH(C1119,Customers!$A$2:$A$41,0))</f>
        <v>1100</v>
      </c>
      <c r="M1119" s="16" t="n">
        <f aca="false">J1119*INDEX(Customers!$I$2:$I$41,MATCH(C1119,Customers!$A$2:$A$41,0))/365*Assumptions!$B$6</f>
        <v>1118.30143561644</v>
      </c>
      <c r="N1119" s="16" t="n">
        <f aca="false">J1119-K1119-L1119-M1119</f>
        <v>162754.458264384</v>
      </c>
      <c r="O1119" s="16" t="n">
        <f aca="false">F1119*IF(A1119="2025",INDEX(Products!$D$2:$D$13,MATCH(D1119,Products!$A$2:$A$13,0)),INDEX(Products!$F$2:$F$13,MATCH(D1119,Products!$A$2:$A$13,0)))</f>
        <v>77353</v>
      </c>
      <c r="P1119" s="16" t="n">
        <f aca="false">N1119-O1119</f>
        <v>85401.4582643836</v>
      </c>
    </row>
    <row r="1120" customFormat="false" ht="15" hidden="false" customHeight="false" outlineLevel="0" collapsed="false">
      <c r="A1120" s="2" t="s">
        <v>119</v>
      </c>
      <c r="B1120" s="2" t="n">
        <v>3</v>
      </c>
      <c r="C1120" s="2" t="s">
        <v>80</v>
      </c>
      <c r="D1120" s="2" t="s">
        <v>48</v>
      </c>
      <c r="E1120" s="2" t="str">
        <f aca="false">INDEX(Products!$B$2:$B$13,MATCH(D1120,Products!$A$2:$A$13,0))</f>
        <v>Specialty</v>
      </c>
      <c r="F1120" s="15" t="n">
        <v>4.5</v>
      </c>
      <c r="G1120" s="16" t="n">
        <f aca="false">IF(A1120="2025",INDEX(Products!$C$2:$C$13,MATCH(D1120,Products!$A$2:$A$13,0)),INDEX(Products!$E$2:$E$13,MATCH(D1120,Products!$A$2:$A$13,0)))</f>
        <v>34923</v>
      </c>
      <c r="H1120" s="13" t="n">
        <f aca="false">IF(A1120="2025",INDEX(Customers!$D$2:$D$41,MATCH(C1120,Customers!$A$2:$A$41,0)),INDEX(Customers!$F$2:$F$41,MATCH(C1120,Customers!$A$2:$A$41,0)))</f>
        <v>0.026</v>
      </c>
      <c r="I1120" s="16" t="n">
        <f aca="false">F1120*G1120</f>
        <v>157153.5</v>
      </c>
      <c r="J1120" s="16" t="n">
        <f aca="false">I1120*(1-H1120)</f>
        <v>153067.509</v>
      </c>
      <c r="K1120" s="16" t="n">
        <f aca="false">J1120*INDEX(Customers!$G$2:$G$41,MATCH(C1120,Customers!$A$2:$A$41,0))</f>
        <v>4592.02527</v>
      </c>
      <c r="L1120" s="16" t="n">
        <f aca="false">F1120*INDEX(Customers!$H$2:$H$41,MATCH(C1120,Customers!$A$2:$A$41,0))</f>
        <v>990</v>
      </c>
      <c r="M1120" s="16" t="n">
        <f aca="false">J1120*INDEX(Customers!$I$2:$I$41,MATCH(C1120,Customers!$A$2:$A$41,0))/365*Assumptions!$B$6</f>
        <v>1006.47129205479</v>
      </c>
      <c r="N1120" s="16" t="n">
        <f aca="false">J1120-K1120-L1120-M1120</f>
        <v>146479.012437945</v>
      </c>
      <c r="O1120" s="16" t="n">
        <f aca="false">F1120*IF(A1120="2025",INDEX(Products!$D$2:$D$13,MATCH(D1120,Products!$A$2:$A$13,0)),INDEX(Products!$F$2:$F$13,MATCH(D1120,Products!$A$2:$A$13,0)))</f>
        <v>69617.7</v>
      </c>
      <c r="P1120" s="16" t="n">
        <f aca="false">N1120-O1120</f>
        <v>76861.3124379452</v>
      </c>
    </row>
    <row r="1121" customFormat="false" ht="15" hidden="false" customHeight="false" outlineLevel="0" collapsed="false">
      <c r="A1121" s="2" t="s">
        <v>119</v>
      </c>
      <c r="B1121" s="2" t="n">
        <v>4</v>
      </c>
      <c r="C1121" s="2" t="s">
        <v>80</v>
      </c>
      <c r="D1121" s="2" t="s">
        <v>48</v>
      </c>
      <c r="E1121" s="2" t="str">
        <f aca="false">INDEX(Products!$B$2:$B$13,MATCH(D1121,Products!$A$2:$A$13,0))</f>
        <v>Specialty</v>
      </c>
      <c r="F1121" s="15" t="n">
        <v>4.7</v>
      </c>
      <c r="G1121" s="16" t="n">
        <f aca="false">IF(A1121="2025",INDEX(Products!$C$2:$C$13,MATCH(D1121,Products!$A$2:$A$13,0)),INDEX(Products!$E$2:$E$13,MATCH(D1121,Products!$A$2:$A$13,0)))</f>
        <v>34923</v>
      </c>
      <c r="H1121" s="13" t="n">
        <f aca="false">IF(A1121="2025",INDEX(Customers!$D$2:$D$41,MATCH(C1121,Customers!$A$2:$A$41,0)),INDEX(Customers!$F$2:$F$41,MATCH(C1121,Customers!$A$2:$A$41,0)))</f>
        <v>0.026</v>
      </c>
      <c r="I1121" s="16" t="n">
        <f aca="false">F1121*G1121</f>
        <v>164138.1</v>
      </c>
      <c r="J1121" s="16" t="n">
        <f aca="false">I1121*(1-H1121)</f>
        <v>159870.5094</v>
      </c>
      <c r="K1121" s="16" t="n">
        <f aca="false">J1121*INDEX(Customers!$G$2:$G$41,MATCH(C1121,Customers!$A$2:$A$41,0))</f>
        <v>4796.115282</v>
      </c>
      <c r="L1121" s="16" t="n">
        <f aca="false">F1121*INDEX(Customers!$H$2:$H$41,MATCH(C1121,Customers!$A$2:$A$41,0))</f>
        <v>1034</v>
      </c>
      <c r="M1121" s="16" t="n">
        <f aca="false">J1121*INDEX(Customers!$I$2:$I$41,MATCH(C1121,Customers!$A$2:$A$41,0))/365*Assumptions!$B$6</f>
        <v>1051.20334947945</v>
      </c>
      <c r="N1121" s="16" t="n">
        <f aca="false">J1121-K1121-L1121-M1121</f>
        <v>152989.190768521</v>
      </c>
      <c r="O1121" s="16" t="n">
        <f aca="false">F1121*IF(A1121="2025",INDEX(Products!$D$2:$D$13,MATCH(D1121,Products!$A$2:$A$13,0)),INDEX(Products!$F$2:$F$13,MATCH(D1121,Products!$A$2:$A$13,0)))</f>
        <v>72711.82</v>
      </c>
      <c r="P1121" s="16" t="n">
        <f aca="false">N1121-O1121</f>
        <v>80277.3707685205</v>
      </c>
    </row>
    <row r="1122" customFormat="false" ht="15" hidden="false" customHeight="false" outlineLevel="0" collapsed="false">
      <c r="A1122" s="2" t="s">
        <v>119</v>
      </c>
      <c r="B1122" s="2" t="n">
        <v>5</v>
      </c>
      <c r="C1122" s="2" t="s">
        <v>80</v>
      </c>
      <c r="D1122" s="2" t="s">
        <v>48</v>
      </c>
      <c r="E1122" s="2" t="str">
        <f aca="false">INDEX(Products!$B$2:$B$13,MATCH(D1122,Products!$A$2:$A$13,0))</f>
        <v>Specialty</v>
      </c>
      <c r="F1122" s="15" t="n">
        <v>4.5</v>
      </c>
      <c r="G1122" s="16" t="n">
        <f aca="false">IF(A1122="2025",INDEX(Products!$C$2:$C$13,MATCH(D1122,Products!$A$2:$A$13,0)),INDEX(Products!$E$2:$E$13,MATCH(D1122,Products!$A$2:$A$13,0)))</f>
        <v>34923</v>
      </c>
      <c r="H1122" s="13" t="n">
        <f aca="false">IF(A1122="2025",INDEX(Customers!$D$2:$D$41,MATCH(C1122,Customers!$A$2:$A$41,0)),INDEX(Customers!$F$2:$F$41,MATCH(C1122,Customers!$A$2:$A$41,0)))</f>
        <v>0.026</v>
      </c>
      <c r="I1122" s="16" t="n">
        <f aca="false">F1122*G1122</f>
        <v>157153.5</v>
      </c>
      <c r="J1122" s="16" t="n">
        <f aca="false">I1122*(1-H1122)</f>
        <v>153067.509</v>
      </c>
      <c r="K1122" s="16" t="n">
        <f aca="false">J1122*INDEX(Customers!$G$2:$G$41,MATCH(C1122,Customers!$A$2:$A$41,0))</f>
        <v>4592.02527</v>
      </c>
      <c r="L1122" s="16" t="n">
        <f aca="false">F1122*INDEX(Customers!$H$2:$H$41,MATCH(C1122,Customers!$A$2:$A$41,0))</f>
        <v>990</v>
      </c>
      <c r="M1122" s="16" t="n">
        <f aca="false">J1122*INDEX(Customers!$I$2:$I$41,MATCH(C1122,Customers!$A$2:$A$41,0))/365*Assumptions!$B$6</f>
        <v>1006.47129205479</v>
      </c>
      <c r="N1122" s="16" t="n">
        <f aca="false">J1122-K1122-L1122-M1122</f>
        <v>146479.012437945</v>
      </c>
      <c r="O1122" s="16" t="n">
        <f aca="false">F1122*IF(A1122="2025",INDEX(Products!$D$2:$D$13,MATCH(D1122,Products!$A$2:$A$13,0)),INDEX(Products!$F$2:$F$13,MATCH(D1122,Products!$A$2:$A$13,0)))</f>
        <v>69617.7</v>
      </c>
      <c r="P1122" s="16" t="n">
        <f aca="false">N1122-O1122</f>
        <v>76861.3124379452</v>
      </c>
    </row>
    <row r="1123" customFormat="false" ht="15" hidden="false" customHeight="false" outlineLevel="0" collapsed="false">
      <c r="A1123" s="2" t="s">
        <v>119</v>
      </c>
      <c r="B1123" s="2" t="n">
        <v>6</v>
      </c>
      <c r="C1123" s="2" t="s">
        <v>80</v>
      </c>
      <c r="D1123" s="2" t="s">
        <v>48</v>
      </c>
      <c r="E1123" s="2" t="str">
        <f aca="false">INDEX(Products!$B$2:$B$13,MATCH(D1123,Products!$A$2:$A$13,0))</f>
        <v>Specialty</v>
      </c>
      <c r="F1123" s="15" t="n">
        <v>3.6</v>
      </c>
      <c r="G1123" s="16" t="n">
        <f aca="false">IF(A1123="2025",INDEX(Products!$C$2:$C$13,MATCH(D1123,Products!$A$2:$A$13,0)),INDEX(Products!$E$2:$E$13,MATCH(D1123,Products!$A$2:$A$13,0)))</f>
        <v>34923</v>
      </c>
      <c r="H1123" s="13" t="n">
        <f aca="false">IF(A1123="2025",INDEX(Customers!$D$2:$D$41,MATCH(C1123,Customers!$A$2:$A$41,0)),INDEX(Customers!$F$2:$F$41,MATCH(C1123,Customers!$A$2:$A$41,0)))</f>
        <v>0.026</v>
      </c>
      <c r="I1123" s="16" t="n">
        <f aca="false">F1123*G1123</f>
        <v>125722.8</v>
      </c>
      <c r="J1123" s="16" t="n">
        <f aca="false">I1123*(1-H1123)</f>
        <v>122454.0072</v>
      </c>
      <c r="K1123" s="16" t="n">
        <f aca="false">J1123*INDEX(Customers!$G$2:$G$41,MATCH(C1123,Customers!$A$2:$A$41,0))</f>
        <v>3673.620216</v>
      </c>
      <c r="L1123" s="16" t="n">
        <f aca="false">F1123*INDEX(Customers!$H$2:$H$41,MATCH(C1123,Customers!$A$2:$A$41,0))</f>
        <v>792</v>
      </c>
      <c r="M1123" s="16" t="n">
        <f aca="false">J1123*INDEX(Customers!$I$2:$I$41,MATCH(C1123,Customers!$A$2:$A$41,0))/365*Assumptions!$B$6</f>
        <v>805.177033643836</v>
      </c>
      <c r="N1123" s="16" t="n">
        <f aca="false">J1123-K1123-L1123-M1123</f>
        <v>117183.209950356</v>
      </c>
      <c r="O1123" s="16" t="n">
        <f aca="false">F1123*IF(A1123="2025",INDEX(Products!$D$2:$D$13,MATCH(D1123,Products!$A$2:$A$13,0)),INDEX(Products!$F$2:$F$13,MATCH(D1123,Products!$A$2:$A$13,0)))</f>
        <v>55694.16</v>
      </c>
      <c r="P1123" s="16" t="n">
        <f aca="false">N1123-O1123</f>
        <v>61489.0499503562</v>
      </c>
    </row>
    <row r="1124" customFormat="false" ht="15" hidden="false" customHeight="false" outlineLevel="0" collapsed="false">
      <c r="A1124" s="2" t="s">
        <v>119</v>
      </c>
      <c r="B1124" s="2" t="n">
        <v>7</v>
      </c>
      <c r="C1124" s="2" t="s">
        <v>80</v>
      </c>
      <c r="D1124" s="2" t="s">
        <v>48</v>
      </c>
      <c r="E1124" s="2" t="str">
        <f aca="false">INDEX(Products!$B$2:$B$13,MATCH(D1124,Products!$A$2:$A$13,0))</f>
        <v>Specialty</v>
      </c>
      <c r="F1124" s="15" t="n">
        <v>4.5</v>
      </c>
      <c r="G1124" s="16" t="n">
        <f aca="false">IF(A1124="2025",INDEX(Products!$C$2:$C$13,MATCH(D1124,Products!$A$2:$A$13,0)),INDEX(Products!$E$2:$E$13,MATCH(D1124,Products!$A$2:$A$13,0)))</f>
        <v>34923</v>
      </c>
      <c r="H1124" s="13" t="n">
        <f aca="false">IF(A1124="2025",INDEX(Customers!$D$2:$D$41,MATCH(C1124,Customers!$A$2:$A$41,0)),INDEX(Customers!$F$2:$F$41,MATCH(C1124,Customers!$A$2:$A$41,0)))</f>
        <v>0.026</v>
      </c>
      <c r="I1124" s="16" t="n">
        <f aca="false">F1124*G1124</f>
        <v>157153.5</v>
      </c>
      <c r="J1124" s="16" t="n">
        <f aca="false">I1124*(1-H1124)</f>
        <v>153067.509</v>
      </c>
      <c r="K1124" s="16" t="n">
        <f aca="false">J1124*INDEX(Customers!$G$2:$G$41,MATCH(C1124,Customers!$A$2:$A$41,0))</f>
        <v>4592.02527</v>
      </c>
      <c r="L1124" s="16" t="n">
        <f aca="false">F1124*INDEX(Customers!$H$2:$H$41,MATCH(C1124,Customers!$A$2:$A$41,0))</f>
        <v>990</v>
      </c>
      <c r="M1124" s="16" t="n">
        <f aca="false">J1124*INDEX(Customers!$I$2:$I$41,MATCH(C1124,Customers!$A$2:$A$41,0))/365*Assumptions!$B$6</f>
        <v>1006.47129205479</v>
      </c>
      <c r="N1124" s="16" t="n">
        <f aca="false">J1124-K1124-L1124-M1124</f>
        <v>146479.012437945</v>
      </c>
      <c r="O1124" s="16" t="n">
        <f aca="false">F1124*IF(A1124="2025",INDEX(Products!$D$2:$D$13,MATCH(D1124,Products!$A$2:$A$13,0)),INDEX(Products!$F$2:$F$13,MATCH(D1124,Products!$A$2:$A$13,0)))</f>
        <v>69617.7</v>
      </c>
      <c r="P1124" s="16" t="n">
        <f aca="false">N1124-O1124</f>
        <v>76861.3124379452</v>
      </c>
    </row>
    <row r="1125" customFormat="false" ht="15" hidden="false" customHeight="false" outlineLevel="0" collapsed="false">
      <c r="A1125" s="2" t="s">
        <v>119</v>
      </c>
      <c r="B1125" s="2" t="n">
        <v>8</v>
      </c>
      <c r="C1125" s="2" t="s">
        <v>80</v>
      </c>
      <c r="D1125" s="2" t="s">
        <v>48</v>
      </c>
      <c r="E1125" s="2" t="str">
        <f aca="false">INDEX(Products!$B$2:$B$13,MATCH(D1125,Products!$A$2:$A$13,0))</f>
        <v>Specialty</v>
      </c>
      <c r="F1125" s="15" t="n">
        <v>5</v>
      </c>
      <c r="G1125" s="16" t="n">
        <f aca="false">IF(A1125="2025",INDEX(Products!$C$2:$C$13,MATCH(D1125,Products!$A$2:$A$13,0)),INDEX(Products!$E$2:$E$13,MATCH(D1125,Products!$A$2:$A$13,0)))</f>
        <v>34923</v>
      </c>
      <c r="H1125" s="13" t="n">
        <f aca="false">IF(A1125="2025",INDEX(Customers!$D$2:$D$41,MATCH(C1125,Customers!$A$2:$A$41,0)),INDEX(Customers!$F$2:$F$41,MATCH(C1125,Customers!$A$2:$A$41,0)))</f>
        <v>0.026</v>
      </c>
      <c r="I1125" s="16" t="n">
        <f aca="false">F1125*G1125</f>
        <v>174615</v>
      </c>
      <c r="J1125" s="16" t="n">
        <f aca="false">I1125*(1-H1125)</f>
        <v>170075.01</v>
      </c>
      <c r="K1125" s="16" t="n">
        <f aca="false">J1125*INDEX(Customers!$G$2:$G$41,MATCH(C1125,Customers!$A$2:$A$41,0))</f>
        <v>5102.2503</v>
      </c>
      <c r="L1125" s="16" t="n">
        <f aca="false">F1125*INDEX(Customers!$H$2:$H$41,MATCH(C1125,Customers!$A$2:$A$41,0))</f>
        <v>1100</v>
      </c>
      <c r="M1125" s="16" t="n">
        <f aca="false">J1125*INDEX(Customers!$I$2:$I$41,MATCH(C1125,Customers!$A$2:$A$41,0))/365*Assumptions!$B$6</f>
        <v>1118.30143561644</v>
      </c>
      <c r="N1125" s="16" t="n">
        <f aca="false">J1125-K1125-L1125-M1125</f>
        <v>162754.458264384</v>
      </c>
      <c r="O1125" s="16" t="n">
        <f aca="false">F1125*IF(A1125="2025",INDEX(Products!$D$2:$D$13,MATCH(D1125,Products!$A$2:$A$13,0)),INDEX(Products!$F$2:$F$13,MATCH(D1125,Products!$A$2:$A$13,0)))</f>
        <v>77353</v>
      </c>
      <c r="P1125" s="16" t="n">
        <f aca="false">N1125-O1125</f>
        <v>85401.4582643836</v>
      </c>
    </row>
    <row r="1126" customFormat="false" ht="15" hidden="false" customHeight="false" outlineLevel="0" collapsed="false">
      <c r="A1126" s="2" t="s">
        <v>119</v>
      </c>
      <c r="B1126" s="2" t="n">
        <v>9</v>
      </c>
      <c r="C1126" s="2" t="s">
        <v>80</v>
      </c>
      <c r="D1126" s="2" t="s">
        <v>48</v>
      </c>
      <c r="E1126" s="2" t="str">
        <f aca="false">INDEX(Products!$B$2:$B$13,MATCH(D1126,Products!$A$2:$A$13,0))</f>
        <v>Specialty</v>
      </c>
      <c r="F1126" s="15" t="n">
        <v>5.1</v>
      </c>
      <c r="G1126" s="16" t="n">
        <f aca="false">IF(A1126="2025",INDEX(Products!$C$2:$C$13,MATCH(D1126,Products!$A$2:$A$13,0)),INDEX(Products!$E$2:$E$13,MATCH(D1126,Products!$A$2:$A$13,0)))</f>
        <v>34923</v>
      </c>
      <c r="H1126" s="13" t="n">
        <f aca="false">IF(A1126="2025",INDEX(Customers!$D$2:$D$41,MATCH(C1126,Customers!$A$2:$A$41,0)),INDEX(Customers!$F$2:$F$41,MATCH(C1126,Customers!$A$2:$A$41,0)))</f>
        <v>0.026</v>
      </c>
      <c r="I1126" s="16" t="n">
        <f aca="false">F1126*G1126</f>
        <v>178107.3</v>
      </c>
      <c r="J1126" s="16" t="n">
        <f aca="false">I1126*(1-H1126)</f>
        <v>173476.5102</v>
      </c>
      <c r="K1126" s="16" t="n">
        <f aca="false">J1126*INDEX(Customers!$G$2:$G$41,MATCH(C1126,Customers!$A$2:$A$41,0))</f>
        <v>5204.295306</v>
      </c>
      <c r="L1126" s="16" t="n">
        <f aca="false">F1126*INDEX(Customers!$H$2:$H$41,MATCH(C1126,Customers!$A$2:$A$41,0))</f>
        <v>1122</v>
      </c>
      <c r="M1126" s="16" t="n">
        <f aca="false">J1126*INDEX(Customers!$I$2:$I$41,MATCH(C1126,Customers!$A$2:$A$41,0))/365*Assumptions!$B$6</f>
        <v>1140.66746432877</v>
      </c>
      <c r="N1126" s="16" t="n">
        <f aca="false">J1126-K1126-L1126-M1126</f>
        <v>166009.547429671</v>
      </c>
      <c r="O1126" s="16" t="n">
        <f aca="false">F1126*IF(A1126="2025",INDEX(Products!$D$2:$D$13,MATCH(D1126,Products!$A$2:$A$13,0)),INDEX(Products!$F$2:$F$13,MATCH(D1126,Products!$A$2:$A$13,0)))</f>
        <v>78900.06</v>
      </c>
      <c r="P1126" s="16" t="n">
        <f aca="false">N1126-O1126</f>
        <v>87109.4874296713</v>
      </c>
    </row>
    <row r="1127" customFormat="false" ht="15" hidden="false" customHeight="false" outlineLevel="0" collapsed="false">
      <c r="A1127" s="2" t="s">
        <v>119</v>
      </c>
      <c r="B1127" s="2" t="n">
        <v>10</v>
      </c>
      <c r="C1127" s="2" t="s">
        <v>80</v>
      </c>
      <c r="D1127" s="2" t="s">
        <v>48</v>
      </c>
      <c r="E1127" s="2" t="str">
        <f aca="false">INDEX(Products!$B$2:$B$13,MATCH(D1127,Products!$A$2:$A$13,0))</f>
        <v>Specialty</v>
      </c>
      <c r="F1127" s="15" t="n">
        <v>3.9</v>
      </c>
      <c r="G1127" s="16" t="n">
        <f aca="false">IF(A1127="2025",INDEX(Products!$C$2:$C$13,MATCH(D1127,Products!$A$2:$A$13,0)),INDEX(Products!$E$2:$E$13,MATCH(D1127,Products!$A$2:$A$13,0)))</f>
        <v>34923</v>
      </c>
      <c r="H1127" s="13" t="n">
        <f aca="false">IF(A1127="2025",INDEX(Customers!$D$2:$D$41,MATCH(C1127,Customers!$A$2:$A$41,0)),INDEX(Customers!$F$2:$F$41,MATCH(C1127,Customers!$A$2:$A$41,0)))</f>
        <v>0.026</v>
      </c>
      <c r="I1127" s="16" t="n">
        <f aca="false">F1127*G1127</f>
        <v>136199.7</v>
      </c>
      <c r="J1127" s="16" t="n">
        <f aca="false">I1127*(1-H1127)</f>
        <v>132658.5078</v>
      </c>
      <c r="K1127" s="16" t="n">
        <f aca="false">J1127*INDEX(Customers!$G$2:$G$41,MATCH(C1127,Customers!$A$2:$A$41,0))</f>
        <v>3979.755234</v>
      </c>
      <c r="L1127" s="16" t="n">
        <f aca="false">F1127*INDEX(Customers!$H$2:$H$41,MATCH(C1127,Customers!$A$2:$A$41,0))</f>
        <v>858</v>
      </c>
      <c r="M1127" s="16" t="n">
        <f aca="false">J1127*INDEX(Customers!$I$2:$I$41,MATCH(C1127,Customers!$A$2:$A$41,0))/365*Assumptions!$B$6</f>
        <v>872.275119780822</v>
      </c>
      <c r="N1127" s="16" t="n">
        <f aca="false">J1127-K1127-L1127-M1127</f>
        <v>126948.477446219</v>
      </c>
      <c r="O1127" s="16" t="n">
        <f aca="false">F1127*IF(A1127="2025",INDEX(Products!$D$2:$D$13,MATCH(D1127,Products!$A$2:$A$13,0)),INDEX(Products!$F$2:$F$13,MATCH(D1127,Products!$A$2:$A$13,0)))</f>
        <v>60335.34</v>
      </c>
      <c r="P1127" s="16" t="n">
        <f aca="false">N1127-O1127</f>
        <v>66613.1374462192</v>
      </c>
    </row>
    <row r="1128" customFormat="false" ht="15" hidden="false" customHeight="false" outlineLevel="0" collapsed="false">
      <c r="A1128" s="2" t="s">
        <v>119</v>
      </c>
      <c r="B1128" s="2" t="n">
        <v>11</v>
      </c>
      <c r="C1128" s="2" t="s">
        <v>80</v>
      </c>
      <c r="D1128" s="2" t="s">
        <v>48</v>
      </c>
      <c r="E1128" s="2" t="str">
        <f aca="false">INDEX(Products!$B$2:$B$13,MATCH(D1128,Products!$A$2:$A$13,0))</f>
        <v>Specialty</v>
      </c>
      <c r="F1128" s="15" t="n">
        <v>5</v>
      </c>
      <c r="G1128" s="16" t="n">
        <f aca="false">IF(A1128="2025",INDEX(Products!$C$2:$C$13,MATCH(D1128,Products!$A$2:$A$13,0)),INDEX(Products!$E$2:$E$13,MATCH(D1128,Products!$A$2:$A$13,0)))</f>
        <v>34923</v>
      </c>
      <c r="H1128" s="13" t="n">
        <f aca="false">IF(A1128="2025",INDEX(Customers!$D$2:$D$41,MATCH(C1128,Customers!$A$2:$A$41,0)),INDEX(Customers!$F$2:$F$41,MATCH(C1128,Customers!$A$2:$A$41,0)))</f>
        <v>0.026</v>
      </c>
      <c r="I1128" s="16" t="n">
        <f aca="false">F1128*G1128</f>
        <v>174615</v>
      </c>
      <c r="J1128" s="16" t="n">
        <f aca="false">I1128*(1-H1128)</f>
        <v>170075.01</v>
      </c>
      <c r="K1128" s="16" t="n">
        <f aca="false">J1128*INDEX(Customers!$G$2:$G$41,MATCH(C1128,Customers!$A$2:$A$41,0))</f>
        <v>5102.2503</v>
      </c>
      <c r="L1128" s="16" t="n">
        <f aca="false">F1128*INDEX(Customers!$H$2:$H$41,MATCH(C1128,Customers!$A$2:$A$41,0))</f>
        <v>1100</v>
      </c>
      <c r="M1128" s="16" t="n">
        <f aca="false">J1128*INDEX(Customers!$I$2:$I$41,MATCH(C1128,Customers!$A$2:$A$41,0))/365*Assumptions!$B$6</f>
        <v>1118.30143561644</v>
      </c>
      <c r="N1128" s="16" t="n">
        <f aca="false">J1128-K1128-L1128-M1128</f>
        <v>162754.458264384</v>
      </c>
      <c r="O1128" s="16" t="n">
        <f aca="false">F1128*IF(A1128="2025",INDEX(Products!$D$2:$D$13,MATCH(D1128,Products!$A$2:$A$13,0)),INDEX(Products!$F$2:$F$13,MATCH(D1128,Products!$A$2:$A$13,0)))</f>
        <v>77353</v>
      </c>
      <c r="P1128" s="16" t="n">
        <f aca="false">N1128-O1128</f>
        <v>85401.4582643836</v>
      </c>
    </row>
    <row r="1129" customFormat="false" ht="15" hidden="false" customHeight="false" outlineLevel="0" collapsed="false">
      <c r="A1129" s="2" t="s">
        <v>119</v>
      </c>
      <c r="B1129" s="2" t="n">
        <v>12</v>
      </c>
      <c r="C1129" s="2" t="s">
        <v>80</v>
      </c>
      <c r="D1129" s="2" t="s">
        <v>48</v>
      </c>
      <c r="E1129" s="2" t="str">
        <f aca="false">INDEX(Products!$B$2:$B$13,MATCH(D1129,Products!$A$2:$A$13,0))</f>
        <v>Specialty</v>
      </c>
      <c r="F1129" s="15" t="n">
        <v>4.7</v>
      </c>
      <c r="G1129" s="16" t="n">
        <f aca="false">IF(A1129="2025",INDEX(Products!$C$2:$C$13,MATCH(D1129,Products!$A$2:$A$13,0)),INDEX(Products!$E$2:$E$13,MATCH(D1129,Products!$A$2:$A$13,0)))</f>
        <v>34923</v>
      </c>
      <c r="H1129" s="13" t="n">
        <f aca="false">IF(A1129="2025",INDEX(Customers!$D$2:$D$41,MATCH(C1129,Customers!$A$2:$A$41,0)),INDEX(Customers!$F$2:$F$41,MATCH(C1129,Customers!$A$2:$A$41,0)))</f>
        <v>0.026</v>
      </c>
      <c r="I1129" s="16" t="n">
        <f aca="false">F1129*G1129</f>
        <v>164138.1</v>
      </c>
      <c r="J1129" s="16" t="n">
        <f aca="false">I1129*(1-H1129)</f>
        <v>159870.5094</v>
      </c>
      <c r="K1129" s="16" t="n">
        <f aca="false">J1129*INDEX(Customers!$G$2:$G$41,MATCH(C1129,Customers!$A$2:$A$41,0))</f>
        <v>4796.115282</v>
      </c>
      <c r="L1129" s="16" t="n">
        <f aca="false">F1129*INDEX(Customers!$H$2:$H$41,MATCH(C1129,Customers!$A$2:$A$41,0))</f>
        <v>1034</v>
      </c>
      <c r="M1129" s="16" t="n">
        <f aca="false">J1129*INDEX(Customers!$I$2:$I$41,MATCH(C1129,Customers!$A$2:$A$41,0))/365*Assumptions!$B$6</f>
        <v>1051.20334947945</v>
      </c>
      <c r="N1129" s="16" t="n">
        <f aca="false">J1129-K1129-L1129-M1129</f>
        <v>152989.190768521</v>
      </c>
      <c r="O1129" s="16" t="n">
        <f aca="false">F1129*IF(A1129="2025",INDEX(Products!$D$2:$D$13,MATCH(D1129,Products!$A$2:$A$13,0)),INDEX(Products!$F$2:$F$13,MATCH(D1129,Products!$A$2:$A$13,0)))</f>
        <v>72711.82</v>
      </c>
      <c r="P1129" s="16" t="n">
        <f aca="false">N1129-O1129</f>
        <v>80277.3707685205</v>
      </c>
    </row>
    <row r="1130" customFormat="false" ht="15" hidden="false" customHeight="false" outlineLevel="0" collapsed="false">
      <c r="A1130" s="2" t="s">
        <v>118</v>
      </c>
      <c r="B1130" s="2" t="n">
        <v>1</v>
      </c>
      <c r="C1130" s="2" t="s">
        <v>80</v>
      </c>
      <c r="D1130" s="2" t="s">
        <v>42</v>
      </c>
      <c r="E1130" s="2" t="str">
        <f aca="false">INDEX(Products!$B$2:$B$13,MATCH(D1130,Products!$A$2:$A$13,0))</f>
        <v>Hydroprocessing</v>
      </c>
      <c r="F1130" s="15" t="n">
        <v>4.9</v>
      </c>
      <c r="G1130" s="16" t="n">
        <f aca="false">IF(A1130="2025",INDEX(Products!$C$2:$C$13,MATCH(D1130,Products!$A$2:$A$13,0)),INDEX(Products!$E$2:$E$13,MATCH(D1130,Products!$A$2:$A$13,0)))</f>
        <v>12450</v>
      </c>
      <c r="H1130" s="13" t="n">
        <f aca="false">IF(A1130="2025",INDEX(Customers!$D$2:$D$41,MATCH(C1130,Customers!$A$2:$A$41,0)),INDEX(Customers!$F$2:$F$41,MATCH(C1130,Customers!$A$2:$A$41,0)))</f>
        <v>0.026</v>
      </c>
      <c r="I1130" s="16" t="n">
        <f aca="false">F1130*G1130</f>
        <v>61005</v>
      </c>
      <c r="J1130" s="16" t="n">
        <f aca="false">I1130*(1-H1130)</f>
        <v>59418.87</v>
      </c>
      <c r="K1130" s="16" t="n">
        <f aca="false">J1130*INDEX(Customers!$G$2:$G$41,MATCH(C1130,Customers!$A$2:$A$41,0))</f>
        <v>1782.5661</v>
      </c>
      <c r="L1130" s="16" t="n">
        <f aca="false">F1130*INDEX(Customers!$H$2:$H$41,MATCH(C1130,Customers!$A$2:$A$41,0))</f>
        <v>1078</v>
      </c>
      <c r="M1130" s="16" t="n">
        <f aca="false">J1130*INDEX(Customers!$I$2:$I$41,MATCH(C1130,Customers!$A$2:$A$41,0))/365*Assumptions!$B$6</f>
        <v>390.699419178082</v>
      </c>
      <c r="N1130" s="16" t="n">
        <f aca="false">J1130-K1130-L1130-M1130</f>
        <v>56167.6044808219</v>
      </c>
      <c r="O1130" s="16" t="n">
        <f aca="false">F1130*IF(A1130="2025",INDEX(Products!$D$2:$D$13,MATCH(D1130,Products!$A$2:$A$13,0)),INDEX(Products!$F$2:$F$13,MATCH(D1130,Products!$A$2:$A$13,0)))</f>
        <v>38122</v>
      </c>
      <c r="P1130" s="16" t="n">
        <f aca="false">N1130-O1130</f>
        <v>18045.6044808219</v>
      </c>
    </row>
    <row r="1131" customFormat="false" ht="15" hidden="false" customHeight="false" outlineLevel="0" collapsed="false">
      <c r="A1131" s="2" t="s">
        <v>118</v>
      </c>
      <c r="B1131" s="2" t="n">
        <v>2</v>
      </c>
      <c r="C1131" s="2" t="s">
        <v>80</v>
      </c>
      <c r="D1131" s="2" t="s">
        <v>42</v>
      </c>
      <c r="E1131" s="2" t="str">
        <f aca="false">INDEX(Products!$B$2:$B$13,MATCH(D1131,Products!$A$2:$A$13,0))</f>
        <v>Hydroprocessing</v>
      </c>
      <c r="F1131" s="15" t="n">
        <v>6.2</v>
      </c>
      <c r="G1131" s="16" t="n">
        <f aca="false">IF(A1131="2025",INDEX(Products!$C$2:$C$13,MATCH(D1131,Products!$A$2:$A$13,0)),INDEX(Products!$E$2:$E$13,MATCH(D1131,Products!$A$2:$A$13,0)))</f>
        <v>12450</v>
      </c>
      <c r="H1131" s="13" t="n">
        <f aca="false">IF(A1131="2025",INDEX(Customers!$D$2:$D$41,MATCH(C1131,Customers!$A$2:$A$41,0)),INDEX(Customers!$F$2:$F$41,MATCH(C1131,Customers!$A$2:$A$41,0)))</f>
        <v>0.026</v>
      </c>
      <c r="I1131" s="16" t="n">
        <f aca="false">F1131*G1131</f>
        <v>77190</v>
      </c>
      <c r="J1131" s="16" t="n">
        <f aca="false">I1131*(1-H1131)</f>
        <v>75183.06</v>
      </c>
      <c r="K1131" s="16" t="n">
        <f aca="false">J1131*INDEX(Customers!$G$2:$G$41,MATCH(C1131,Customers!$A$2:$A$41,0))</f>
        <v>2255.4918</v>
      </c>
      <c r="L1131" s="16" t="n">
        <f aca="false">F1131*INDEX(Customers!$H$2:$H$41,MATCH(C1131,Customers!$A$2:$A$41,0))</f>
        <v>1364</v>
      </c>
      <c r="M1131" s="16" t="n">
        <f aca="false">J1131*INDEX(Customers!$I$2:$I$41,MATCH(C1131,Customers!$A$2:$A$41,0))/365*Assumptions!$B$6</f>
        <v>494.354367123288</v>
      </c>
      <c r="N1131" s="16" t="n">
        <f aca="false">J1131-K1131-L1131-M1131</f>
        <v>71069.2138328767</v>
      </c>
      <c r="O1131" s="16" t="n">
        <f aca="false">F1131*IF(A1131="2025",INDEX(Products!$D$2:$D$13,MATCH(D1131,Products!$A$2:$A$13,0)),INDEX(Products!$F$2:$F$13,MATCH(D1131,Products!$A$2:$A$13,0)))</f>
        <v>48236</v>
      </c>
      <c r="P1131" s="16" t="n">
        <f aca="false">N1131-O1131</f>
        <v>22833.2138328767</v>
      </c>
    </row>
    <row r="1132" customFormat="false" ht="15" hidden="false" customHeight="false" outlineLevel="0" collapsed="false">
      <c r="A1132" s="2" t="s">
        <v>118</v>
      </c>
      <c r="B1132" s="2" t="n">
        <v>3</v>
      </c>
      <c r="C1132" s="2" t="s">
        <v>80</v>
      </c>
      <c r="D1132" s="2" t="s">
        <v>42</v>
      </c>
      <c r="E1132" s="2" t="str">
        <f aca="false">INDEX(Products!$B$2:$B$13,MATCH(D1132,Products!$A$2:$A$13,0))</f>
        <v>Hydroprocessing</v>
      </c>
      <c r="F1132" s="15" t="n">
        <v>5.2</v>
      </c>
      <c r="G1132" s="16" t="n">
        <f aca="false">IF(A1132="2025",INDEX(Products!$C$2:$C$13,MATCH(D1132,Products!$A$2:$A$13,0)),INDEX(Products!$E$2:$E$13,MATCH(D1132,Products!$A$2:$A$13,0)))</f>
        <v>12450</v>
      </c>
      <c r="H1132" s="13" t="n">
        <f aca="false">IF(A1132="2025",INDEX(Customers!$D$2:$D$41,MATCH(C1132,Customers!$A$2:$A$41,0)),INDEX(Customers!$F$2:$F$41,MATCH(C1132,Customers!$A$2:$A$41,0)))</f>
        <v>0.026</v>
      </c>
      <c r="I1132" s="16" t="n">
        <f aca="false">F1132*G1132</f>
        <v>64740</v>
      </c>
      <c r="J1132" s="16" t="n">
        <f aca="false">I1132*(1-H1132)</f>
        <v>63056.76</v>
      </c>
      <c r="K1132" s="16" t="n">
        <f aca="false">J1132*INDEX(Customers!$G$2:$G$41,MATCH(C1132,Customers!$A$2:$A$41,0))</f>
        <v>1891.7028</v>
      </c>
      <c r="L1132" s="16" t="n">
        <f aca="false">F1132*INDEX(Customers!$H$2:$H$41,MATCH(C1132,Customers!$A$2:$A$41,0))</f>
        <v>1144</v>
      </c>
      <c r="M1132" s="16" t="n">
        <f aca="false">J1132*INDEX(Customers!$I$2:$I$41,MATCH(C1132,Customers!$A$2:$A$41,0))/365*Assumptions!$B$6</f>
        <v>414.619791780822</v>
      </c>
      <c r="N1132" s="16" t="n">
        <f aca="false">J1132-K1132-L1132-M1132</f>
        <v>59606.4374082192</v>
      </c>
      <c r="O1132" s="16" t="n">
        <f aca="false">F1132*IF(A1132="2025",INDEX(Products!$D$2:$D$13,MATCH(D1132,Products!$A$2:$A$13,0)),INDEX(Products!$F$2:$F$13,MATCH(D1132,Products!$A$2:$A$13,0)))</f>
        <v>40456</v>
      </c>
      <c r="P1132" s="16" t="n">
        <f aca="false">N1132-O1132</f>
        <v>19150.4374082192</v>
      </c>
    </row>
    <row r="1133" customFormat="false" ht="15" hidden="false" customHeight="false" outlineLevel="0" collapsed="false">
      <c r="A1133" s="2" t="s">
        <v>118</v>
      </c>
      <c r="B1133" s="2" t="n">
        <v>4</v>
      </c>
      <c r="C1133" s="2" t="s">
        <v>80</v>
      </c>
      <c r="D1133" s="2" t="s">
        <v>42</v>
      </c>
      <c r="E1133" s="2" t="str">
        <f aca="false">INDEX(Products!$B$2:$B$13,MATCH(D1133,Products!$A$2:$A$13,0))</f>
        <v>Hydroprocessing</v>
      </c>
      <c r="F1133" s="15" t="n">
        <v>4.9</v>
      </c>
      <c r="G1133" s="16" t="n">
        <f aca="false">IF(A1133="2025",INDEX(Products!$C$2:$C$13,MATCH(D1133,Products!$A$2:$A$13,0)),INDEX(Products!$E$2:$E$13,MATCH(D1133,Products!$A$2:$A$13,0)))</f>
        <v>12450</v>
      </c>
      <c r="H1133" s="13" t="n">
        <f aca="false">IF(A1133="2025",INDEX(Customers!$D$2:$D$41,MATCH(C1133,Customers!$A$2:$A$41,0)),INDEX(Customers!$F$2:$F$41,MATCH(C1133,Customers!$A$2:$A$41,0)))</f>
        <v>0.026</v>
      </c>
      <c r="I1133" s="16" t="n">
        <f aca="false">F1133*G1133</f>
        <v>61005</v>
      </c>
      <c r="J1133" s="16" t="n">
        <f aca="false">I1133*(1-H1133)</f>
        <v>59418.87</v>
      </c>
      <c r="K1133" s="16" t="n">
        <f aca="false">J1133*INDEX(Customers!$G$2:$G$41,MATCH(C1133,Customers!$A$2:$A$41,0))</f>
        <v>1782.5661</v>
      </c>
      <c r="L1133" s="16" t="n">
        <f aca="false">F1133*INDEX(Customers!$H$2:$H$41,MATCH(C1133,Customers!$A$2:$A$41,0))</f>
        <v>1078</v>
      </c>
      <c r="M1133" s="16" t="n">
        <f aca="false">J1133*INDEX(Customers!$I$2:$I$41,MATCH(C1133,Customers!$A$2:$A$41,0))/365*Assumptions!$B$6</f>
        <v>390.699419178082</v>
      </c>
      <c r="N1133" s="16" t="n">
        <f aca="false">J1133-K1133-L1133-M1133</f>
        <v>56167.6044808219</v>
      </c>
      <c r="O1133" s="16" t="n">
        <f aca="false">F1133*IF(A1133="2025",INDEX(Products!$D$2:$D$13,MATCH(D1133,Products!$A$2:$A$13,0)),INDEX(Products!$F$2:$F$13,MATCH(D1133,Products!$A$2:$A$13,0)))</f>
        <v>38122</v>
      </c>
      <c r="P1133" s="16" t="n">
        <f aca="false">N1133-O1133</f>
        <v>18045.6044808219</v>
      </c>
    </row>
    <row r="1134" customFormat="false" ht="15" hidden="false" customHeight="false" outlineLevel="0" collapsed="false">
      <c r="A1134" s="2" t="s">
        <v>118</v>
      </c>
      <c r="B1134" s="2" t="n">
        <v>5</v>
      </c>
      <c r="C1134" s="2" t="s">
        <v>80</v>
      </c>
      <c r="D1134" s="2" t="s">
        <v>42</v>
      </c>
      <c r="E1134" s="2" t="str">
        <f aca="false">INDEX(Products!$B$2:$B$13,MATCH(D1134,Products!$A$2:$A$13,0))</f>
        <v>Hydroprocessing</v>
      </c>
      <c r="F1134" s="15" t="n">
        <v>6</v>
      </c>
      <c r="G1134" s="16" t="n">
        <f aca="false">IF(A1134="2025",INDEX(Products!$C$2:$C$13,MATCH(D1134,Products!$A$2:$A$13,0)),INDEX(Products!$E$2:$E$13,MATCH(D1134,Products!$A$2:$A$13,0)))</f>
        <v>12450</v>
      </c>
      <c r="H1134" s="13" t="n">
        <f aca="false">IF(A1134="2025",INDEX(Customers!$D$2:$D$41,MATCH(C1134,Customers!$A$2:$A$41,0)),INDEX(Customers!$F$2:$F$41,MATCH(C1134,Customers!$A$2:$A$41,0)))</f>
        <v>0.026</v>
      </c>
      <c r="I1134" s="16" t="n">
        <f aca="false">F1134*G1134</f>
        <v>74700</v>
      </c>
      <c r="J1134" s="16" t="n">
        <f aca="false">I1134*(1-H1134)</f>
        <v>72757.8</v>
      </c>
      <c r="K1134" s="16" t="n">
        <f aca="false">J1134*INDEX(Customers!$G$2:$G$41,MATCH(C1134,Customers!$A$2:$A$41,0))</f>
        <v>2182.734</v>
      </c>
      <c r="L1134" s="16" t="n">
        <f aca="false">F1134*INDEX(Customers!$H$2:$H$41,MATCH(C1134,Customers!$A$2:$A$41,0))</f>
        <v>1320</v>
      </c>
      <c r="M1134" s="16" t="n">
        <f aca="false">J1134*INDEX(Customers!$I$2:$I$41,MATCH(C1134,Customers!$A$2:$A$41,0))/365*Assumptions!$B$6</f>
        <v>478.407452054795</v>
      </c>
      <c r="N1134" s="16" t="n">
        <f aca="false">J1134-K1134-L1134-M1134</f>
        <v>68776.6585479452</v>
      </c>
      <c r="O1134" s="16" t="n">
        <f aca="false">F1134*IF(A1134="2025",INDEX(Products!$D$2:$D$13,MATCH(D1134,Products!$A$2:$A$13,0)),INDEX(Products!$F$2:$F$13,MATCH(D1134,Products!$A$2:$A$13,0)))</f>
        <v>46680</v>
      </c>
      <c r="P1134" s="16" t="n">
        <f aca="false">N1134-O1134</f>
        <v>22096.6585479452</v>
      </c>
    </row>
    <row r="1135" customFormat="false" ht="15" hidden="false" customHeight="false" outlineLevel="0" collapsed="false">
      <c r="A1135" s="2" t="s">
        <v>118</v>
      </c>
      <c r="B1135" s="2" t="n">
        <v>6</v>
      </c>
      <c r="C1135" s="2" t="s">
        <v>80</v>
      </c>
      <c r="D1135" s="2" t="s">
        <v>42</v>
      </c>
      <c r="E1135" s="2" t="str">
        <f aca="false">INDEX(Products!$B$2:$B$13,MATCH(D1135,Products!$A$2:$A$13,0))</f>
        <v>Hydroprocessing</v>
      </c>
      <c r="F1135" s="15" t="n">
        <v>6.4</v>
      </c>
      <c r="G1135" s="16" t="n">
        <f aca="false">IF(A1135="2025",INDEX(Products!$C$2:$C$13,MATCH(D1135,Products!$A$2:$A$13,0)),INDEX(Products!$E$2:$E$13,MATCH(D1135,Products!$A$2:$A$13,0)))</f>
        <v>12450</v>
      </c>
      <c r="H1135" s="13" t="n">
        <f aca="false">IF(A1135="2025",INDEX(Customers!$D$2:$D$41,MATCH(C1135,Customers!$A$2:$A$41,0)),INDEX(Customers!$F$2:$F$41,MATCH(C1135,Customers!$A$2:$A$41,0)))</f>
        <v>0.026</v>
      </c>
      <c r="I1135" s="16" t="n">
        <f aca="false">F1135*G1135</f>
        <v>79680</v>
      </c>
      <c r="J1135" s="16" t="n">
        <f aca="false">I1135*(1-H1135)</f>
        <v>77608.32</v>
      </c>
      <c r="K1135" s="16" t="n">
        <f aca="false">J1135*INDEX(Customers!$G$2:$G$41,MATCH(C1135,Customers!$A$2:$A$41,0))</f>
        <v>2328.2496</v>
      </c>
      <c r="L1135" s="16" t="n">
        <f aca="false">F1135*INDEX(Customers!$H$2:$H$41,MATCH(C1135,Customers!$A$2:$A$41,0))</f>
        <v>1408</v>
      </c>
      <c r="M1135" s="16" t="n">
        <f aca="false">J1135*INDEX(Customers!$I$2:$I$41,MATCH(C1135,Customers!$A$2:$A$41,0))/365*Assumptions!$B$6</f>
        <v>510.301282191781</v>
      </c>
      <c r="N1135" s="16" t="n">
        <f aca="false">J1135-K1135-L1135-M1135</f>
        <v>73361.7691178082</v>
      </c>
      <c r="O1135" s="16" t="n">
        <f aca="false">F1135*IF(A1135="2025",INDEX(Products!$D$2:$D$13,MATCH(D1135,Products!$A$2:$A$13,0)),INDEX(Products!$F$2:$F$13,MATCH(D1135,Products!$A$2:$A$13,0)))</f>
        <v>49792</v>
      </c>
      <c r="P1135" s="16" t="n">
        <f aca="false">N1135-O1135</f>
        <v>23569.7691178082</v>
      </c>
    </row>
    <row r="1136" customFormat="false" ht="15" hidden="false" customHeight="false" outlineLevel="0" collapsed="false">
      <c r="A1136" s="2" t="s">
        <v>118</v>
      </c>
      <c r="B1136" s="2" t="n">
        <v>7</v>
      </c>
      <c r="C1136" s="2" t="s">
        <v>80</v>
      </c>
      <c r="D1136" s="2" t="s">
        <v>42</v>
      </c>
      <c r="E1136" s="2" t="str">
        <f aca="false">INDEX(Products!$B$2:$B$13,MATCH(D1136,Products!$A$2:$A$13,0))</f>
        <v>Hydroprocessing</v>
      </c>
      <c r="F1136" s="15" t="n">
        <v>4.3</v>
      </c>
      <c r="G1136" s="16" t="n">
        <f aca="false">IF(A1136="2025",INDEX(Products!$C$2:$C$13,MATCH(D1136,Products!$A$2:$A$13,0)),INDEX(Products!$E$2:$E$13,MATCH(D1136,Products!$A$2:$A$13,0)))</f>
        <v>12450</v>
      </c>
      <c r="H1136" s="13" t="n">
        <f aca="false">IF(A1136="2025",INDEX(Customers!$D$2:$D$41,MATCH(C1136,Customers!$A$2:$A$41,0)),INDEX(Customers!$F$2:$F$41,MATCH(C1136,Customers!$A$2:$A$41,0)))</f>
        <v>0.026</v>
      </c>
      <c r="I1136" s="16" t="n">
        <f aca="false">F1136*G1136</f>
        <v>53535</v>
      </c>
      <c r="J1136" s="16" t="n">
        <f aca="false">I1136*(1-H1136)</f>
        <v>52143.09</v>
      </c>
      <c r="K1136" s="16" t="n">
        <f aca="false">J1136*INDEX(Customers!$G$2:$G$41,MATCH(C1136,Customers!$A$2:$A$41,0))</f>
        <v>1564.2927</v>
      </c>
      <c r="L1136" s="16" t="n">
        <f aca="false">F1136*INDEX(Customers!$H$2:$H$41,MATCH(C1136,Customers!$A$2:$A$41,0))</f>
        <v>946</v>
      </c>
      <c r="M1136" s="16" t="n">
        <f aca="false">J1136*INDEX(Customers!$I$2:$I$41,MATCH(C1136,Customers!$A$2:$A$41,0))/365*Assumptions!$B$6</f>
        <v>342.858673972603</v>
      </c>
      <c r="N1136" s="16" t="n">
        <f aca="false">J1136-K1136-L1136-M1136</f>
        <v>49289.9386260274</v>
      </c>
      <c r="O1136" s="16" t="n">
        <f aca="false">F1136*IF(A1136="2025",INDEX(Products!$D$2:$D$13,MATCH(D1136,Products!$A$2:$A$13,0)),INDEX(Products!$F$2:$F$13,MATCH(D1136,Products!$A$2:$A$13,0)))</f>
        <v>33454</v>
      </c>
      <c r="P1136" s="16" t="n">
        <f aca="false">N1136-O1136</f>
        <v>15835.9386260274</v>
      </c>
    </row>
    <row r="1137" customFormat="false" ht="15" hidden="false" customHeight="false" outlineLevel="0" collapsed="false">
      <c r="A1137" s="2" t="s">
        <v>118</v>
      </c>
      <c r="B1137" s="2" t="n">
        <v>8</v>
      </c>
      <c r="C1137" s="2" t="s">
        <v>80</v>
      </c>
      <c r="D1137" s="2" t="s">
        <v>42</v>
      </c>
      <c r="E1137" s="2" t="str">
        <f aca="false">INDEX(Products!$B$2:$B$13,MATCH(D1137,Products!$A$2:$A$13,0))</f>
        <v>Hydroprocessing</v>
      </c>
      <c r="F1137" s="15" t="n">
        <v>5.3</v>
      </c>
      <c r="G1137" s="16" t="n">
        <f aca="false">IF(A1137="2025",INDEX(Products!$C$2:$C$13,MATCH(D1137,Products!$A$2:$A$13,0)),INDEX(Products!$E$2:$E$13,MATCH(D1137,Products!$A$2:$A$13,0)))</f>
        <v>12450</v>
      </c>
      <c r="H1137" s="13" t="n">
        <f aca="false">IF(A1137="2025",INDEX(Customers!$D$2:$D$41,MATCH(C1137,Customers!$A$2:$A$41,0)),INDEX(Customers!$F$2:$F$41,MATCH(C1137,Customers!$A$2:$A$41,0)))</f>
        <v>0.026</v>
      </c>
      <c r="I1137" s="16" t="n">
        <f aca="false">F1137*G1137</f>
        <v>65985</v>
      </c>
      <c r="J1137" s="16" t="n">
        <f aca="false">I1137*(1-H1137)</f>
        <v>64269.39</v>
      </c>
      <c r="K1137" s="16" t="n">
        <f aca="false">J1137*INDEX(Customers!$G$2:$G$41,MATCH(C1137,Customers!$A$2:$A$41,0))</f>
        <v>1928.0817</v>
      </c>
      <c r="L1137" s="16" t="n">
        <f aca="false">F1137*INDEX(Customers!$H$2:$H$41,MATCH(C1137,Customers!$A$2:$A$41,0))</f>
        <v>1166</v>
      </c>
      <c r="M1137" s="16" t="n">
        <f aca="false">J1137*INDEX(Customers!$I$2:$I$41,MATCH(C1137,Customers!$A$2:$A$41,0))/365*Assumptions!$B$6</f>
        <v>422.593249315069</v>
      </c>
      <c r="N1137" s="16" t="n">
        <f aca="false">J1137-K1137-L1137-M1137</f>
        <v>60752.7150506849</v>
      </c>
      <c r="O1137" s="16" t="n">
        <f aca="false">F1137*IF(A1137="2025",INDEX(Products!$D$2:$D$13,MATCH(D1137,Products!$A$2:$A$13,0)),INDEX(Products!$F$2:$F$13,MATCH(D1137,Products!$A$2:$A$13,0)))</f>
        <v>41234</v>
      </c>
      <c r="P1137" s="16" t="n">
        <f aca="false">N1137-O1137</f>
        <v>19518.7150506849</v>
      </c>
    </row>
    <row r="1138" customFormat="false" ht="15" hidden="false" customHeight="false" outlineLevel="0" collapsed="false">
      <c r="A1138" s="2" t="s">
        <v>118</v>
      </c>
      <c r="B1138" s="2" t="n">
        <v>9</v>
      </c>
      <c r="C1138" s="2" t="s">
        <v>80</v>
      </c>
      <c r="D1138" s="2" t="s">
        <v>42</v>
      </c>
      <c r="E1138" s="2" t="str">
        <f aca="false">INDEX(Products!$B$2:$B$13,MATCH(D1138,Products!$A$2:$A$13,0))</f>
        <v>Hydroprocessing</v>
      </c>
      <c r="F1138" s="15" t="n">
        <v>5.6</v>
      </c>
      <c r="G1138" s="16" t="n">
        <f aca="false">IF(A1138="2025",INDEX(Products!$C$2:$C$13,MATCH(D1138,Products!$A$2:$A$13,0)),INDEX(Products!$E$2:$E$13,MATCH(D1138,Products!$A$2:$A$13,0)))</f>
        <v>12450</v>
      </c>
      <c r="H1138" s="13" t="n">
        <f aca="false">IF(A1138="2025",INDEX(Customers!$D$2:$D$41,MATCH(C1138,Customers!$A$2:$A$41,0)),INDEX(Customers!$F$2:$F$41,MATCH(C1138,Customers!$A$2:$A$41,0)))</f>
        <v>0.026</v>
      </c>
      <c r="I1138" s="16" t="n">
        <f aca="false">F1138*G1138</f>
        <v>69720</v>
      </c>
      <c r="J1138" s="16" t="n">
        <f aca="false">I1138*(1-H1138)</f>
        <v>67907.28</v>
      </c>
      <c r="K1138" s="16" t="n">
        <f aca="false">J1138*INDEX(Customers!$G$2:$G$41,MATCH(C1138,Customers!$A$2:$A$41,0))</f>
        <v>2037.2184</v>
      </c>
      <c r="L1138" s="16" t="n">
        <f aca="false">F1138*INDEX(Customers!$H$2:$H$41,MATCH(C1138,Customers!$A$2:$A$41,0))</f>
        <v>1232</v>
      </c>
      <c r="M1138" s="16" t="n">
        <f aca="false">J1138*INDEX(Customers!$I$2:$I$41,MATCH(C1138,Customers!$A$2:$A$41,0))/365*Assumptions!$B$6</f>
        <v>446.513621917808</v>
      </c>
      <c r="N1138" s="16" t="n">
        <f aca="false">J1138-K1138-L1138-M1138</f>
        <v>64191.5479780822</v>
      </c>
      <c r="O1138" s="16" t="n">
        <f aca="false">F1138*IF(A1138="2025",INDEX(Products!$D$2:$D$13,MATCH(D1138,Products!$A$2:$A$13,0)),INDEX(Products!$F$2:$F$13,MATCH(D1138,Products!$A$2:$A$13,0)))</f>
        <v>43568</v>
      </c>
      <c r="P1138" s="16" t="n">
        <f aca="false">N1138-O1138</f>
        <v>20623.5479780822</v>
      </c>
    </row>
    <row r="1139" customFormat="false" ht="15" hidden="false" customHeight="false" outlineLevel="0" collapsed="false">
      <c r="A1139" s="2" t="s">
        <v>118</v>
      </c>
      <c r="B1139" s="2" t="n">
        <v>10</v>
      </c>
      <c r="C1139" s="2" t="s">
        <v>80</v>
      </c>
      <c r="D1139" s="2" t="s">
        <v>42</v>
      </c>
      <c r="E1139" s="2" t="str">
        <f aca="false">INDEX(Products!$B$2:$B$13,MATCH(D1139,Products!$A$2:$A$13,0))</f>
        <v>Hydroprocessing</v>
      </c>
      <c r="F1139" s="15" t="n">
        <v>5</v>
      </c>
      <c r="G1139" s="16" t="n">
        <f aca="false">IF(A1139="2025",INDEX(Products!$C$2:$C$13,MATCH(D1139,Products!$A$2:$A$13,0)),INDEX(Products!$E$2:$E$13,MATCH(D1139,Products!$A$2:$A$13,0)))</f>
        <v>12450</v>
      </c>
      <c r="H1139" s="13" t="n">
        <f aca="false">IF(A1139="2025",INDEX(Customers!$D$2:$D$41,MATCH(C1139,Customers!$A$2:$A$41,0)),INDEX(Customers!$F$2:$F$41,MATCH(C1139,Customers!$A$2:$A$41,0)))</f>
        <v>0.026</v>
      </c>
      <c r="I1139" s="16" t="n">
        <f aca="false">F1139*G1139</f>
        <v>62250</v>
      </c>
      <c r="J1139" s="16" t="n">
        <f aca="false">I1139*(1-H1139)</f>
        <v>60631.5</v>
      </c>
      <c r="K1139" s="16" t="n">
        <f aca="false">J1139*INDEX(Customers!$G$2:$G$41,MATCH(C1139,Customers!$A$2:$A$41,0))</f>
        <v>1818.945</v>
      </c>
      <c r="L1139" s="16" t="n">
        <f aca="false">F1139*INDEX(Customers!$H$2:$H$41,MATCH(C1139,Customers!$A$2:$A$41,0))</f>
        <v>1100</v>
      </c>
      <c r="M1139" s="16" t="n">
        <f aca="false">J1139*INDEX(Customers!$I$2:$I$41,MATCH(C1139,Customers!$A$2:$A$41,0))/365*Assumptions!$B$6</f>
        <v>398.672876712329</v>
      </c>
      <c r="N1139" s="16" t="n">
        <f aca="false">J1139-K1139-L1139-M1139</f>
        <v>57313.8821232877</v>
      </c>
      <c r="O1139" s="16" t="n">
        <f aca="false">F1139*IF(A1139="2025",INDEX(Products!$D$2:$D$13,MATCH(D1139,Products!$A$2:$A$13,0)),INDEX(Products!$F$2:$F$13,MATCH(D1139,Products!$A$2:$A$13,0)))</f>
        <v>38900</v>
      </c>
      <c r="P1139" s="16" t="n">
        <f aca="false">N1139-O1139</f>
        <v>18413.8821232877</v>
      </c>
    </row>
    <row r="1140" customFormat="false" ht="15" hidden="false" customHeight="false" outlineLevel="0" collapsed="false">
      <c r="A1140" s="2" t="s">
        <v>118</v>
      </c>
      <c r="B1140" s="2" t="n">
        <v>11</v>
      </c>
      <c r="C1140" s="2" t="s">
        <v>80</v>
      </c>
      <c r="D1140" s="2" t="s">
        <v>42</v>
      </c>
      <c r="E1140" s="2" t="str">
        <f aca="false">INDEX(Products!$B$2:$B$13,MATCH(D1140,Products!$A$2:$A$13,0))</f>
        <v>Hydroprocessing</v>
      </c>
      <c r="F1140" s="15" t="n">
        <v>6.7</v>
      </c>
      <c r="G1140" s="16" t="n">
        <f aca="false">IF(A1140="2025",INDEX(Products!$C$2:$C$13,MATCH(D1140,Products!$A$2:$A$13,0)),INDEX(Products!$E$2:$E$13,MATCH(D1140,Products!$A$2:$A$13,0)))</f>
        <v>12450</v>
      </c>
      <c r="H1140" s="13" t="n">
        <f aca="false">IF(A1140="2025",INDEX(Customers!$D$2:$D$41,MATCH(C1140,Customers!$A$2:$A$41,0)),INDEX(Customers!$F$2:$F$41,MATCH(C1140,Customers!$A$2:$A$41,0)))</f>
        <v>0.026</v>
      </c>
      <c r="I1140" s="16" t="n">
        <f aca="false">F1140*G1140</f>
        <v>83415</v>
      </c>
      <c r="J1140" s="16" t="n">
        <f aca="false">I1140*(1-H1140)</f>
        <v>81246.21</v>
      </c>
      <c r="K1140" s="16" t="n">
        <f aca="false">J1140*INDEX(Customers!$G$2:$G$41,MATCH(C1140,Customers!$A$2:$A$41,0))</f>
        <v>2437.3863</v>
      </c>
      <c r="L1140" s="16" t="n">
        <f aca="false">F1140*INDEX(Customers!$H$2:$H$41,MATCH(C1140,Customers!$A$2:$A$41,0))</f>
        <v>1474</v>
      </c>
      <c r="M1140" s="16" t="n">
        <f aca="false">J1140*INDEX(Customers!$I$2:$I$41,MATCH(C1140,Customers!$A$2:$A$41,0))/365*Assumptions!$B$6</f>
        <v>534.221654794521</v>
      </c>
      <c r="N1140" s="16" t="n">
        <f aca="false">J1140-K1140-L1140-M1140</f>
        <v>76800.6020452055</v>
      </c>
      <c r="O1140" s="16" t="n">
        <f aca="false">F1140*IF(A1140="2025",INDEX(Products!$D$2:$D$13,MATCH(D1140,Products!$A$2:$A$13,0)),INDEX(Products!$F$2:$F$13,MATCH(D1140,Products!$A$2:$A$13,0)))</f>
        <v>52126</v>
      </c>
      <c r="P1140" s="16" t="n">
        <f aca="false">N1140-O1140</f>
        <v>24674.6020452055</v>
      </c>
    </row>
    <row r="1141" customFormat="false" ht="15" hidden="false" customHeight="false" outlineLevel="0" collapsed="false">
      <c r="A1141" s="2" t="s">
        <v>118</v>
      </c>
      <c r="B1141" s="2" t="n">
        <v>12</v>
      </c>
      <c r="C1141" s="2" t="s">
        <v>80</v>
      </c>
      <c r="D1141" s="2" t="s">
        <v>42</v>
      </c>
      <c r="E1141" s="2" t="str">
        <f aca="false">INDEX(Products!$B$2:$B$13,MATCH(D1141,Products!$A$2:$A$13,0))</f>
        <v>Hydroprocessing</v>
      </c>
      <c r="F1141" s="15" t="n">
        <v>5</v>
      </c>
      <c r="G1141" s="16" t="n">
        <f aca="false">IF(A1141="2025",INDEX(Products!$C$2:$C$13,MATCH(D1141,Products!$A$2:$A$13,0)),INDEX(Products!$E$2:$E$13,MATCH(D1141,Products!$A$2:$A$13,0)))</f>
        <v>12450</v>
      </c>
      <c r="H1141" s="13" t="n">
        <f aca="false">IF(A1141="2025",INDEX(Customers!$D$2:$D$41,MATCH(C1141,Customers!$A$2:$A$41,0)),INDEX(Customers!$F$2:$F$41,MATCH(C1141,Customers!$A$2:$A$41,0)))</f>
        <v>0.026</v>
      </c>
      <c r="I1141" s="16" t="n">
        <f aca="false">F1141*G1141</f>
        <v>62250</v>
      </c>
      <c r="J1141" s="16" t="n">
        <f aca="false">I1141*(1-H1141)</f>
        <v>60631.5</v>
      </c>
      <c r="K1141" s="16" t="n">
        <f aca="false">J1141*INDEX(Customers!$G$2:$G$41,MATCH(C1141,Customers!$A$2:$A$41,0))</f>
        <v>1818.945</v>
      </c>
      <c r="L1141" s="16" t="n">
        <f aca="false">F1141*INDEX(Customers!$H$2:$H$41,MATCH(C1141,Customers!$A$2:$A$41,0))</f>
        <v>1100</v>
      </c>
      <c r="M1141" s="16" t="n">
        <f aca="false">J1141*INDEX(Customers!$I$2:$I$41,MATCH(C1141,Customers!$A$2:$A$41,0))/365*Assumptions!$B$6</f>
        <v>398.672876712329</v>
      </c>
      <c r="N1141" s="16" t="n">
        <f aca="false">J1141-K1141-L1141-M1141</f>
        <v>57313.8821232877</v>
      </c>
      <c r="O1141" s="16" t="n">
        <f aca="false">F1141*IF(A1141="2025",INDEX(Products!$D$2:$D$13,MATCH(D1141,Products!$A$2:$A$13,0)),INDEX(Products!$F$2:$F$13,MATCH(D1141,Products!$A$2:$A$13,0)))</f>
        <v>38900</v>
      </c>
      <c r="P1141" s="16" t="n">
        <f aca="false">N1141-O1141</f>
        <v>18413.8821232877</v>
      </c>
    </row>
    <row r="1142" customFormat="false" ht="15" hidden="false" customHeight="false" outlineLevel="0" collapsed="false">
      <c r="A1142" s="2" t="s">
        <v>119</v>
      </c>
      <c r="B1142" s="2" t="n">
        <v>1</v>
      </c>
      <c r="C1142" s="2" t="s">
        <v>80</v>
      </c>
      <c r="D1142" s="2" t="s">
        <v>42</v>
      </c>
      <c r="E1142" s="2" t="str">
        <f aca="false">INDEX(Products!$B$2:$B$13,MATCH(D1142,Products!$A$2:$A$13,0))</f>
        <v>Hydroprocessing</v>
      </c>
      <c r="F1142" s="15" t="n">
        <v>6.7</v>
      </c>
      <c r="G1142" s="16" t="n">
        <f aca="false">IF(A1142="2025",INDEX(Products!$C$2:$C$13,MATCH(D1142,Products!$A$2:$A$13,0)),INDEX(Products!$E$2:$E$13,MATCH(D1142,Products!$A$2:$A$13,0)))</f>
        <v>13072.5</v>
      </c>
      <c r="H1142" s="13" t="n">
        <f aca="false">IF(A1142="2025",INDEX(Customers!$D$2:$D$41,MATCH(C1142,Customers!$A$2:$A$41,0)),INDEX(Customers!$F$2:$F$41,MATCH(C1142,Customers!$A$2:$A$41,0)))</f>
        <v>0.026</v>
      </c>
      <c r="I1142" s="16" t="n">
        <f aca="false">F1142*G1142</f>
        <v>87585.75</v>
      </c>
      <c r="J1142" s="16" t="n">
        <f aca="false">I1142*(1-H1142)</f>
        <v>85308.5205</v>
      </c>
      <c r="K1142" s="16" t="n">
        <f aca="false">J1142*INDEX(Customers!$G$2:$G$41,MATCH(C1142,Customers!$A$2:$A$41,0))</f>
        <v>2559.255615</v>
      </c>
      <c r="L1142" s="16" t="n">
        <f aca="false">F1142*INDEX(Customers!$H$2:$H$41,MATCH(C1142,Customers!$A$2:$A$41,0))</f>
        <v>1474</v>
      </c>
      <c r="M1142" s="16" t="n">
        <f aca="false">J1142*INDEX(Customers!$I$2:$I$41,MATCH(C1142,Customers!$A$2:$A$41,0))/365*Assumptions!$B$6</f>
        <v>560.932737534247</v>
      </c>
      <c r="N1142" s="16" t="n">
        <f aca="false">J1142-K1142-L1142-M1142</f>
        <v>80714.3321474658</v>
      </c>
      <c r="O1142" s="16" t="n">
        <f aca="false">F1142*IF(A1142="2025",INDEX(Products!$D$2:$D$13,MATCH(D1142,Products!$A$2:$A$13,0)),INDEX(Products!$F$2:$F$13,MATCH(D1142,Products!$A$2:$A$13,0)))</f>
        <v>53689.78</v>
      </c>
      <c r="P1142" s="16" t="n">
        <f aca="false">N1142-O1142</f>
        <v>27024.5521474658</v>
      </c>
    </row>
    <row r="1143" customFormat="false" ht="15" hidden="false" customHeight="false" outlineLevel="0" collapsed="false">
      <c r="A1143" s="2" t="s">
        <v>119</v>
      </c>
      <c r="B1143" s="2" t="n">
        <v>2</v>
      </c>
      <c r="C1143" s="2" t="s">
        <v>80</v>
      </c>
      <c r="D1143" s="2" t="s">
        <v>42</v>
      </c>
      <c r="E1143" s="2" t="str">
        <f aca="false">INDEX(Products!$B$2:$B$13,MATCH(D1143,Products!$A$2:$A$13,0))</f>
        <v>Hydroprocessing</v>
      </c>
      <c r="F1143" s="15" t="n">
        <v>7.6</v>
      </c>
      <c r="G1143" s="16" t="n">
        <f aca="false">IF(A1143="2025",INDEX(Products!$C$2:$C$13,MATCH(D1143,Products!$A$2:$A$13,0)),INDEX(Products!$E$2:$E$13,MATCH(D1143,Products!$A$2:$A$13,0)))</f>
        <v>13072.5</v>
      </c>
      <c r="H1143" s="13" t="n">
        <f aca="false">IF(A1143="2025",INDEX(Customers!$D$2:$D$41,MATCH(C1143,Customers!$A$2:$A$41,0)),INDEX(Customers!$F$2:$F$41,MATCH(C1143,Customers!$A$2:$A$41,0)))</f>
        <v>0.026</v>
      </c>
      <c r="I1143" s="16" t="n">
        <f aca="false">F1143*G1143</f>
        <v>99351</v>
      </c>
      <c r="J1143" s="16" t="n">
        <f aca="false">I1143*(1-H1143)</f>
        <v>96767.874</v>
      </c>
      <c r="K1143" s="16" t="n">
        <f aca="false">J1143*INDEX(Customers!$G$2:$G$41,MATCH(C1143,Customers!$A$2:$A$41,0))</f>
        <v>2903.03622</v>
      </c>
      <c r="L1143" s="16" t="n">
        <f aca="false">F1143*INDEX(Customers!$H$2:$H$41,MATCH(C1143,Customers!$A$2:$A$41,0))</f>
        <v>1672</v>
      </c>
      <c r="M1143" s="16" t="n">
        <f aca="false">J1143*INDEX(Customers!$I$2:$I$41,MATCH(C1143,Customers!$A$2:$A$41,0))/365*Assumptions!$B$6</f>
        <v>636.281911232877</v>
      </c>
      <c r="N1143" s="16" t="n">
        <f aca="false">J1143-K1143-L1143-M1143</f>
        <v>91556.5558687671</v>
      </c>
      <c r="O1143" s="16" t="n">
        <f aca="false">F1143*IF(A1143="2025",INDEX(Products!$D$2:$D$13,MATCH(D1143,Products!$A$2:$A$13,0)),INDEX(Products!$F$2:$F$13,MATCH(D1143,Products!$A$2:$A$13,0)))</f>
        <v>60901.84</v>
      </c>
      <c r="P1143" s="16" t="n">
        <f aca="false">N1143-O1143</f>
        <v>30654.7158687671</v>
      </c>
    </row>
    <row r="1144" customFormat="false" ht="15" hidden="false" customHeight="false" outlineLevel="0" collapsed="false">
      <c r="A1144" s="2" t="s">
        <v>119</v>
      </c>
      <c r="B1144" s="2" t="n">
        <v>3</v>
      </c>
      <c r="C1144" s="2" t="s">
        <v>80</v>
      </c>
      <c r="D1144" s="2" t="s">
        <v>42</v>
      </c>
      <c r="E1144" s="2" t="str">
        <f aca="false">INDEX(Products!$B$2:$B$13,MATCH(D1144,Products!$A$2:$A$13,0))</f>
        <v>Hydroprocessing</v>
      </c>
      <c r="F1144" s="15" t="n">
        <v>8</v>
      </c>
      <c r="G1144" s="16" t="n">
        <f aca="false">IF(A1144="2025",INDEX(Products!$C$2:$C$13,MATCH(D1144,Products!$A$2:$A$13,0)),INDEX(Products!$E$2:$E$13,MATCH(D1144,Products!$A$2:$A$13,0)))</f>
        <v>13072.5</v>
      </c>
      <c r="H1144" s="13" t="n">
        <f aca="false">IF(A1144="2025",INDEX(Customers!$D$2:$D$41,MATCH(C1144,Customers!$A$2:$A$41,0)),INDEX(Customers!$F$2:$F$41,MATCH(C1144,Customers!$A$2:$A$41,0)))</f>
        <v>0.026</v>
      </c>
      <c r="I1144" s="16" t="n">
        <f aca="false">F1144*G1144</f>
        <v>104580</v>
      </c>
      <c r="J1144" s="16" t="n">
        <f aca="false">I1144*(1-H1144)</f>
        <v>101860.92</v>
      </c>
      <c r="K1144" s="16" t="n">
        <f aca="false">J1144*INDEX(Customers!$G$2:$G$41,MATCH(C1144,Customers!$A$2:$A$41,0))</f>
        <v>3055.8276</v>
      </c>
      <c r="L1144" s="16" t="n">
        <f aca="false">F1144*INDEX(Customers!$H$2:$H$41,MATCH(C1144,Customers!$A$2:$A$41,0))</f>
        <v>1760</v>
      </c>
      <c r="M1144" s="16" t="n">
        <f aca="false">J1144*INDEX(Customers!$I$2:$I$41,MATCH(C1144,Customers!$A$2:$A$41,0))/365*Assumptions!$B$6</f>
        <v>669.770432876712</v>
      </c>
      <c r="N1144" s="16" t="n">
        <f aca="false">J1144-K1144-L1144-M1144</f>
        <v>96375.3219671233</v>
      </c>
      <c r="O1144" s="16" t="n">
        <f aca="false">F1144*IF(A1144="2025",INDEX(Products!$D$2:$D$13,MATCH(D1144,Products!$A$2:$A$13,0)),INDEX(Products!$F$2:$F$13,MATCH(D1144,Products!$A$2:$A$13,0)))</f>
        <v>64107.2</v>
      </c>
      <c r="P1144" s="16" t="n">
        <f aca="false">N1144-O1144</f>
        <v>32268.1219671233</v>
      </c>
    </row>
    <row r="1145" customFormat="false" ht="15" hidden="false" customHeight="false" outlineLevel="0" collapsed="false">
      <c r="A1145" s="2" t="s">
        <v>119</v>
      </c>
      <c r="B1145" s="2" t="n">
        <v>4</v>
      </c>
      <c r="C1145" s="2" t="s">
        <v>80</v>
      </c>
      <c r="D1145" s="2" t="s">
        <v>42</v>
      </c>
      <c r="E1145" s="2" t="str">
        <f aca="false">INDEX(Products!$B$2:$B$13,MATCH(D1145,Products!$A$2:$A$13,0))</f>
        <v>Hydroprocessing</v>
      </c>
      <c r="F1145" s="15" t="n">
        <v>5.1</v>
      </c>
      <c r="G1145" s="16" t="n">
        <f aca="false">IF(A1145="2025",INDEX(Products!$C$2:$C$13,MATCH(D1145,Products!$A$2:$A$13,0)),INDEX(Products!$E$2:$E$13,MATCH(D1145,Products!$A$2:$A$13,0)))</f>
        <v>13072.5</v>
      </c>
      <c r="H1145" s="13" t="n">
        <f aca="false">IF(A1145="2025",INDEX(Customers!$D$2:$D$41,MATCH(C1145,Customers!$A$2:$A$41,0)),INDEX(Customers!$F$2:$F$41,MATCH(C1145,Customers!$A$2:$A$41,0)))</f>
        <v>0.026</v>
      </c>
      <c r="I1145" s="16" t="n">
        <f aca="false">F1145*G1145</f>
        <v>66669.75</v>
      </c>
      <c r="J1145" s="16" t="n">
        <f aca="false">I1145*(1-H1145)</f>
        <v>64936.3365</v>
      </c>
      <c r="K1145" s="16" t="n">
        <f aca="false">J1145*INDEX(Customers!$G$2:$G$41,MATCH(C1145,Customers!$A$2:$A$41,0))</f>
        <v>1948.090095</v>
      </c>
      <c r="L1145" s="16" t="n">
        <f aca="false">F1145*INDEX(Customers!$H$2:$H$41,MATCH(C1145,Customers!$A$2:$A$41,0))</f>
        <v>1122</v>
      </c>
      <c r="M1145" s="16" t="n">
        <f aca="false">J1145*INDEX(Customers!$I$2:$I$41,MATCH(C1145,Customers!$A$2:$A$41,0))/365*Assumptions!$B$6</f>
        <v>426.978650958904</v>
      </c>
      <c r="N1145" s="16" t="n">
        <f aca="false">J1145-K1145-L1145-M1145</f>
        <v>61439.2677540411</v>
      </c>
      <c r="O1145" s="16" t="n">
        <f aca="false">F1145*IF(A1145="2025",INDEX(Products!$D$2:$D$13,MATCH(D1145,Products!$A$2:$A$13,0)),INDEX(Products!$F$2:$F$13,MATCH(D1145,Products!$A$2:$A$13,0)))</f>
        <v>40868.34</v>
      </c>
      <c r="P1145" s="16" t="n">
        <f aca="false">N1145-O1145</f>
        <v>20570.9277540411</v>
      </c>
    </row>
    <row r="1146" customFormat="false" ht="15" hidden="false" customHeight="false" outlineLevel="0" collapsed="false">
      <c r="A1146" s="2" t="s">
        <v>119</v>
      </c>
      <c r="B1146" s="2" t="n">
        <v>5</v>
      </c>
      <c r="C1146" s="2" t="s">
        <v>80</v>
      </c>
      <c r="D1146" s="2" t="s">
        <v>42</v>
      </c>
      <c r="E1146" s="2" t="str">
        <f aca="false">INDEX(Products!$B$2:$B$13,MATCH(D1146,Products!$A$2:$A$13,0))</f>
        <v>Hydroprocessing</v>
      </c>
      <c r="F1146" s="15" t="n">
        <v>5.3</v>
      </c>
      <c r="G1146" s="16" t="n">
        <f aca="false">IF(A1146="2025",INDEX(Products!$C$2:$C$13,MATCH(D1146,Products!$A$2:$A$13,0)),INDEX(Products!$E$2:$E$13,MATCH(D1146,Products!$A$2:$A$13,0)))</f>
        <v>13072.5</v>
      </c>
      <c r="H1146" s="13" t="n">
        <f aca="false">IF(A1146="2025",INDEX(Customers!$D$2:$D$41,MATCH(C1146,Customers!$A$2:$A$41,0)),INDEX(Customers!$F$2:$F$41,MATCH(C1146,Customers!$A$2:$A$41,0)))</f>
        <v>0.026</v>
      </c>
      <c r="I1146" s="16" t="n">
        <f aca="false">F1146*G1146</f>
        <v>69284.25</v>
      </c>
      <c r="J1146" s="16" t="n">
        <f aca="false">I1146*(1-H1146)</f>
        <v>67482.8595</v>
      </c>
      <c r="K1146" s="16" t="n">
        <f aca="false">J1146*INDEX(Customers!$G$2:$G$41,MATCH(C1146,Customers!$A$2:$A$41,0))</f>
        <v>2024.485785</v>
      </c>
      <c r="L1146" s="16" t="n">
        <f aca="false">F1146*INDEX(Customers!$H$2:$H$41,MATCH(C1146,Customers!$A$2:$A$41,0))</f>
        <v>1166</v>
      </c>
      <c r="M1146" s="16" t="n">
        <f aca="false">J1146*INDEX(Customers!$I$2:$I$41,MATCH(C1146,Customers!$A$2:$A$41,0))/365*Assumptions!$B$6</f>
        <v>443.722911780822</v>
      </c>
      <c r="N1146" s="16" t="n">
        <f aca="false">J1146-K1146-L1146-M1146</f>
        <v>63848.6508032192</v>
      </c>
      <c r="O1146" s="16" t="n">
        <f aca="false">F1146*IF(A1146="2025",INDEX(Products!$D$2:$D$13,MATCH(D1146,Products!$A$2:$A$13,0)),INDEX(Products!$F$2:$F$13,MATCH(D1146,Products!$A$2:$A$13,0)))</f>
        <v>42471.02</v>
      </c>
      <c r="P1146" s="16" t="n">
        <f aca="false">N1146-O1146</f>
        <v>21377.6308032192</v>
      </c>
    </row>
    <row r="1147" customFormat="false" ht="15" hidden="false" customHeight="false" outlineLevel="0" collapsed="false">
      <c r="A1147" s="2" t="s">
        <v>119</v>
      </c>
      <c r="B1147" s="2" t="n">
        <v>6</v>
      </c>
      <c r="C1147" s="2" t="s">
        <v>80</v>
      </c>
      <c r="D1147" s="2" t="s">
        <v>42</v>
      </c>
      <c r="E1147" s="2" t="str">
        <f aca="false">INDEX(Products!$B$2:$B$13,MATCH(D1147,Products!$A$2:$A$13,0))</f>
        <v>Hydroprocessing</v>
      </c>
      <c r="F1147" s="15" t="n">
        <v>5.5</v>
      </c>
      <c r="G1147" s="16" t="n">
        <f aca="false">IF(A1147="2025",INDEX(Products!$C$2:$C$13,MATCH(D1147,Products!$A$2:$A$13,0)),INDEX(Products!$E$2:$E$13,MATCH(D1147,Products!$A$2:$A$13,0)))</f>
        <v>13072.5</v>
      </c>
      <c r="H1147" s="13" t="n">
        <f aca="false">IF(A1147="2025",INDEX(Customers!$D$2:$D$41,MATCH(C1147,Customers!$A$2:$A$41,0)),INDEX(Customers!$F$2:$F$41,MATCH(C1147,Customers!$A$2:$A$41,0)))</f>
        <v>0.026</v>
      </c>
      <c r="I1147" s="16" t="n">
        <f aca="false">F1147*G1147</f>
        <v>71898.75</v>
      </c>
      <c r="J1147" s="16" t="n">
        <f aca="false">I1147*(1-H1147)</f>
        <v>70029.3825</v>
      </c>
      <c r="K1147" s="16" t="n">
        <f aca="false">J1147*INDEX(Customers!$G$2:$G$41,MATCH(C1147,Customers!$A$2:$A$41,0))</f>
        <v>2100.881475</v>
      </c>
      <c r="L1147" s="16" t="n">
        <f aca="false">F1147*INDEX(Customers!$H$2:$H$41,MATCH(C1147,Customers!$A$2:$A$41,0))</f>
        <v>1210</v>
      </c>
      <c r="M1147" s="16" t="n">
        <f aca="false">J1147*INDEX(Customers!$I$2:$I$41,MATCH(C1147,Customers!$A$2:$A$41,0))/365*Assumptions!$B$6</f>
        <v>460.46717260274</v>
      </c>
      <c r="N1147" s="16" t="n">
        <f aca="false">J1147-K1147-L1147-M1147</f>
        <v>66258.0338523973</v>
      </c>
      <c r="O1147" s="16" t="n">
        <f aca="false">F1147*IF(A1147="2025",INDEX(Products!$D$2:$D$13,MATCH(D1147,Products!$A$2:$A$13,0)),INDEX(Products!$F$2:$F$13,MATCH(D1147,Products!$A$2:$A$13,0)))</f>
        <v>44073.7</v>
      </c>
      <c r="P1147" s="16" t="n">
        <f aca="false">N1147-O1147</f>
        <v>22184.3338523972</v>
      </c>
    </row>
    <row r="1148" customFormat="false" ht="15" hidden="false" customHeight="false" outlineLevel="0" collapsed="false">
      <c r="A1148" s="2" t="s">
        <v>119</v>
      </c>
      <c r="B1148" s="2" t="n">
        <v>7</v>
      </c>
      <c r="C1148" s="2" t="s">
        <v>80</v>
      </c>
      <c r="D1148" s="2" t="s">
        <v>42</v>
      </c>
      <c r="E1148" s="2" t="str">
        <f aca="false">INDEX(Products!$B$2:$B$13,MATCH(D1148,Products!$A$2:$A$13,0))</f>
        <v>Hydroprocessing</v>
      </c>
      <c r="F1148" s="15" t="n">
        <v>5.8</v>
      </c>
      <c r="G1148" s="16" t="n">
        <f aca="false">IF(A1148="2025",INDEX(Products!$C$2:$C$13,MATCH(D1148,Products!$A$2:$A$13,0)),INDEX(Products!$E$2:$E$13,MATCH(D1148,Products!$A$2:$A$13,0)))</f>
        <v>13072.5</v>
      </c>
      <c r="H1148" s="13" t="n">
        <f aca="false">IF(A1148="2025",INDEX(Customers!$D$2:$D$41,MATCH(C1148,Customers!$A$2:$A$41,0)),INDEX(Customers!$F$2:$F$41,MATCH(C1148,Customers!$A$2:$A$41,0)))</f>
        <v>0.026</v>
      </c>
      <c r="I1148" s="16" t="n">
        <f aca="false">F1148*G1148</f>
        <v>75820.5</v>
      </c>
      <c r="J1148" s="16" t="n">
        <f aca="false">I1148*(1-H1148)</f>
        <v>73849.167</v>
      </c>
      <c r="K1148" s="16" t="n">
        <f aca="false">J1148*INDEX(Customers!$G$2:$G$41,MATCH(C1148,Customers!$A$2:$A$41,0))</f>
        <v>2215.47501</v>
      </c>
      <c r="L1148" s="16" t="n">
        <f aca="false">F1148*INDEX(Customers!$H$2:$H$41,MATCH(C1148,Customers!$A$2:$A$41,0))</f>
        <v>1276</v>
      </c>
      <c r="M1148" s="16" t="n">
        <f aca="false">J1148*INDEX(Customers!$I$2:$I$41,MATCH(C1148,Customers!$A$2:$A$41,0))/365*Assumptions!$B$6</f>
        <v>485.583563835617</v>
      </c>
      <c r="N1148" s="16" t="n">
        <f aca="false">J1148-K1148-L1148-M1148</f>
        <v>69872.1084261644</v>
      </c>
      <c r="O1148" s="16" t="n">
        <f aca="false">F1148*IF(A1148="2025",INDEX(Products!$D$2:$D$13,MATCH(D1148,Products!$A$2:$A$13,0)),INDEX(Products!$F$2:$F$13,MATCH(D1148,Products!$A$2:$A$13,0)))</f>
        <v>46477.72</v>
      </c>
      <c r="P1148" s="16" t="n">
        <f aca="false">N1148-O1148</f>
        <v>23394.3884261644</v>
      </c>
    </row>
    <row r="1149" customFormat="false" ht="15" hidden="false" customHeight="false" outlineLevel="0" collapsed="false">
      <c r="A1149" s="2" t="s">
        <v>119</v>
      </c>
      <c r="B1149" s="2" t="n">
        <v>8</v>
      </c>
      <c r="C1149" s="2" t="s">
        <v>80</v>
      </c>
      <c r="D1149" s="2" t="s">
        <v>42</v>
      </c>
      <c r="E1149" s="2" t="str">
        <f aca="false">INDEX(Products!$B$2:$B$13,MATCH(D1149,Products!$A$2:$A$13,0))</f>
        <v>Hydroprocessing</v>
      </c>
      <c r="F1149" s="15" t="n">
        <v>5.5</v>
      </c>
      <c r="G1149" s="16" t="n">
        <f aca="false">IF(A1149="2025",INDEX(Products!$C$2:$C$13,MATCH(D1149,Products!$A$2:$A$13,0)),INDEX(Products!$E$2:$E$13,MATCH(D1149,Products!$A$2:$A$13,0)))</f>
        <v>13072.5</v>
      </c>
      <c r="H1149" s="13" t="n">
        <f aca="false">IF(A1149="2025",INDEX(Customers!$D$2:$D$41,MATCH(C1149,Customers!$A$2:$A$41,0)),INDEX(Customers!$F$2:$F$41,MATCH(C1149,Customers!$A$2:$A$41,0)))</f>
        <v>0.026</v>
      </c>
      <c r="I1149" s="16" t="n">
        <f aca="false">F1149*G1149</f>
        <v>71898.75</v>
      </c>
      <c r="J1149" s="16" t="n">
        <f aca="false">I1149*(1-H1149)</f>
        <v>70029.3825</v>
      </c>
      <c r="K1149" s="16" t="n">
        <f aca="false">J1149*INDEX(Customers!$G$2:$G$41,MATCH(C1149,Customers!$A$2:$A$41,0))</f>
        <v>2100.881475</v>
      </c>
      <c r="L1149" s="16" t="n">
        <f aca="false">F1149*INDEX(Customers!$H$2:$H$41,MATCH(C1149,Customers!$A$2:$A$41,0))</f>
        <v>1210</v>
      </c>
      <c r="M1149" s="16" t="n">
        <f aca="false">J1149*INDEX(Customers!$I$2:$I$41,MATCH(C1149,Customers!$A$2:$A$41,0))/365*Assumptions!$B$6</f>
        <v>460.46717260274</v>
      </c>
      <c r="N1149" s="16" t="n">
        <f aca="false">J1149-K1149-L1149-M1149</f>
        <v>66258.0338523973</v>
      </c>
      <c r="O1149" s="16" t="n">
        <f aca="false">F1149*IF(A1149="2025",INDEX(Products!$D$2:$D$13,MATCH(D1149,Products!$A$2:$A$13,0)),INDEX(Products!$F$2:$F$13,MATCH(D1149,Products!$A$2:$A$13,0)))</f>
        <v>44073.7</v>
      </c>
      <c r="P1149" s="16" t="n">
        <f aca="false">N1149-O1149</f>
        <v>22184.3338523972</v>
      </c>
    </row>
    <row r="1150" customFormat="false" ht="15" hidden="false" customHeight="false" outlineLevel="0" collapsed="false">
      <c r="A1150" s="2" t="s">
        <v>119</v>
      </c>
      <c r="B1150" s="2" t="n">
        <v>9</v>
      </c>
      <c r="C1150" s="2" t="s">
        <v>80</v>
      </c>
      <c r="D1150" s="2" t="s">
        <v>42</v>
      </c>
      <c r="E1150" s="2" t="str">
        <f aca="false">INDEX(Products!$B$2:$B$13,MATCH(D1150,Products!$A$2:$A$13,0))</f>
        <v>Hydroprocessing</v>
      </c>
      <c r="F1150" s="15" t="n">
        <v>7.2</v>
      </c>
      <c r="G1150" s="16" t="n">
        <f aca="false">IF(A1150="2025",INDEX(Products!$C$2:$C$13,MATCH(D1150,Products!$A$2:$A$13,0)),INDEX(Products!$E$2:$E$13,MATCH(D1150,Products!$A$2:$A$13,0)))</f>
        <v>13072.5</v>
      </c>
      <c r="H1150" s="13" t="n">
        <f aca="false">IF(A1150="2025",INDEX(Customers!$D$2:$D$41,MATCH(C1150,Customers!$A$2:$A$41,0)),INDEX(Customers!$F$2:$F$41,MATCH(C1150,Customers!$A$2:$A$41,0)))</f>
        <v>0.026</v>
      </c>
      <c r="I1150" s="16" t="n">
        <f aca="false">F1150*G1150</f>
        <v>94122</v>
      </c>
      <c r="J1150" s="16" t="n">
        <f aca="false">I1150*(1-H1150)</f>
        <v>91674.828</v>
      </c>
      <c r="K1150" s="16" t="n">
        <f aca="false">J1150*INDEX(Customers!$G$2:$G$41,MATCH(C1150,Customers!$A$2:$A$41,0))</f>
        <v>2750.24484</v>
      </c>
      <c r="L1150" s="16" t="n">
        <f aca="false">F1150*INDEX(Customers!$H$2:$H$41,MATCH(C1150,Customers!$A$2:$A$41,0))</f>
        <v>1584</v>
      </c>
      <c r="M1150" s="16" t="n">
        <f aca="false">J1150*INDEX(Customers!$I$2:$I$41,MATCH(C1150,Customers!$A$2:$A$41,0))/365*Assumptions!$B$6</f>
        <v>602.793389589041</v>
      </c>
      <c r="N1150" s="16" t="n">
        <f aca="false">J1150-K1150-L1150-M1150</f>
        <v>86737.789770411</v>
      </c>
      <c r="O1150" s="16" t="n">
        <f aca="false">F1150*IF(A1150="2025",INDEX(Products!$D$2:$D$13,MATCH(D1150,Products!$A$2:$A$13,0)),INDEX(Products!$F$2:$F$13,MATCH(D1150,Products!$A$2:$A$13,0)))</f>
        <v>57696.48</v>
      </c>
      <c r="P1150" s="16" t="n">
        <f aca="false">N1150-O1150</f>
        <v>29041.3097704109</v>
      </c>
    </row>
    <row r="1151" customFormat="false" ht="15" hidden="false" customHeight="false" outlineLevel="0" collapsed="false">
      <c r="A1151" s="2" t="s">
        <v>119</v>
      </c>
      <c r="B1151" s="2" t="n">
        <v>10</v>
      </c>
      <c r="C1151" s="2" t="s">
        <v>80</v>
      </c>
      <c r="D1151" s="2" t="s">
        <v>42</v>
      </c>
      <c r="E1151" s="2" t="str">
        <f aca="false">INDEX(Products!$B$2:$B$13,MATCH(D1151,Products!$A$2:$A$13,0))</f>
        <v>Hydroprocessing</v>
      </c>
      <c r="F1151" s="15" t="n">
        <v>6.3</v>
      </c>
      <c r="G1151" s="16" t="n">
        <f aca="false">IF(A1151="2025",INDEX(Products!$C$2:$C$13,MATCH(D1151,Products!$A$2:$A$13,0)),INDEX(Products!$E$2:$E$13,MATCH(D1151,Products!$A$2:$A$13,0)))</f>
        <v>13072.5</v>
      </c>
      <c r="H1151" s="13" t="n">
        <f aca="false">IF(A1151="2025",INDEX(Customers!$D$2:$D$41,MATCH(C1151,Customers!$A$2:$A$41,0)),INDEX(Customers!$F$2:$F$41,MATCH(C1151,Customers!$A$2:$A$41,0)))</f>
        <v>0.026</v>
      </c>
      <c r="I1151" s="16" t="n">
        <f aca="false">F1151*G1151</f>
        <v>82356.75</v>
      </c>
      <c r="J1151" s="16" t="n">
        <f aca="false">I1151*(1-H1151)</f>
        <v>80215.4745</v>
      </c>
      <c r="K1151" s="16" t="n">
        <f aca="false">J1151*INDEX(Customers!$G$2:$G$41,MATCH(C1151,Customers!$A$2:$A$41,0))</f>
        <v>2406.464235</v>
      </c>
      <c r="L1151" s="16" t="n">
        <f aca="false">F1151*INDEX(Customers!$H$2:$H$41,MATCH(C1151,Customers!$A$2:$A$41,0))</f>
        <v>1386</v>
      </c>
      <c r="M1151" s="16" t="n">
        <f aca="false">J1151*INDEX(Customers!$I$2:$I$41,MATCH(C1151,Customers!$A$2:$A$41,0))/365*Assumptions!$B$6</f>
        <v>527.444215890411</v>
      </c>
      <c r="N1151" s="16" t="n">
        <f aca="false">J1151-K1151-L1151-M1151</f>
        <v>75895.5660491096</v>
      </c>
      <c r="O1151" s="16" t="n">
        <f aca="false">F1151*IF(A1151="2025",INDEX(Products!$D$2:$D$13,MATCH(D1151,Products!$A$2:$A$13,0)),INDEX(Products!$F$2:$F$13,MATCH(D1151,Products!$A$2:$A$13,0)))</f>
        <v>50484.42</v>
      </c>
      <c r="P1151" s="16" t="n">
        <f aca="false">N1151-O1151</f>
        <v>25411.1460491096</v>
      </c>
    </row>
    <row r="1152" customFormat="false" ht="15" hidden="false" customHeight="false" outlineLevel="0" collapsed="false">
      <c r="A1152" s="2" t="s">
        <v>119</v>
      </c>
      <c r="B1152" s="2" t="n">
        <v>11</v>
      </c>
      <c r="C1152" s="2" t="s">
        <v>80</v>
      </c>
      <c r="D1152" s="2" t="s">
        <v>42</v>
      </c>
      <c r="E1152" s="2" t="str">
        <f aca="false">INDEX(Products!$B$2:$B$13,MATCH(D1152,Products!$A$2:$A$13,0))</f>
        <v>Hydroprocessing</v>
      </c>
      <c r="F1152" s="15" t="n">
        <v>4.7</v>
      </c>
      <c r="G1152" s="16" t="n">
        <f aca="false">IF(A1152="2025",INDEX(Products!$C$2:$C$13,MATCH(D1152,Products!$A$2:$A$13,0)),INDEX(Products!$E$2:$E$13,MATCH(D1152,Products!$A$2:$A$13,0)))</f>
        <v>13072.5</v>
      </c>
      <c r="H1152" s="13" t="n">
        <f aca="false">IF(A1152="2025",INDEX(Customers!$D$2:$D$41,MATCH(C1152,Customers!$A$2:$A$41,0)),INDEX(Customers!$F$2:$F$41,MATCH(C1152,Customers!$A$2:$A$41,0)))</f>
        <v>0.026</v>
      </c>
      <c r="I1152" s="16" t="n">
        <f aca="false">F1152*G1152</f>
        <v>61440.75</v>
      </c>
      <c r="J1152" s="16" t="n">
        <f aca="false">I1152*(1-H1152)</f>
        <v>59843.2905</v>
      </c>
      <c r="K1152" s="16" t="n">
        <f aca="false">J1152*INDEX(Customers!$G$2:$G$41,MATCH(C1152,Customers!$A$2:$A$41,0))</f>
        <v>1795.298715</v>
      </c>
      <c r="L1152" s="16" t="n">
        <f aca="false">F1152*INDEX(Customers!$H$2:$H$41,MATCH(C1152,Customers!$A$2:$A$41,0))</f>
        <v>1034</v>
      </c>
      <c r="M1152" s="16" t="n">
        <f aca="false">J1152*INDEX(Customers!$I$2:$I$41,MATCH(C1152,Customers!$A$2:$A$41,0))/365*Assumptions!$B$6</f>
        <v>393.490129315069</v>
      </c>
      <c r="N1152" s="16" t="n">
        <f aca="false">J1152-K1152-L1152-M1152</f>
        <v>56620.5016556849</v>
      </c>
      <c r="O1152" s="16" t="n">
        <f aca="false">F1152*IF(A1152="2025",INDEX(Products!$D$2:$D$13,MATCH(D1152,Products!$A$2:$A$13,0)),INDEX(Products!$F$2:$F$13,MATCH(D1152,Products!$A$2:$A$13,0)))</f>
        <v>37662.98</v>
      </c>
      <c r="P1152" s="16" t="n">
        <f aca="false">N1152-O1152</f>
        <v>18957.5216556849</v>
      </c>
    </row>
    <row r="1153" customFormat="false" ht="15" hidden="false" customHeight="false" outlineLevel="0" collapsed="false">
      <c r="A1153" s="2" t="s">
        <v>119</v>
      </c>
      <c r="B1153" s="2" t="n">
        <v>12</v>
      </c>
      <c r="C1153" s="2" t="s">
        <v>80</v>
      </c>
      <c r="D1153" s="2" t="s">
        <v>42</v>
      </c>
      <c r="E1153" s="2" t="str">
        <f aca="false">INDEX(Products!$B$2:$B$13,MATCH(D1153,Products!$A$2:$A$13,0))</f>
        <v>Hydroprocessing</v>
      </c>
      <c r="F1153" s="15" t="n">
        <v>5.2</v>
      </c>
      <c r="G1153" s="16" t="n">
        <f aca="false">IF(A1153="2025",INDEX(Products!$C$2:$C$13,MATCH(D1153,Products!$A$2:$A$13,0)),INDEX(Products!$E$2:$E$13,MATCH(D1153,Products!$A$2:$A$13,0)))</f>
        <v>13072.5</v>
      </c>
      <c r="H1153" s="13" t="n">
        <f aca="false">IF(A1153="2025",INDEX(Customers!$D$2:$D$41,MATCH(C1153,Customers!$A$2:$A$41,0)),INDEX(Customers!$F$2:$F$41,MATCH(C1153,Customers!$A$2:$A$41,0)))</f>
        <v>0.026</v>
      </c>
      <c r="I1153" s="16" t="n">
        <f aca="false">F1153*G1153</f>
        <v>67977</v>
      </c>
      <c r="J1153" s="16" t="n">
        <f aca="false">I1153*(1-H1153)</f>
        <v>66209.598</v>
      </c>
      <c r="K1153" s="16" t="n">
        <f aca="false">J1153*INDEX(Customers!$G$2:$G$41,MATCH(C1153,Customers!$A$2:$A$41,0))</f>
        <v>1986.28794</v>
      </c>
      <c r="L1153" s="16" t="n">
        <f aca="false">F1153*INDEX(Customers!$H$2:$H$41,MATCH(C1153,Customers!$A$2:$A$41,0))</f>
        <v>1144</v>
      </c>
      <c r="M1153" s="16" t="n">
        <f aca="false">J1153*INDEX(Customers!$I$2:$I$41,MATCH(C1153,Customers!$A$2:$A$41,0))/365*Assumptions!$B$6</f>
        <v>435.350781369863</v>
      </c>
      <c r="N1153" s="16" t="n">
        <f aca="false">J1153-K1153-L1153-M1153</f>
        <v>62643.9592786301</v>
      </c>
      <c r="O1153" s="16" t="n">
        <f aca="false">F1153*IF(A1153="2025",INDEX(Products!$D$2:$D$13,MATCH(D1153,Products!$A$2:$A$13,0)),INDEX(Products!$F$2:$F$13,MATCH(D1153,Products!$A$2:$A$13,0)))</f>
        <v>41669.68</v>
      </c>
      <c r="P1153" s="16" t="n">
        <f aca="false">N1153-O1153</f>
        <v>20974.2792786301</v>
      </c>
    </row>
    <row r="1154" customFormat="false" ht="15" hidden="false" customHeight="false" outlineLevel="0" collapsed="false">
      <c r="A1154" s="2" t="s">
        <v>118</v>
      </c>
      <c r="B1154" s="2" t="n">
        <v>1</v>
      </c>
      <c r="C1154" s="2" t="s">
        <v>80</v>
      </c>
      <c r="D1154" s="2" t="s">
        <v>37</v>
      </c>
      <c r="E1154" s="2" t="str">
        <f aca="false">INDEX(Products!$B$2:$B$13,MATCH(D1154,Products!$A$2:$A$13,0))</f>
        <v>FCC</v>
      </c>
      <c r="F1154" s="15" t="n">
        <v>10.8</v>
      </c>
      <c r="G1154" s="16" t="n">
        <f aca="false">IF(A1154="2025",INDEX(Products!$C$2:$C$13,MATCH(D1154,Products!$A$2:$A$13,0)),INDEX(Products!$E$2:$E$13,MATCH(D1154,Products!$A$2:$A$13,0)))</f>
        <v>3530</v>
      </c>
      <c r="H1154" s="13" t="n">
        <f aca="false">IF(A1154="2025",INDEX(Customers!$D$2:$D$41,MATCH(C1154,Customers!$A$2:$A$41,0)),INDEX(Customers!$F$2:$F$41,MATCH(C1154,Customers!$A$2:$A$41,0)))</f>
        <v>0.026</v>
      </c>
      <c r="I1154" s="16" t="n">
        <f aca="false">F1154*G1154</f>
        <v>38124</v>
      </c>
      <c r="J1154" s="16" t="n">
        <f aca="false">I1154*(1-H1154)</f>
        <v>37132.776</v>
      </c>
      <c r="K1154" s="16" t="n">
        <f aca="false">J1154*INDEX(Customers!$G$2:$G$41,MATCH(C1154,Customers!$A$2:$A$41,0))</f>
        <v>1113.98328</v>
      </c>
      <c r="L1154" s="16" t="n">
        <f aca="false">F1154*INDEX(Customers!$H$2:$H$41,MATCH(C1154,Customers!$A$2:$A$41,0))</f>
        <v>2376</v>
      </c>
      <c r="M1154" s="16" t="n">
        <f aca="false">J1154*INDEX(Customers!$I$2:$I$41,MATCH(C1154,Customers!$A$2:$A$41,0))/365*Assumptions!$B$6</f>
        <v>244.16071890411</v>
      </c>
      <c r="N1154" s="16" t="n">
        <f aca="false">J1154-K1154-L1154-M1154</f>
        <v>33398.6320010959</v>
      </c>
      <c r="O1154" s="16" t="n">
        <f aca="false">F1154*IF(A1154="2025",INDEX(Products!$D$2:$D$13,MATCH(D1154,Products!$A$2:$A$13,0)),INDEX(Products!$F$2:$F$13,MATCH(D1154,Products!$A$2:$A$13,0)))</f>
        <v>26028</v>
      </c>
      <c r="P1154" s="16" t="n">
        <f aca="false">N1154-O1154</f>
        <v>7370.63200109589</v>
      </c>
    </row>
    <row r="1155" customFormat="false" ht="15" hidden="false" customHeight="false" outlineLevel="0" collapsed="false">
      <c r="A1155" s="2" t="s">
        <v>118</v>
      </c>
      <c r="B1155" s="2" t="n">
        <v>2</v>
      </c>
      <c r="C1155" s="2" t="s">
        <v>80</v>
      </c>
      <c r="D1155" s="2" t="s">
        <v>37</v>
      </c>
      <c r="E1155" s="2" t="str">
        <f aca="false">INDEX(Products!$B$2:$B$13,MATCH(D1155,Products!$A$2:$A$13,0))</f>
        <v>FCC</v>
      </c>
      <c r="F1155" s="15" t="n">
        <v>14.8</v>
      </c>
      <c r="G1155" s="16" t="n">
        <f aca="false">IF(A1155="2025",INDEX(Products!$C$2:$C$13,MATCH(D1155,Products!$A$2:$A$13,0)),INDEX(Products!$E$2:$E$13,MATCH(D1155,Products!$A$2:$A$13,0)))</f>
        <v>3530</v>
      </c>
      <c r="H1155" s="13" t="n">
        <f aca="false">IF(A1155="2025",INDEX(Customers!$D$2:$D$41,MATCH(C1155,Customers!$A$2:$A$41,0)),INDEX(Customers!$F$2:$F$41,MATCH(C1155,Customers!$A$2:$A$41,0)))</f>
        <v>0.026</v>
      </c>
      <c r="I1155" s="16" t="n">
        <f aca="false">F1155*G1155</f>
        <v>52244</v>
      </c>
      <c r="J1155" s="16" t="n">
        <f aca="false">I1155*(1-H1155)</f>
        <v>50885.656</v>
      </c>
      <c r="K1155" s="16" t="n">
        <f aca="false">J1155*INDEX(Customers!$G$2:$G$41,MATCH(C1155,Customers!$A$2:$A$41,0))</f>
        <v>1526.56968</v>
      </c>
      <c r="L1155" s="16" t="n">
        <f aca="false">F1155*INDEX(Customers!$H$2:$H$41,MATCH(C1155,Customers!$A$2:$A$41,0))</f>
        <v>3256</v>
      </c>
      <c r="M1155" s="16" t="n">
        <f aca="false">J1155*INDEX(Customers!$I$2:$I$41,MATCH(C1155,Customers!$A$2:$A$41,0))/365*Assumptions!$B$6</f>
        <v>334.590614794521</v>
      </c>
      <c r="N1155" s="16" t="n">
        <f aca="false">J1155-K1155-L1155-M1155</f>
        <v>45768.4957052055</v>
      </c>
      <c r="O1155" s="16" t="n">
        <f aca="false">F1155*IF(A1155="2025",INDEX(Products!$D$2:$D$13,MATCH(D1155,Products!$A$2:$A$13,0)),INDEX(Products!$F$2:$F$13,MATCH(D1155,Products!$A$2:$A$13,0)))</f>
        <v>35668</v>
      </c>
      <c r="P1155" s="16" t="n">
        <f aca="false">N1155-O1155</f>
        <v>10100.4957052055</v>
      </c>
    </row>
    <row r="1156" customFormat="false" ht="15" hidden="false" customHeight="false" outlineLevel="0" collapsed="false">
      <c r="A1156" s="2" t="s">
        <v>118</v>
      </c>
      <c r="B1156" s="2" t="n">
        <v>3</v>
      </c>
      <c r="C1156" s="2" t="s">
        <v>80</v>
      </c>
      <c r="D1156" s="2" t="s">
        <v>37</v>
      </c>
      <c r="E1156" s="2" t="str">
        <f aca="false">INDEX(Products!$B$2:$B$13,MATCH(D1156,Products!$A$2:$A$13,0))</f>
        <v>FCC</v>
      </c>
      <c r="F1156" s="15" t="n">
        <v>9.9</v>
      </c>
      <c r="G1156" s="16" t="n">
        <f aca="false">IF(A1156="2025",INDEX(Products!$C$2:$C$13,MATCH(D1156,Products!$A$2:$A$13,0)),INDEX(Products!$E$2:$E$13,MATCH(D1156,Products!$A$2:$A$13,0)))</f>
        <v>3530</v>
      </c>
      <c r="H1156" s="13" t="n">
        <f aca="false">IF(A1156="2025",INDEX(Customers!$D$2:$D$41,MATCH(C1156,Customers!$A$2:$A$41,0)),INDEX(Customers!$F$2:$F$41,MATCH(C1156,Customers!$A$2:$A$41,0)))</f>
        <v>0.026</v>
      </c>
      <c r="I1156" s="16" t="n">
        <f aca="false">F1156*G1156</f>
        <v>34947</v>
      </c>
      <c r="J1156" s="16" t="n">
        <f aca="false">I1156*(1-H1156)</f>
        <v>34038.378</v>
      </c>
      <c r="K1156" s="16" t="n">
        <f aca="false">J1156*INDEX(Customers!$G$2:$G$41,MATCH(C1156,Customers!$A$2:$A$41,0))</f>
        <v>1021.15134</v>
      </c>
      <c r="L1156" s="16" t="n">
        <f aca="false">F1156*INDEX(Customers!$H$2:$H$41,MATCH(C1156,Customers!$A$2:$A$41,0))</f>
        <v>2178</v>
      </c>
      <c r="M1156" s="16" t="n">
        <f aca="false">J1156*INDEX(Customers!$I$2:$I$41,MATCH(C1156,Customers!$A$2:$A$41,0))/365*Assumptions!$B$6</f>
        <v>223.813992328767</v>
      </c>
      <c r="N1156" s="16" t="n">
        <f aca="false">J1156-K1156-L1156-M1156</f>
        <v>30615.4126676712</v>
      </c>
      <c r="O1156" s="16" t="n">
        <f aca="false">F1156*IF(A1156="2025",INDEX(Products!$D$2:$D$13,MATCH(D1156,Products!$A$2:$A$13,0)),INDEX(Products!$F$2:$F$13,MATCH(D1156,Products!$A$2:$A$13,0)))</f>
        <v>23859</v>
      </c>
      <c r="P1156" s="16" t="n">
        <f aca="false">N1156-O1156</f>
        <v>6756.41266767123</v>
      </c>
    </row>
    <row r="1157" customFormat="false" ht="15" hidden="false" customHeight="false" outlineLevel="0" collapsed="false">
      <c r="A1157" s="2" t="s">
        <v>118</v>
      </c>
      <c r="B1157" s="2" t="n">
        <v>4</v>
      </c>
      <c r="C1157" s="2" t="s">
        <v>80</v>
      </c>
      <c r="D1157" s="2" t="s">
        <v>37</v>
      </c>
      <c r="E1157" s="2" t="str">
        <f aca="false">INDEX(Products!$B$2:$B$13,MATCH(D1157,Products!$A$2:$A$13,0))</f>
        <v>FCC</v>
      </c>
      <c r="F1157" s="15" t="n">
        <v>9.6</v>
      </c>
      <c r="G1157" s="16" t="n">
        <f aca="false">IF(A1157="2025",INDEX(Products!$C$2:$C$13,MATCH(D1157,Products!$A$2:$A$13,0)),INDEX(Products!$E$2:$E$13,MATCH(D1157,Products!$A$2:$A$13,0)))</f>
        <v>3530</v>
      </c>
      <c r="H1157" s="13" t="n">
        <f aca="false">IF(A1157="2025",INDEX(Customers!$D$2:$D$41,MATCH(C1157,Customers!$A$2:$A$41,0)),INDEX(Customers!$F$2:$F$41,MATCH(C1157,Customers!$A$2:$A$41,0)))</f>
        <v>0.026</v>
      </c>
      <c r="I1157" s="16" t="n">
        <f aca="false">F1157*G1157</f>
        <v>33888</v>
      </c>
      <c r="J1157" s="16" t="n">
        <f aca="false">I1157*(1-H1157)</f>
        <v>33006.912</v>
      </c>
      <c r="K1157" s="16" t="n">
        <f aca="false">J1157*INDEX(Customers!$G$2:$G$41,MATCH(C1157,Customers!$A$2:$A$41,0))</f>
        <v>990.20736</v>
      </c>
      <c r="L1157" s="16" t="n">
        <f aca="false">F1157*INDEX(Customers!$H$2:$H$41,MATCH(C1157,Customers!$A$2:$A$41,0))</f>
        <v>2112</v>
      </c>
      <c r="M1157" s="16" t="n">
        <f aca="false">J1157*INDEX(Customers!$I$2:$I$41,MATCH(C1157,Customers!$A$2:$A$41,0))/365*Assumptions!$B$6</f>
        <v>217.031750136986</v>
      </c>
      <c r="N1157" s="16" t="n">
        <f aca="false">J1157-K1157-L1157-M1157</f>
        <v>29687.672889863</v>
      </c>
      <c r="O1157" s="16" t="n">
        <f aca="false">F1157*IF(A1157="2025",INDEX(Products!$D$2:$D$13,MATCH(D1157,Products!$A$2:$A$13,0)),INDEX(Products!$F$2:$F$13,MATCH(D1157,Products!$A$2:$A$13,0)))</f>
        <v>23136</v>
      </c>
      <c r="P1157" s="16" t="n">
        <f aca="false">N1157-O1157</f>
        <v>6551.67288986301</v>
      </c>
    </row>
    <row r="1158" customFormat="false" ht="15" hidden="false" customHeight="false" outlineLevel="0" collapsed="false">
      <c r="A1158" s="2" t="s">
        <v>118</v>
      </c>
      <c r="B1158" s="2" t="n">
        <v>5</v>
      </c>
      <c r="C1158" s="2" t="s">
        <v>80</v>
      </c>
      <c r="D1158" s="2" t="s">
        <v>37</v>
      </c>
      <c r="E1158" s="2" t="str">
        <f aca="false">INDEX(Products!$B$2:$B$13,MATCH(D1158,Products!$A$2:$A$13,0))</f>
        <v>FCC</v>
      </c>
      <c r="F1158" s="15" t="n">
        <v>13.7</v>
      </c>
      <c r="G1158" s="16" t="n">
        <f aca="false">IF(A1158="2025",INDEX(Products!$C$2:$C$13,MATCH(D1158,Products!$A$2:$A$13,0)),INDEX(Products!$E$2:$E$13,MATCH(D1158,Products!$A$2:$A$13,0)))</f>
        <v>3530</v>
      </c>
      <c r="H1158" s="13" t="n">
        <f aca="false">IF(A1158="2025",INDEX(Customers!$D$2:$D$41,MATCH(C1158,Customers!$A$2:$A$41,0)),INDEX(Customers!$F$2:$F$41,MATCH(C1158,Customers!$A$2:$A$41,0)))</f>
        <v>0.026</v>
      </c>
      <c r="I1158" s="16" t="n">
        <f aca="false">F1158*G1158</f>
        <v>48361</v>
      </c>
      <c r="J1158" s="16" t="n">
        <f aca="false">I1158*(1-H1158)</f>
        <v>47103.614</v>
      </c>
      <c r="K1158" s="16" t="n">
        <f aca="false">J1158*INDEX(Customers!$G$2:$G$41,MATCH(C1158,Customers!$A$2:$A$41,0))</f>
        <v>1413.10842</v>
      </c>
      <c r="L1158" s="16" t="n">
        <f aca="false">F1158*INDEX(Customers!$H$2:$H$41,MATCH(C1158,Customers!$A$2:$A$41,0))</f>
        <v>3014</v>
      </c>
      <c r="M1158" s="16" t="n">
        <f aca="false">J1158*INDEX(Customers!$I$2:$I$41,MATCH(C1158,Customers!$A$2:$A$41,0))/365*Assumptions!$B$6</f>
        <v>309.722393424658</v>
      </c>
      <c r="N1158" s="16" t="n">
        <f aca="false">J1158-K1158-L1158-M1158</f>
        <v>42366.7831865754</v>
      </c>
      <c r="O1158" s="16" t="n">
        <f aca="false">F1158*IF(A1158="2025",INDEX(Products!$D$2:$D$13,MATCH(D1158,Products!$A$2:$A$13,0)),INDEX(Products!$F$2:$F$13,MATCH(D1158,Products!$A$2:$A$13,0)))</f>
        <v>33017</v>
      </c>
      <c r="P1158" s="16" t="n">
        <f aca="false">N1158-O1158</f>
        <v>9349.78318657535</v>
      </c>
    </row>
    <row r="1159" customFormat="false" ht="15" hidden="false" customHeight="false" outlineLevel="0" collapsed="false">
      <c r="A1159" s="2" t="s">
        <v>118</v>
      </c>
      <c r="B1159" s="2" t="n">
        <v>6</v>
      </c>
      <c r="C1159" s="2" t="s">
        <v>80</v>
      </c>
      <c r="D1159" s="2" t="s">
        <v>37</v>
      </c>
      <c r="E1159" s="2" t="str">
        <f aca="false">INDEX(Products!$B$2:$B$13,MATCH(D1159,Products!$A$2:$A$13,0))</f>
        <v>FCC</v>
      </c>
      <c r="F1159" s="15" t="n">
        <v>9.5</v>
      </c>
      <c r="G1159" s="16" t="n">
        <f aca="false">IF(A1159="2025",INDEX(Products!$C$2:$C$13,MATCH(D1159,Products!$A$2:$A$13,0)),INDEX(Products!$E$2:$E$13,MATCH(D1159,Products!$A$2:$A$13,0)))</f>
        <v>3530</v>
      </c>
      <c r="H1159" s="13" t="n">
        <f aca="false">IF(A1159="2025",INDEX(Customers!$D$2:$D$41,MATCH(C1159,Customers!$A$2:$A$41,0)),INDEX(Customers!$F$2:$F$41,MATCH(C1159,Customers!$A$2:$A$41,0)))</f>
        <v>0.026</v>
      </c>
      <c r="I1159" s="16" t="n">
        <f aca="false">F1159*G1159</f>
        <v>33535</v>
      </c>
      <c r="J1159" s="16" t="n">
        <f aca="false">I1159*(1-H1159)</f>
        <v>32663.09</v>
      </c>
      <c r="K1159" s="16" t="n">
        <f aca="false">J1159*INDEX(Customers!$G$2:$G$41,MATCH(C1159,Customers!$A$2:$A$41,0))</f>
        <v>979.8927</v>
      </c>
      <c r="L1159" s="16" t="n">
        <f aca="false">F1159*INDEX(Customers!$H$2:$H$41,MATCH(C1159,Customers!$A$2:$A$41,0))</f>
        <v>2090</v>
      </c>
      <c r="M1159" s="16" t="n">
        <f aca="false">J1159*INDEX(Customers!$I$2:$I$41,MATCH(C1159,Customers!$A$2:$A$41,0))/365*Assumptions!$B$6</f>
        <v>214.771002739726</v>
      </c>
      <c r="N1159" s="16" t="n">
        <f aca="false">J1159-K1159-L1159-M1159</f>
        <v>29378.4262972603</v>
      </c>
      <c r="O1159" s="16" t="n">
        <f aca="false">F1159*IF(A1159="2025",INDEX(Products!$D$2:$D$13,MATCH(D1159,Products!$A$2:$A$13,0)),INDEX(Products!$F$2:$F$13,MATCH(D1159,Products!$A$2:$A$13,0)))</f>
        <v>22895</v>
      </c>
      <c r="P1159" s="16" t="n">
        <f aca="false">N1159-O1159</f>
        <v>6483.42629726027</v>
      </c>
    </row>
    <row r="1160" customFormat="false" ht="15" hidden="false" customHeight="false" outlineLevel="0" collapsed="false">
      <c r="A1160" s="2" t="s">
        <v>118</v>
      </c>
      <c r="B1160" s="2" t="n">
        <v>7</v>
      </c>
      <c r="C1160" s="2" t="s">
        <v>80</v>
      </c>
      <c r="D1160" s="2" t="s">
        <v>37</v>
      </c>
      <c r="E1160" s="2" t="str">
        <f aca="false">INDEX(Products!$B$2:$B$13,MATCH(D1160,Products!$A$2:$A$13,0))</f>
        <v>FCC</v>
      </c>
      <c r="F1160" s="15" t="n">
        <v>14.3</v>
      </c>
      <c r="G1160" s="16" t="n">
        <f aca="false">IF(A1160="2025",INDEX(Products!$C$2:$C$13,MATCH(D1160,Products!$A$2:$A$13,0)),INDEX(Products!$E$2:$E$13,MATCH(D1160,Products!$A$2:$A$13,0)))</f>
        <v>3530</v>
      </c>
      <c r="H1160" s="13" t="n">
        <f aca="false">IF(A1160="2025",INDEX(Customers!$D$2:$D$41,MATCH(C1160,Customers!$A$2:$A$41,0)),INDEX(Customers!$F$2:$F$41,MATCH(C1160,Customers!$A$2:$A$41,0)))</f>
        <v>0.026</v>
      </c>
      <c r="I1160" s="16" t="n">
        <f aca="false">F1160*G1160</f>
        <v>50479</v>
      </c>
      <c r="J1160" s="16" t="n">
        <f aca="false">I1160*(1-H1160)</f>
        <v>49166.546</v>
      </c>
      <c r="K1160" s="16" t="n">
        <f aca="false">J1160*INDEX(Customers!$G$2:$G$41,MATCH(C1160,Customers!$A$2:$A$41,0))</f>
        <v>1474.99638</v>
      </c>
      <c r="L1160" s="16" t="n">
        <f aca="false">F1160*INDEX(Customers!$H$2:$H$41,MATCH(C1160,Customers!$A$2:$A$41,0))</f>
        <v>3146</v>
      </c>
      <c r="M1160" s="16" t="n">
        <f aca="false">J1160*INDEX(Customers!$I$2:$I$41,MATCH(C1160,Customers!$A$2:$A$41,0))/365*Assumptions!$B$6</f>
        <v>323.286877808219</v>
      </c>
      <c r="N1160" s="16" t="n">
        <f aca="false">J1160-K1160-L1160-M1160</f>
        <v>44222.2627421918</v>
      </c>
      <c r="O1160" s="16" t="n">
        <f aca="false">F1160*IF(A1160="2025",INDEX(Products!$D$2:$D$13,MATCH(D1160,Products!$A$2:$A$13,0)),INDEX(Products!$F$2:$F$13,MATCH(D1160,Products!$A$2:$A$13,0)))</f>
        <v>34463</v>
      </c>
      <c r="P1160" s="16" t="n">
        <f aca="false">N1160-O1160</f>
        <v>9759.26274219179</v>
      </c>
    </row>
    <row r="1161" customFormat="false" ht="15" hidden="false" customHeight="false" outlineLevel="0" collapsed="false">
      <c r="A1161" s="2" t="s">
        <v>118</v>
      </c>
      <c r="B1161" s="2" t="n">
        <v>8</v>
      </c>
      <c r="C1161" s="2" t="s">
        <v>80</v>
      </c>
      <c r="D1161" s="2" t="s">
        <v>37</v>
      </c>
      <c r="E1161" s="2" t="str">
        <f aca="false">INDEX(Products!$B$2:$B$13,MATCH(D1161,Products!$A$2:$A$13,0))</f>
        <v>FCC</v>
      </c>
      <c r="F1161" s="15" t="n">
        <v>10.3</v>
      </c>
      <c r="G1161" s="16" t="n">
        <f aca="false">IF(A1161="2025",INDEX(Products!$C$2:$C$13,MATCH(D1161,Products!$A$2:$A$13,0)),INDEX(Products!$E$2:$E$13,MATCH(D1161,Products!$A$2:$A$13,0)))</f>
        <v>3530</v>
      </c>
      <c r="H1161" s="13" t="n">
        <f aca="false">IF(A1161="2025",INDEX(Customers!$D$2:$D$41,MATCH(C1161,Customers!$A$2:$A$41,0)),INDEX(Customers!$F$2:$F$41,MATCH(C1161,Customers!$A$2:$A$41,0)))</f>
        <v>0.026</v>
      </c>
      <c r="I1161" s="16" t="n">
        <f aca="false">F1161*G1161</f>
        <v>36359</v>
      </c>
      <c r="J1161" s="16" t="n">
        <f aca="false">I1161*(1-H1161)</f>
        <v>35413.666</v>
      </c>
      <c r="K1161" s="16" t="n">
        <f aca="false">J1161*INDEX(Customers!$G$2:$G$41,MATCH(C1161,Customers!$A$2:$A$41,0))</f>
        <v>1062.40998</v>
      </c>
      <c r="L1161" s="16" t="n">
        <f aca="false">F1161*INDEX(Customers!$H$2:$H$41,MATCH(C1161,Customers!$A$2:$A$41,0))</f>
        <v>2266</v>
      </c>
      <c r="M1161" s="16" t="n">
        <f aca="false">J1161*INDEX(Customers!$I$2:$I$41,MATCH(C1161,Customers!$A$2:$A$41,0))/365*Assumptions!$B$6</f>
        <v>232.856981917808</v>
      </c>
      <c r="N1161" s="16" t="n">
        <f aca="false">J1161-K1161-L1161-M1161</f>
        <v>31852.3990380822</v>
      </c>
      <c r="O1161" s="16" t="n">
        <f aca="false">F1161*IF(A1161="2025",INDEX(Products!$D$2:$D$13,MATCH(D1161,Products!$A$2:$A$13,0)),INDEX(Products!$F$2:$F$13,MATCH(D1161,Products!$A$2:$A$13,0)))</f>
        <v>24823</v>
      </c>
      <c r="P1161" s="16" t="n">
        <f aca="false">N1161-O1161</f>
        <v>7029.39903808219</v>
      </c>
    </row>
    <row r="1162" customFormat="false" ht="15" hidden="false" customHeight="false" outlineLevel="0" collapsed="false">
      <c r="A1162" s="2" t="s">
        <v>118</v>
      </c>
      <c r="B1162" s="2" t="n">
        <v>9</v>
      </c>
      <c r="C1162" s="2" t="s">
        <v>80</v>
      </c>
      <c r="D1162" s="2" t="s">
        <v>37</v>
      </c>
      <c r="E1162" s="2" t="str">
        <f aca="false">INDEX(Products!$B$2:$B$13,MATCH(D1162,Products!$A$2:$A$13,0))</f>
        <v>FCC</v>
      </c>
      <c r="F1162" s="15" t="n">
        <v>13.7</v>
      </c>
      <c r="G1162" s="16" t="n">
        <f aca="false">IF(A1162="2025",INDEX(Products!$C$2:$C$13,MATCH(D1162,Products!$A$2:$A$13,0)),INDEX(Products!$E$2:$E$13,MATCH(D1162,Products!$A$2:$A$13,0)))</f>
        <v>3530</v>
      </c>
      <c r="H1162" s="13" t="n">
        <f aca="false">IF(A1162="2025",INDEX(Customers!$D$2:$D$41,MATCH(C1162,Customers!$A$2:$A$41,0)),INDEX(Customers!$F$2:$F$41,MATCH(C1162,Customers!$A$2:$A$41,0)))</f>
        <v>0.026</v>
      </c>
      <c r="I1162" s="16" t="n">
        <f aca="false">F1162*G1162</f>
        <v>48361</v>
      </c>
      <c r="J1162" s="16" t="n">
        <f aca="false">I1162*(1-H1162)</f>
        <v>47103.614</v>
      </c>
      <c r="K1162" s="16" t="n">
        <f aca="false">J1162*INDEX(Customers!$G$2:$G$41,MATCH(C1162,Customers!$A$2:$A$41,0))</f>
        <v>1413.10842</v>
      </c>
      <c r="L1162" s="16" t="n">
        <f aca="false">F1162*INDEX(Customers!$H$2:$H$41,MATCH(C1162,Customers!$A$2:$A$41,0))</f>
        <v>3014</v>
      </c>
      <c r="M1162" s="16" t="n">
        <f aca="false">J1162*INDEX(Customers!$I$2:$I$41,MATCH(C1162,Customers!$A$2:$A$41,0))/365*Assumptions!$B$6</f>
        <v>309.722393424658</v>
      </c>
      <c r="N1162" s="16" t="n">
        <f aca="false">J1162-K1162-L1162-M1162</f>
        <v>42366.7831865754</v>
      </c>
      <c r="O1162" s="16" t="n">
        <f aca="false">F1162*IF(A1162="2025",INDEX(Products!$D$2:$D$13,MATCH(D1162,Products!$A$2:$A$13,0)),INDEX(Products!$F$2:$F$13,MATCH(D1162,Products!$A$2:$A$13,0)))</f>
        <v>33017</v>
      </c>
      <c r="P1162" s="16" t="n">
        <f aca="false">N1162-O1162</f>
        <v>9349.78318657535</v>
      </c>
    </row>
    <row r="1163" customFormat="false" ht="15" hidden="false" customHeight="false" outlineLevel="0" collapsed="false">
      <c r="A1163" s="2" t="s">
        <v>118</v>
      </c>
      <c r="B1163" s="2" t="n">
        <v>10</v>
      </c>
      <c r="C1163" s="2" t="s">
        <v>80</v>
      </c>
      <c r="D1163" s="2" t="s">
        <v>37</v>
      </c>
      <c r="E1163" s="2" t="str">
        <f aca="false">INDEX(Products!$B$2:$B$13,MATCH(D1163,Products!$A$2:$A$13,0))</f>
        <v>FCC</v>
      </c>
      <c r="F1163" s="15" t="n">
        <v>11.6</v>
      </c>
      <c r="G1163" s="16" t="n">
        <f aca="false">IF(A1163="2025",INDEX(Products!$C$2:$C$13,MATCH(D1163,Products!$A$2:$A$13,0)),INDEX(Products!$E$2:$E$13,MATCH(D1163,Products!$A$2:$A$13,0)))</f>
        <v>3530</v>
      </c>
      <c r="H1163" s="13" t="n">
        <f aca="false">IF(A1163="2025",INDEX(Customers!$D$2:$D$41,MATCH(C1163,Customers!$A$2:$A$41,0)),INDEX(Customers!$F$2:$F$41,MATCH(C1163,Customers!$A$2:$A$41,0)))</f>
        <v>0.026</v>
      </c>
      <c r="I1163" s="16" t="n">
        <f aca="false">F1163*G1163</f>
        <v>40948</v>
      </c>
      <c r="J1163" s="16" t="n">
        <f aca="false">I1163*(1-H1163)</f>
        <v>39883.352</v>
      </c>
      <c r="K1163" s="16" t="n">
        <f aca="false">J1163*INDEX(Customers!$G$2:$G$41,MATCH(C1163,Customers!$A$2:$A$41,0))</f>
        <v>1196.50056</v>
      </c>
      <c r="L1163" s="16" t="n">
        <f aca="false">F1163*INDEX(Customers!$H$2:$H$41,MATCH(C1163,Customers!$A$2:$A$41,0))</f>
        <v>2552</v>
      </c>
      <c r="M1163" s="16" t="n">
        <f aca="false">J1163*INDEX(Customers!$I$2:$I$41,MATCH(C1163,Customers!$A$2:$A$41,0))/365*Assumptions!$B$6</f>
        <v>262.246698082192</v>
      </c>
      <c r="N1163" s="16" t="n">
        <f aca="false">J1163-K1163-L1163-M1163</f>
        <v>35872.6047419178</v>
      </c>
      <c r="O1163" s="16" t="n">
        <f aca="false">F1163*IF(A1163="2025",INDEX(Products!$D$2:$D$13,MATCH(D1163,Products!$A$2:$A$13,0)),INDEX(Products!$F$2:$F$13,MATCH(D1163,Products!$A$2:$A$13,0)))</f>
        <v>27956</v>
      </c>
      <c r="P1163" s="16" t="n">
        <f aca="false">N1163-O1163</f>
        <v>7916.60474191781</v>
      </c>
    </row>
    <row r="1164" customFormat="false" ht="15" hidden="false" customHeight="false" outlineLevel="0" collapsed="false">
      <c r="A1164" s="2" t="s">
        <v>118</v>
      </c>
      <c r="B1164" s="2" t="n">
        <v>11</v>
      </c>
      <c r="C1164" s="2" t="s">
        <v>80</v>
      </c>
      <c r="D1164" s="2" t="s">
        <v>37</v>
      </c>
      <c r="E1164" s="2" t="str">
        <f aca="false">INDEX(Products!$B$2:$B$13,MATCH(D1164,Products!$A$2:$A$13,0))</f>
        <v>FCC</v>
      </c>
      <c r="F1164" s="15" t="n">
        <v>9.5</v>
      </c>
      <c r="G1164" s="16" t="n">
        <f aca="false">IF(A1164="2025",INDEX(Products!$C$2:$C$13,MATCH(D1164,Products!$A$2:$A$13,0)),INDEX(Products!$E$2:$E$13,MATCH(D1164,Products!$A$2:$A$13,0)))</f>
        <v>3530</v>
      </c>
      <c r="H1164" s="13" t="n">
        <f aca="false">IF(A1164="2025",INDEX(Customers!$D$2:$D$41,MATCH(C1164,Customers!$A$2:$A$41,0)),INDEX(Customers!$F$2:$F$41,MATCH(C1164,Customers!$A$2:$A$41,0)))</f>
        <v>0.026</v>
      </c>
      <c r="I1164" s="16" t="n">
        <f aca="false">F1164*G1164</f>
        <v>33535</v>
      </c>
      <c r="J1164" s="16" t="n">
        <f aca="false">I1164*(1-H1164)</f>
        <v>32663.09</v>
      </c>
      <c r="K1164" s="16" t="n">
        <f aca="false">J1164*INDEX(Customers!$G$2:$G$41,MATCH(C1164,Customers!$A$2:$A$41,0))</f>
        <v>979.8927</v>
      </c>
      <c r="L1164" s="16" t="n">
        <f aca="false">F1164*INDEX(Customers!$H$2:$H$41,MATCH(C1164,Customers!$A$2:$A$41,0))</f>
        <v>2090</v>
      </c>
      <c r="M1164" s="16" t="n">
        <f aca="false">J1164*INDEX(Customers!$I$2:$I$41,MATCH(C1164,Customers!$A$2:$A$41,0))/365*Assumptions!$B$6</f>
        <v>214.771002739726</v>
      </c>
      <c r="N1164" s="16" t="n">
        <f aca="false">J1164-K1164-L1164-M1164</f>
        <v>29378.4262972603</v>
      </c>
      <c r="O1164" s="16" t="n">
        <f aca="false">F1164*IF(A1164="2025",INDEX(Products!$D$2:$D$13,MATCH(D1164,Products!$A$2:$A$13,0)),INDEX(Products!$F$2:$F$13,MATCH(D1164,Products!$A$2:$A$13,0)))</f>
        <v>22895</v>
      </c>
      <c r="P1164" s="16" t="n">
        <f aca="false">N1164-O1164</f>
        <v>6483.42629726027</v>
      </c>
    </row>
    <row r="1165" customFormat="false" ht="15" hidden="false" customHeight="false" outlineLevel="0" collapsed="false">
      <c r="A1165" s="2" t="s">
        <v>118</v>
      </c>
      <c r="B1165" s="2" t="n">
        <v>12</v>
      </c>
      <c r="C1165" s="2" t="s">
        <v>80</v>
      </c>
      <c r="D1165" s="2" t="s">
        <v>37</v>
      </c>
      <c r="E1165" s="2" t="str">
        <f aca="false">INDEX(Products!$B$2:$B$13,MATCH(D1165,Products!$A$2:$A$13,0))</f>
        <v>FCC</v>
      </c>
      <c r="F1165" s="15" t="n">
        <v>14.2</v>
      </c>
      <c r="G1165" s="16" t="n">
        <f aca="false">IF(A1165="2025",INDEX(Products!$C$2:$C$13,MATCH(D1165,Products!$A$2:$A$13,0)),INDEX(Products!$E$2:$E$13,MATCH(D1165,Products!$A$2:$A$13,0)))</f>
        <v>3530</v>
      </c>
      <c r="H1165" s="13" t="n">
        <f aca="false">IF(A1165="2025",INDEX(Customers!$D$2:$D$41,MATCH(C1165,Customers!$A$2:$A$41,0)),INDEX(Customers!$F$2:$F$41,MATCH(C1165,Customers!$A$2:$A$41,0)))</f>
        <v>0.026</v>
      </c>
      <c r="I1165" s="16" t="n">
        <f aca="false">F1165*G1165</f>
        <v>50126</v>
      </c>
      <c r="J1165" s="16" t="n">
        <f aca="false">I1165*(1-H1165)</f>
        <v>48822.724</v>
      </c>
      <c r="K1165" s="16" t="n">
        <f aca="false">J1165*INDEX(Customers!$G$2:$G$41,MATCH(C1165,Customers!$A$2:$A$41,0))</f>
        <v>1464.68172</v>
      </c>
      <c r="L1165" s="16" t="n">
        <f aca="false">F1165*INDEX(Customers!$H$2:$H$41,MATCH(C1165,Customers!$A$2:$A$41,0))</f>
        <v>3124</v>
      </c>
      <c r="M1165" s="16" t="n">
        <f aca="false">J1165*INDEX(Customers!$I$2:$I$41,MATCH(C1165,Customers!$A$2:$A$41,0))/365*Assumptions!$B$6</f>
        <v>321.026130410959</v>
      </c>
      <c r="N1165" s="16" t="n">
        <f aca="false">J1165-K1165-L1165-M1165</f>
        <v>43913.016149589</v>
      </c>
      <c r="O1165" s="16" t="n">
        <f aca="false">F1165*IF(A1165="2025",INDEX(Products!$D$2:$D$13,MATCH(D1165,Products!$A$2:$A$13,0)),INDEX(Products!$F$2:$F$13,MATCH(D1165,Products!$A$2:$A$13,0)))</f>
        <v>34222</v>
      </c>
      <c r="P1165" s="16" t="n">
        <f aca="false">N1165-O1165</f>
        <v>9691.01614958904</v>
      </c>
    </row>
    <row r="1166" customFormat="false" ht="15" hidden="false" customHeight="false" outlineLevel="0" collapsed="false">
      <c r="A1166" s="2" t="s">
        <v>119</v>
      </c>
      <c r="B1166" s="2" t="n">
        <v>1</v>
      </c>
      <c r="C1166" s="2" t="s">
        <v>80</v>
      </c>
      <c r="D1166" s="2" t="s">
        <v>37</v>
      </c>
      <c r="E1166" s="2" t="str">
        <f aca="false">INDEX(Products!$B$2:$B$13,MATCH(D1166,Products!$A$2:$A$13,0))</f>
        <v>FCC</v>
      </c>
      <c r="F1166" s="15" t="n">
        <v>9.5</v>
      </c>
      <c r="G1166" s="16" t="n">
        <f aca="false">IF(A1166="2025",INDEX(Products!$C$2:$C$13,MATCH(D1166,Products!$A$2:$A$13,0)),INDEX(Products!$E$2:$E$13,MATCH(D1166,Products!$A$2:$A$13,0)))</f>
        <v>3706.5</v>
      </c>
      <c r="H1166" s="13" t="n">
        <f aca="false">IF(A1166="2025",INDEX(Customers!$D$2:$D$41,MATCH(C1166,Customers!$A$2:$A$41,0)),INDEX(Customers!$F$2:$F$41,MATCH(C1166,Customers!$A$2:$A$41,0)))</f>
        <v>0.026</v>
      </c>
      <c r="I1166" s="16" t="n">
        <f aca="false">F1166*G1166</f>
        <v>35211.75</v>
      </c>
      <c r="J1166" s="16" t="n">
        <f aca="false">I1166*(1-H1166)</f>
        <v>34296.2445</v>
      </c>
      <c r="K1166" s="16" t="n">
        <f aca="false">J1166*INDEX(Customers!$G$2:$G$41,MATCH(C1166,Customers!$A$2:$A$41,0))</f>
        <v>1028.887335</v>
      </c>
      <c r="L1166" s="16" t="n">
        <f aca="false">F1166*INDEX(Customers!$H$2:$H$41,MATCH(C1166,Customers!$A$2:$A$41,0))</f>
        <v>2090</v>
      </c>
      <c r="M1166" s="16" t="n">
        <f aca="false">J1166*INDEX(Customers!$I$2:$I$41,MATCH(C1166,Customers!$A$2:$A$41,0))/365*Assumptions!$B$6</f>
        <v>225.509552876712</v>
      </c>
      <c r="N1166" s="16" t="n">
        <f aca="false">J1166-K1166-L1166-M1166</f>
        <v>30951.8476121233</v>
      </c>
      <c r="O1166" s="16" t="n">
        <f aca="false">F1166*IF(A1166="2025",INDEX(Products!$D$2:$D$13,MATCH(D1166,Products!$A$2:$A$13,0)),INDEX(Products!$F$2:$F$13,MATCH(D1166,Products!$A$2:$A$13,0)))</f>
        <v>23581.85</v>
      </c>
      <c r="P1166" s="16" t="n">
        <f aca="false">N1166-O1166</f>
        <v>7369.99761212329</v>
      </c>
    </row>
    <row r="1167" customFormat="false" ht="15" hidden="false" customHeight="false" outlineLevel="0" collapsed="false">
      <c r="A1167" s="2" t="s">
        <v>119</v>
      </c>
      <c r="B1167" s="2" t="n">
        <v>2</v>
      </c>
      <c r="C1167" s="2" t="s">
        <v>80</v>
      </c>
      <c r="D1167" s="2" t="s">
        <v>37</v>
      </c>
      <c r="E1167" s="2" t="str">
        <f aca="false">INDEX(Products!$B$2:$B$13,MATCH(D1167,Products!$A$2:$A$13,0))</f>
        <v>FCC</v>
      </c>
      <c r="F1167" s="15" t="n">
        <v>15.7</v>
      </c>
      <c r="G1167" s="16" t="n">
        <f aca="false">IF(A1167="2025",INDEX(Products!$C$2:$C$13,MATCH(D1167,Products!$A$2:$A$13,0)),INDEX(Products!$E$2:$E$13,MATCH(D1167,Products!$A$2:$A$13,0)))</f>
        <v>3706.5</v>
      </c>
      <c r="H1167" s="13" t="n">
        <f aca="false">IF(A1167="2025",INDEX(Customers!$D$2:$D$41,MATCH(C1167,Customers!$A$2:$A$41,0)),INDEX(Customers!$F$2:$F$41,MATCH(C1167,Customers!$A$2:$A$41,0)))</f>
        <v>0.026</v>
      </c>
      <c r="I1167" s="16" t="n">
        <f aca="false">F1167*G1167</f>
        <v>58192.05</v>
      </c>
      <c r="J1167" s="16" t="n">
        <f aca="false">I1167*(1-H1167)</f>
        <v>56679.0567</v>
      </c>
      <c r="K1167" s="16" t="n">
        <f aca="false">J1167*INDEX(Customers!$G$2:$G$41,MATCH(C1167,Customers!$A$2:$A$41,0))</f>
        <v>1700.371701</v>
      </c>
      <c r="L1167" s="16" t="n">
        <f aca="false">F1167*INDEX(Customers!$H$2:$H$41,MATCH(C1167,Customers!$A$2:$A$41,0))</f>
        <v>3454</v>
      </c>
      <c r="M1167" s="16" t="n">
        <f aca="false">J1167*INDEX(Customers!$I$2:$I$41,MATCH(C1167,Customers!$A$2:$A$41,0))/365*Assumptions!$B$6</f>
        <v>372.684208438356</v>
      </c>
      <c r="N1167" s="16" t="n">
        <f aca="false">J1167-K1167-L1167-M1167</f>
        <v>51152.0007905616</v>
      </c>
      <c r="O1167" s="16" t="n">
        <f aca="false">F1167*IF(A1167="2025",INDEX(Products!$D$2:$D$13,MATCH(D1167,Products!$A$2:$A$13,0)),INDEX(Products!$F$2:$F$13,MATCH(D1167,Products!$A$2:$A$13,0)))</f>
        <v>38972.11</v>
      </c>
      <c r="P1167" s="16" t="n">
        <f aca="false">N1167-O1167</f>
        <v>12179.8907905616</v>
      </c>
    </row>
    <row r="1168" customFormat="false" ht="15" hidden="false" customHeight="false" outlineLevel="0" collapsed="false">
      <c r="A1168" s="2" t="s">
        <v>119</v>
      </c>
      <c r="B1168" s="2" t="n">
        <v>3</v>
      </c>
      <c r="C1168" s="2" t="s">
        <v>80</v>
      </c>
      <c r="D1168" s="2" t="s">
        <v>37</v>
      </c>
      <c r="E1168" s="2" t="str">
        <f aca="false">INDEX(Products!$B$2:$B$13,MATCH(D1168,Products!$A$2:$A$13,0))</f>
        <v>FCC</v>
      </c>
      <c r="F1168" s="15" t="n">
        <v>16.9</v>
      </c>
      <c r="G1168" s="16" t="n">
        <f aca="false">IF(A1168="2025",INDEX(Products!$C$2:$C$13,MATCH(D1168,Products!$A$2:$A$13,0)),INDEX(Products!$E$2:$E$13,MATCH(D1168,Products!$A$2:$A$13,0)))</f>
        <v>3706.5</v>
      </c>
      <c r="H1168" s="13" t="n">
        <f aca="false">IF(A1168="2025",INDEX(Customers!$D$2:$D$41,MATCH(C1168,Customers!$A$2:$A$41,0)),INDEX(Customers!$F$2:$F$41,MATCH(C1168,Customers!$A$2:$A$41,0)))</f>
        <v>0.026</v>
      </c>
      <c r="I1168" s="16" t="n">
        <f aca="false">F1168*G1168</f>
        <v>62639.85</v>
      </c>
      <c r="J1168" s="16" t="n">
        <f aca="false">I1168*(1-H1168)</f>
        <v>61011.2139</v>
      </c>
      <c r="K1168" s="16" t="n">
        <f aca="false">J1168*INDEX(Customers!$G$2:$G$41,MATCH(C1168,Customers!$A$2:$A$41,0))</f>
        <v>1830.336417</v>
      </c>
      <c r="L1168" s="16" t="n">
        <f aca="false">F1168*INDEX(Customers!$H$2:$H$41,MATCH(C1168,Customers!$A$2:$A$41,0))</f>
        <v>3718</v>
      </c>
      <c r="M1168" s="16" t="n">
        <f aca="false">J1168*INDEX(Customers!$I$2:$I$41,MATCH(C1168,Customers!$A$2:$A$41,0))/365*Assumptions!$B$6</f>
        <v>401.169625643836</v>
      </c>
      <c r="N1168" s="16" t="n">
        <f aca="false">J1168-K1168-L1168-M1168</f>
        <v>55061.7078573562</v>
      </c>
      <c r="O1168" s="16" t="n">
        <f aca="false">F1168*IF(A1168="2025",INDEX(Products!$D$2:$D$13,MATCH(D1168,Products!$A$2:$A$13,0)),INDEX(Products!$F$2:$F$13,MATCH(D1168,Products!$A$2:$A$13,0)))</f>
        <v>41950.87</v>
      </c>
      <c r="P1168" s="16" t="n">
        <f aca="false">N1168-O1168</f>
        <v>13110.8378573562</v>
      </c>
    </row>
    <row r="1169" customFormat="false" ht="15" hidden="false" customHeight="false" outlineLevel="0" collapsed="false">
      <c r="A1169" s="2" t="s">
        <v>119</v>
      </c>
      <c r="B1169" s="2" t="n">
        <v>4</v>
      </c>
      <c r="C1169" s="2" t="s">
        <v>80</v>
      </c>
      <c r="D1169" s="2" t="s">
        <v>37</v>
      </c>
      <c r="E1169" s="2" t="str">
        <f aca="false">INDEX(Products!$B$2:$B$13,MATCH(D1169,Products!$A$2:$A$13,0))</f>
        <v>FCC</v>
      </c>
      <c r="F1169" s="15" t="n">
        <v>11.2</v>
      </c>
      <c r="G1169" s="16" t="n">
        <f aca="false">IF(A1169="2025",INDEX(Products!$C$2:$C$13,MATCH(D1169,Products!$A$2:$A$13,0)),INDEX(Products!$E$2:$E$13,MATCH(D1169,Products!$A$2:$A$13,0)))</f>
        <v>3706.5</v>
      </c>
      <c r="H1169" s="13" t="n">
        <f aca="false">IF(A1169="2025",INDEX(Customers!$D$2:$D$41,MATCH(C1169,Customers!$A$2:$A$41,0)),INDEX(Customers!$F$2:$F$41,MATCH(C1169,Customers!$A$2:$A$41,0)))</f>
        <v>0.026</v>
      </c>
      <c r="I1169" s="16" t="n">
        <f aca="false">F1169*G1169</f>
        <v>41512.8</v>
      </c>
      <c r="J1169" s="16" t="n">
        <f aca="false">I1169*(1-H1169)</f>
        <v>40433.4672</v>
      </c>
      <c r="K1169" s="16" t="n">
        <f aca="false">J1169*INDEX(Customers!$G$2:$G$41,MATCH(C1169,Customers!$A$2:$A$41,0))</f>
        <v>1213.004016</v>
      </c>
      <c r="L1169" s="16" t="n">
        <f aca="false">F1169*INDEX(Customers!$H$2:$H$41,MATCH(C1169,Customers!$A$2:$A$41,0))</f>
        <v>2464</v>
      </c>
      <c r="M1169" s="16" t="n">
        <f aca="false">J1169*INDEX(Customers!$I$2:$I$41,MATCH(C1169,Customers!$A$2:$A$41,0))/365*Assumptions!$B$6</f>
        <v>265.863893917808</v>
      </c>
      <c r="N1169" s="16" t="n">
        <f aca="false">J1169-K1169-L1169-M1169</f>
        <v>36490.5992900822</v>
      </c>
      <c r="O1169" s="16" t="n">
        <f aca="false">F1169*IF(A1169="2025",INDEX(Products!$D$2:$D$13,MATCH(D1169,Products!$A$2:$A$13,0)),INDEX(Products!$F$2:$F$13,MATCH(D1169,Products!$A$2:$A$13,0)))</f>
        <v>27801.76</v>
      </c>
      <c r="P1169" s="16" t="n">
        <f aca="false">N1169-O1169</f>
        <v>8688.83929008219</v>
      </c>
    </row>
    <row r="1170" customFormat="false" ht="15" hidden="false" customHeight="false" outlineLevel="0" collapsed="false">
      <c r="A1170" s="2" t="s">
        <v>119</v>
      </c>
      <c r="B1170" s="2" t="n">
        <v>5</v>
      </c>
      <c r="C1170" s="2" t="s">
        <v>80</v>
      </c>
      <c r="D1170" s="2" t="s">
        <v>37</v>
      </c>
      <c r="E1170" s="2" t="str">
        <f aca="false">INDEX(Products!$B$2:$B$13,MATCH(D1170,Products!$A$2:$A$13,0))</f>
        <v>FCC</v>
      </c>
      <c r="F1170" s="15" t="n">
        <v>13.4</v>
      </c>
      <c r="G1170" s="16" t="n">
        <f aca="false">IF(A1170="2025",INDEX(Products!$C$2:$C$13,MATCH(D1170,Products!$A$2:$A$13,0)),INDEX(Products!$E$2:$E$13,MATCH(D1170,Products!$A$2:$A$13,0)))</f>
        <v>3706.5</v>
      </c>
      <c r="H1170" s="13" t="n">
        <f aca="false">IF(A1170="2025",INDEX(Customers!$D$2:$D$41,MATCH(C1170,Customers!$A$2:$A$41,0)),INDEX(Customers!$F$2:$F$41,MATCH(C1170,Customers!$A$2:$A$41,0)))</f>
        <v>0.026</v>
      </c>
      <c r="I1170" s="16" t="n">
        <f aca="false">F1170*G1170</f>
        <v>49667.1</v>
      </c>
      <c r="J1170" s="16" t="n">
        <f aca="false">I1170*(1-H1170)</f>
        <v>48375.7554</v>
      </c>
      <c r="K1170" s="16" t="n">
        <f aca="false">J1170*INDEX(Customers!$G$2:$G$41,MATCH(C1170,Customers!$A$2:$A$41,0))</f>
        <v>1451.272662</v>
      </c>
      <c r="L1170" s="16" t="n">
        <f aca="false">F1170*INDEX(Customers!$H$2:$H$41,MATCH(C1170,Customers!$A$2:$A$41,0))</f>
        <v>2948</v>
      </c>
      <c r="M1170" s="16" t="n">
        <f aca="false">J1170*INDEX(Customers!$I$2:$I$41,MATCH(C1170,Customers!$A$2:$A$41,0))/365*Assumptions!$B$6</f>
        <v>318.087158794521</v>
      </c>
      <c r="N1170" s="16" t="n">
        <f aca="false">J1170-K1170-L1170-M1170</f>
        <v>43658.3955792055</v>
      </c>
      <c r="O1170" s="16" t="n">
        <f aca="false">F1170*IF(A1170="2025",INDEX(Products!$D$2:$D$13,MATCH(D1170,Products!$A$2:$A$13,0)),INDEX(Products!$F$2:$F$13,MATCH(D1170,Products!$A$2:$A$13,0)))</f>
        <v>33262.82</v>
      </c>
      <c r="P1170" s="16" t="n">
        <f aca="false">N1170-O1170</f>
        <v>10395.5755792055</v>
      </c>
    </row>
    <row r="1171" customFormat="false" ht="15" hidden="false" customHeight="false" outlineLevel="0" collapsed="false">
      <c r="A1171" s="2" t="s">
        <v>119</v>
      </c>
      <c r="B1171" s="2" t="n">
        <v>6</v>
      </c>
      <c r="C1171" s="2" t="s">
        <v>80</v>
      </c>
      <c r="D1171" s="2" t="s">
        <v>37</v>
      </c>
      <c r="E1171" s="2" t="str">
        <f aca="false">INDEX(Products!$B$2:$B$13,MATCH(D1171,Products!$A$2:$A$13,0))</f>
        <v>FCC</v>
      </c>
      <c r="F1171" s="15" t="n">
        <v>15.4</v>
      </c>
      <c r="G1171" s="16" t="n">
        <f aca="false">IF(A1171="2025",INDEX(Products!$C$2:$C$13,MATCH(D1171,Products!$A$2:$A$13,0)),INDEX(Products!$E$2:$E$13,MATCH(D1171,Products!$A$2:$A$13,0)))</f>
        <v>3706.5</v>
      </c>
      <c r="H1171" s="13" t="n">
        <f aca="false">IF(A1171="2025",INDEX(Customers!$D$2:$D$41,MATCH(C1171,Customers!$A$2:$A$41,0)),INDEX(Customers!$F$2:$F$41,MATCH(C1171,Customers!$A$2:$A$41,0)))</f>
        <v>0.026</v>
      </c>
      <c r="I1171" s="16" t="n">
        <f aca="false">F1171*G1171</f>
        <v>57080.1</v>
      </c>
      <c r="J1171" s="16" t="n">
        <f aca="false">I1171*(1-H1171)</f>
        <v>55596.0174</v>
      </c>
      <c r="K1171" s="16" t="n">
        <f aca="false">J1171*INDEX(Customers!$G$2:$G$41,MATCH(C1171,Customers!$A$2:$A$41,0))</f>
        <v>1667.880522</v>
      </c>
      <c r="L1171" s="16" t="n">
        <f aca="false">F1171*INDEX(Customers!$H$2:$H$41,MATCH(C1171,Customers!$A$2:$A$41,0))</f>
        <v>3388</v>
      </c>
      <c r="M1171" s="16" t="n">
        <f aca="false">J1171*INDEX(Customers!$I$2:$I$41,MATCH(C1171,Customers!$A$2:$A$41,0))/365*Assumptions!$B$6</f>
        <v>365.562854136986</v>
      </c>
      <c r="N1171" s="16" t="n">
        <f aca="false">J1171-K1171-L1171-M1171</f>
        <v>50174.574023863</v>
      </c>
      <c r="O1171" s="16" t="n">
        <f aca="false">F1171*IF(A1171="2025",INDEX(Products!$D$2:$D$13,MATCH(D1171,Products!$A$2:$A$13,0)),INDEX(Products!$F$2:$F$13,MATCH(D1171,Products!$A$2:$A$13,0)))</f>
        <v>38227.42</v>
      </c>
      <c r="P1171" s="16" t="n">
        <f aca="false">N1171-O1171</f>
        <v>11947.154023863</v>
      </c>
    </row>
    <row r="1172" customFormat="false" ht="15" hidden="false" customHeight="false" outlineLevel="0" collapsed="false">
      <c r="A1172" s="2" t="s">
        <v>119</v>
      </c>
      <c r="B1172" s="2" t="n">
        <v>7</v>
      </c>
      <c r="C1172" s="2" t="s">
        <v>80</v>
      </c>
      <c r="D1172" s="2" t="s">
        <v>37</v>
      </c>
      <c r="E1172" s="2" t="str">
        <f aca="false">INDEX(Products!$B$2:$B$13,MATCH(D1172,Products!$A$2:$A$13,0))</f>
        <v>FCC</v>
      </c>
      <c r="F1172" s="15" t="n">
        <v>12</v>
      </c>
      <c r="G1172" s="16" t="n">
        <f aca="false">IF(A1172="2025",INDEX(Products!$C$2:$C$13,MATCH(D1172,Products!$A$2:$A$13,0)),INDEX(Products!$E$2:$E$13,MATCH(D1172,Products!$A$2:$A$13,0)))</f>
        <v>3706.5</v>
      </c>
      <c r="H1172" s="13" t="n">
        <f aca="false">IF(A1172="2025",INDEX(Customers!$D$2:$D$41,MATCH(C1172,Customers!$A$2:$A$41,0)),INDEX(Customers!$F$2:$F$41,MATCH(C1172,Customers!$A$2:$A$41,0)))</f>
        <v>0.026</v>
      </c>
      <c r="I1172" s="16" t="n">
        <f aca="false">F1172*G1172</f>
        <v>44478</v>
      </c>
      <c r="J1172" s="16" t="n">
        <f aca="false">I1172*(1-H1172)</f>
        <v>43321.572</v>
      </c>
      <c r="K1172" s="16" t="n">
        <f aca="false">J1172*INDEX(Customers!$G$2:$G$41,MATCH(C1172,Customers!$A$2:$A$41,0))</f>
        <v>1299.64716</v>
      </c>
      <c r="L1172" s="16" t="n">
        <f aca="false">F1172*INDEX(Customers!$H$2:$H$41,MATCH(C1172,Customers!$A$2:$A$41,0))</f>
        <v>2640</v>
      </c>
      <c r="M1172" s="16" t="n">
        <f aca="false">J1172*INDEX(Customers!$I$2:$I$41,MATCH(C1172,Customers!$A$2:$A$41,0))/365*Assumptions!$B$6</f>
        <v>284.854172054795</v>
      </c>
      <c r="N1172" s="16" t="n">
        <f aca="false">J1172-K1172-L1172-M1172</f>
        <v>39097.0706679452</v>
      </c>
      <c r="O1172" s="16" t="n">
        <f aca="false">F1172*IF(A1172="2025",INDEX(Products!$D$2:$D$13,MATCH(D1172,Products!$A$2:$A$13,0)),INDEX(Products!$F$2:$F$13,MATCH(D1172,Products!$A$2:$A$13,0)))</f>
        <v>29787.6</v>
      </c>
      <c r="P1172" s="16" t="n">
        <f aca="false">N1172-O1172</f>
        <v>9309.4706679452</v>
      </c>
    </row>
    <row r="1173" customFormat="false" ht="15" hidden="false" customHeight="false" outlineLevel="0" collapsed="false">
      <c r="A1173" s="2" t="s">
        <v>119</v>
      </c>
      <c r="B1173" s="2" t="n">
        <v>8</v>
      </c>
      <c r="C1173" s="2" t="s">
        <v>80</v>
      </c>
      <c r="D1173" s="2" t="s">
        <v>37</v>
      </c>
      <c r="E1173" s="2" t="str">
        <f aca="false">INDEX(Products!$B$2:$B$13,MATCH(D1173,Products!$A$2:$A$13,0))</f>
        <v>FCC</v>
      </c>
      <c r="F1173" s="15" t="n">
        <v>14.4</v>
      </c>
      <c r="G1173" s="16" t="n">
        <f aca="false">IF(A1173="2025",INDEX(Products!$C$2:$C$13,MATCH(D1173,Products!$A$2:$A$13,0)),INDEX(Products!$E$2:$E$13,MATCH(D1173,Products!$A$2:$A$13,0)))</f>
        <v>3706.5</v>
      </c>
      <c r="H1173" s="13" t="n">
        <f aca="false">IF(A1173="2025",INDEX(Customers!$D$2:$D$41,MATCH(C1173,Customers!$A$2:$A$41,0)),INDEX(Customers!$F$2:$F$41,MATCH(C1173,Customers!$A$2:$A$41,0)))</f>
        <v>0.026</v>
      </c>
      <c r="I1173" s="16" t="n">
        <f aca="false">F1173*G1173</f>
        <v>53373.6</v>
      </c>
      <c r="J1173" s="16" t="n">
        <f aca="false">I1173*(1-H1173)</f>
        <v>51985.8864</v>
      </c>
      <c r="K1173" s="16" t="n">
        <f aca="false">J1173*INDEX(Customers!$G$2:$G$41,MATCH(C1173,Customers!$A$2:$A$41,0))</f>
        <v>1559.576592</v>
      </c>
      <c r="L1173" s="16" t="n">
        <f aca="false">F1173*INDEX(Customers!$H$2:$H$41,MATCH(C1173,Customers!$A$2:$A$41,0))</f>
        <v>3168</v>
      </c>
      <c r="M1173" s="16" t="n">
        <f aca="false">J1173*INDEX(Customers!$I$2:$I$41,MATCH(C1173,Customers!$A$2:$A$41,0))/365*Assumptions!$B$6</f>
        <v>341.825006465753</v>
      </c>
      <c r="N1173" s="16" t="n">
        <f aca="false">J1173-K1173-L1173-M1173</f>
        <v>46916.4848015342</v>
      </c>
      <c r="O1173" s="16" t="n">
        <f aca="false">F1173*IF(A1173="2025",INDEX(Products!$D$2:$D$13,MATCH(D1173,Products!$A$2:$A$13,0)),INDEX(Products!$F$2:$F$13,MATCH(D1173,Products!$A$2:$A$13,0)))</f>
        <v>35745.12</v>
      </c>
      <c r="P1173" s="16" t="n">
        <f aca="false">N1173-O1173</f>
        <v>11171.3648015342</v>
      </c>
    </row>
    <row r="1174" customFormat="false" ht="15" hidden="false" customHeight="false" outlineLevel="0" collapsed="false">
      <c r="A1174" s="2" t="s">
        <v>119</v>
      </c>
      <c r="B1174" s="2" t="n">
        <v>9</v>
      </c>
      <c r="C1174" s="2" t="s">
        <v>80</v>
      </c>
      <c r="D1174" s="2" t="s">
        <v>37</v>
      </c>
      <c r="E1174" s="2" t="str">
        <f aca="false">INDEX(Products!$B$2:$B$13,MATCH(D1174,Products!$A$2:$A$13,0))</f>
        <v>FCC</v>
      </c>
      <c r="F1174" s="15" t="n">
        <v>9.8</v>
      </c>
      <c r="G1174" s="16" t="n">
        <f aca="false">IF(A1174="2025",INDEX(Products!$C$2:$C$13,MATCH(D1174,Products!$A$2:$A$13,0)),INDEX(Products!$E$2:$E$13,MATCH(D1174,Products!$A$2:$A$13,0)))</f>
        <v>3706.5</v>
      </c>
      <c r="H1174" s="13" t="n">
        <f aca="false">IF(A1174="2025",INDEX(Customers!$D$2:$D$41,MATCH(C1174,Customers!$A$2:$A$41,0)),INDEX(Customers!$F$2:$F$41,MATCH(C1174,Customers!$A$2:$A$41,0)))</f>
        <v>0.026</v>
      </c>
      <c r="I1174" s="16" t="n">
        <f aca="false">F1174*G1174</f>
        <v>36323.7</v>
      </c>
      <c r="J1174" s="16" t="n">
        <f aca="false">I1174*(1-H1174)</f>
        <v>35379.2838</v>
      </c>
      <c r="K1174" s="16" t="n">
        <f aca="false">J1174*INDEX(Customers!$G$2:$G$41,MATCH(C1174,Customers!$A$2:$A$41,0))</f>
        <v>1061.378514</v>
      </c>
      <c r="L1174" s="16" t="n">
        <f aca="false">F1174*INDEX(Customers!$H$2:$H$41,MATCH(C1174,Customers!$A$2:$A$41,0))</f>
        <v>2156</v>
      </c>
      <c r="M1174" s="16" t="n">
        <f aca="false">J1174*INDEX(Customers!$I$2:$I$41,MATCH(C1174,Customers!$A$2:$A$41,0))/365*Assumptions!$B$6</f>
        <v>232.630907178082</v>
      </c>
      <c r="N1174" s="16" t="n">
        <f aca="false">J1174-K1174-L1174-M1174</f>
        <v>31929.2743788219</v>
      </c>
      <c r="O1174" s="16" t="n">
        <f aca="false">F1174*IF(A1174="2025",INDEX(Products!$D$2:$D$13,MATCH(D1174,Products!$A$2:$A$13,0)),INDEX(Products!$F$2:$F$13,MATCH(D1174,Products!$A$2:$A$13,0)))</f>
        <v>24326.54</v>
      </c>
      <c r="P1174" s="16" t="n">
        <f aca="false">N1174-O1174</f>
        <v>7602.73437882192</v>
      </c>
    </row>
    <row r="1175" customFormat="false" ht="15" hidden="false" customHeight="false" outlineLevel="0" collapsed="false">
      <c r="A1175" s="2" t="s">
        <v>119</v>
      </c>
      <c r="B1175" s="2" t="n">
        <v>10</v>
      </c>
      <c r="C1175" s="2" t="s">
        <v>80</v>
      </c>
      <c r="D1175" s="2" t="s">
        <v>37</v>
      </c>
      <c r="E1175" s="2" t="str">
        <f aca="false">INDEX(Products!$B$2:$B$13,MATCH(D1175,Products!$A$2:$A$13,0))</f>
        <v>FCC</v>
      </c>
      <c r="F1175" s="15" t="n">
        <v>12.1</v>
      </c>
      <c r="G1175" s="16" t="n">
        <f aca="false">IF(A1175="2025",INDEX(Products!$C$2:$C$13,MATCH(D1175,Products!$A$2:$A$13,0)),INDEX(Products!$E$2:$E$13,MATCH(D1175,Products!$A$2:$A$13,0)))</f>
        <v>3706.5</v>
      </c>
      <c r="H1175" s="13" t="n">
        <f aca="false">IF(A1175="2025",INDEX(Customers!$D$2:$D$41,MATCH(C1175,Customers!$A$2:$A$41,0)),INDEX(Customers!$F$2:$F$41,MATCH(C1175,Customers!$A$2:$A$41,0)))</f>
        <v>0.026</v>
      </c>
      <c r="I1175" s="16" t="n">
        <f aca="false">F1175*G1175</f>
        <v>44848.65</v>
      </c>
      <c r="J1175" s="16" t="n">
        <f aca="false">I1175*(1-H1175)</f>
        <v>43682.5851</v>
      </c>
      <c r="K1175" s="16" t="n">
        <f aca="false">J1175*INDEX(Customers!$G$2:$G$41,MATCH(C1175,Customers!$A$2:$A$41,0))</f>
        <v>1310.477553</v>
      </c>
      <c r="L1175" s="16" t="n">
        <f aca="false">F1175*INDEX(Customers!$H$2:$H$41,MATCH(C1175,Customers!$A$2:$A$41,0))</f>
        <v>2662</v>
      </c>
      <c r="M1175" s="16" t="n">
        <f aca="false">J1175*INDEX(Customers!$I$2:$I$41,MATCH(C1175,Customers!$A$2:$A$41,0))/365*Assumptions!$B$6</f>
        <v>287.227956821918</v>
      </c>
      <c r="N1175" s="16" t="n">
        <f aca="false">J1175-K1175-L1175-M1175</f>
        <v>39422.8795901781</v>
      </c>
      <c r="O1175" s="16" t="n">
        <f aca="false">F1175*IF(A1175="2025",INDEX(Products!$D$2:$D$13,MATCH(D1175,Products!$A$2:$A$13,0)),INDEX(Products!$F$2:$F$13,MATCH(D1175,Products!$A$2:$A$13,0)))</f>
        <v>30035.83</v>
      </c>
      <c r="P1175" s="16" t="n">
        <f aca="false">N1175-O1175</f>
        <v>9387.04959017809</v>
      </c>
    </row>
    <row r="1176" customFormat="false" ht="15" hidden="false" customHeight="false" outlineLevel="0" collapsed="false">
      <c r="A1176" s="2" t="s">
        <v>119</v>
      </c>
      <c r="B1176" s="2" t="n">
        <v>11</v>
      </c>
      <c r="C1176" s="2" t="s">
        <v>80</v>
      </c>
      <c r="D1176" s="2" t="s">
        <v>37</v>
      </c>
      <c r="E1176" s="2" t="str">
        <f aca="false">INDEX(Products!$B$2:$B$13,MATCH(D1176,Products!$A$2:$A$13,0))</f>
        <v>FCC</v>
      </c>
      <c r="F1176" s="15" t="n">
        <v>11.9</v>
      </c>
      <c r="G1176" s="16" t="n">
        <f aca="false">IF(A1176="2025",INDEX(Products!$C$2:$C$13,MATCH(D1176,Products!$A$2:$A$13,0)),INDEX(Products!$E$2:$E$13,MATCH(D1176,Products!$A$2:$A$13,0)))</f>
        <v>3706.5</v>
      </c>
      <c r="H1176" s="13" t="n">
        <f aca="false">IF(A1176="2025",INDEX(Customers!$D$2:$D$41,MATCH(C1176,Customers!$A$2:$A$41,0)),INDEX(Customers!$F$2:$F$41,MATCH(C1176,Customers!$A$2:$A$41,0)))</f>
        <v>0.026</v>
      </c>
      <c r="I1176" s="16" t="n">
        <f aca="false">F1176*G1176</f>
        <v>44107.35</v>
      </c>
      <c r="J1176" s="16" t="n">
        <f aca="false">I1176*(1-H1176)</f>
        <v>42960.5589</v>
      </c>
      <c r="K1176" s="16" t="n">
        <f aca="false">J1176*INDEX(Customers!$G$2:$G$41,MATCH(C1176,Customers!$A$2:$A$41,0))</f>
        <v>1288.816767</v>
      </c>
      <c r="L1176" s="16" t="n">
        <f aca="false">F1176*INDEX(Customers!$H$2:$H$41,MATCH(C1176,Customers!$A$2:$A$41,0))</f>
        <v>2618</v>
      </c>
      <c r="M1176" s="16" t="n">
        <f aca="false">J1176*INDEX(Customers!$I$2:$I$41,MATCH(C1176,Customers!$A$2:$A$41,0))/365*Assumptions!$B$6</f>
        <v>282.480387287671</v>
      </c>
      <c r="N1176" s="16" t="n">
        <f aca="false">J1176-K1176-L1176-M1176</f>
        <v>38771.2617457123</v>
      </c>
      <c r="O1176" s="16" t="n">
        <f aca="false">F1176*IF(A1176="2025",INDEX(Products!$D$2:$D$13,MATCH(D1176,Products!$A$2:$A$13,0)),INDEX(Products!$F$2:$F$13,MATCH(D1176,Products!$A$2:$A$13,0)))</f>
        <v>29539.37</v>
      </c>
      <c r="P1176" s="16" t="n">
        <f aca="false">N1176-O1176</f>
        <v>9231.89174571232</v>
      </c>
    </row>
    <row r="1177" customFormat="false" ht="15" hidden="false" customHeight="false" outlineLevel="0" collapsed="false">
      <c r="A1177" s="2" t="s">
        <v>119</v>
      </c>
      <c r="B1177" s="2" t="n">
        <v>12</v>
      </c>
      <c r="C1177" s="2" t="s">
        <v>80</v>
      </c>
      <c r="D1177" s="2" t="s">
        <v>37</v>
      </c>
      <c r="E1177" s="2" t="str">
        <f aca="false">INDEX(Products!$B$2:$B$13,MATCH(D1177,Products!$A$2:$A$13,0))</f>
        <v>FCC</v>
      </c>
      <c r="F1177" s="15" t="n">
        <v>15</v>
      </c>
      <c r="G1177" s="16" t="n">
        <f aca="false">IF(A1177="2025",INDEX(Products!$C$2:$C$13,MATCH(D1177,Products!$A$2:$A$13,0)),INDEX(Products!$E$2:$E$13,MATCH(D1177,Products!$A$2:$A$13,0)))</f>
        <v>3706.5</v>
      </c>
      <c r="H1177" s="13" t="n">
        <f aca="false">IF(A1177="2025",INDEX(Customers!$D$2:$D$41,MATCH(C1177,Customers!$A$2:$A$41,0)),INDEX(Customers!$F$2:$F$41,MATCH(C1177,Customers!$A$2:$A$41,0)))</f>
        <v>0.026</v>
      </c>
      <c r="I1177" s="16" t="n">
        <f aca="false">F1177*G1177</f>
        <v>55597.5</v>
      </c>
      <c r="J1177" s="16" t="n">
        <f aca="false">I1177*(1-H1177)</f>
        <v>54151.965</v>
      </c>
      <c r="K1177" s="16" t="n">
        <f aca="false">J1177*INDEX(Customers!$G$2:$G$41,MATCH(C1177,Customers!$A$2:$A$41,0))</f>
        <v>1624.55895</v>
      </c>
      <c r="L1177" s="16" t="n">
        <f aca="false">F1177*INDEX(Customers!$H$2:$H$41,MATCH(C1177,Customers!$A$2:$A$41,0))</f>
        <v>3300</v>
      </c>
      <c r="M1177" s="16" t="n">
        <f aca="false">J1177*INDEX(Customers!$I$2:$I$41,MATCH(C1177,Customers!$A$2:$A$41,0))/365*Assumptions!$B$6</f>
        <v>356.067715068493</v>
      </c>
      <c r="N1177" s="16" t="n">
        <f aca="false">J1177-K1177-L1177-M1177</f>
        <v>48871.3383349315</v>
      </c>
      <c r="O1177" s="16" t="n">
        <f aca="false">F1177*IF(A1177="2025",INDEX(Products!$D$2:$D$13,MATCH(D1177,Products!$A$2:$A$13,0)),INDEX(Products!$F$2:$F$13,MATCH(D1177,Products!$A$2:$A$13,0)))</f>
        <v>37234.5</v>
      </c>
      <c r="P1177" s="16" t="n">
        <f aca="false">N1177-O1177</f>
        <v>11636.8383349315</v>
      </c>
    </row>
    <row r="1178" customFormat="false" ht="15" hidden="false" customHeight="false" outlineLevel="0" collapsed="false">
      <c r="A1178" s="2" t="s">
        <v>118</v>
      </c>
      <c r="B1178" s="2" t="n">
        <v>1</v>
      </c>
      <c r="C1178" s="2" t="s">
        <v>80</v>
      </c>
      <c r="D1178" s="2" t="s">
        <v>43</v>
      </c>
      <c r="E1178" s="2" t="str">
        <f aca="false">INDEX(Products!$B$2:$B$13,MATCH(D1178,Products!$A$2:$A$13,0))</f>
        <v>Hydroprocessing</v>
      </c>
      <c r="F1178" s="15" t="n">
        <v>6.7</v>
      </c>
      <c r="G1178" s="16" t="n">
        <f aca="false">IF(A1178="2025",INDEX(Products!$C$2:$C$13,MATCH(D1178,Products!$A$2:$A$13,0)),INDEX(Products!$E$2:$E$13,MATCH(D1178,Products!$A$2:$A$13,0)))</f>
        <v>11610</v>
      </c>
      <c r="H1178" s="13" t="n">
        <f aca="false">IF(A1178="2025",INDEX(Customers!$D$2:$D$41,MATCH(C1178,Customers!$A$2:$A$41,0)),INDEX(Customers!$F$2:$F$41,MATCH(C1178,Customers!$A$2:$A$41,0)))</f>
        <v>0.026</v>
      </c>
      <c r="I1178" s="16" t="n">
        <f aca="false">F1178*G1178</f>
        <v>77787</v>
      </c>
      <c r="J1178" s="16" t="n">
        <f aca="false">I1178*(1-H1178)</f>
        <v>75764.538</v>
      </c>
      <c r="K1178" s="16" t="n">
        <f aca="false">J1178*INDEX(Customers!$G$2:$G$41,MATCH(C1178,Customers!$A$2:$A$41,0))</f>
        <v>2272.93614</v>
      </c>
      <c r="L1178" s="16" t="n">
        <f aca="false">F1178*INDEX(Customers!$H$2:$H$41,MATCH(C1178,Customers!$A$2:$A$41,0))</f>
        <v>1474</v>
      </c>
      <c r="M1178" s="16" t="n">
        <f aca="false">J1178*INDEX(Customers!$I$2:$I$41,MATCH(C1178,Customers!$A$2:$A$41,0))/365*Assumptions!$B$6</f>
        <v>498.177784109589</v>
      </c>
      <c r="N1178" s="16" t="n">
        <f aca="false">J1178-K1178-L1178-M1178</f>
        <v>71519.4240758904</v>
      </c>
      <c r="O1178" s="16" t="n">
        <f aca="false">F1178*IF(A1178="2025",INDEX(Products!$D$2:$D$13,MATCH(D1178,Products!$A$2:$A$13,0)),INDEX(Products!$F$2:$F$13,MATCH(D1178,Products!$A$2:$A$13,0)))</f>
        <v>49178</v>
      </c>
      <c r="P1178" s="16" t="n">
        <f aca="false">N1178-O1178</f>
        <v>22341.4240758904</v>
      </c>
    </row>
    <row r="1179" customFormat="false" ht="15" hidden="false" customHeight="false" outlineLevel="0" collapsed="false">
      <c r="A1179" s="2" t="s">
        <v>118</v>
      </c>
      <c r="B1179" s="2" t="n">
        <v>2</v>
      </c>
      <c r="C1179" s="2" t="s">
        <v>80</v>
      </c>
      <c r="D1179" s="2" t="s">
        <v>43</v>
      </c>
      <c r="E1179" s="2" t="str">
        <f aca="false">INDEX(Products!$B$2:$B$13,MATCH(D1179,Products!$A$2:$A$13,0))</f>
        <v>Hydroprocessing</v>
      </c>
      <c r="F1179" s="15" t="n">
        <v>6.9</v>
      </c>
      <c r="G1179" s="16" t="n">
        <f aca="false">IF(A1179="2025",INDEX(Products!$C$2:$C$13,MATCH(D1179,Products!$A$2:$A$13,0)),INDEX(Products!$E$2:$E$13,MATCH(D1179,Products!$A$2:$A$13,0)))</f>
        <v>11610</v>
      </c>
      <c r="H1179" s="13" t="n">
        <f aca="false">IF(A1179="2025",INDEX(Customers!$D$2:$D$41,MATCH(C1179,Customers!$A$2:$A$41,0)),INDEX(Customers!$F$2:$F$41,MATCH(C1179,Customers!$A$2:$A$41,0)))</f>
        <v>0.026</v>
      </c>
      <c r="I1179" s="16" t="n">
        <f aca="false">F1179*G1179</f>
        <v>80109</v>
      </c>
      <c r="J1179" s="16" t="n">
        <f aca="false">I1179*(1-H1179)</f>
        <v>78026.166</v>
      </c>
      <c r="K1179" s="16" t="n">
        <f aca="false">J1179*INDEX(Customers!$G$2:$G$41,MATCH(C1179,Customers!$A$2:$A$41,0))</f>
        <v>2340.78498</v>
      </c>
      <c r="L1179" s="16" t="n">
        <f aca="false">F1179*INDEX(Customers!$H$2:$H$41,MATCH(C1179,Customers!$A$2:$A$41,0))</f>
        <v>1518</v>
      </c>
      <c r="M1179" s="16" t="n">
        <f aca="false">J1179*INDEX(Customers!$I$2:$I$41,MATCH(C1179,Customers!$A$2:$A$41,0))/365*Assumptions!$B$6</f>
        <v>513.048762739726</v>
      </c>
      <c r="N1179" s="16" t="n">
        <f aca="false">J1179-K1179-L1179-M1179</f>
        <v>73654.3322572603</v>
      </c>
      <c r="O1179" s="16" t="n">
        <f aca="false">F1179*IF(A1179="2025",INDEX(Products!$D$2:$D$13,MATCH(D1179,Products!$A$2:$A$13,0)),INDEX(Products!$F$2:$F$13,MATCH(D1179,Products!$A$2:$A$13,0)))</f>
        <v>50646</v>
      </c>
      <c r="P1179" s="16" t="n">
        <f aca="false">N1179-O1179</f>
        <v>23008.3322572603</v>
      </c>
    </row>
    <row r="1180" customFormat="false" ht="15" hidden="false" customHeight="false" outlineLevel="0" collapsed="false">
      <c r="A1180" s="2" t="s">
        <v>118</v>
      </c>
      <c r="B1180" s="2" t="n">
        <v>3</v>
      </c>
      <c r="C1180" s="2" t="s">
        <v>80</v>
      </c>
      <c r="D1180" s="2" t="s">
        <v>43</v>
      </c>
      <c r="E1180" s="2" t="str">
        <f aca="false">INDEX(Products!$B$2:$B$13,MATCH(D1180,Products!$A$2:$A$13,0))</f>
        <v>Hydroprocessing</v>
      </c>
      <c r="F1180" s="15" t="n">
        <v>7.6</v>
      </c>
      <c r="G1180" s="16" t="n">
        <f aca="false">IF(A1180="2025",INDEX(Products!$C$2:$C$13,MATCH(D1180,Products!$A$2:$A$13,0)),INDEX(Products!$E$2:$E$13,MATCH(D1180,Products!$A$2:$A$13,0)))</f>
        <v>11610</v>
      </c>
      <c r="H1180" s="13" t="n">
        <f aca="false">IF(A1180="2025",INDEX(Customers!$D$2:$D$41,MATCH(C1180,Customers!$A$2:$A$41,0)),INDEX(Customers!$F$2:$F$41,MATCH(C1180,Customers!$A$2:$A$41,0)))</f>
        <v>0.026</v>
      </c>
      <c r="I1180" s="16" t="n">
        <f aca="false">F1180*G1180</f>
        <v>88236</v>
      </c>
      <c r="J1180" s="16" t="n">
        <f aca="false">I1180*(1-H1180)</f>
        <v>85941.864</v>
      </c>
      <c r="K1180" s="16" t="n">
        <f aca="false">J1180*INDEX(Customers!$G$2:$G$41,MATCH(C1180,Customers!$A$2:$A$41,0))</f>
        <v>2578.25592</v>
      </c>
      <c r="L1180" s="16" t="n">
        <f aca="false">F1180*INDEX(Customers!$H$2:$H$41,MATCH(C1180,Customers!$A$2:$A$41,0))</f>
        <v>1672</v>
      </c>
      <c r="M1180" s="16" t="n">
        <f aca="false">J1180*INDEX(Customers!$I$2:$I$41,MATCH(C1180,Customers!$A$2:$A$41,0))/365*Assumptions!$B$6</f>
        <v>565.097187945205</v>
      </c>
      <c r="N1180" s="16" t="n">
        <f aca="false">J1180-K1180-L1180-M1180</f>
        <v>81126.5108920548</v>
      </c>
      <c r="O1180" s="16" t="n">
        <f aca="false">F1180*IF(A1180="2025",INDEX(Products!$D$2:$D$13,MATCH(D1180,Products!$A$2:$A$13,0)),INDEX(Products!$F$2:$F$13,MATCH(D1180,Products!$A$2:$A$13,0)))</f>
        <v>55784</v>
      </c>
      <c r="P1180" s="16" t="n">
        <f aca="false">N1180-O1180</f>
        <v>25342.5108920548</v>
      </c>
    </row>
    <row r="1181" customFormat="false" ht="15" hidden="false" customHeight="false" outlineLevel="0" collapsed="false">
      <c r="A1181" s="2" t="s">
        <v>118</v>
      </c>
      <c r="B1181" s="2" t="n">
        <v>4</v>
      </c>
      <c r="C1181" s="2" t="s">
        <v>80</v>
      </c>
      <c r="D1181" s="2" t="s">
        <v>43</v>
      </c>
      <c r="E1181" s="2" t="str">
        <f aca="false">INDEX(Products!$B$2:$B$13,MATCH(D1181,Products!$A$2:$A$13,0))</f>
        <v>Hydroprocessing</v>
      </c>
      <c r="F1181" s="15" t="n">
        <v>7.8</v>
      </c>
      <c r="G1181" s="16" t="n">
        <f aca="false">IF(A1181="2025",INDEX(Products!$C$2:$C$13,MATCH(D1181,Products!$A$2:$A$13,0)),INDEX(Products!$E$2:$E$13,MATCH(D1181,Products!$A$2:$A$13,0)))</f>
        <v>11610</v>
      </c>
      <c r="H1181" s="13" t="n">
        <f aca="false">IF(A1181="2025",INDEX(Customers!$D$2:$D$41,MATCH(C1181,Customers!$A$2:$A$41,0)),INDEX(Customers!$F$2:$F$41,MATCH(C1181,Customers!$A$2:$A$41,0)))</f>
        <v>0.026</v>
      </c>
      <c r="I1181" s="16" t="n">
        <f aca="false">F1181*G1181</f>
        <v>90558</v>
      </c>
      <c r="J1181" s="16" t="n">
        <f aca="false">I1181*(1-H1181)</f>
        <v>88203.492</v>
      </c>
      <c r="K1181" s="16" t="n">
        <f aca="false">J1181*INDEX(Customers!$G$2:$G$41,MATCH(C1181,Customers!$A$2:$A$41,0))</f>
        <v>2646.10476</v>
      </c>
      <c r="L1181" s="16" t="n">
        <f aca="false">F1181*INDEX(Customers!$H$2:$H$41,MATCH(C1181,Customers!$A$2:$A$41,0))</f>
        <v>1716</v>
      </c>
      <c r="M1181" s="16" t="n">
        <f aca="false">J1181*INDEX(Customers!$I$2:$I$41,MATCH(C1181,Customers!$A$2:$A$41,0))/365*Assumptions!$B$6</f>
        <v>579.968166575342</v>
      </c>
      <c r="N1181" s="16" t="n">
        <f aca="false">J1181-K1181-L1181-M1181</f>
        <v>83261.4190734247</v>
      </c>
      <c r="O1181" s="16" t="n">
        <f aca="false">F1181*IF(A1181="2025",INDEX(Products!$D$2:$D$13,MATCH(D1181,Products!$A$2:$A$13,0)),INDEX(Products!$F$2:$F$13,MATCH(D1181,Products!$A$2:$A$13,0)))</f>
        <v>57252</v>
      </c>
      <c r="P1181" s="16" t="n">
        <f aca="false">N1181-O1181</f>
        <v>26009.4190734247</v>
      </c>
    </row>
    <row r="1182" customFormat="false" ht="15" hidden="false" customHeight="false" outlineLevel="0" collapsed="false">
      <c r="A1182" s="2" t="s">
        <v>118</v>
      </c>
      <c r="B1182" s="2" t="n">
        <v>5</v>
      </c>
      <c r="C1182" s="2" t="s">
        <v>80</v>
      </c>
      <c r="D1182" s="2" t="s">
        <v>43</v>
      </c>
      <c r="E1182" s="2" t="str">
        <f aca="false">INDEX(Products!$B$2:$B$13,MATCH(D1182,Products!$A$2:$A$13,0))</f>
        <v>Hydroprocessing</v>
      </c>
      <c r="F1182" s="15" t="n">
        <v>4.7</v>
      </c>
      <c r="G1182" s="16" t="n">
        <f aca="false">IF(A1182="2025",INDEX(Products!$C$2:$C$13,MATCH(D1182,Products!$A$2:$A$13,0)),INDEX(Products!$E$2:$E$13,MATCH(D1182,Products!$A$2:$A$13,0)))</f>
        <v>11610</v>
      </c>
      <c r="H1182" s="13" t="n">
        <f aca="false">IF(A1182="2025",INDEX(Customers!$D$2:$D$41,MATCH(C1182,Customers!$A$2:$A$41,0)),INDEX(Customers!$F$2:$F$41,MATCH(C1182,Customers!$A$2:$A$41,0)))</f>
        <v>0.026</v>
      </c>
      <c r="I1182" s="16" t="n">
        <f aca="false">F1182*G1182</f>
        <v>54567</v>
      </c>
      <c r="J1182" s="16" t="n">
        <f aca="false">I1182*(1-H1182)</f>
        <v>53148.258</v>
      </c>
      <c r="K1182" s="16" t="n">
        <f aca="false">J1182*INDEX(Customers!$G$2:$G$41,MATCH(C1182,Customers!$A$2:$A$41,0))</f>
        <v>1594.44774</v>
      </c>
      <c r="L1182" s="16" t="n">
        <f aca="false">F1182*INDEX(Customers!$H$2:$H$41,MATCH(C1182,Customers!$A$2:$A$41,0))</f>
        <v>1034</v>
      </c>
      <c r="M1182" s="16" t="n">
        <f aca="false">J1182*INDEX(Customers!$I$2:$I$41,MATCH(C1182,Customers!$A$2:$A$41,0))/365*Assumptions!$B$6</f>
        <v>349.467997808219</v>
      </c>
      <c r="N1182" s="16" t="n">
        <f aca="false">J1182-K1182-L1182-M1182</f>
        <v>50170.3422621918</v>
      </c>
      <c r="O1182" s="16" t="n">
        <f aca="false">F1182*IF(A1182="2025",INDEX(Products!$D$2:$D$13,MATCH(D1182,Products!$A$2:$A$13,0)),INDEX(Products!$F$2:$F$13,MATCH(D1182,Products!$A$2:$A$13,0)))</f>
        <v>34498</v>
      </c>
      <c r="P1182" s="16" t="n">
        <f aca="false">N1182-O1182</f>
        <v>15672.3422621918</v>
      </c>
    </row>
    <row r="1183" customFormat="false" ht="15" hidden="false" customHeight="false" outlineLevel="0" collapsed="false">
      <c r="A1183" s="2" t="s">
        <v>118</v>
      </c>
      <c r="B1183" s="2" t="n">
        <v>6</v>
      </c>
      <c r="C1183" s="2" t="s">
        <v>80</v>
      </c>
      <c r="D1183" s="2" t="s">
        <v>43</v>
      </c>
      <c r="E1183" s="2" t="str">
        <f aca="false">INDEX(Products!$B$2:$B$13,MATCH(D1183,Products!$A$2:$A$13,0))</f>
        <v>Hydroprocessing</v>
      </c>
      <c r="F1183" s="15" t="n">
        <v>6.7</v>
      </c>
      <c r="G1183" s="16" t="n">
        <f aca="false">IF(A1183="2025",INDEX(Products!$C$2:$C$13,MATCH(D1183,Products!$A$2:$A$13,0)),INDEX(Products!$E$2:$E$13,MATCH(D1183,Products!$A$2:$A$13,0)))</f>
        <v>11610</v>
      </c>
      <c r="H1183" s="13" t="n">
        <f aca="false">IF(A1183="2025",INDEX(Customers!$D$2:$D$41,MATCH(C1183,Customers!$A$2:$A$41,0)),INDEX(Customers!$F$2:$F$41,MATCH(C1183,Customers!$A$2:$A$41,0)))</f>
        <v>0.026</v>
      </c>
      <c r="I1183" s="16" t="n">
        <f aca="false">F1183*G1183</f>
        <v>77787</v>
      </c>
      <c r="J1183" s="16" t="n">
        <f aca="false">I1183*(1-H1183)</f>
        <v>75764.538</v>
      </c>
      <c r="K1183" s="16" t="n">
        <f aca="false">J1183*INDEX(Customers!$G$2:$G$41,MATCH(C1183,Customers!$A$2:$A$41,0))</f>
        <v>2272.93614</v>
      </c>
      <c r="L1183" s="16" t="n">
        <f aca="false">F1183*INDEX(Customers!$H$2:$H$41,MATCH(C1183,Customers!$A$2:$A$41,0))</f>
        <v>1474</v>
      </c>
      <c r="M1183" s="16" t="n">
        <f aca="false">J1183*INDEX(Customers!$I$2:$I$41,MATCH(C1183,Customers!$A$2:$A$41,0))/365*Assumptions!$B$6</f>
        <v>498.177784109589</v>
      </c>
      <c r="N1183" s="16" t="n">
        <f aca="false">J1183-K1183-L1183-M1183</f>
        <v>71519.4240758904</v>
      </c>
      <c r="O1183" s="16" t="n">
        <f aca="false">F1183*IF(A1183="2025",INDEX(Products!$D$2:$D$13,MATCH(D1183,Products!$A$2:$A$13,0)),INDEX(Products!$F$2:$F$13,MATCH(D1183,Products!$A$2:$A$13,0)))</f>
        <v>49178</v>
      </c>
      <c r="P1183" s="16" t="n">
        <f aca="false">N1183-O1183</f>
        <v>22341.4240758904</v>
      </c>
    </row>
    <row r="1184" customFormat="false" ht="15" hidden="false" customHeight="false" outlineLevel="0" collapsed="false">
      <c r="A1184" s="2" t="s">
        <v>118</v>
      </c>
      <c r="B1184" s="2" t="n">
        <v>7</v>
      </c>
      <c r="C1184" s="2" t="s">
        <v>80</v>
      </c>
      <c r="D1184" s="2" t="s">
        <v>43</v>
      </c>
      <c r="E1184" s="2" t="str">
        <f aca="false">INDEX(Products!$B$2:$B$13,MATCH(D1184,Products!$A$2:$A$13,0))</f>
        <v>Hydroprocessing</v>
      </c>
      <c r="F1184" s="15" t="n">
        <v>5.6</v>
      </c>
      <c r="G1184" s="16" t="n">
        <f aca="false">IF(A1184="2025",INDEX(Products!$C$2:$C$13,MATCH(D1184,Products!$A$2:$A$13,0)),INDEX(Products!$E$2:$E$13,MATCH(D1184,Products!$A$2:$A$13,0)))</f>
        <v>11610</v>
      </c>
      <c r="H1184" s="13" t="n">
        <f aca="false">IF(A1184="2025",INDEX(Customers!$D$2:$D$41,MATCH(C1184,Customers!$A$2:$A$41,0)),INDEX(Customers!$F$2:$F$41,MATCH(C1184,Customers!$A$2:$A$41,0)))</f>
        <v>0.026</v>
      </c>
      <c r="I1184" s="16" t="n">
        <f aca="false">F1184*G1184</f>
        <v>65016</v>
      </c>
      <c r="J1184" s="16" t="n">
        <f aca="false">I1184*(1-H1184)</f>
        <v>63325.584</v>
      </c>
      <c r="K1184" s="16" t="n">
        <f aca="false">J1184*INDEX(Customers!$G$2:$G$41,MATCH(C1184,Customers!$A$2:$A$41,0))</f>
        <v>1899.76752</v>
      </c>
      <c r="L1184" s="16" t="n">
        <f aca="false">F1184*INDEX(Customers!$H$2:$H$41,MATCH(C1184,Customers!$A$2:$A$41,0))</f>
        <v>1232</v>
      </c>
      <c r="M1184" s="16" t="n">
        <f aca="false">J1184*INDEX(Customers!$I$2:$I$41,MATCH(C1184,Customers!$A$2:$A$41,0))/365*Assumptions!$B$6</f>
        <v>416.387401643836</v>
      </c>
      <c r="N1184" s="16" t="n">
        <f aca="false">J1184-K1184-L1184-M1184</f>
        <v>59777.4290783562</v>
      </c>
      <c r="O1184" s="16" t="n">
        <f aca="false">F1184*IF(A1184="2025",INDEX(Products!$D$2:$D$13,MATCH(D1184,Products!$A$2:$A$13,0)),INDEX(Products!$F$2:$F$13,MATCH(D1184,Products!$A$2:$A$13,0)))</f>
        <v>41104</v>
      </c>
      <c r="P1184" s="16" t="n">
        <f aca="false">N1184-O1184</f>
        <v>18673.4290783562</v>
      </c>
    </row>
    <row r="1185" customFormat="false" ht="15" hidden="false" customHeight="false" outlineLevel="0" collapsed="false">
      <c r="A1185" s="2" t="s">
        <v>118</v>
      </c>
      <c r="B1185" s="2" t="n">
        <v>8</v>
      </c>
      <c r="C1185" s="2" t="s">
        <v>80</v>
      </c>
      <c r="D1185" s="2" t="s">
        <v>43</v>
      </c>
      <c r="E1185" s="2" t="str">
        <f aca="false">INDEX(Products!$B$2:$B$13,MATCH(D1185,Products!$A$2:$A$13,0))</f>
        <v>Hydroprocessing</v>
      </c>
      <c r="F1185" s="15" t="n">
        <v>5.5</v>
      </c>
      <c r="G1185" s="16" t="n">
        <f aca="false">IF(A1185="2025",INDEX(Products!$C$2:$C$13,MATCH(D1185,Products!$A$2:$A$13,0)),INDEX(Products!$E$2:$E$13,MATCH(D1185,Products!$A$2:$A$13,0)))</f>
        <v>11610</v>
      </c>
      <c r="H1185" s="13" t="n">
        <f aca="false">IF(A1185="2025",INDEX(Customers!$D$2:$D$41,MATCH(C1185,Customers!$A$2:$A$41,0)),INDEX(Customers!$F$2:$F$41,MATCH(C1185,Customers!$A$2:$A$41,0)))</f>
        <v>0.026</v>
      </c>
      <c r="I1185" s="16" t="n">
        <f aca="false">F1185*G1185</f>
        <v>63855</v>
      </c>
      <c r="J1185" s="16" t="n">
        <f aca="false">I1185*(1-H1185)</f>
        <v>62194.77</v>
      </c>
      <c r="K1185" s="16" t="n">
        <f aca="false">J1185*INDEX(Customers!$G$2:$G$41,MATCH(C1185,Customers!$A$2:$A$41,0))</f>
        <v>1865.8431</v>
      </c>
      <c r="L1185" s="16" t="n">
        <f aca="false">F1185*INDEX(Customers!$H$2:$H$41,MATCH(C1185,Customers!$A$2:$A$41,0))</f>
        <v>1210</v>
      </c>
      <c r="M1185" s="16" t="n">
        <f aca="false">J1185*INDEX(Customers!$I$2:$I$41,MATCH(C1185,Customers!$A$2:$A$41,0))/365*Assumptions!$B$6</f>
        <v>408.951912328767</v>
      </c>
      <c r="N1185" s="16" t="n">
        <f aca="false">J1185-K1185-L1185-M1185</f>
        <v>58709.9749876712</v>
      </c>
      <c r="O1185" s="16" t="n">
        <f aca="false">F1185*IF(A1185="2025",INDEX(Products!$D$2:$D$13,MATCH(D1185,Products!$A$2:$A$13,0)),INDEX(Products!$F$2:$F$13,MATCH(D1185,Products!$A$2:$A$13,0)))</f>
        <v>40370</v>
      </c>
      <c r="P1185" s="16" t="n">
        <f aca="false">N1185-O1185</f>
        <v>18339.9749876712</v>
      </c>
    </row>
    <row r="1186" customFormat="false" ht="15" hidden="false" customHeight="false" outlineLevel="0" collapsed="false">
      <c r="A1186" s="2" t="s">
        <v>118</v>
      </c>
      <c r="B1186" s="2" t="n">
        <v>9</v>
      </c>
      <c r="C1186" s="2" t="s">
        <v>80</v>
      </c>
      <c r="D1186" s="2" t="s">
        <v>43</v>
      </c>
      <c r="E1186" s="2" t="str">
        <f aca="false">INDEX(Products!$B$2:$B$13,MATCH(D1186,Products!$A$2:$A$13,0))</f>
        <v>Hydroprocessing</v>
      </c>
      <c r="F1186" s="15" t="n">
        <v>7.4</v>
      </c>
      <c r="G1186" s="16" t="n">
        <f aca="false">IF(A1186="2025",INDEX(Products!$C$2:$C$13,MATCH(D1186,Products!$A$2:$A$13,0)),INDEX(Products!$E$2:$E$13,MATCH(D1186,Products!$A$2:$A$13,0)))</f>
        <v>11610</v>
      </c>
      <c r="H1186" s="13" t="n">
        <f aca="false">IF(A1186="2025",INDEX(Customers!$D$2:$D$41,MATCH(C1186,Customers!$A$2:$A$41,0)),INDEX(Customers!$F$2:$F$41,MATCH(C1186,Customers!$A$2:$A$41,0)))</f>
        <v>0.026</v>
      </c>
      <c r="I1186" s="16" t="n">
        <f aca="false">F1186*G1186</f>
        <v>85914</v>
      </c>
      <c r="J1186" s="16" t="n">
        <f aca="false">I1186*(1-H1186)</f>
        <v>83680.236</v>
      </c>
      <c r="K1186" s="16" t="n">
        <f aca="false">J1186*INDEX(Customers!$G$2:$G$41,MATCH(C1186,Customers!$A$2:$A$41,0))</f>
        <v>2510.40708</v>
      </c>
      <c r="L1186" s="16" t="n">
        <f aca="false">F1186*INDEX(Customers!$H$2:$H$41,MATCH(C1186,Customers!$A$2:$A$41,0))</f>
        <v>1628</v>
      </c>
      <c r="M1186" s="16" t="n">
        <f aca="false">J1186*INDEX(Customers!$I$2:$I$41,MATCH(C1186,Customers!$A$2:$A$41,0))/365*Assumptions!$B$6</f>
        <v>550.226209315068</v>
      </c>
      <c r="N1186" s="16" t="n">
        <f aca="false">J1186-K1186-L1186-M1186</f>
        <v>78991.6027106849</v>
      </c>
      <c r="O1186" s="16" t="n">
        <f aca="false">F1186*IF(A1186="2025",INDEX(Products!$D$2:$D$13,MATCH(D1186,Products!$A$2:$A$13,0)),INDEX(Products!$F$2:$F$13,MATCH(D1186,Products!$A$2:$A$13,0)))</f>
        <v>54316</v>
      </c>
      <c r="P1186" s="16" t="n">
        <f aca="false">N1186-O1186</f>
        <v>24675.6027106849</v>
      </c>
    </row>
    <row r="1187" customFormat="false" ht="15" hidden="false" customHeight="false" outlineLevel="0" collapsed="false">
      <c r="A1187" s="2" t="s">
        <v>118</v>
      </c>
      <c r="B1187" s="2" t="n">
        <v>10</v>
      </c>
      <c r="C1187" s="2" t="s">
        <v>80</v>
      </c>
      <c r="D1187" s="2" t="s">
        <v>43</v>
      </c>
      <c r="E1187" s="2" t="str">
        <f aca="false">INDEX(Products!$B$2:$B$13,MATCH(D1187,Products!$A$2:$A$13,0))</f>
        <v>Hydroprocessing</v>
      </c>
      <c r="F1187" s="15" t="n">
        <v>6.3</v>
      </c>
      <c r="G1187" s="16" t="n">
        <f aca="false">IF(A1187="2025",INDEX(Products!$C$2:$C$13,MATCH(D1187,Products!$A$2:$A$13,0)),INDEX(Products!$E$2:$E$13,MATCH(D1187,Products!$A$2:$A$13,0)))</f>
        <v>11610</v>
      </c>
      <c r="H1187" s="13" t="n">
        <f aca="false">IF(A1187="2025",INDEX(Customers!$D$2:$D$41,MATCH(C1187,Customers!$A$2:$A$41,0)),INDEX(Customers!$F$2:$F$41,MATCH(C1187,Customers!$A$2:$A$41,0)))</f>
        <v>0.026</v>
      </c>
      <c r="I1187" s="16" t="n">
        <f aca="false">F1187*G1187</f>
        <v>73143</v>
      </c>
      <c r="J1187" s="16" t="n">
        <f aca="false">I1187*(1-H1187)</f>
        <v>71241.282</v>
      </c>
      <c r="K1187" s="16" t="n">
        <f aca="false">J1187*INDEX(Customers!$G$2:$G$41,MATCH(C1187,Customers!$A$2:$A$41,0))</f>
        <v>2137.23846</v>
      </c>
      <c r="L1187" s="16" t="n">
        <f aca="false">F1187*INDEX(Customers!$H$2:$H$41,MATCH(C1187,Customers!$A$2:$A$41,0))</f>
        <v>1386</v>
      </c>
      <c r="M1187" s="16" t="n">
        <f aca="false">J1187*INDEX(Customers!$I$2:$I$41,MATCH(C1187,Customers!$A$2:$A$41,0))/365*Assumptions!$B$6</f>
        <v>468.435826849315</v>
      </c>
      <c r="N1187" s="16" t="n">
        <f aca="false">J1187-K1187-L1187-M1187</f>
        <v>67249.6077131507</v>
      </c>
      <c r="O1187" s="16" t="n">
        <f aca="false">F1187*IF(A1187="2025",INDEX(Products!$D$2:$D$13,MATCH(D1187,Products!$A$2:$A$13,0)),INDEX(Products!$F$2:$F$13,MATCH(D1187,Products!$A$2:$A$13,0)))</f>
        <v>46242</v>
      </c>
      <c r="P1187" s="16" t="n">
        <f aca="false">N1187-O1187</f>
        <v>21007.6077131507</v>
      </c>
    </row>
    <row r="1188" customFormat="false" ht="15" hidden="false" customHeight="false" outlineLevel="0" collapsed="false">
      <c r="A1188" s="2" t="s">
        <v>118</v>
      </c>
      <c r="B1188" s="2" t="n">
        <v>11</v>
      </c>
      <c r="C1188" s="2" t="s">
        <v>80</v>
      </c>
      <c r="D1188" s="2" t="s">
        <v>43</v>
      </c>
      <c r="E1188" s="2" t="str">
        <f aca="false">INDEX(Products!$B$2:$B$13,MATCH(D1188,Products!$A$2:$A$13,0))</f>
        <v>Hydroprocessing</v>
      </c>
      <c r="F1188" s="15" t="n">
        <v>6</v>
      </c>
      <c r="G1188" s="16" t="n">
        <f aca="false">IF(A1188="2025",INDEX(Products!$C$2:$C$13,MATCH(D1188,Products!$A$2:$A$13,0)),INDEX(Products!$E$2:$E$13,MATCH(D1188,Products!$A$2:$A$13,0)))</f>
        <v>11610</v>
      </c>
      <c r="H1188" s="13" t="n">
        <f aca="false">IF(A1188="2025",INDEX(Customers!$D$2:$D$41,MATCH(C1188,Customers!$A$2:$A$41,0)),INDEX(Customers!$F$2:$F$41,MATCH(C1188,Customers!$A$2:$A$41,0)))</f>
        <v>0.026</v>
      </c>
      <c r="I1188" s="16" t="n">
        <f aca="false">F1188*G1188</f>
        <v>69660</v>
      </c>
      <c r="J1188" s="16" t="n">
        <f aca="false">I1188*(1-H1188)</f>
        <v>67848.84</v>
      </c>
      <c r="K1188" s="16" t="n">
        <f aca="false">J1188*INDEX(Customers!$G$2:$G$41,MATCH(C1188,Customers!$A$2:$A$41,0))</f>
        <v>2035.4652</v>
      </c>
      <c r="L1188" s="16" t="n">
        <f aca="false">F1188*INDEX(Customers!$H$2:$H$41,MATCH(C1188,Customers!$A$2:$A$41,0))</f>
        <v>1320</v>
      </c>
      <c r="M1188" s="16" t="n">
        <f aca="false">J1188*INDEX(Customers!$I$2:$I$41,MATCH(C1188,Customers!$A$2:$A$41,0))/365*Assumptions!$B$6</f>
        <v>446.12935890411</v>
      </c>
      <c r="N1188" s="16" t="n">
        <f aca="false">J1188-K1188-L1188-M1188</f>
        <v>64047.2454410959</v>
      </c>
      <c r="O1188" s="16" t="n">
        <f aca="false">F1188*IF(A1188="2025",INDEX(Products!$D$2:$D$13,MATCH(D1188,Products!$A$2:$A$13,0)),INDEX(Products!$F$2:$F$13,MATCH(D1188,Products!$A$2:$A$13,0)))</f>
        <v>44040</v>
      </c>
      <c r="P1188" s="16" t="n">
        <f aca="false">N1188-O1188</f>
        <v>20007.2454410959</v>
      </c>
    </row>
    <row r="1189" customFormat="false" ht="15" hidden="false" customHeight="false" outlineLevel="0" collapsed="false">
      <c r="A1189" s="2" t="s">
        <v>118</v>
      </c>
      <c r="B1189" s="2" t="n">
        <v>12</v>
      </c>
      <c r="C1189" s="2" t="s">
        <v>80</v>
      </c>
      <c r="D1189" s="2" t="s">
        <v>43</v>
      </c>
      <c r="E1189" s="2" t="str">
        <f aca="false">INDEX(Products!$B$2:$B$13,MATCH(D1189,Products!$A$2:$A$13,0))</f>
        <v>Hydroprocessing</v>
      </c>
      <c r="F1189" s="15" t="n">
        <v>5.1</v>
      </c>
      <c r="G1189" s="16" t="n">
        <f aca="false">IF(A1189="2025",INDEX(Products!$C$2:$C$13,MATCH(D1189,Products!$A$2:$A$13,0)),INDEX(Products!$E$2:$E$13,MATCH(D1189,Products!$A$2:$A$13,0)))</f>
        <v>11610</v>
      </c>
      <c r="H1189" s="13" t="n">
        <f aca="false">IF(A1189="2025",INDEX(Customers!$D$2:$D$41,MATCH(C1189,Customers!$A$2:$A$41,0)),INDEX(Customers!$F$2:$F$41,MATCH(C1189,Customers!$A$2:$A$41,0)))</f>
        <v>0.026</v>
      </c>
      <c r="I1189" s="16" t="n">
        <f aca="false">F1189*G1189</f>
        <v>59211</v>
      </c>
      <c r="J1189" s="16" t="n">
        <f aca="false">I1189*(1-H1189)</f>
        <v>57671.514</v>
      </c>
      <c r="K1189" s="16" t="n">
        <f aca="false">J1189*INDEX(Customers!$G$2:$G$41,MATCH(C1189,Customers!$A$2:$A$41,0))</f>
        <v>1730.14542</v>
      </c>
      <c r="L1189" s="16" t="n">
        <f aca="false">F1189*INDEX(Customers!$H$2:$H$41,MATCH(C1189,Customers!$A$2:$A$41,0))</f>
        <v>1122</v>
      </c>
      <c r="M1189" s="16" t="n">
        <f aca="false">J1189*INDEX(Customers!$I$2:$I$41,MATCH(C1189,Customers!$A$2:$A$41,0))/365*Assumptions!$B$6</f>
        <v>379.209955068493</v>
      </c>
      <c r="N1189" s="16" t="n">
        <f aca="false">J1189-K1189-L1189-M1189</f>
        <v>54440.1586249315</v>
      </c>
      <c r="O1189" s="16" t="n">
        <f aca="false">F1189*IF(A1189="2025",INDEX(Products!$D$2:$D$13,MATCH(D1189,Products!$A$2:$A$13,0)),INDEX(Products!$F$2:$F$13,MATCH(D1189,Products!$A$2:$A$13,0)))</f>
        <v>37434</v>
      </c>
      <c r="P1189" s="16" t="n">
        <f aca="false">N1189-O1189</f>
        <v>17006.1586249315</v>
      </c>
    </row>
    <row r="1190" customFormat="false" ht="15" hidden="false" customHeight="false" outlineLevel="0" collapsed="false">
      <c r="A1190" s="2" t="s">
        <v>119</v>
      </c>
      <c r="B1190" s="2" t="n">
        <v>1</v>
      </c>
      <c r="C1190" s="2" t="s">
        <v>80</v>
      </c>
      <c r="D1190" s="2" t="s">
        <v>43</v>
      </c>
      <c r="E1190" s="2" t="str">
        <f aca="false">INDEX(Products!$B$2:$B$13,MATCH(D1190,Products!$A$2:$A$13,0))</f>
        <v>Hydroprocessing</v>
      </c>
      <c r="F1190" s="15" t="n">
        <v>7.6</v>
      </c>
      <c r="G1190" s="16" t="n">
        <f aca="false">IF(A1190="2025",INDEX(Products!$C$2:$C$13,MATCH(D1190,Products!$A$2:$A$13,0)),INDEX(Products!$E$2:$E$13,MATCH(D1190,Products!$A$2:$A$13,0)))</f>
        <v>12190.5</v>
      </c>
      <c r="H1190" s="13" t="n">
        <f aca="false">IF(A1190="2025",INDEX(Customers!$D$2:$D$41,MATCH(C1190,Customers!$A$2:$A$41,0)),INDEX(Customers!$F$2:$F$41,MATCH(C1190,Customers!$A$2:$A$41,0)))</f>
        <v>0.026</v>
      </c>
      <c r="I1190" s="16" t="n">
        <f aca="false">F1190*G1190</f>
        <v>92647.8</v>
      </c>
      <c r="J1190" s="16" t="n">
        <f aca="false">I1190*(1-H1190)</f>
        <v>90238.9572</v>
      </c>
      <c r="K1190" s="16" t="n">
        <f aca="false">J1190*INDEX(Customers!$G$2:$G$41,MATCH(C1190,Customers!$A$2:$A$41,0))</f>
        <v>2707.168716</v>
      </c>
      <c r="L1190" s="16" t="n">
        <f aca="false">F1190*INDEX(Customers!$H$2:$H$41,MATCH(C1190,Customers!$A$2:$A$41,0))</f>
        <v>1672</v>
      </c>
      <c r="M1190" s="16" t="n">
        <f aca="false">J1190*INDEX(Customers!$I$2:$I$41,MATCH(C1190,Customers!$A$2:$A$41,0))/365*Assumptions!$B$6</f>
        <v>593.352047342466</v>
      </c>
      <c r="N1190" s="16" t="n">
        <f aca="false">J1190-K1190-L1190-M1190</f>
        <v>85266.4364366575</v>
      </c>
      <c r="O1190" s="16" t="n">
        <f aca="false">F1190*IF(A1190="2025",INDEX(Products!$D$2:$D$13,MATCH(D1190,Products!$A$2:$A$13,0)),INDEX(Products!$F$2:$F$13,MATCH(D1190,Products!$A$2:$A$13,0)))</f>
        <v>57457.52</v>
      </c>
      <c r="P1190" s="16" t="n">
        <f aca="false">N1190-O1190</f>
        <v>27808.9164366575</v>
      </c>
    </row>
    <row r="1191" customFormat="false" ht="15" hidden="false" customHeight="false" outlineLevel="0" collapsed="false">
      <c r="A1191" s="2" t="s">
        <v>119</v>
      </c>
      <c r="B1191" s="2" t="n">
        <v>2</v>
      </c>
      <c r="C1191" s="2" t="s">
        <v>80</v>
      </c>
      <c r="D1191" s="2" t="s">
        <v>43</v>
      </c>
      <c r="E1191" s="2" t="str">
        <f aca="false">INDEX(Products!$B$2:$B$13,MATCH(D1191,Products!$A$2:$A$13,0))</f>
        <v>Hydroprocessing</v>
      </c>
      <c r="F1191" s="15" t="n">
        <v>8.1</v>
      </c>
      <c r="G1191" s="16" t="n">
        <f aca="false">IF(A1191="2025",INDEX(Products!$C$2:$C$13,MATCH(D1191,Products!$A$2:$A$13,0)),INDEX(Products!$E$2:$E$13,MATCH(D1191,Products!$A$2:$A$13,0)))</f>
        <v>12190.5</v>
      </c>
      <c r="H1191" s="13" t="n">
        <f aca="false">IF(A1191="2025",INDEX(Customers!$D$2:$D$41,MATCH(C1191,Customers!$A$2:$A$41,0)),INDEX(Customers!$F$2:$F$41,MATCH(C1191,Customers!$A$2:$A$41,0)))</f>
        <v>0.026</v>
      </c>
      <c r="I1191" s="16" t="n">
        <f aca="false">F1191*G1191</f>
        <v>98743.05</v>
      </c>
      <c r="J1191" s="16" t="n">
        <f aca="false">I1191*(1-H1191)</f>
        <v>96175.7307</v>
      </c>
      <c r="K1191" s="16" t="n">
        <f aca="false">J1191*INDEX(Customers!$G$2:$G$41,MATCH(C1191,Customers!$A$2:$A$41,0))</f>
        <v>2885.271921</v>
      </c>
      <c r="L1191" s="16" t="n">
        <f aca="false">F1191*INDEX(Customers!$H$2:$H$41,MATCH(C1191,Customers!$A$2:$A$41,0))</f>
        <v>1782</v>
      </c>
      <c r="M1191" s="16" t="n">
        <f aca="false">J1191*INDEX(Customers!$I$2:$I$41,MATCH(C1191,Customers!$A$2:$A$41,0))/365*Assumptions!$B$6</f>
        <v>632.388366246575</v>
      </c>
      <c r="N1191" s="16" t="n">
        <f aca="false">J1191-K1191-L1191-M1191</f>
        <v>90876.0704127534</v>
      </c>
      <c r="O1191" s="16" t="n">
        <f aca="false">F1191*IF(A1191="2025",INDEX(Products!$D$2:$D$13,MATCH(D1191,Products!$A$2:$A$13,0)),INDEX(Products!$F$2:$F$13,MATCH(D1191,Products!$A$2:$A$13,0)))</f>
        <v>61237.62</v>
      </c>
      <c r="P1191" s="16" t="n">
        <f aca="false">N1191-O1191</f>
        <v>29638.4504127534</v>
      </c>
    </row>
    <row r="1192" customFormat="false" ht="15" hidden="false" customHeight="false" outlineLevel="0" collapsed="false">
      <c r="A1192" s="2" t="s">
        <v>119</v>
      </c>
      <c r="B1192" s="2" t="n">
        <v>3</v>
      </c>
      <c r="C1192" s="2" t="s">
        <v>80</v>
      </c>
      <c r="D1192" s="2" t="s">
        <v>43</v>
      </c>
      <c r="E1192" s="2" t="str">
        <f aca="false">INDEX(Products!$B$2:$B$13,MATCH(D1192,Products!$A$2:$A$13,0))</f>
        <v>Hydroprocessing</v>
      </c>
      <c r="F1192" s="15" t="n">
        <v>7.3</v>
      </c>
      <c r="G1192" s="16" t="n">
        <f aca="false">IF(A1192="2025",INDEX(Products!$C$2:$C$13,MATCH(D1192,Products!$A$2:$A$13,0)),INDEX(Products!$E$2:$E$13,MATCH(D1192,Products!$A$2:$A$13,0)))</f>
        <v>12190.5</v>
      </c>
      <c r="H1192" s="13" t="n">
        <f aca="false">IF(A1192="2025",INDEX(Customers!$D$2:$D$41,MATCH(C1192,Customers!$A$2:$A$41,0)),INDEX(Customers!$F$2:$F$41,MATCH(C1192,Customers!$A$2:$A$41,0)))</f>
        <v>0.026</v>
      </c>
      <c r="I1192" s="16" t="n">
        <f aca="false">F1192*G1192</f>
        <v>88990.65</v>
      </c>
      <c r="J1192" s="16" t="n">
        <f aca="false">I1192*(1-H1192)</f>
        <v>86676.8931</v>
      </c>
      <c r="K1192" s="16" t="n">
        <f aca="false">J1192*INDEX(Customers!$G$2:$G$41,MATCH(C1192,Customers!$A$2:$A$41,0))</f>
        <v>2600.306793</v>
      </c>
      <c r="L1192" s="16" t="n">
        <f aca="false">F1192*INDEX(Customers!$H$2:$H$41,MATCH(C1192,Customers!$A$2:$A$41,0))</f>
        <v>1606</v>
      </c>
      <c r="M1192" s="16" t="n">
        <f aca="false">J1192*INDEX(Customers!$I$2:$I$41,MATCH(C1192,Customers!$A$2:$A$41,0))/365*Assumptions!$B$6</f>
        <v>569.930256</v>
      </c>
      <c r="N1192" s="16" t="n">
        <f aca="false">J1192-K1192-L1192-M1192</f>
        <v>81900.656051</v>
      </c>
      <c r="O1192" s="16" t="n">
        <f aca="false">F1192*IF(A1192="2025",INDEX(Products!$D$2:$D$13,MATCH(D1192,Products!$A$2:$A$13,0)),INDEX(Products!$F$2:$F$13,MATCH(D1192,Products!$A$2:$A$13,0)))</f>
        <v>55189.46</v>
      </c>
      <c r="P1192" s="16" t="n">
        <f aca="false">N1192-O1192</f>
        <v>26711.196051</v>
      </c>
    </row>
    <row r="1193" customFormat="false" ht="15" hidden="false" customHeight="false" outlineLevel="0" collapsed="false">
      <c r="A1193" s="2" t="s">
        <v>119</v>
      </c>
      <c r="B1193" s="2" t="n">
        <v>4</v>
      </c>
      <c r="C1193" s="2" t="s">
        <v>80</v>
      </c>
      <c r="D1193" s="2" t="s">
        <v>43</v>
      </c>
      <c r="E1193" s="2" t="str">
        <f aca="false">INDEX(Products!$B$2:$B$13,MATCH(D1193,Products!$A$2:$A$13,0))</f>
        <v>Hydroprocessing</v>
      </c>
      <c r="F1193" s="15" t="n">
        <v>7.5</v>
      </c>
      <c r="G1193" s="16" t="n">
        <f aca="false">IF(A1193="2025",INDEX(Products!$C$2:$C$13,MATCH(D1193,Products!$A$2:$A$13,0)),INDEX(Products!$E$2:$E$13,MATCH(D1193,Products!$A$2:$A$13,0)))</f>
        <v>12190.5</v>
      </c>
      <c r="H1193" s="13" t="n">
        <f aca="false">IF(A1193="2025",INDEX(Customers!$D$2:$D$41,MATCH(C1193,Customers!$A$2:$A$41,0)),INDEX(Customers!$F$2:$F$41,MATCH(C1193,Customers!$A$2:$A$41,0)))</f>
        <v>0.026</v>
      </c>
      <c r="I1193" s="16" t="n">
        <f aca="false">F1193*G1193</f>
        <v>91428.75</v>
      </c>
      <c r="J1193" s="16" t="n">
        <f aca="false">I1193*(1-H1193)</f>
        <v>89051.6025</v>
      </c>
      <c r="K1193" s="16" t="n">
        <f aca="false">J1193*INDEX(Customers!$G$2:$G$41,MATCH(C1193,Customers!$A$2:$A$41,0))</f>
        <v>2671.548075</v>
      </c>
      <c r="L1193" s="16" t="n">
        <f aca="false">F1193*INDEX(Customers!$H$2:$H$41,MATCH(C1193,Customers!$A$2:$A$41,0))</f>
        <v>1650</v>
      </c>
      <c r="M1193" s="16" t="n">
        <f aca="false">J1193*INDEX(Customers!$I$2:$I$41,MATCH(C1193,Customers!$A$2:$A$41,0))/365*Assumptions!$B$6</f>
        <v>585.544783561644</v>
      </c>
      <c r="N1193" s="16" t="n">
        <f aca="false">J1193-K1193-L1193-M1193</f>
        <v>84144.5096414383</v>
      </c>
      <c r="O1193" s="16" t="n">
        <f aca="false">F1193*IF(A1193="2025",INDEX(Products!$D$2:$D$13,MATCH(D1193,Products!$A$2:$A$13,0)),INDEX(Products!$F$2:$F$13,MATCH(D1193,Products!$A$2:$A$13,0)))</f>
        <v>56701.5</v>
      </c>
      <c r="P1193" s="16" t="n">
        <f aca="false">N1193-O1193</f>
        <v>27443.0096414383</v>
      </c>
    </row>
    <row r="1194" customFormat="false" ht="15" hidden="false" customHeight="false" outlineLevel="0" collapsed="false">
      <c r="A1194" s="2" t="s">
        <v>119</v>
      </c>
      <c r="B1194" s="2" t="n">
        <v>5</v>
      </c>
      <c r="C1194" s="2" t="s">
        <v>80</v>
      </c>
      <c r="D1194" s="2" t="s">
        <v>43</v>
      </c>
      <c r="E1194" s="2" t="str">
        <f aca="false">INDEX(Products!$B$2:$B$13,MATCH(D1194,Products!$A$2:$A$13,0))</f>
        <v>Hydroprocessing</v>
      </c>
      <c r="F1194" s="15" t="n">
        <v>5.1</v>
      </c>
      <c r="G1194" s="16" t="n">
        <f aca="false">IF(A1194="2025",INDEX(Products!$C$2:$C$13,MATCH(D1194,Products!$A$2:$A$13,0)),INDEX(Products!$E$2:$E$13,MATCH(D1194,Products!$A$2:$A$13,0)))</f>
        <v>12190.5</v>
      </c>
      <c r="H1194" s="13" t="n">
        <f aca="false">IF(A1194="2025",INDEX(Customers!$D$2:$D$41,MATCH(C1194,Customers!$A$2:$A$41,0)),INDEX(Customers!$F$2:$F$41,MATCH(C1194,Customers!$A$2:$A$41,0)))</f>
        <v>0.026</v>
      </c>
      <c r="I1194" s="16" t="n">
        <f aca="false">F1194*G1194</f>
        <v>62171.55</v>
      </c>
      <c r="J1194" s="16" t="n">
        <f aca="false">I1194*(1-H1194)</f>
        <v>60555.0897</v>
      </c>
      <c r="K1194" s="16" t="n">
        <f aca="false">J1194*INDEX(Customers!$G$2:$G$41,MATCH(C1194,Customers!$A$2:$A$41,0))</f>
        <v>1816.652691</v>
      </c>
      <c r="L1194" s="16" t="n">
        <f aca="false">F1194*INDEX(Customers!$H$2:$H$41,MATCH(C1194,Customers!$A$2:$A$41,0))</f>
        <v>1122</v>
      </c>
      <c r="M1194" s="16" t="n">
        <f aca="false">J1194*INDEX(Customers!$I$2:$I$41,MATCH(C1194,Customers!$A$2:$A$41,0))/365*Assumptions!$B$6</f>
        <v>398.170452821918</v>
      </c>
      <c r="N1194" s="16" t="n">
        <f aca="false">J1194-K1194-L1194-M1194</f>
        <v>57218.2665561781</v>
      </c>
      <c r="O1194" s="16" t="n">
        <f aca="false">F1194*IF(A1194="2025",INDEX(Products!$D$2:$D$13,MATCH(D1194,Products!$A$2:$A$13,0)),INDEX(Products!$F$2:$F$13,MATCH(D1194,Products!$A$2:$A$13,0)))</f>
        <v>38557.02</v>
      </c>
      <c r="P1194" s="16" t="n">
        <f aca="false">N1194-O1194</f>
        <v>18661.2465561781</v>
      </c>
    </row>
    <row r="1195" customFormat="false" ht="15" hidden="false" customHeight="false" outlineLevel="0" collapsed="false">
      <c r="A1195" s="2" t="s">
        <v>119</v>
      </c>
      <c r="B1195" s="2" t="n">
        <v>6</v>
      </c>
      <c r="C1195" s="2" t="s">
        <v>80</v>
      </c>
      <c r="D1195" s="2" t="s">
        <v>43</v>
      </c>
      <c r="E1195" s="2" t="str">
        <f aca="false">INDEX(Products!$B$2:$B$13,MATCH(D1195,Products!$A$2:$A$13,0))</f>
        <v>Hydroprocessing</v>
      </c>
      <c r="F1195" s="15" t="n">
        <v>5.9</v>
      </c>
      <c r="G1195" s="16" t="n">
        <f aca="false">IF(A1195="2025",INDEX(Products!$C$2:$C$13,MATCH(D1195,Products!$A$2:$A$13,0)),INDEX(Products!$E$2:$E$13,MATCH(D1195,Products!$A$2:$A$13,0)))</f>
        <v>12190.5</v>
      </c>
      <c r="H1195" s="13" t="n">
        <f aca="false">IF(A1195="2025",INDEX(Customers!$D$2:$D$41,MATCH(C1195,Customers!$A$2:$A$41,0)),INDEX(Customers!$F$2:$F$41,MATCH(C1195,Customers!$A$2:$A$41,0)))</f>
        <v>0.026</v>
      </c>
      <c r="I1195" s="16" t="n">
        <f aca="false">F1195*G1195</f>
        <v>71923.95</v>
      </c>
      <c r="J1195" s="16" t="n">
        <f aca="false">I1195*(1-H1195)</f>
        <v>70053.9273</v>
      </c>
      <c r="K1195" s="16" t="n">
        <f aca="false">J1195*INDEX(Customers!$G$2:$G$41,MATCH(C1195,Customers!$A$2:$A$41,0))</f>
        <v>2101.617819</v>
      </c>
      <c r="L1195" s="16" t="n">
        <f aca="false">F1195*INDEX(Customers!$H$2:$H$41,MATCH(C1195,Customers!$A$2:$A$41,0))</f>
        <v>1298</v>
      </c>
      <c r="M1195" s="16" t="n">
        <f aca="false">J1195*INDEX(Customers!$I$2:$I$41,MATCH(C1195,Customers!$A$2:$A$41,0))/365*Assumptions!$B$6</f>
        <v>460.628563068493</v>
      </c>
      <c r="N1195" s="16" t="n">
        <f aca="false">J1195-K1195-L1195-M1195</f>
        <v>66193.6809179315</v>
      </c>
      <c r="O1195" s="16" t="n">
        <f aca="false">F1195*IF(A1195="2025",INDEX(Products!$D$2:$D$13,MATCH(D1195,Products!$A$2:$A$13,0)),INDEX(Products!$F$2:$F$13,MATCH(D1195,Products!$A$2:$A$13,0)))</f>
        <v>44605.18</v>
      </c>
      <c r="P1195" s="16" t="n">
        <f aca="false">N1195-O1195</f>
        <v>21588.5009179315</v>
      </c>
    </row>
    <row r="1196" customFormat="false" ht="15" hidden="false" customHeight="false" outlineLevel="0" collapsed="false">
      <c r="A1196" s="2" t="s">
        <v>119</v>
      </c>
      <c r="B1196" s="2" t="n">
        <v>7</v>
      </c>
      <c r="C1196" s="2" t="s">
        <v>80</v>
      </c>
      <c r="D1196" s="2" t="s">
        <v>43</v>
      </c>
      <c r="E1196" s="2" t="str">
        <f aca="false">INDEX(Products!$B$2:$B$13,MATCH(D1196,Products!$A$2:$A$13,0))</f>
        <v>Hydroprocessing</v>
      </c>
      <c r="F1196" s="15" t="n">
        <v>6.5</v>
      </c>
      <c r="G1196" s="16" t="n">
        <f aca="false">IF(A1196="2025",INDEX(Products!$C$2:$C$13,MATCH(D1196,Products!$A$2:$A$13,0)),INDEX(Products!$E$2:$E$13,MATCH(D1196,Products!$A$2:$A$13,0)))</f>
        <v>12190.5</v>
      </c>
      <c r="H1196" s="13" t="n">
        <f aca="false">IF(A1196="2025",INDEX(Customers!$D$2:$D$41,MATCH(C1196,Customers!$A$2:$A$41,0)),INDEX(Customers!$F$2:$F$41,MATCH(C1196,Customers!$A$2:$A$41,0)))</f>
        <v>0.026</v>
      </c>
      <c r="I1196" s="16" t="n">
        <f aca="false">F1196*G1196</f>
        <v>79238.25</v>
      </c>
      <c r="J1196" s="16" t="n">
        <f aca="false">I1196*(1-H1196)</f>
        <v>77178.0555</v>
      </c>
      <c r="K1196" s="16" t="n">
        <f aca="false">J1196*INDEX(Customers!$G$2:$G$41,MATCH(C1196,Customers!$A$2:$A$41,0))</f>
        <v>2315.341665</v>
      </c>
      <c r="L1196" s="16" t="n">
        <f aca="false">F1196*INDEX(Customers!$H$2:$H$41,MATCH(C1196,Customers!$A$2:$A$41,0))</f>
        <v>1430</v>
      </c>
      <c r="M1196" s="16" t="n">
        <f aca="false">J1196*INDEX(Customers!$I$2:$I$41,MATCH(C1196,Customers!$A$2:$A$41,0))/365*Assumptions!$B$6</f>
        <v>507.472145753425</v>
      </c>
      <c r="N1196" s="16" t="n">
        <f aca="false">J1196-K1196-L1196-M1196</f>
        <v>72925.2416892466</v>
      </c>
      <c r="O1196" s="16" t="n">
        <f aca="false">F1196*IF(A1196="2025",INDEX(Products!$D$2:$D$13,MATCH(D1196,Products!$A$2:$A$13,0)),INDEX(Products!$F$2:$F$13,MATCH(D1196,Products!$A$2:$A$13,0)))</f>
        <v>49141.3</v>
      </c>
      <c r="P1196" s="16" t="n">
        <f aca="false">N1196-O1196</f>
        <v>23783.9416892466</v>
      </c>
    </row>
    <row r="1197" customFormat="false" ht="15" hidden="false" customHeight="false" outlineLevel="0" collapsed="false">
      <c r="A1197" s="2" t="s">
        <v>119</v>
      </c>
      <c r="B1197" s="2" t="n">
        <v>8</v>
      </c>
      <c r="C1197" s="2" t="s">
        <v>80</v>
      </c>
      <c r="D1197" s="2" t="s">
        <v>43</v>
      </c>
      <c r="E1197" s="2" t="str">
        <f aca="false">INDEX(Products!$B$2:$B$13,MATCH(D1197,Products!$A$2:$A$13,0))</f>
        <v>Hydroprocessing</v>
      </c>
      <c r="F1197" s="15" t="n">
        <v>7.8</v>
      </c>
      <c r="G1197" s="16" t="n">
        <f aca="false">IF(A1197="2025",INDEX(Products!$C$2:$C$13,MATCH(D1197,Products!$A$2:$A$13,0)),INDEX(Products!$E$2:$E$13,MATCH(D1197,Products!$A$2:$A$13,0)))</f>
        <v>12190.5</v>
      </c>
      <c r="H1197" s="13" t="n">
        <f aca="false">IF(A1197="2025",INDEX(Customers!$D$2:$D$41,MATCH(C1197,Customers!$A$2:$A$41,0)),INDEX(Customers!$F$2:$F$41,MATCH(C1197,Customers!$A$2:$A$41,0)))</f>
        <v>0.026</v>
      </c>
      <c r="I1197" s="16" t="n">
        <f aca="false">F1197*G1197</f>
        <v>95085.9</v>
      </c>
      <c r="J1197" s="16" t="n">
        <f aca="false">I1197*(1-H1197)</f>
        <v>92613.6666</v>
      </c>
      <c r="K1197" s="16" t="n">
        <f aca="false">J1197*INDEX(Customers!$G$2:$G$41,MATCH(C1197,Customers!$A$2:$A$41,0))</f>
        <v>2778.409998</v>
      </c>
      <c r="L1197" s="16" t="n">
        <f aca="false">F1197*INDEX(Customers!$H$2:$H$41,MATCH(C1197,Customers!$A$2:$A$41,0))</f>
        <v>1716</v>
      </c>
      <c r="M1197" s="16" t="n">
        <f aca="false">J1197*INDEX(Customers!$I$2:$I$41,MATCH(C1197,Customers!$A$2:$A$41,0))/365*Assumptions!$B$6</f>
        <v>608.96657490411</v>
      </c>
      <c r="N1197" s="16" t="n">
        <f aca="false">J1197-K1197-L1197-M1197</f>
        <v>87510.2900270959</v>
      </c>
      <c r="O1197" s="16" t="n">
        <f aca="false">F1197*IF(A1197="2025",INDEX(Products!$D$2:$D$13,MATCH(D1197,Products!$A$2:$A$13,0)),INDEX(Products!$F$2:$F$13,MATCH(D1197,Products!$A$2:$A$13,0)))</f>
        <v>58969.56</v>
      </c>
      <c r="P1197" s="16" t="n">
        <f aca="false">N1197-O1197</f>
        <v>28540.7300270959</v>
      </c>
    </row>
    <row r="1198" customFormat="false" ht="15" hidden="false" customHeight="false" outlineLevel="0" collapsed="false">
      <c r="A1198" s="2" t="s">
        <v>119</v>
      </c>
      <c r="B1198" s="2" t="n">
        <v>9</v>
      </c>
      <c r="C1198" s="2" t="s">
        <v>80</v>
      </c>
      <c r="D1198" s="2" t="s">
        <v>43</v>
      </c>
      <c r="E1198" s="2" t="str">
        <f aca="false">INDEX(Products!$B$2:$B$13,MATCH(D1198,Products!$A$2:$A$13,0))</f>
        <v>Hydroprocessing</v>
      </c>
      <c r="F1198" s="15" t="n">
        <v>5</v>
      </c>
      <c r="G1198" s="16" t="n">
        <f aca="false">IF(A1198="2025",INDEX(Products!$C$2:$C$13,MATCH(D1198,Products!$A$2:$A$13,0)),INDEX(Products!$E$2:$E$13,MATCH(D1198,Products!$A$2:$A$13,0)))</f>
        <v>12190.5</v>
      </c>
      <c r="H1198" s="13" t="n">
        <f aca="false">IF(A1198="2025",INDEX(Customers!$D$2:$D$41,MATCH(C1198,Customers!$A$2:$A$41,0)),INDEX(Customers!$F$2:$F$41,MATCH(C1198,Customers!$A$2:$A$41,0)))</f>
        <v>0.026</v>
      </c>
      <c r="I1198" s="16" t="n">
        <f aca="false">F1198*G1198</f>
        <v>60952.5</v>
      </c>
      <c r="J1198" s="16" t="n">
        <f aca="false">I1198*(1-H1198)</f>
        <v>59367.735</v>
      </c>
      <c r="K1198" s="16" t="n">
        <f aca="false">J1198*INDEX(Customers!$G$2:$G$41,MATCH(C1198,Customers!$A$2:$A$41,0))</f>
        <v>1781.03205</v>
      </c>
      <c r="L1198" s="16" t="n">
        <f aca="false">F1198*INDEX(Customers!$H$2:$H$41,MATCH(C1198,Customers!$A$2:$A$41,0))</f>
        <v>1100</v>
      </c>
      <c r="M1198" s="16" t="n">
        <f aca="false">J1198*INDEX(Customers!$I$2:$I$41,MATCH(C1198,Customers!$A$2:$A$41,0))/365*Assumptions!$B$6</f>
        <v>390.363189041096</v>
      </c>
      <c r="N1198" s="16" t="n">
        <f aca="false">J1198-K1198-L1198-M1198</f>
        <v>56096.3397609589</v>
      </c>
      <c r="O1198" s="16" t="n">
        <f aca="false">F1198*IF(A1198="2025",INDEX(Products!$D$2:$D$13,MATCH(D1198,Products!$A$2:$A$13,0)),INDEX(Products!$F$2:$F$13,MATCH(D1198,Products!$A$2:$A$13,0)))</f>
        <v>37801</v>
      </c>
      <c r="P1198" s="16" t="n">
        <f aca="false">N1198-O1198</f>
        <v>18295.3397609589</v>
      </c>
    </row>
    <row r="1199" customFormat="false" ht="15" hidden="false" customHeight="false" outlineLevel="0" collapsed="false">
      <c r="A1199" s="2" t="s">
        <v>119</v>
      </c>
      <c r="B1199" s="2" t="n">
        <v>10</v>
      </c>
      <c r="C1199" s="2" t="s">
        <v>80</v>
      </c>
      <c r="D1199" s="2" t="s">
        <v>43</v>
      </c>
      <c r="E1199" s="2" t="str">
        <f aca="false">INDEX(Products!$B$2:$B$13,MATCH(D1199,Products!$A$2:$A$13,0))</f>
        <v>Hydroprocessing</v>
      </c>
      <c r="F1199" s="15" t="n">
        <v>5.5</v>
      </c>
      <c r="G1199" s="16" t="n">
        <f aca="false">IF(A1199="2025",INDEX(Products!$C$2:$C$13,MATCH(D1199,Products!$A$2:$A$13,0)),INDEX(Products!$E$2:$E$13,MATCH(D1199,Products!$A$2:$A$13,0)))</f>
        <v>12190.5</v>
      </c>
      <c r="H1199" s="13" t="n">
        <f aca="false">IF(A1199="2025",INDEX(Customers!$D$2:$D$41,MATCH(C1199,Customers!$A$2:$A$41,0)),INDEX(Customers!$F$2:$F$41,MATCH(C1199,Customers!$A$2:$A$41,0)))</f>
        <v>0.026</v>
      </c>
      <c r="I1199" s="16" t="n">
        <f aca="false">F1199*G1199</f>
        <v>67047.75</v>
      </c>
      <c r="J1199" s="16" t="n">
        <f aca="false">I1199*(1-H1199)</f>
        <v>65304.5085</v>
      </c>
      <c r="K1199" s="16" t="n">
        <f aca="false">J1199*INDEX(Customers!$G$2:$G$41,MATCH(C1199,Customers!$A$2:$A$41,0))</f>
        <v>1959.135255</v>
      </c>
      <c r="L1199" s="16" t="n">
        <f aca="false">F1199*INDEX(Customers!$H$2:$H$41,MATCH(C1199,Customers!$A$2:$A$41,0))</f>
        <v>1210</v>
      </c>
      <c r="M1199" s="16" t="n">
        <f aca="false">J1199*INDEX(Customers!$I$2:$I$41,MATCH(C1199,Customers!$A$2:$A$41,0))/365*Assumptions!$B$6</f>
        <v>429.399507945205</v>
      </c>
      <c r="N1199" s="16" t="n">
        <f aca="false">J1199-K1199-L1199-M1199</f>
        <v>61705.9737370548</v>
      </c>
      <c r="O1199" s="16" t="n">
        <f aca="false">F1199*IF(A1199="2025",INDEX(Products!$D$2:$D$13,MATCH(D1199,Products!$A$2:$A$13,0)),INDEX(Products!$F$2:$F$13,MATCH(D1199,Products!$A$2:$A$13,0)))</f>
        <v>41581.1</v>
      </c>
      <c r="P1199" s="16" t="n">
        <f aca="false">N1199-O1199</f>
        <v>20124.8737370548</v>
      </c>
    </row>
    <row r="1200" customFormat="false" ht="15" hidden="false" customHeight="false" outlineLevel="0" collapsed="false">
      <c r="A1200" s="2" t="s">
        <v>119</v>
      </c>
      <c r="B1200" s="2" t="n">
        <v>11</v>
      </c>
      <c r="C1200" s="2" t="s">
        <v>80</v>
      </c>
      <c r="D1200" s="2" t="s">
        <v>43</v>
      </c>
      <c r="E1200" s="2" t="str">
        <f aca="false">INDEX(Products!$B$2:$B$13,MATCH(D1200,Products!$A$2:$A$13,0))</f>
        <v>Hydroprocessing</v>
      </c>
      <c r="F1200" s="15" t="n">
        <v>8.5</v>
      </c>
      <c r="G1200" s="16" t="n">
        <f aca="false">IF(A1200="2025",INDEX(Products!$C$2:$C$13,MATCH(D1200,Products!$A$2:$A$13,0)),INDEX(Products!$E$2:$E$13,MATCH(D1200,Products!$A$2:$A$13,0)))</f>
        <v>12190.5</v>
      </c>
      <c r="H1200" s="13" t="n">
        <f aca="false">IF(A1200="2025",INDEX(Customers!$D$2:$D$41,MATCH(C1200,Customers!$A$2:$A$41,0)),INDEX(Customers!$F$2:$F$41,MATCH(C1200,Customers!$A$2:$A$41,0)))</f>
        <v>0.026</v>
      </c>
      <c r="I1200" s="16" t="n">
        <f aca="false">F1200*G1200</f>
        <v>103619.25</v>
      </c>
      <c r="J1200" s="16" t="n">
        <f aca="false">I1200*(1-H1200)</f>
        <v>100925.1495</v>
      </c>
      <c r="K1200" s="16" t="n">
        <f aca="false">J1200*INDEX(Customers!$G$2:$G$41,MATCH(C1200,Customers!$A$2:$A$41,0))</f>
        <v>3027.754485</v>
      </c>
      <c r="L1200" s="16" t="n">
        <f aca="false">F1200*INDEX(Customers!$H$2:$H$41,MATCH(C1200,Customers!$A$2:$A$41,0))</f>
        <v>1870</v>
      </c>
      <c r="M1200" s="16" t="n">
        <f aca="false">J1200*INDEX(Customers!$I$2:$I$41,MATCH(C1200,Customers!$A$2:$A$41,0))/365*Assumptions!$B$6</f>
        <v>663.617421369863</v>
      </c>
      <c r="N1200" s="16" t="n">
        <f aca="false">J1200-K1200-L1200-M1200</f>
        <v>95363.7775936301</v>
      </c>
      <c r="O1200" s="16" t="n">
        <f aca="false">F1200*IF(A1200="2025",INDEX(Products!$D$2:$D$13,MATCH(D1200,Products!$A$2:$A$13,0)),INDEX(Products!$F$2:$F$13,MATCH(D1200,Products!$A$2:$A$13,0)))</f>
        <v>64261.7</v>
      </c>
      <c r="P1200" s="16" t="n">
        <f aca="false">N1200-O1200</f>
        <v>31102.0775936301</v>
      </c>
    </row>
    <row r="1201" customFormat="false" ht="15" hidden="false" customHeight="false" outlineLevel="0" collapsed="false">
      <c r="A1201" s="2" t="s">
        <v>119</v>
      </c>
      <c r="B1201" s="2" t="n">
        <v>12</v>
      </c>
      <c r="C1201" s="2" t="s">
        <v>80</v>
      </c>
      <c r="D1201" s="2" t="s">
        <v>43</v>
      </c>
      <c r="E1201" s="2" t="str">
        <f aca="false">INDEX(Products!$B$2:$B$13,MATCH(D1201,Products!$A$2:$A$13,0))</f>
        <v>Hydroprocessing</v>
      </c>
      <c r="F1201" s="15" t="n">
        <v>5.2</v>
      </c>
      <c r="G1201" s="16" t="n">
        <f aca="false">IF(A1201="2025",INDEX(Products!$C$2:$C$13,MATCH(D1201,Products!$A$2:$A$13,0)),INDEX(Products!$E$2:$E$13,MATCH(D1201,Products!$A$2:$A$13,0)))</f>
        <v>12190.5</v>
      </c>
      <c r="H1201" s="13" t="n">
        <f aca="false">IF(A1201="2025",INDEX(Customers!$D$2:$D$41,MATCH(C1201,Customers!$A$2:$A$41,0)),INDEX(Customers!$F$2:$F$41,MATCH(C1201,Customers!$A$2:$A$41,0)))</f>
        <v>0.026</v>
      </c>
      <c r="I1201" s="16" t="n">
        <f aca="false">F1201*G1201</f>
        <v>63390.6</v>
      </c>
      <c r="J1201" s="16" t="n">
        <f aca="false">I1201*(1-H1201)</f>
        <v>61742.4444</v>
      </c>
      <c r="K1201" s="16" t="n">
        <f aca="false">J1201*INDEX(Customers!$G$2:$G$41,MATCH(C1201,Customers!$A$2:$A$41,0))</f>
        <v>1852.273332</v>
      </c>
      <c r="L1201" s="16" t="n">
        <f aca="false">F1201*INDEX(Customers!$H$2:$H$41,MATCH(C1201,Customers!$A$2:$A$41,0))</f>
        <v>1144</v>
      </c>
      <c r="M1201" s="16" t="n">
        <f aca="false">J1201*INDEX(Customers!$I$2:$I$41,MATCH(C1201,Customers!$A$2:$A$41,0))/365*Assumptions!$B$6</f>
        <v>405.97771660274</v>
      </c>
      <c r="N1201" s="16" t="n">
        <f aca="false">J1201-K1201-L1201-M1201</f>
        <v>58340.1933513973</v>
      </c>
      <c r="O1201" s="16" t="n">
        <f aca="false">F1201*IF(A1201="2025",INDEX(Products!$D$2:$D$13,MATCH(D1201,Products!$A$2:$A$13,0)),INDEX(Products!$F$2:$F$13,MATCH(D1201,Products!$A$2:$A$13,0)))</f>
        <v>39313.04</v>
      </c>
      <c r="P1201" s="16" t="n">
        <f aca="false">N1201-O1201</f>
        <v>19027.1533513973</v>
      </c>
    </row>
    <row r="1202" customFormat="false" ht="15" hidden="false" customHeight="false" outlineLevel="0" collapsed="false">
      <c r="A1202" s="2" t="s">
        <v>118</v>
      </c>
      <c r="B1202" s="2" t="n">
        <v>1</v>
      </c>
      <c r="C1202" s="2" t="s">
        <v>81</v>
      </c>
      <c r="D1202" s="2" t="s">
        <v>41</v>
      </c>
      <c r="E1202" s="2" t="str">
        <f aca="false">INDEX(Products!$B$2:$B$13,MATCH(D1202,Products!$A$2:$A$13,0))</f>
        <v>Hydroprocessing</v>
      </c>
      <c r="F1202" s="15" t="n">
        <v>9.8</v>
      </c>
      <c r="G1202" s="16" t="n">
        <f aca="false">IF(A1202="2025",INDEX(Products!$C$2:$C$13,MATCH(D1202,Products!$A$2:$A$13,0)),INDEX(Products!$E$2:$E$13,MATCH(D1202,Products!$A$2:$A$13,0)))</f>
        <v>14770</v>
      </c>
      <c r="H1202" s="13" t="n">
        <f aca="false">IF(A1202="2025",INDEX(Customers!$D$2:$D$41,MATCH(C1202,Customers!$A$2:$A$41,0)),INDEX(Customers!$F$2:$F$41,MATCH(C1202,Customers!$A$2:$A$41,0)))</f>
        <v>0.097</v>
      </c>
      <c r="I1202" s="16" t="n">
        <f aca="false">F1202*G1202</f>
        <v>144746</v>
      </c>
      <c r="J1202" s="16" t="n">
        <f aca="false">I1202*(1-H1202)</f>
        <v>130705.638</v>
      </c>
      <c r="K1202" s="16" t="n">
        <f aca="false">J1202*INDEX(Customers!$G$2:$G$41,MATCH(C1202,Customers!$A$2:$A$41,0))</f>
        <v>1307.05638</v>
      </c>
      <c r="L1202" s="16" t="n">
        <f aca="false">F1202*INDEX(Customers!$H$2:$H$41,MATCH(C1202,Customers!$A$2:$A$41,0))</f>
        <v>882</v>
      </c>
      <c r="M1202" s="16" t="n">
        <f aca="false">J1202*INDEX(Customers!$I$2:$I$41,MATCH(C1202,Customers!$A$2:$A$41,0))/365*Assumptions!$B$6</f>
        <v>2578.30299616438</v>
      </c>
      <c r="N1202" s="16" t="n">
        <f aca="false">J1202-K1202-L1202-M1202</f>
        <v>125938.278623836</v>
      </c>
      <c r="O1202" s="16" t="n">
        <f aca="false">F1202*IF(A1202="2025",INDEX(Products!$D$2:$D$13,MATCH(D1202,Products!$A$2:$A$13,0)),INDEX(Products!$F$2:$F$13,MATCH(D1202,Products!$A$2:$A$13,0)))</f>
        <v>92904</v>
      </c>
      <c r="P1202" s="16" t="n">
        <f aca="false">N1202-O1202</f>
        <v>33034.2786238356</v>
      </c>
    </row>
    <row r="1203" customFormat="false" ht="15" hidden="false" customHeight="false" outlineLevel="0" collapsed="false">
      <c r="A1203" s="2" t="s">
        <v>118</v>
      </c>
      <c r="B1203" s="2" t="n">
        <v>2</v>
      </c>
      <c r="C1203" s="2" t="s">
        <v>81</v>
      </c>
      <c r="D1203" s="2" t="s">
        <v>41</v>
      </c>
      <c r="E1203" s="2" t="str">
        <f aca="false">INDEX(Products!$B$2:$B$13,MATCH(D1203,Products!$A$2:$A$13,0))</f>
        <v>Hydroprocessing</v>
      </c>
      <c r="F1203" s="15" t="n">
        <v>5.9</v>
      </c>
      <c r="G1203" s="16" t="n">
        <f aca="false">IF(A1203="2025",INDEX(Products!$C$2:$C$13,MATCH(D1203,Products!$A$2:$A$13,0)),INDEX(Products!$E$2:$E$13,MATCH(D1203,Products!$A$2:$A$13,0)))</f>
        <v>14770</v>
      </c>
      <c r="H1203" s="13" t="n">
        <f aca="false">IF(A1203="2025",INDEX(Customers!$D$2:$D$41,MATCH(C1203,Customers!$A$2:$A$41,0)),INDEX(Customers!$F$2:$F$41,MATCH(C1203,Customers!$A$2:$A$41,0)))</f>
        <v>0.097</v>
      </c>
      <c r="I1203" s="16" t="n">
        <f aca="false">F1203*G1203</f>
        <v>87143</v>
      </c>
      <c r="J1203" s="16" t="n">
        <f aca="false">I1203*(1-H1203)</f>
        <v>78690.129</v>
      </c>
      <c r="K1203" s="16" t="n">
        <f aca="false">J1203*INDEX(Customers!$G$2:$G$41,MATCH(C1203,Customers!$A$2:$A$41,0))</f>
        <v>786.90129</v>
      </c>
      <c r="L1203" s="16" t="n">
        <f aca="false">F1203*INDEX(Customers!$H$2:$H$41,MATCH(C1203,Customers!$A$2:$A$41,0))</f>
        <v>531</v>
      </c>
      <c r="M1203" s="16" t="n">
        <f aca="false">J1203*INDEX(Customers!$I$2:$I$41,MATCH(C1203,Customers!$A$2:$A$41,0))/365*Assumptions!$B$6</f>
        <v>1552.24364054795</v>
      </c>
      <c r="N1203" s="16" t="n">
        <f aca="false">J1203-K1203-L1203-M1203</f>
        <v>75819.9840694521</v>
      </c>
      <c r="O1203" s="16" t="n">
        <f aca="false">F1203*IF(A1203="2025",INDEX(Products!$D$2:$D$13,MATCH(D1203,Products!$A$2:$A$13,0)),INDEX(Products!$F$2:$F$13,MATCH(D1203,Products!$A$2:$A$13,0)))</f>
        <v>55932</v>
      </c>
      <c r="P1203" s="16" t="n">
        <f aca="false">N1203-O1203</f>
        <v>19887.9840694521</v>
      </c>
    </row>
    <row r="1204" customFormat="false" ht="15" hidden="false" customHeight="false" outlineLevel="0" collapsed="false">
      <c r="A1204" s="2" t="s">
        <v>118</v>
      </c>
      <c r="B1204" s="2" t="n">
        <v>3</v>
      </c>
      <c r="C1204" s="2" t="s">
        <v>81</v>
      </c>
      <c r="D1204" s="2" t="s">
        <v>41</v>
      </c>
      <c r="E1204" s="2" t="str">
        <f aca="false">INDEX(Products!$B$2:$B$13,MATCH(D1204,Products!$A$2:$A$13,0))</f>
        <v>Hydroprocessing</v>
      </c>
      <c r="F1204" s="15" t="n">
        <v>9.1</v>
      </c>
      <c r="G1204" s="16" t="n">
        <f aca="false">IF(A1204="2025",INDEX(Products!$C$2:$C$13,MATCH(D1204,Products!$A$2:$A$13,0)),INDEX(Products!$E$2:$E$13,MATCH(D1204,Products!$A$2:$A$13,0)))</f>
        <v>14770</v>
      </c>
      <c r="H1204" s="13" t="n">
        <f aca="false">IF(A1204="2025",INDEX(Customers!$D$2:$D$41,MATCH(C1204,Customers!$A$2:$A$41,0)),INDEX(Customers!$F$2:$F$41,MATCH(C1204,Customers!$A$2:$A$41,0)))</f>
        <v>0.097</v>
      </c>
      <c r="I1204" s="16" t="n">
        <f aca="false">F1204*G1204</f>
        <v>134407</v>
      </c>
      <c r="J1204" s="16" t="n">
        <f aca="false">I1204*(1-H1204)</f>
        <v>121369.521</v>
      </c>
      <c r="K1204" s="16" t="n">
        <f aca="false">J1204*INDEX(Customers!$G$2:$G$41,MATCH(C1204,Customers!$A$2:$A$41,0))</f>
        <v>1213.69521</v>
      </c>
      <c r="L1204" s="16" t="n">
        <f aca="false">F1204*INDEX(Customers!$H$2:$H$41,MATCH(C1204,Customers!$A$2:$A$41,0))</f>
        <v>819</v>
      </c>
      <c r="M1204" s="16" t="n">
        <f aca="false">J1204*INDEX(Customers!$I$2:$I$41,MATCH(C1204,Customers!$A$2:$A$41,0))/365*Assumptions!$B$6</f>
        <v>2394.13849643836</v>
      </c>
      <c r="N1204" s="16" t="n">
        <f aca="false">J1204-K1204-L1204-M1204</f>
        <v>116942.687293562</v>
      </c>
      <c r="O1204" s="16" t="n">
        <f aca="false">F1204*IF(A1204="2025",INDEX(Products!$D$2:$D$13,MATCH(D1204,Products!$A$2:$A$13,0)),INDEX(Products!$F$2:$F$13,MATCH(D1204,Products!$A$2:$A$13,0)))</f>
        <v>86268</v>
      </c>
      <c r="P1204" s="16" t="n">
        <f aca="false">N1204-O1204</f>
        <v>30674.6872935616</v>
      </c>
    </row>
    <row r="1205" customFormat="false" ht="15" hidden="false" customHeight="false" outlineLevel="0" collapsed="false">
      <c r="A1205" s="2" t="s">
        <v>118</v>
      </c>
      <c r="B1205" s="2" t="n">
        <v>4</v>
      </c>
      <c r="C1205" s="2" t="s">
        <v>81</v>
      </c>
      <c r="D1205" s="2" t="s">
        <v>41</v>
      </c>
      <c r="E1205" s="2" t="str">
        <f aca="false">INDEX(Products!$B$2:$B$13,MATCH(D1205,Products!$A$2:$A$13,0))</f>
        <v>Hydroprocessing</v>
      </c>
      <c r="F1205" s="15" t="n">
        <v>10.1</v>
      </c>
      <c r="G1205" s="16" t="n">
        <f aca="false">IF(A1205="2025",INDEX(Products!$C$2:$C$13,MATCH(D1205,Products!$A$2:$A$13,0)),INDEX(Products!$E$2:$E$13,MATCH(D1205,Products!$A$2:$A$13,0)))</f>
        <v>14770</v>
      </c>
      <c r="H1205" s="13" t="n">
        <f aca="false">IF(A1205="2025",INDEX(Customers!$D$2:$D$41,MATCH(C1205,Customers!$A$2:$A$41,0)),INDEX(Customers!$F$2:$F$41,MATCH(C1205,Customers!$A$2:$A$41,0)))</f>
        <v>0.097</v>
      </c>
      <c r="I1205" s="16" t="n">
        <f aca="false">F1205*G1205</f>
        <v>149177</v>
      </c>
      <c r="J1205" s="16" t="n">
        <f aca="false">I1205*(1-H1205)</f>
        <v>134706.831</v>
      </c>
      <c r="K1205" s="16" t="n">
        <f aca="false">J1205*INDEX(Customers!$G$2:$G$41,MATCH(C1205,Customers!$A$2:$A$41,0))</f>
        <v>1347.06831</v>
      </c>
      <c r="L1205" s="16" t="n">
        <f aca="false">F1205*INDEX(Customers!$H$2:$H$41,MATCH(C1205,Customers!$A$2:$A$41,0))</f>
        <v>909</v>
      </c>
      <c r="M1205" s="16" t="n">
        <f aca="false">J1205*INDEX(Customers!$I$2:$I$41,MATCH(C1205,Customers!$A$2:$A$41,0))/365*Assumptions!$B$6</f>
        <v>2657.23063890411</v>
      </c>
      <c r="N1205" s="16" t="n">
        <f aca="false">J1205-K1205-L1205-M1205</f>
        <v>129793.532051096</v>
      </c>
      <c r="O1205" s="16" t="n">
        <f aca="false">F1205*IF(A1205="2025",INDEX(Products!$D$2:$D$13,MATCH(D1205,Products!$A$2:$A$13,0)),INDEX(Products!$F$2:$F$13,MATCH(D1205,Products!$A$2:$A$13,0)))</f>
        <v>95748</v>
      </c>
      <c r="P1205" s="16" t="n">
        <f aca="false">N1205-O1205</f>
        <v>34045.5320510959</v>
      </c>
    </row>
    <row r="1206" customFormat="false" ht="15" hidden="false" customHeight="false" outlineLevel="0" collapsed="false">
      <c r="A1206" s="2" t="s">
        <v>118</v>
      </c>
      <c r="B1206" s="2" t="n">
        <v>5</v>
      </c>
      <c r="C1206" s="2" t="s">
        <v>81</v>
      </c>
      <c r="D1206" s="2" t="s">
        <v>41</v>
      </c>
      <c r="E1206" s="2" t="str">
        <f aca="false">INDEX(Products!$B$2:$B$13,MATCH(D1206,Products!$A$2:$A$13,0))</f>
        <v>Hydroprocessing</v>
      </c>
      <c r="F1206" s="15" t="n">
        <v>8.9</v>
      </c>
      <c r="G1206" s="16" t="n">
        <f aca="false">IF(A1206="2025",INDEX(Products!$C$2:$C$13,MATCH(D1206,Products!$A$2:$A$13,0)),INDEX(Products!$E$2:$E$13,MATCH(D1206,Products!$A$2:$A$13,0)))</f>
        <v>14770</v>
      </c>
      <c r="H1206" s="13" t="n">
        <f aca="false">IF(A1206="2025",INDEX(Customers!$D$2:$D$41,MATCH(C1206,Customers!$A$2:$A$41,0)),INDEX(Customers!$F$2:$F$41,MATCH(C1206,Customers!$A$2:$A$41,0)))</f>
        <v>0.097</v>
      </c>
      <c r="I1206" s="16" t="n">
        <f aca="false">F1206*G1206</f>
        <v>131453</v>
      </c>
      <c r="J1206" s="16" t="n">
        <f aca="false">I1206*(1-H1206)</f>
        <v>118702.059</v>
      </c>
      <c r="K1206" s="16" t="n">
        <f aca="false">J1206*INDEX(Customers!$G$2:$G$41,MATCH(C1206,Customers!$A$2:$A$41,0))</f>
        <v>1187.02059</v>
      </c>
      <c r="L1206" s="16" t="n">
        <f aca="false">F1206*INDEX(Customers!$H$2:$H$41,MATCH(C1206,Customers!$A$2:$A$41,0))</f>
        <v>801</v>
      </c>
      <c r="M1206" s="16" t="n">
        <f aca="false">J1206*INDEX(Customers!$I$2:$I$41,MATCH(C1206,Customers!$A$2:$A$41,0))/365*Assumptions!$B$6</f>
        <v>2341.52006794521</v>
      </c>
      <c r="N1206" s="16" t="n">
        <f aca="false">J1206-K1206-L1206-M1206</f>
        <v>114372.518342055</v>
      </c>
      <c r="O1206" s="16" t="n">
        <f aca="false">F1206*IF(A1206="2025",INDEX(Products!$D$2:$D$13,MATCH(D1206,Products!$A$2:$A$13,0)),INDEX(Products!$F$2:$F$13,MATCH(D1206,Products!$A$2:$A$13,0)))</f>
        <v>84372</v>
      </c>
      <c r="P1206" s="16" t="n">
        <f aca="false">N1206-O1206</f>
        <v>30000.5183420548</v>
      </c>
    </row>
    <row r="1207" customFormat="false" ht="15" hidden="false" customHeight="false" outlineLevel="0" collapsed="false">
      <c r="A1207" s="2" t="s">
        <v>118</v>
      </c>
      <c r="B1207" s="2" t="n">
        <v>6</v>
      </c>
      <c r="C1207" s="2" t="s">
        <v>81</v>
      </c>
      <c r="D1207" s="2" t="s">
        <v>41</v>
      </c>
      <c r="E1207" s="2" t="str">
        <f aca="false">INDEX(Products!$B$2:$B$13,MATCH(D1207,Products!$A$2:$A$13,0))</f>
        <v>Hydroprocessing</v>
      </c>
      <c r="F1207" s="15" t="n">
        <v>7.3</v>
      </c>
      <c r="G1207" s="16" t="n">
        <f aca="false">IF(A1207="2025",INDEX(Products!$C$2:$C$13,MATCH(D1207,Products!$A$2:$A$13,0)),INDEX(Products!$E$2:$E$13,MATCH(D1207,Products!$A$2:$A$13,0)))</f>
        <v>14770</v>
      </c>
      <c r="H1207" s="13" t="n">
        <f aca="false">IF(A1207="2025",INDEX(Customers!$D$2:$D$41,MATCH(C1207,Customers!$A$2:$A$41,0)),INDEX(Customers!$F$2:$F$41,MATCH(C1207,Customers!$A$2:$A$41,0)))</f>
        <v>0.097</v>
      </c>
      <c r="I1207" s="16" t="n">
        <f aca="false">F1207*G1207</f>
        <v>107821</v>
      </c>
      <c r="J1207" s="16" t="n">
        <f aca="false">I1207*(1-H1207)</f>
        <v>97362.363</v>
      </c>
      <c r="K1207" s="16" t="n">
        <f aca="false">J1207*INDEX(Customers!$G$2:$G$41,MATCH(C1207,Customers!$A$2:$A$41,0))</f>
        <v>973.62363</v>
      </c>
      <c r="L1207" s="16" t="n">
        <f aca="false">F1207*INDEX(Customers!$H$2:$H$41,MATCH(C1207,Customers!$A$2:$A$41,0))</f>
        <v>657</v>
      </c>
      <c r="M1207" s="16" t="n">
        <f aca="false">J1207*INDEX(Customers!$I$2:$I$41,MATCH(C1207,Customers!$A$2:$A$41,0))/365*Assumptions!$B$6</f>
        <v>1920.57264</v>
      </c>
      <c r="N1207" s="16" t="n">
        <f aca="false">J1207-K1207-L1207-M1207</f>
        <v>93811.16673</v>
      </c>
      <c r="O1207" s="16" t="n">
        <f aca="false">F1207*IF(A1207="2025",INDEX(Products!$D$2:$D$13,MATCH(D1207,Products!$A$2:$A$13,0)),INDEX(Products!$F$2:$F$13,MATCH(D1207,Products!$A$2:$A$13,0)))</f>
        <v>69204</v>
      </c>
      <c r="P1207" s="16" t="n">
        <f aca="false">N1207-O1207</f>
        <v>24607.16673</v>
      </c>
    </row>
    <row r="1208" customFormat="false" ht="15" hidden="false" customHeight="false" outlineLevel="0" collapsed="false">
      <c r="A1208" s="2" t="s">
        <v>118</v>
      </c>
      <c r="B1208" s="2" t="n">
        <v>7</v>
      </c>
      <c r="C1208" s="2" t="s">
        <v>81</v>
      </c>
      <c r="D1208" s="2" t="s">
        <v>41</v>
      </c>
      <c r="E1208" s="2" t="str">
        <f aca="false">INDEX(Products!$B$2:$B$13,MATCH(D1208,Products!$A$2:$A$13,0))</f>
        <v>Hydroprocessing</v>
      </c>
      <c r="F1208" s="15" t="n">
        <v>10.2</v>
      </c>
      <c r="G1208" s="16" t="n">
        <f aca="false">IF(A1208="2025",INDEX(Products!$C$2:$C$13,MATCH(D1208,Products!$A$2:$A$13,0)),INDEX(Products!$E$2:$E$13,MATCH(D1208,Products!$A$2:$A$13,0)))</f>
        <v>14770</v>
      </c>
      <c r="H1208" s="13" t="n">
        <f aca="false">IF(A1208="2025",INDEX(Customers!$D$2:$D$41,MATCH(C1208,Customers!$A$2:$A$41,0)),INDEX(Customers!$F$2:$F$41,MATCH(C1208,Customers!$A$2:$A$41,0)))</f>
        <v>0.097</v>
      </c>
      <c r="I1208" s="16" t="n">
        <f aca="false">F1208*G1208</f>
        <v>150654</v>
      </c>
      <c r="J1208" s="16" t="n">
        <f aca="false">I1208*(1-H1208)</f>
        <v>136040.562</v>
      </c>
      <c r="K1208" s="16" t="n">
        <f aca="false">J1208*INDEX(Customers!$G$2:$G$41,MATCH(C1208,Customers!$A$2:$A$41,0))</f>
        <v>1360.40562</v>
      </c>
      <c r="L1208" s="16" t="n">
        <f aca="false">F1208*INDEX(Customers!$H$2:$H$41,MATCH(C1208,Customers!$A$2:$A$41,0))</f>
        <v>918</v>
      </c>
      <c r="M1208" s="16" t="n">
        <f aca="false">J1208*INDEX(Customers!$I$2:$I$41,MATCH(C1208,Customers!$A$2:$A$41,0))/365*Assumptions!$B$6</f>
        <v>2683.53985315069</v>
      </c>
      <c r="N1208" s="16" t="n">
        <f aca="false">J1208-K1208-L1208-M1208</f>
        <v>131078.616526849</v>
      </c>
      <c r="O1208" s="16" t="n">
        <f aca="false">F1208*IF(A1208="2025",INDEX(Products!$D$2:$D$13,MATCH(D1208,Products!$A$2:$A$13,0)),INDEX(Products!$F$2:$F$13,MATCH(D1208,Products!$A$2:$A$13,0)))</f>
        <v>96696</v>
      </c>
      <c r="P1208" s="16" t="n">
        <f aca="false">N1208-O1208</f>
        <v>34382.6165268493</v>
      </c>
    </row>
    <row r="1209" customFormat="false" ht="15" hidden="false" customHeight="false" outlineLevel="0" collapsed="false">
      <c r="A1209" s="2" t="s">
        <v>118</v>
      </c>
      <c r="B1209" s="2" t="n">
        <v>8</v>
      </c>
      <c r="C1209" s="2" t="s">
        <v>81</v>
      </c>
      <c r="D1209" s="2" t="s">
        <v>41</v>
      </c>
      <c r="E1209" s="2" t="str">
        <f aca="false">INDEX(Products!$B$2:$B$13,MATCH(D1209,Products!$A$2:$A$13,0))</f>
        <v>Hydroprocessing</v>
      </c>
      <c r="F1209" s="15" t="n">
        <v>9.4</v>
      </c>
      <c r="G1209" s="16" t="n">
        <f aca="false">IF(A1209="2025",INDEX(Products!$C$2:$C$13,MATCH(D1209,Products!$A$2:$A$13,0)),INDEX(Products!$E$2:$E$13,MATCH(D1209,Products!$A$2:$A$13,0)))</f>
        <v>14770</v>
      </c>
      <c r="H1209" s="13" t="n">
        <f aca="false">IF(A1209="2025",INDEX(Customers!$D$2:$D$41,MATCH(C1209,Customers!$A$2:$A$41,0)),INDEX(Customers!$F$2:$F$41,MATCH(C1209,Customers!$A$2:$A$41,0)))</f>
        <v>0.097</v>
      </c>
      <c r="I1209" s="16" t="n">
        <f aca="false">F1209*G1209</f>
        <v>138838</v>
      </c>
      <c r="J1209" s="16" t="n">
        <f aca="false">I1209*(1-H1209)</f>
        <v>125370.714</v>
      </c>
      <c r="K1209" s="16" t="n">
        <f aca="false">J1209*INDEX(Customers!$G$2:$G$41,MATCH(C1209,Customers!$A$2:$A$41,0))</f>
        <v>1253.70714</v>
      </c>
      <c r="L1209" s="16" t="n">
        <f aca="false">F1209*INDEX(Customers!$H$2:$H$41,MATCH(C1209,Customers!$A$2:$A$41,0))</f>
        <v>846</v>
      </c>
      <c r="M1209" s="16" t="n">
        <f aca="false">J1209*INDEX(Customers!$I$2:$I$41,MATCH(C1209,Customers!$A$2:$A$41,0))/365*Assumptions!$B$6</f>
        <v>2473.06613917808</v>
      </c>
      <c r="N1209" s="16" t="n">
        <f aca="false">J1209-K1209-L1209-M1209</f>
        <v>120797.940720822</v>
      </c>
      <c r="O1209" s="16" t="n">
        <f aca="false">F1209*IF(A1209="2025",INDEX(Products!$D$2:$D$13,MATCH(D1209,Products!$A$2:$A$13,0)),INDEX(Products!$F$2:$F$13,MATCH(D1209,Products!$A$2:$A$13,0)))</f>
        <v>89112</v>
      </c>
      <c r="P1209" s="16" t="n">
        <f aca="false">N1209-O1209</f>
        <v>31685.9407208219</v>
      </c>
    </row>
    <row r="1210" customFormat="false" ht="15" hidden="false" customHeight="false" outlineLevel="0" collapsed="false">
      <c r="A1210" s="2" t="s">
        <v>118</v>
      </c>
      <c r="B1210" s="2" t="n">
        <v>9</v>
      </c>
      <c r="C1210" s="2" t="s">
        <v>81</v>
      </c>
      <c r="D1210" s="2" t="s">
        <v>41</v>
      </c>
      <c r="E1210" s="2" t="str">
        <f aca="false">INDEX(Products!$B$2:$B$13,MATCH(D1210,Products!$A$2:$A$13,0))</f>
        <v>Hydroprocessing</v>
      </c>
      <c r="F1210" s="15" t="n">
        <v>8.8</v>
      </c>
      <c r="G1210" s="16" t="n">
        <f aca="false">IF(A1210="2025",INDEX(Products!$C$2:$C$13,MATCH(D1210,Products!$A$2:$A$13,0)),INDEX(Products!$E$2:$E$13,MATCH(D1210,Products!$A$2:$A$13,0)))</f>
        <v>14770</v>
      </c>
      <c r="H1210" s="13" t="n">
        <f aca="false">IF(A1210="2025",INDEX(Customers!$D$2:$D$41,MATCH(C1210,Customers!$A$2:$A$41,0)),INDEX(Customers!$F$2:$F$41,MATCH(C1210,Customers!$A$2:$A$41,0)))</f>
        <v>0.097</v>
      </c>
      <c r="I1210" s="16" t="n">
        <f aca="false">F1210*G1210</f>
        <v>129976</v>
      </c>
      <c r="J1210" s="16" t="n">
        <f aca="false">I1210*(1-H1210)</f>
        <v>117368.328</v>
      </c>
      <c r="K1210" s="16" t="n">
        <f aca="false">J1210*INDEX(Customers!$G$2:$G$41,MATCH(C1210,Customers!$A$2:$A$41,0))</f>
        <v>1173.68328</v>
      </c>
      <c r="L1210" s="16" t="n">
        <f aca="false">F1210*INDEX(Customers!$H$2:$H$41,MATCH(C1210,Customers!$A$2:$A$41,0))</f>
        <v>792</v>
      </c>
      <c r="M1210" s="16" t="n">
        <f aca="false">J1210*INDEX(Customers!$I$2:$I$41,MATCH(C1210,Customers!$A$2:$A$41,0))/365*Assumptions!$B$6</f>
        <v>2315.21085369863</v>
      </c>
      <c r="N1210" s="16" t="n">
        <f aca="false">J1210-K1210-L1210-M1210</f>
        <v>113087.433866301</v>
      </c>
      <c r="O1210" s="16" t="n">
        <f aca="false">F1210*IF(A1210="2025",INDEX(Products!$D$2:$D$13,MATCH(D1210,Products!$A$2:$A$13,0)),INDEX(Products!$F$2:$F$13,MATCH(D1210,Products!$A$2:$A$13,0)))</f>
        <v>83424</v>
      </c>
      <c r="P1210" s="16" t="n">
        <f aca="false">N1210-O1210</f>
        <v>29663.4338663014</v>
      </c>
    </row>
    <row r="1211" customFormat="false" ht="15" hidden="false" customHeight="false" outlineLevel="0" collapsed="false">
      <c r="A1211" s="2" t="s">
        <v>118</v>
      </c>
      <c r="B1211" s="2" t="n">
        <v>10</v>
      </c>
      <c r="C1211" s="2" t="s">
        <v>81</v>
      </c>
      <c r="D1211" s="2" t="s">
        <v>41</v>
      </c>
      <c r="E1211" s="2" t="str">
        <f aca="false">INDEX(Products!$B$2:$B$13,MATCH(D1211,Products!$A$2:$A$13,0))</f>
        <v>Hydroprocessing</v>
      </c>
      <c r="F1211" s="15" t="n">
        <v>6.8</v>
      </c>
      <c r="G1211" s="16" t="n">
        <f aca="false">IF(A1211="2025",INDEX(Products!$C$2:$C$13,MATCH(D1211,Products!$A$2:$A$13,0)),INDEX(Products!$E$2:$E$13,MATCH(D1211,Products!$A$2:$A$13,0)))</f>
        <v>14770</v>
      </c>
      <c r="H1211" s="13" t="n">
        <f aca="false">IF(A1211="2025",INDEX(Customers!$D$2:$D$41,MATCH(C1211,Customers!$A$2:$A$41,0)),INDEX(Customers!$F$2:$F$41,MATCH(C1211,Customers!$A$2:$A$41,0)))</f>
        <v>0.097</v>
      </c>
      <c r="I1211" s="16" t="n">
        <f aca="false">F1211*G1211</f>
        <v>100436</v>
      </c>
      <c r="J1211" s="16" t="n">
        <f aca="false">I1211*(1-H1211)</f>
        <v>90693.708</v>
      </c>
      <c r="K1211" s="16" t="n">
        <f aca="false">J1211*INDEX(Customers!$G$2:$G$41,MATCH(C1211,Customers!$A$2:$A$41,0))</f>
        <v>906.93708</v>
      </c>
      <c r="L1211" s="16" t="n">
        <f aca="false">F1211*INDEX(Customers!$H$2:$H$41,MATCH(C1211,Customers!$A$2:$A$41,0))</f>
        <v>612</v>
      </c>
      <c r="M1211" s="16" t="n">
        <f aca="false">J1211*INDEX(Customers!$I$2:$I$41,MATCH(C1211,Customers!$A$2:$A$41,0))/365*Assumptions!$B$6</f>
        <v>1789.02656876712</v>
      </c>
      <c r="N1211" s="16" t="n">
        <f aca="false">J1211-K1211-L1211-M1211</f>
        <v>87385.7443512329</v>
      </c>
      <c r="O1211" s="16" t="n">
        <f aca="false">F1211*IF(A1211="2025",INDEX(Products!$D$2:$D$13,MATCH(D1211,Products!$A$2:$A$13,0)),INDEX(Products!$F$2:$F$13,MATCH(D1211,Products!$A$2:$A$13,0)))</f>
        <v>64464</v>
      </c>
      <c r="P1211" s="16" t="n">
        <f aca="false">N1211-O1211</f>
        <v>22921.7443512329</v>
      </c>
    </row>
    <row r="1212" customFormat="false" ht="15" hidden="false" customHeight="false" outlineLevel="0" collapsed="false">
      <c r="A1212" s="2" t="s">
        <v>118</v>
      </c>
      <c r="B1212" s="2" t="n">
        <v>11</v>
      </c>
      <c r="C1212" s="2" t="s">
        <v>81</v>
      </c>
      <c r="D1212" s="2" t="s">
        <v>41</v>
      </c>
      <c r="E1212" s="2" t="str">
        <f aca="false">INDEX(Products!$B$2:$B$13,MATCH(D1212,Products!$A$2:$A$13,0))</f>
        <v>Hydroprocessing</v>
      </c>
      <c r="F1212" s="15" t="n">
        <v>9.2</v>
      </c>
      <c r="G1212" s="16" t="n">
        <f aca="false">IF(A1212="2025",INDEX(Products!$C$2:$C$13,MATCH(D1212,Products!$A$2:$A$13,0)),INDEX(Products!$E$2:$E$13,MATCH(D1212,Products!$A$2:$A$13,0)))</f>
        <v>14770</v>
      </c>
      <c r="H1212" s="13" t="n">
        <f aca="false">IF(A1212="2025",INDEX(Customers!$D$2:$D$41,MATCH(C1212,Customers!$A$2:$A$41,0)),INDEX(Customers!$F$2:$F$41,MATCH(C1212,Customers!$A$2:$A$41,0)))</f>
        <v>0.097</v>
      </c>
      <c r="I1212" s="16" t="n">
        <f aca="false">F1212*G1212</f>
        <v>135884</v>
      </c>
      <c r="J1212" s="16" t="n">
        <f aca="false">I1212*(1-H1212)</f>
        <v>122703.252</v>
      </c>
      <c r="K1212" s="16" t="n">
        <f aca="false">J1212*INDEX(Customers!$G$2:$G$41,MATCH(C1212,Customers!$A$2:$A$41,0))</f>
        <v>1227.03252</v>
      </c>
      <c r="L1212" s="16" t="n">
        <f aca="false">F1212*INDEX(Customers!$H$2:$H$41,MATCH(C1212,Customers!$A$2:$A$41,0))</f>
        <v>828</v>
      </c>
      <c r="M1212" s="16" t="n">
        <f aca="false">J1212*INDEX(Customers!$I$2:$I$41,MATCH(C1212,Customers!$A$2:$A$41,0))/365*Assumptions!$B$6</f>
        <v>2420.44771068493</v>
      </c>
      <c r="N1212" s="16" t="n">
        <f aca="false">J1212-K1212-L1212-M1212</f>
        <v>118227.771769315</v>
      </c>
      <c r="O1212" s="16" t="n">
        <f aca="false">F1212*IF(A1212="2025",INDEX(Products!$D$2:$D$13,MATCH(D1212,Products!$A$2:$A$13,0)),INDEX(Products!$F$2:$F$13,MATCH(D1212,Products!$A$2:$A$13,0)))</f>
        <v>87216</v>
      </c>
      <c r="P1212" s="16" t="n">
        <f aca="false">N1212-O1212</f>
        <v>31011.7717693151</v>
      </c>
    </row>
    <row r="1213" customFormat="false" ht="15" hidden="false" customHeight="false" outlineLevel="0" collapsed="false">
      <c r="A1213" s="2" t="s">
        <v>118</v>
      </c>
      <c r="B1213" s="2" t="n">
        <v>12</v>
      </c>
      <c r="C1213" s="2" t="s">
        <v>81</v>
      </c>
      <c r="D1213" s="2" t="s">
        <v>41</v>
      </c>
      <c r="E1213" s="2" t="str">
        <f aca="false">INDEX(Products!$B$2:$B$13,MATCH(D1213,Products!$A$2:$A$13,0))</f>
        <v>Hydroprocessing</v>
      </c>
      <c r="F1213" s="15" t="n">
        <v>9.9</v>
      </c>
      <c r="G1213" s="16" t="n">
        <f aca="false">IF(A1213="2025",INDEX(Products!$C$2:$C$13,MATCH(D1213,Products!$A$2:$A$13,0)),INDEX(Products!$E$2:$E$13,MATCH(D1213,Products!$A$2:$A$13,0)))</f>
        <v>14770</v>
      </c>
      <c r="H1213" s="13" t="n">
        <f aca="false">IF(A1213="2025",INDEX(Customers!$D$2:$D$41,MATCH(C1213,Customers!$A$2:$A$41,0)),INDEX(Customers!$F$2:$F$41,MATCH(C1213,Customers!$A$2:$A$41,0)))</f>
        <v>0.097</v>
      </c>
      <c r="I1213" s="16" t="n">
        <f aca="false">F1213*G1213</f>
        <v>146223</v>
      </c>
      <c r="J1213" s="16" t="n">
        <f aca="false">I1213*(1-H1213)</f>
        <v>132039.369</v>
      </c>
      <c r="K1213" s="16" t="n">
        <f aca="false">J1213*INDEX(Customers!$G$2:$G$41,MATCH(C1213,Customers!$A$2:$A$41,0))</f>
        <v>1320.39369</v>
      </c>
      <c r="L1213" s="16" t="n">
        <f aca="false">F1213*INDEX(Customers!$H$2:$H$41,MATCH(C1213,Customers!$A$2:$A$41,0))</f>
        <v>891</v>
      </c>
      <c r="M1213" s="16" t="n">
        <f aca="false">J1213*INDEX(Customers!$I$2:$I$41,MATCH(C1213,Customers!$A$2:$A$41,0))/365*Assumptions!$B$6</f>
        <v>2604.61221041096</v>
      </c>
      <c r="N1213" s="16" t="n">
        <f aca="false">J1213-K1213-L1213-M1213</f>
        <v>127223.363099589</v>
      </c>
      <c r="O1213" s="16" t="n">
        <f aca="false">F1213*IF(A1213="2025",INDEX(Products!$D$2:$D$13,MATCH(D1213,Products!$A$2:$A$13,0)),INDEX(Products!$F$2:$F$13,MATCH(D1213,Products!$A$2:$A$13,0)))</f>
        <v>93852</v>
      </c>
      <c r="P1213" s="16" t="n">
        <f aca="false">N1213-O1213</f>
        <v>33371.3630995891</v>
      </c>
    </row>
    <row r="1214" customFormat="false" ht="15" hidden="false" customHeight="false" outlineLevel="0" collapsed="false">
      <c r="A1214" s="2" t="s">
        <v>119</v>
      </c>
      <c r="B1214" s="2" t="n">
        <v>1</v>
      </c>
      <c r="C1214" s="2" t="s">
        <v>81</v>
      </c>
      <c r="D1214" s="2" t="s">
        <v>41</v>
      </c>
      <c r="E1214" s="2" t="str">
        <f aca="false">INDEX(Products!$B$2:$B$13,MATCH(D1214,Products!$A$2:$A$13,0))</f>
        <v>Hydroprocessing</v>
      </c>
      <c r="F1214" s="15" t="n">
        <v>7.4</v>
      </c>
      <c r="G1214" s="16" t="n">
        <f aca="false">IF(A1214="2025",INDEX(Products!$C$2:$C$13,MATCH(D1214,Products!$A$2:$A$13,0)),INDEX(Products!$E$2:$E$13,MATCH(D1214,Products!$A$2:$A$13,0)))</f>
        <v>15508.5</v>
      </c>
      <c r="H1214" s="13" t="n">
        <f aca="false">IF(A1214="2025",INDEX(Customers!$D$2:$D$41,MATCH(C1214,Customers!$A$2:$A$41,0)),INDEX(Customers!$F$2:$F$41,MATCH(C1214,Customers!$A$2:$A$41,0)))</f>
        <v>0.131</v>
      </c>
      <c r="I1214" s="16" t="n">
        <f aca="false">F1214*G1214</f>
        <v>114762.9</v>
      </c>
      <c r="J1214" s="16" t="n">
        <f aca="false">I1214*(1-H1214)</f>
        <v>99728.9601</v>
      </c>
      <c r="K1214" s="16" t="n">
        <f aca="false">J1214*INDEX(Customers!$G$2:$G$41,MATCH(C1214,Customers!$A$2:$A$41,0))</f>
        <v>997.289601</v>
      </c>
      <c r="L1214" s="16" t="n">
        <f aca="false">F1214*INDEX(Customers!$H$2:$H$41,MATCH(C1214,Customers!$A$2:$A$41,0))</f>
        <v>666</v>
      </c>
      <c r="M1214" s="16" t="n">
        <f aca="false">J1214*INDEX(Customers!$I$2:$I$41,MATCH(C1214,Customers!$A$2:$A$41,0))/365*Assumptions!$B$6</f>
        <v>1967.25619923288</v>
      </c>
      <c r="N1214" s="16" t="n">
        <f aca="false">J1214-K1214-L1214-M1214</f>
        <v>96098.4142997671</v>
      </c>
      <c r="O1214" s="16" t="n">
        <f aca="false">F1214*IF(A1214="2025",INDEX(Products!$D$2:$D$13,MATCH(D1214,Products!$A$2:$A$13,0)),INDEX(Products!$F$2:$F$13,MATCH(D1214,Products!$A$2:$A$13,0)))</f>
        <v>72256.56</v>
      </c>
      <c r="P1214" s="16" t="n">
        <f aca="false">N1214-O1214</f>
        <v>23841.8542997671</v>
      </c>
    </row>
    <row r="1215" customFormat="false" ht="15" hidden="false" customHeight="false" outlineLevel="0" collapsed="false">
      <c r="A1215" s="2" t="s">
        <v>119</v>
      </c>
      <c r="B1215" s="2" t="n">
        <v>2</v>
      </c>
      <c r="C1215" s="2" t="s">
        <v>81</v>
      </c>
      <c r="D1215" s="2" t="s">
        <v>41</v>
      </c>
      <c r="E1215" s="2" t="str">
        <f aca="false">INDEX(Products!$B$2:$B$13,MATCH(D1215,Products!$A$2:$A$13,0))</f>
        <v>Hydroprocessing</v>
      </c>
      <c r="F1215" s="15" t="n">
        <v>6.4</v>
      </c>
      <c r="G1215" s="16" t="n">
        <f aca="false">IF(A1215="2025",INDEX(Products!$C$2:$C$13,MATCH(D1215,Products!$A$2:$A$13,0)),INDEX(Products!$E$2:$E$13,MATCH(D1215,Products!$A$2:$A$13,0)))</f>
        <v>15508.5</v>
      </c>
      <c r="H1215" s="13" t="n">
        <f aca="false">IF(A1215="2025",INDEX(Customers!$D$2:$D$41,MATCH(C1215,Customers!$A$2:$A$41,0)),INDEX(Customers!$F$2:$F$41,MATCH(C1215,Customers!$A$2:$A$41,0)))</f>
        <v>0.131</v>
      </c>
      <c r="I1215" s="16" t="n">
        <f aca="false">F1215*G1215</f>
        <v>99254.4</v>
      </c>
      <c r="J1215" s="16" t="n">
        <f aca="false">I1215*(1-H1215)</f>
        <v>86252.0736</v>
      </c>
      <c r="K1215" s="16" t="n">
        <f aca="false">J1215*INDEX(Customers!$G$2:$G$41,MATCH(C1215,Customers!$A$2:$A$41,0))</f>
        <v>862.520736</v>
      </c>
      <c r="L1215" s="16" t="n">
        <f aca="false">F1215*INDEX(Customers!$H$2:$H$41,MATCH(C1215,Customers!$A$2:$A$41,0))</f>
        <v>576</v>
      </c>
      <c r="M1215" s="16" t="n">
        <f aca="false">J1215*INDEX(Customers!$I$2:$I$41,MATCH(C1215,Customers!$A$2:$A$41,0))/365*Assumptions!$B$6</f>
        <v>1701.41076690411</v>
      </c>
      <c r="N1215" s="16" t="n">
        <f aca="false">J1215-K1215-L1215-M1215</f>
        <v>83112.1420970959</v>
      </c>
      <c r="O1215" s="16" t="n">
        <f aca="false">F1215*IF(A1215="2025",INDEX(Products!$D$2:$D$13,MATCH(D1215,Products!$A$2:$A$13,0)),INDEX(Products!$F$2:$F$13,MATCH(D1215,Products!$A$2:$A$13,0)))</f>
        <v>62492.16</v>
      </c>
      <c r="P1215" s="16" t="n">
        <f aca="false">N1215-O1215</f>
        <v>20619.9820970959</v>
      </c>
    </row>
    <row r="1216" customFormat="false" ht="15" hidden="false" customHeight="false" outlineLevel="0" collapsed="false">
      <c r="A1216" s="2" t="s">
        <v>119</v>
      </c>
      <c r="B1216" s="2" t="n">
        <v>3</v>
      </c>
      <c r="C1216" s="2" t="s">
        <v>81</v>
      </c>
      <c r="D1216" s="2" t="s">
        <v>41</v>
      </c>
      <c r="E1216" s="2" t="str">
        <f aca="false">INDEX(Products!$B$2:$B$13,MATCH(D1216,Products!$A$2:$A$13,0))</f>
        <v>Hydroprocessing</v>
      </c>
      <c r="F1216" s="15" t="n">
        <v>8.8</v>
      </c>
      <c r="G1216" s="16" t="n">
        <f aca="false">IF(A1216="2025",INDEX(Products!$C$2:$C$13,MATCH(D1216,Products!$A$2:$A$13,0)),INDEX(Products!$E$2:$E$13,MATCH(D1216,Products!$A$2:$A$13,0)))</f>
        <v>15508.5</v>
      </c>
      <c r="H1216" s="13" t="n">
        <f aca="false">IF(A1216="2025",INDEX(Customers!$D$2:$D$41,MATCH(C1216,Customers!$A$2:$A$41,0)),INDEX(Customers!$F$2:$F$41,MATCH(C1216,Customers!$A$2:$A$41,0)))</f>
        <v>0.131</v>
      </c>
      <c r="I1216" s="16" t="n">
        <f aca="false">F1216*G1216</f>
        <v>136474.8</v>
      </c>
      <c r="J1216" s="16" t="n">
        <f aca="false">I1216*(1-H1216)</f>
        <v>118596.6012</v>
      </c>
      <c r="K1216" s="16" t="n">
        <f aca="false">J1216*INDEX(Customers!$G$2:$G$41,MATCH(C1216,Customers!$A$2:$A$41,0))</f>
        <v>1185.966012</v>
      </c>
      <c r="L1216" s="16" t="n">
        <f aca="false">F1216*INDEX(Customers!$H$2:$H$41,MATCH(C1216,Customers!$A$2:$A$41,0))</f>
        <v>792</v>
      </c>
      <c r="M1216" s="16" t="n">
        <f aca="false">J1216*INDEX(Customers!$I$2:$I$41,MATCH(C1216,Customers!$A$2:$A$41,0))/365*Assumptions!$B$6</f>
        <v>2339.43980449315</v>
      </c>
      <c r="N1216" s="16" t="n">
        <f aca="false">J1216-K1216-L1216-M1216</f>
        <v>114279.195383507</v>
      </c>
      <c r="O1216" s="16" t="n">
        <f aca="false">F1216*IF(A1216="2025",INDEX(Products!$D$2:$D$13,MATCH(D1216,Products!$A$2:$A$13,0)),INDEX(Products!$F$2:$F$13,MATCH(D1216,Products!$A$2:$A$13,0)))</f>
        <v>85926.72</v>
      </c>
      <c r="P1216" s="16" t="n">
        <f aca="false">N1216-O1216</f>
        <v>28352.4753835069</v>
      </c>
    </row>
    <row r="1217" customFormat="false" ht="15" hidden="false" customHeight="false" outlineLevel="0" collapsed="false">
      <c r="A1217" s="2" t="s">
        <v>119</v>
      </c>
      <c r="B1217" s="2" t="n">
        <v>4</v>
      </c>
      <c r="C1217" s="2" t="s">
        <v>81</v>
      </c>
      <c r="D1217" s="2" t="s">
        <v>41</v>
      </c>
      <c r="E1217" s="2" t="str">
        <f aca="false">INDEX(Products!$B$2:$B$13,MATCH(D1217,Products!$A$2:$A$13,0))</f>
        <v>Hydroprocessing</v>
      </c>
      <c r="F1217" s="15" t="n">
        <v>5</v>
      </c>
      <c r="G1217" s="16" t="n">
        <f aca="false">IF(A1217="2025",INDEX(Products!$C$2:$C$13,MATCH(D1217,Products!$A$2:$A$13,0)),INDEX(Products!$E$2:$E$13,MATCH(D1217,Products!$A$2:$A$13,0)))</f>
        <v>15508.5</v>
      </c>
      <c r="H1217" s="13" t="n">
        <f aca="false">IF(A1217="2025",INDEX(Customers!$D$2:$D$41,MATCH(C1217,Customers!$A$2:$A$41,0)),INDEX(Customers!$F$2:$F$41,MATCH(C1217,Customers!$A$2:$A$41,0)))</f>
        <v>0.131</v>
      </c>
      <c r="I1217" s="16" t="n">
        <f aca="false">F1217*G1217</f>
        <v>77542.5</v>
      </c>
      <c r="J1217" s="16" t="n">
        <f aca="false">I1217*(1-H1217)</f>
        <v>67384.4325</v>
      </c>
      <c r="K1217" s="16" t="n">
        <f aca="false">J1217*INDEX(Customers!$G$2:$G$41,MATCH(C1217,Customers!$A$2:$A$41,0))</f>
        <v>673.844325</v>
      </c>
      <c r="L1217" s="16" t="n">
        <f aca="false">F1217*INDEX(Customers!$H$2:$H$41,MATCH(C1217,Customers!$A$2:$A$41,0))</f>
        <v>450</v>
      </c>
      <c r="M1217" s="16" t="n">
        <f aca="false">J1217*INDEX(Customers!$I$2:$I$41,MATCH(C1217,Customers!$A$2:$A$41,0))/365*Assumptions!$B$6</f>
        <v>1329.22716164384</v>
      </c>
      <c r="N1217" s="16" t="n">
        <f aca="false">J1217-K1217-L1217-M1217</f>
        <v>64931.3610133562</v>
      </c>
      <c r="O1217" s="16" t="n">
        <f aca="false">F1217*IF(A1217="2025",INDEX(Products!$D$2:$D$13,MATCH(D1217,Products!$A$2:$A$13,0)),INDEX(Products!$F$2:$F$13,MATCH(D1217,Products!$A$2:$A$13,0)))</f>
        <v>48822</v>
      </c>
      <c r="P1217" s="16" t="n">
        <f aca="false">N1217-O1217</f>
        <v>16109.3610133562</v>
      </c>
    </row>
    <row r="1218" customFormat="false" ht="15" hidden="false" customHeight="false" outlineLevel="0" collapsed="false">
      <c r="A1218" s="2" t="s">
        <v>119</v>
      </c>
      <c r="B1218" s="2" t="n">
        <v>5</v>
      </c>
      <c r="C1218" s="2" t="s">
        <v>81</v>
      </c>
      <c r="D1218" s="2" t="s">
        <v>41</v>
      </c>
      <c r="E1218" s="2" t="str">
        <f aca="false">INDEX(Products!$B$2:$B$13,MATCH(D1218,Products!$A$2:$A$13,0))</f>
        <v>Hydroprocessing</v>
      </c>
      <c r="F1218" s="15" t="n">
        <v>6.1</v>
      </c>
      <c r="G1218" s="16" t="n">
        <f aca="false">IF(A1218="2025",INDEX(Products!$C$2:$C$13,MATCH(D1218,Products!$A$2:$A$13,0)),INDEX(Products!$E$2:$E$13,MATCH(D1218,Products!$A$2:$A$13,0)))</f>
        <v>15508.5</v>
      </c>
      <c r="H1218" s="13" t="n">
        <f aca="false">IF(A1218="2025",INDEX(Customers!$D$2:$D$41,MATCH(C1218,Customers!$A$2:$A$41,0)),INDEX(Customers!$F$2:$F$41,MATCH(C1218,Customers!$A$2:$A$41,0)))</f>
        <v>0.131</v>
      </c>
      <c r="I1218" s="16" t="n">
        <f aca="false">F1218*G1218</f>
        <v>94601.85</v>
      </c>
      <c r="J1218" s="16" t="n">
        <f aca="false">I1218*(1-H1218)</f>
        <v>82209.00765</v>
      </c>
      <c r="K1218" s="16" t="n">
        <f aca="false">J1218*INDEX(Customers!$G$2:$G$41,MATCH(C1218,Customers!$A$2:$A$41,0))</f>
        <v>822.0900765</v>
      </c>
      <c r="L1218" s="16" t="n">
        <f aca="false">F1218*INDEX(Customers!$H$2:$H$41,MATCH(C1218,Customers!$A$2:$A$41,0))</f>
        <v>549</v>
      </c>
      <c r="M1218" s="16" t="n">
        <f aca="false">J1218*INDEX(Customers!$I$2:$I$41,MATCH(C1218,Customers!$A$2:$A$41,0))/365*Assumptions!$B$6</f>
        <v>1621.65713720548</v>
      </c>
      <c r="N1218" s="16" t="n">
        <f aca="false">J1218-K1218-L1218-M1218</f>
        <v>79216.2604362945</v>
      </c>
      <c r="O1218" s="16" t="n">
        <f aca="false">F1218*IF(A1218="2025",INDEX(Products!$D$2:$D$13,MATCH(D1218,Products!$A$2:$A$13,0)),INDEX(Products!$F$2:$F$13,MATCH(D1218,Products!$A$2:$A$13,0)))</f>
        <v>59562.84</v>
      </c>
      <c r="P1218" s="16" t="n">
        <f aca="false">N1218-O1218</f>
        <v>19653.4204362945</v>
      </c>
    </row>
    <row r="1219" customFormat="false" ht="15" hidden="false" customHeight="false" outlineLevel="0" collapsed="false">
      <c r="A1219" s="2" t="s">
        <v>119</v>
      </c>
      <c r="B1219" s="2" t="n">
        <v>6</v>
      </c>
      <c r="C1219" s="2" t="s">
        <v>81</v>
      </c>
      <c r="D1219" s="2" t="s">
        <v>41</v>
      </c>
      <c r="E1219" s="2" t="str">
        <f aca="false">INDEX(Products!$B$2:$B$13,MATCH(D1219,Products!$A$2:$A$13,0))</f>
        <v>Hydroprocessing</v>
      </c>
      <c r="F1219" s="15" t="n">
        <v>8.7</v>
      </c>
      <c r="G1219" s="16" t="n">
        <f aca="false">IF(A1219="2025",INDEX(Products!$C$2:$C$13,MATCH(D1219,Products!$A$2:$A$13,0)),INDEX(Products!$E$2:$E$13,MATCH(D1219,Products!$A$2:$A$13,0)))</f>
        <v>15508.5</v>
      </c>
      <c r="H1219" s="13" t="n">
        <f aca="false">IF(A1219="2025",INDEX(Customers!$D$2:$D$41,MATCH(C1219,Customers!$A$2:$A$41,0)),INDEX(Customers!$F$2:$F$41,MATCH(C1219,Customers!$A$2:$A$41,0)))</f>
        <v>0.131</v>
      </c>
      <c r="I1219" s="16" t="n">
        <f aca="false">F1219*G1219</f>
        <v>134923.95</v>
      </c>
      <c r="J1219" s="16" t="n">
        <f aca="false">I1219*(1-H1219)</f>
        <v>117248.91255</v>
      </c>
      <c r="K1219" s="16" t="n">
        <f aca="false">J1219*INDEX(Customers!$G$2:$G$41,MATCH(C1219,Customers!$A$2:$A$41,0))</f>
        <v>1172.4891255</v>
      </c>
      <c r="L1219" s="16" t="n">
        <f aca="false">F1219*INDEX(Customers!$H$2:$H$41,MATCH(C1219,Customers!$A$2:$A$41,0))</f>
        <v>783</v>
      </c>
      <c r="M1219" s="16" t="n">
        <f aca="false">J1219*INDEX(Customers!$I$2:$I$41,MATCH(C1219,Customers!$A$2:$A$41,0))/365*Assumptions!$B$6</f>
        <v>2312.85526126027</v>
      </c>
      <c r="N1219" s="16" t="n">
        <f aca="false">J1219-K1219-L1219-M1219</f>
        <v>112980.56816324</v>
      </c>
      <c r="O1219" s="16" t="n">
        <f aca="false">F1219*IF(A1219="2025",INDEX(Products!$D$2:$D$13,MATCH(D1219,Products!$A$2:$A$13,0)),INDEX(Products!$F$2:$F$13,MATCH(D1219,Products!$A$2:$A$13,0)))</f>
        <v>84950.28</v>
      </c>
      <c r="P1219" s="16" t="n">
        <f aca="false">N1219-O1219</f>
        <v>28030.2881632397</v>
      </c>
    </row>
    <row r="1220" customFormat="false" ht="15" hidden="false" customHeight="false" outlineLevel="0" collapsed="false">
      <c r="A1220" s="2" t="s">
        <v>119</v>
      </c>
      <c r="B1220" s="2" t="n">
        <v>7</v>
      </c>
      <c r="C1220" s="2" t="s">
        <v>81</v>
      </c>
      <c r="D1220" s="2" t="s">
        <v>41</v>
      </c>
      <c r="E1220" s="2" t="str">
        <f aca="false">INDEX(Products!$B$2:$B$13,MATCH(D1220,Products!$A$2:$A$13,0))</f>
        <v>Hydroprocessing</v>
      </c>
      <c r="F1220" s="15" t="n">
        <v>7.3</v>
      </c>
      <c r="G1220" s="16" t="n">
        <f aca="false">IF(A1220="2025",INDEX(Products!$C$2:$C$13,MATCH(D1220,Products!$A$2:$A$13,0)),INDEX(Products!$E$2:$E$13,MATCH(D1220,Products!$A$2:$A$13,0)))</f>
        <v>15508.5</v>
      </c>
      <c r="H1220" s="13" t="n">
        <f aca="false">IF(A1220="2025",INDEX(Customers!$D$2:$D$41,MATCH(C1220,Customers!$A$2:$A$41,0)),INDEX(Customers!$F$2:$F$41,MATCH(C1220,Customers!$A$2:$A$41,0)))</f>
        <v>0.131</v>
      </c>
      <c r="I1220" s="16" t="n">
        <f aca="false">F1220*G1220</f>
        <v>113212.05</v>
      </c>
      <c r="J1220" s="16" t="n">
        <f aca="false">I1220*(1-H1220)</f>
        <v>98381.27145</v>
      </c>
      <c r="K1220" s="16" t="n">
        <f aca="false">J1220*INDEX(Customers!$G$2:$G$41,MATCH(C1220,Customers!$A$2:$A$41,0))</f>
        <v>983.8127145</v>
      </c>
      <c r="L1220" s="16" t="n">
        <f aca="false">F1220*INDEX(Customers!$H$2:$H$41,MATCH(C1220,Customers!$A$2:$A$41,0))</f>
        <v>657</v>
      </c>
      <c r="M1220" s="16" t="n">
        <f aca="false">J1220*INDEX(Customers!$I$2:$I$41,MATCH(C1220,Customers!$A$2:$A$41,0))/365*Assumptions!$B$6</f>
        <v>1940.671656</v>
      </c>
      <c r="N1220" s="16" t="n">
        <f aca="false">J1220-K1220-L1220-M1220</f>
        <v>94799.7870795</v>
      </c>
      <c r="O1220" s="16" t="n">
        <f aca="false">F1220*IF(A1220="2025",INDEX(Products!$D$2:$D$13,MATCH(D1220,Products!$A$2:$A$13,0)),INDEX(Products!$F$2:$F$13,MATCH(D1220,Products!$A$2:$A$13,0)))</f>
        <v>71280.12</v>
      </c>
      <c r="P1220" s="16" t="n">
        <f aca="false">N1220-O1220</f>
        <v>23519.6670795</v>
      </c>
    </row>
    <row r="1221" customFormat="false" ht="15" hidden="false" customHeight="false" outlineLevel="0" collapsed="false">
      <c r="A1221" s="2" t="s">
        <v>119</v>
      </c>
      <c r="B1221" s="2" t="n">
        <v>8</v>
      </c>
      <c r="C1221" s="2" t="s">
        <v>81</v>
      </c>
      <c r="D1221" s="2" t="s">
        <v>41</v>
      </c>
      <c r="E1221" s="2" t="str">
        <f aca="false">INDEX(Products!$B$2:$B$13,MATCH(D1221,Products!$A$2:$A$13,0))</f>
        <v>Hydroprocessing</v>
      </c>
      <c r="F1221" s="15" t="n">
        <v>5.2</v>
      </c>
      <c r="G1221" s="16" t="n">
        <f aca="false">IF(A1221="2025",INDEX(Products!$C$2:$C$13,MATCH(D1221,Products!$A$2:$A$13,0)),INDEX(Products!$E$2:$E$13,MATCH(D1221,Products!$A$2:$A$13,0)))</f>
        <v>15508.5</v>
      </c>
      <c r="H1221" s="13" t="n">
        <f aca="false">IF(A1221="2025",INDEX(Customers!$D$2:$D$41,MATCH(C1221,Customers!$A$2:$A$41,0)),INDEX(Customers!$F$2:$F$41,MATCH(C1221,Customers!$A$2:$A$41,0)))</f>
        <v>0.131</v>
      </c>
      <c r="I1221" s="16" t="n">
        <f aca="false">F1221*G1221</f>
        <v>80644.2</v>
      </c>
      <c r="J1221" s="16" t="n">
        <f aca="false">I1221*(1-H1221)</f>
        <v>70079.8098</v>
      </c>
      <c r="K1221" s="16" t="n">
        <f aca="false">J1221*INDEX(Customers!$G$2:$G$41,MATCH(C1221,Customers!$A$2:$A$41,0))</f>
        <v>700.798098</v>
      </c>
      <c r="L1221" s="16" t="n">
        <f aca="false">F1221*INDEX(Customers!$H$2:$H$41,MATCH(C1221,Customers!$A$2:$A$41,0))</f>
        <v>468</v>
      </c>
      <c r="M1221" s="16" t="n">
        <f aca="false">J1221*INDEX(Customers!$I$2:$I$41,MATCH(C1221,Customers!$A$2:$A$41,0))/365*Assumptions!$B$6</f>
        <v>1382.39624810959</v>
      </c>
      <c r="N1221" s="16" t="n">
        <f aca="false">J1221-K1221-L1221-M1221</f>
        <v>67528.6154538904</v>
      </c>
      <c r="O1221" s="16" t="n">
        <f aca="false">F1221*IF(A1221="2025",INDEX(Products!$D$2:$D$13,MATCH(D1221,Products!$A$2:$A$13,0)),INDEX(Products!$F$2:$F$13,MATCH(D1221,Products!$A$2:$A$13,0)))</f>
        <v>50774.88</v>
      </c>
      <c r="P1221" s="16" t="n">
        <f aca="false">N1221-O1221</f>
        <v>16753.7354538904</v>
      </c>
    </row>
    <row r="1222" customFormat="false" ht="15" hidden="false" customHeight="false" outlineLevel="0" collapsed="false">
      <c r="A1222" s="2" t="s">
        <v>119</v>
      </c>
      <c r="B1222" s="2" t="n">
        <v>9</v>
      </c>
      <c r="C1222" s="2" t="s">
        <v>81</v>
      </c>
      <c r="D1222" s="2" t="s">
        <v>41</v>
      </c>
      <c r="E1222" s="2" t="str">
        <f aca="false">INDEX(Products!$B$2:$B$13,MATCH(D1222,Products!$A$2:$A$13,0))</f>
        <v>Hydroprocessing</v>
      </c>
      <c r="F1222" s="15" t="n">
        <v>7.1</v>
      </c>
      <c r="G1222" s="16" t="n">
        <f aca="false">IF(A1222="2025",INDEX(Products!$C$2:$C$13,MATCH(D1222,Products!$A$2:$A$13,0)),INDEX(Products!$E$2:$E$13,MATCH(D1222,Products!$A$2:$A$13,0)))</f>
        <v>15508.5</v>
      </c>
      <c r="H1222" s="13" t="n">
        <f aca="false">IF(A1222="2025",INDEX(Customers!$D$2:$D$41,MATCH(C1222,Customers!$A$2:$A$41,0)),INDEX(Customers!$F$2:$F$41,MATCH(C1222,Customers!$A$2:$A$41,0)))</f>
        <v>0.131</v>
      </c>
      <c r="I1222" s="16" t="n">
        <f aca="false">F1222*G1222</f>
        <v>110110.35</v>
      </c>
      <c r="J1222" s="16" t="n">
        <f aca="false">I1222*(1-H1222)</f>
        <v>95685.89415</v>
      </c>
      <c r="K1222" s="16" t="n">
        <f aca="false">J1222*INDEX(Customers!$G$2:$G$41,MATCH(C1222,Customers!$A$2:$A$41,0))</f>
        <v>956.8589415</v>
      </c>
      <c r="L1222" s="16" t="n">
        <f aca="false">F1222*INDEX(Customers!$H$2:$H$41,MATCH(C1222,Customers!$A$2:$A$41,0))</f>
        <v>639</v>
      </c>
      <c r="M1222" s="16" t="n">
        <f aca="false">J1222*INDEX(Customers!$I$2:$I$41,MATCH(C1222,Customers!$A$2:$A$41,0))/365*Assumptions!$B$6</f>
        <v>1887.50256953425</v>
      </c>
      <c r="N1222" s="16" t="n">
        <f aca="false">J1222-K1222-L1222-M1222</f>
        <v>92202.5326389657</v>
      </c>
      <c r="O1222" s="16" t="n">
        <f aca="false">F1222*IF(A1222="2025",INDEX(Products!$D$2:$D$13,MATCH(D1222,Products!$A$2:$A$13,0)),INDEX(Products!$F$2:$F$13,MATCH(D1222,Products!$A$2:$A$13,0)))</f>
        <v>69327.24</v>
      </c>
      <c r="P1222" s="16" t="n">
        <f aca="false">N1222-O1222</f>
        <v>22875.2926389658</v>
      </c>
    </row>
    <row r="1223" customFormat="false" ht="15" hidden="false" customHeight="false" outlineLevel="0" collapsed="false">
      <c r="A1223" s="2" t="s">
        <v>119</v>
      </c>
      <c r="B1223" s="2" t="n">
        <v>10</v>
      </c>
      <c r="C1223" s="2" t="s">
        <v>81</v>
      </c>
      <c r="D1223" s="2" t="s">
        <v>41</v>
      </c>
      <c r="E1223" s="2" t="str">
        <f aca="false">INDEX(Products!$B$2:$B$13,MATCH(D1223,Products!$A$2:$A$13,0))</f>
        <v>Hydroprocessing</v>
      </c>
      <c r="F1223" s="15" t="n">
        <v>8.9</v>
      </c>
      <c r="G1223" s="16" t="n">
        <f aca="false">IF(A1223="2025",INDEX(Products!$C$2:$C$13,MATCH(D1223,Products!$A$2:$A$13,0)),INDEX(Products!$E$2:$E$13,MATCH(D1223,Products!$A$2:$A$13,0)))</f>
        <v>15508.5</v>
      </c>
      <c r="H1223" s="13" t="n">
        <f aca="false">IF(A1223="2025",INDEX(Customers!$D$2:$D$41,MATCH(C1223,Customers!$A$2:$A$41,0)),INDEX(Customers!$F$2:$F$41,MATCH(C1223,Customers!$A$2:$A$41,0)))</f>
        <v>0.131</v>
      </c>
      <c r="I1223" s="16" t="n">
        <f aca="false">F1223*G1223</f>
        <v>138025.65</v>
      </c>
      <c r="J1223" s="16" t="n">
        <f aca="false">I1223*(1-H1223)</f>
        <v>119944.28985</v>
      </c>
      <c r="K1223" s="16" t="n">
        <f aca="false">J1223*INDEX(Customers!$G$2:$G$41,MATCH(C1223,Customers!$A$2:$A$41,0))</f>
        <v>1199.4428985</v>
      </c>
      <c r="L1223" s="16" t="n">
        <f aca="false">F1223*INDEX(Customers!$H$2:$H$41,MATCH(C1223,Customers!$A$2:$A$41,0))</f>
        <v>801</v>
      </c>
      <c r="M1223" s="16" t="n">
        <f aca="false">J1223*INDEX(Customers!$I$2:$I$41,MATCH(C1223,Customers!$A$2:$A$41,0))/365*Assumptions!$B$6</f>
        <v>2366.02434772603</v>
      </c>
      <c r="N1223" s="16" t="n">
        <f aca="false">J1223-K1223-L1223-M1223</f>
        <v>115577.822603774</v>
      </c>
      <c r="O1223" s="16" t="n">
        <f aca="false">F1223*IF(A1223="2025",INDEX(Products!$D$2:$D$13,MATCH(D1223,Products!$A$2:$A$13,0)),INDEX(Products!$F$2:$F$13,MATCH(D1223,Products!$A$2:$A$13,0)))</f>
        <v>86903.16</v>
      </c>
      <c r="P1223" s="16" t="n">
        <f aca="false">N1223-O1223</f>
        <v>28674.662603774</v>
      </c>
    </row>
    <row r="1224" customFormat="false" ht="15" hidden="false" customHeight="false" outlineLevel="0" collapsed="false">
      <c r="A1224" s="2" t="s">
        <v>119</v>
      </c>
      <c r="B1224" s="2" t="n">
        <v>11</v>
      </c>
      <c r="C1224" s="2" t="s">
        <v>81</v>
      </c>
      <c r="D1224" s="2" t="s">
        <v>41</v>
      </c>
      <c r="E1224" s="2" t="str">
        <f aca="false">INDEX(Products!$B$2:$B$13,MATCH(D1224,Products!$A$2:$A$13,0))</f>
        <v>Hydroprocessing</v>
      </c>
      <c r="F1224" s="15" t="n">
        <v>8.6</v>
      </c>
      <c r="G1224" s="16" t="n">
        <f aca="false">IF(A1224="2025",INDEX(Products!$C$2:$C$13,MATCH(D1224,Products!$A$2:$A$13,0)),INDEX(Products!$E$2:$E$13,MATCH(D1224,Products!$A$2:$A$13,0)))</f>
        <v>15508.5</v>
      </c>
      <c r="H1224" s="13" t="n">
        <f aca="false">IF(A1224="2025",INDEX(Customers!$D$2:$D$41,MATCH(C1224,Customers!$A$2:$A$41,0)),INDEX(Customers!$F$2:$F$41,MATCH(C1224,Customers!$A$2:$A$41,0)))</f>
        <v>0.131</v>
      </c>
      <c r="I1224" s="16" t="n">
        <f aca="false">F1224*G1224</f>
        <v>133373.1</v>
      </c>
      <c r="J1224" s="16" t="n">
        <f aca="false">I1224*(1-H1224)</f>
        <v>115901.2239</v>
      </c>
      <c r="K1224" s="16" t="n">
        <f aca="false">J1224*INDEX(Customers!$G$2:$G$41,MATCH(C1224,Customers!$A$2:$A$41,0))</f>
        <v>1159.012239</v>
      </c>
      <c r="L1224" s="16" t="n">
        <f aca="false">F1224*INDEX(Customers!$H$2:$H$41,MATCH(C1224,Customers!$A$2:$A$41,0))</f>
        <v>774</v>
      </c>
      <c r="M1224" s="16" t="n">
        <f aca="false">J1224*INDEX(Customers!$I$2:$I$41,MATCH(C1224,Customers!$A$2:$A$41,0))/365*Assumptions!$B$6</f>
        <v>2286.2707180274</v>
      </c>
      <c r="N1224" s="16" t="n">
        <f aca="false">J1224-K1224-L1224-M1224</f>
        <v>111681.940942973</v>
      </c>
      <c r="O1224" s="16" t="n">
        <f aca="false">F1224*IF(A1224="2025",INDEX(Products!$D$2:$D$13,MATCH(D1224,Products!$A$2:$A$13,0)),INDEX(Products!$F$2:$F$13,MATCH(D1224,Products!$A$2:$A$13,0)))</f>
        <v>83973.84</v>
      </c>
      <c r="P1224" s="16" t="n">
        <f aca="false">N1224-O1224</f>
        <v>27708.1009429726</v>
      </c>
    </row>
    <row r="1225" customFormat="false" ht="15" hidden="false" customHeight="false" outlineLevel="0" collapsed="false">
      <c r="A1225" s="2" t="s">
        <v>119</v>
      </c>
      <c r="B1225" s="2" t="n">
        <v>12</v>
      </c>
      <c r="C1225" s="2" t="s">
        <v>81</v>
      </c>
      <c r="D1225" s="2" t="s">
        <v>41</v>
      </c>
      <c r="E1225" s="2" t="str">
        <f aca="false">INDEX(Products!$B$2:$B$13,MATCH(D1225,Products!$A$2:$A$13,0))</f>
        <v>Hydroprocessing</v>
      </c>
      <c r="F1225" s="15" t="n">
        <v>6.1</v>
      </c>
      <c r="G1225" s="16" t="n">
        <f aca="false">IF(A1225="2025",INDEX(Products!$C$2:$C$13,MATCH(D1225,Products!$A$2:$A$13,0)),INDEX(Products!$E$2:$E$13,MATCH(D1225,Products!$A$2:$A$13,0)))</f>
        <v>15508.5</v>
      </c>
      <c r="H1225" s="13" t="n">
        <f aca="false">IF(A1225="2025",INDEX(Customers!$D$2:$D$41,MATCH(C1225,Customers!$A$2:$A$41,0)),INDEX(Customers!$F$2:$F$41,MATCH(C1225,Customers!$A$2:$A$41,0)))</f>
        <v>0.131</v>
      </c>
      <c r="I1225" s="16" t="n">
        <f aca="false">F1225*G1225</f>
        <v>94601.85</v>
      </c>
      <c r="J1225" s="16" t="n">
        <f aca="false">I1225*(1-H1225)</f>
        <v>82209.00765</v>
      </c>
      <c r="K1225" s="16" t="n">
        <f aca="false">J1225*INDEX(Customers!$G$2:$G$41,MATCH(C1225,Customers!$A$2:$A$41,0))</f>
        <v>822.0900765</v>
      </c>
      <c r="L1225" s="16" t="n">
        <f aca="false">F1225*INDEX(Customers!$H$2:$H$41,MATCH(C1225,Customers!$A$2:$A$41,0))</f>
        <v>549</v>
      </c>
      <c r="M1225" s="16" t="n">
        <f aca="false">J1225*INDEX(Customers!$I$2:$I$41,MATCH(C1225,Customers!$A$2:$A$41,0))/365*Assumptions!$B$6</f>
        <v>1621.65713720548</v>
      </c>
      <c r="N1225" s="16" t="n">
        <f aca="false">J1225-K1225-L1225-M1225</f>
        <v>79216.2604362945</v>
      </c>
      <c r="O1225" s="16" t="n">
        <f aca="false">F1225*IF(A1225="2025",INDEX(Products!$D$2:$D$13,MATCH(D1225,Products!$A$2:$A$13,0)),INDEX(Products!$F$2:$F$13,MATCH(D1225,Products!$A$2:$A$13,0)))</f>
        <v>59562.84</v>
      </c>
      <c r="P1225" s="16" t="n">
        <f aca="false">N1225-O1225</f>
        <v>19653.4204362945</v>
      </c>
    </row>
    <row r="1226" customFormat="false" ht="15" hidden="false" customHeight="false" outlineLevel="0" collapsed="false">
      <c r="A1226" s="2" t="s">
        <v>118</v>
      </c>
      <c r="B1226" s="2" t="n">
        <v>1</v>
      </c>
      <c r="C1226" s="2" t="s">
        <v>81</v>
      </c>
      <c r="D1226" s="2" t="s">
        <v>34</v>
      </c>
      <c r="E1226" s="2" t="str">
        <f aca="false">INDEX(Products!$B$2:$B$13,MATCH(D1226,Products!$A$2:$A$13,0))</f>
        <v>FCC</v>
      </c>
      <c r="F1226" s="15" t="n">
        <v>16.7</v>
      </c>
      <c r="G1226" s="16" t="n">
        <f aca="false">IF(A1226="2025",INDEX(Products!$C$2:$C$13,MATCH(D1226,Products!$A$2:$A$13,0)),INDEX(Products!$E$2:$E$13,MATCH(D1226,Products!$A$2:$A$13,0)))</f>
        <v>3270</v>
      </c>
      <c r="H1226" s="13" t="n">
        <f aca="false">IF(A1226="2025",INDEX(Customers!$D$2:$D$41,MATCH(C1226,Customers!$A$2:$A$41,0)),INDEX(Customers!$F$2:$F$41,MATCH(C1226,Customers!$A$2:$A$41,0)))</f>
        <v>0.097</v>
      </c>
      <c r="I1226" s="16" t="n">
        <f aca="false">F1226*G1226</f>
        <v>54609</v>
      </c>
      <c r="J1226" s="16" t="n">
        <f aca="false">I1226*(1-H1226)</f>
        <v>49311.927</v>
      </c>
      <c r="K1226" s="16" t="n">
        <f aca="false">J1226*INDEX(Customers!$G$2:$G$41,MATCH(C1226,Customers!$A$2:$A$41,0))</f>
        <v>493.11927</v>
      </c>
      <c r="L1226" s="16" t="n">
        <f aca="false">F1226*INDEX(Customers!$H$2:$H$41,MATCH(C1226,Customers!$A$2:$A$41,0))</f>
        <v>1503</v>
      </c>
      <c r="M1226" s="16" t="n">
        <f aca="false">J1226*INDEX(Customers!$I$2:$I$41,MATCH(C1226,Customers!$A$2:$A$41,0))/365*Assumptions!$B$6</f>
        <v>972.728423013699</v>
      </c>
      <c r="N1226" s="16" t="n">
        <f aca="false">J1226-K1226-L1226-M1226</f>
        <v>46343.0793069863</v>
      </c>
      <c r="O1226" s="16" t="n">
        <f aca="false">F1226*IF(A1226="2025",INDEX(Products!$D$2:$D$13,MATCH(D1226,Products!$A$2:$A$13,0)),INDEX(Products!$F$2:$F$13,MATCH(D1226,Products!$A$2:$A$13,0)))</f>
        <v>36573</v>
      </c>
      <c r="P1226" s="16" t="n">
        <f aca="false">N1226-O1226</f>
        <v>9770.0793069863</v>
      </c>
    </row>
    <row r="1227" customFormat="false" ht="15" hidden="false" customHeight="false" outlineLevel="0" collapsed="false">
      <c r="A1227" s="2" t="s">
        <v>118</v>
      </c>
      <c r="B1227" s="2" t="n">
        <v>2</v>
      </c>
      <c r="C1227" s="2" t="s">
        <v>81</v>
      </c>
      <c r="D1227" s="2" t="s">
        <v>34</v>
      </c>
      <c r="E1227" s="2" t="str">
        <f aca="false">INDEX(Products!$B$2:$B$13,MATCH(D1227,Products!$A$2:$A$13,0))</f>
        <v>FCC</v>
      </c>
      <c r="F1227" s="15" t="n">
        <v>16.9</v>
      </c>
      <c r="G1227" s="16" t="n">
        <f aca="false">IF(A1227="2025",INDEX(Products!$C$2:$C$13,MATCH(D1227,Products!$A$2:$A$13,0)),INDEX(Products!$E$2:$E$13,MATCH(D1227,Products!$A$2:$A$13,0)))</f>
        <v>3270</v>
      </c>
      <c r="H1227" s="13" t="n">
        <f aca="false">IF(A1227="2025",INDEX(Customers!$D$2:$D$41,MATCH(C1227,Customers!$A$2:$A$41,0)),INDEX(Customers!$F$2:$F$41,MATCH(C1227,Customers!$A$2:$A$41,0)))</f>
        <v>0.097</v>
      </c>
      <c r="I1227" s="16" t="n">
        <f aca="false">F1227*G1227</f>
        <v>55263</v>
      </c>
      <c r="J1227" s="16" t="n">
        <f aca="false">I1227*(1-H1227)</f>
        <v>49902.489</v>
      </c>
      <c r="K1227" s="16" t="n">
        <f aca="false">J1227*INDEX(Customers!$G$2:$G$41,MATCH(C1227,Customers!$A$2:$A$41,0))</f>
        <v>499.02489</v>
      </c>
      <c r="L1227" s="16" t="n">
        <f aca="false">F1227*INDEX(Customers!$H$2:$H$41,MATCH(C1227,Customers!$A$2:$A$41,0))</f>
        <v>1521</v>
      </c>
      <c r="M1227" s="16" t="n">
        <f aca="false">J1227*INDEX(Customers!$I$2:$I$41,MATCH(C1227,Customers!$A$2:$A$41,0))/365*Assumptions!$B$6</f>
        <v>984.37786520548</v>
      </c>
      <c r="N1227" s="16" t="n">
        <f aca="false">J1227-K1227-L1227-M1227</f>
        <v>46898.0862447945</v>
      </c>
      <c r="O1227" s="16" t="n">
        <f aca="false">F1227*IF(A1227="2025",INDEX(Products!$D$2:$D$13,MATCH(D1227,Products!$A$2:$A$13,0)),INDEX(Products!$F$2:$F$13,MATCH(D1227,Products!$A$2:$A$13,0)))</f>
        <v>37011</v>
      </c>
      <c r="P1227" s="16" t="n">
        <f aca="false">N1227-O1227</f>
        <v>9887.08624479451</v>
      </c>
    </row>
    <row r="1228" customFormat="false" ht="15" hidden="false" customHeight="false" outlineLevel="0" collapsed="false">
      <c r="A1228" s="2" t="s">
        <v>118</v>
      </c>
      <c r="B1228" s="2" t="n">
        <v>3</v>
      </c>
      <c r="C1228" s="2" t="s">
        <v>81</v>
      </c>
      <c r="D1228" s="2" t="s">
        <v>34</v>
      </c>
      <c r="E1228" s="2" t="str">
        <f aca="false">INDEX(Products!$B$2:$B$13,MATCH(D1228,Products!$A$2:$A$13,0))</f>
        <v>FCC</v>
      </c>
      <c r="F1228" s="15" t="n">
        <v>16.3</v>
      </c>
      <c r="G1228" s="16" t="n">
        <f aca="false">IF(A1228="2025",INDEX(Products!$C$2:$C$13,MATCH(D1228,Products!$A$2:$A$13,0)),INDEX(Products!$E$2:$E$13,MATCH(D1228,Products!$A$2:$A$13,0)))</f>
        <v>3270</v>
      </c>
      <c r="H1228" s="13" t="n">
        <f aca="false">IF(A1228="2025",INDEX(Customers!$D$2:$D$41,MATCH(C1228,Customers!$A$2:$A$41,0)),INDEX(Customers!$F$2:$F$41,MATCH(C1228,Customers!$A$2:$A$41,0)))</f>
        <v>0.097</v>
      </c>
      <c r="I1228" s="16" t="n">
        <f aca="false">F1228*G1228</f>
        <v>53301</v>
      </c>
      <c r="J1228" s="16" t="n">
        <f aca="false">I1228*(1-H1228)</f>
        <v>48130.803</v>
      </c>
      <c r="K1228" s="16" t="n">
        <f aca="false">J1228*INDEX(Customers!$G$2:$G$41,MATCH(C1228,Customers!$A$2:$A$41,0))</f>
        <v>481.30803</v>
      </c>
      <c r="L1228" s="16" t="n">
        <f aca="false">F1228*INDEX(Customers!$H$2:$H$41,MATCH(C1228,Customers!$A$2:$A$41,0))</f>
        <v>1467</v>
      </c>
      <c r="M1228" s="16" t="n">
        <f aca="false">J1228*INDEX(Customers!$I$2:$I$41,MATCH(C1228,Customers!$A$2:$A$41,0))/365*Assumptions!$B$6</f>
        <v>949.429538630137</v>
      </c>
      <c r="N1228" s="16" t="n">
        <f aca="false">J1228-K1228-L1228-M1228</f>
        <v>45233.0654313699</v>
      </c>
      <c r="O1228" s="16" t="n">
        <f aca="false">F1228*IF(A1228="2025",INDEX(Products!$D$2:$D$13,MATCH(D1228,Products!$A$2:$A$13,0)),INDEX(Products!$F$2:$F$13,MATCH(D1228,Products!$A$2:$A$13,0)))</f>
        <v>35697</v>
      </c>
      <c r="P1228" s="16" t="n">
        <f aca="false">N1228-O1228</f>
        <v>9536.06543136986</v>
      </c>
    </row>
    <row r="1229" customFormat="false" ht="15" hidden="false" customHeight="false" outlineLevel="0" collapsed="false">
      <c r="A1229" s="2" t="s">
        <v>118</v>
      </c>
      <c r="B1229" s="2" t="n">
        <v>4</v>
      </c>
      <c r="C1229" s="2" t="s">
        <v>81</v>
      </c>
      <c r="D1229" s="2" t="s">
        <v>34</v>
      </c>
      <c r="E1229" s="2" t="str">
        <f aca="false">INDEX(Products!$B$2:$B$13,MATCH(D1229,Products!$A$2:$A$13,0))</f>
        <v>FCC</v>
      </c>
      <c r="F1229" s="15" t="n">
        <v>16</v>
      </c>
      <c r="G1229" s="16" t="n">
        <f aca="false">IF(A1229="2025",INDEX(Products!$C$2:$C$13,MATCH(D1229,Products!$A$2:$A$13,0)),INDEX(Products!$E$2:$E$13,MATCH(D1229,Products!$A$2:$A$13,0)))</f>
        <v>3270</v>
      </c>
      <c r="H1229" s="13" t="n">
        <f aca="false">IF(A1229="2025",INDEX(Customers!$D$2:$D$41,MATCH(C1229,Customers!$A$2:$A$41,0)),INDEX(Customers!$F$2:$F$41,MATCH(C1229,Customers!$A$2:$A$41,0)))</f>
        <v>0.097</v>
      </c>
      <c r="I1229" s="16" t="n">
        <f aca="false">F1229*G1229</f>
        <v>52320</v>
      </c>
      <c r="J1229" s="16" t="n">
        <f aca="false">I1229*(1-H1229)</f>
        <v>47244.96</v>
      </c>
      <c r="K1229" s="16" t="n">
        <f aca="false">J1229*INDEX(Customers!$G$2:$G$41,MATCH(C1229,Customers!$A$2:$A$41,0))</f>
        <v>472.4496</v>
      </c>
      <c r="L1229" s="16" t="n">
        <f aca="false">F1229*INDEX(Customers!$H$2:$H$41,MATCH(C1229,Customers!$A$2:$A$41,0))</f>
        <v>1440</v>
      </c>
      <c r="M1229" s="16" t="n">
        <f aca="false">J1229*INDEX(Customers!$I$2:$I$41,MATCH(C1229,Customers!$A$2:$A$41,0))/365*Assumptions!$B$6</f>
        <v>931.955375342466</v>
      </c>
      <c r="N1229" s="16" t="n">
        <f aca="false">J1229-K1229-L1229-M1229</f>
        <v>44400.5550246575</v>
      </c>
      <c r="O1229" s="16" t="n">
        <f aca="false">F1229*IF(A1229="2025",INDEX(Products!$D$2:$D$13,MATCH(D1229,Products!$A$2:$A$13,0)),INDEX(Products!$F$2:$F$13,MATCH(D1229,Products!$A$2:$A$13,0)))</f>
        <v>35040</v>
      </c>
      <c r="P1229" s="16" t="n">
        <f aca="false">N1229-O1229</f>
        <v>9360.55502465754</v>
      </c>
    </row>
    <row r="1230" customFormat="false" ht="15" hidden="false" customHeight="false" outlineLevel="0" collapsed="false">
      <c r="A1230" s="2" t="s">
        <v>118</v>
      </c>
      <c r="B1230" s="2" t="n">
        <v>5</v>
      </c>
      <c r="C1230" s="2" t="s">
        <v>81</v>
      </c>
      <c r="D1230" s="2" t="s">
        <v>34</v>
      </c>
      <c r="E1230" s="2" t="str">
        <f aca="false">INDEX(Products!$B$2:$B$13,MATCH(D1230,Products!$A$2:$A$13,0))</f>
        <v>FCC</v>
      </c>
      <c r="F1230" s="15" t="n">
        <v>17.3</v>
      </c>
      <c r="G1230" s="16" t="n">
        <f aca="false">IF(A1230="2025",INDEX(Products!$C$2:$C$13,MATCH(D1230,Products!$A$2:$A$13,0)),INDEX(Products!$E$2:$E$13,MATCH(D1230,Products!$A$2:$A$13,0)))</f>
        <v>3270</v>
      </c>
      <c r="H1230" s="13" t="n">
        <f aca="false">IF(A1230="2025",INDEX(Customers!$D$2:$D$41,MATCH(C1230,Customers!$A$2:$A$41,0)),INDEX(Customers!$F$2:$F$41,MATCH(C1230,Customers!$A$2:$A$41,0)))</f>
        <v>0.097</v>
      </c>
      <c r="I1230" s="16" t="n">
        <f aca="false">F1230*G1230</f>
        <v>56571</v>
      </c>
      <c r="J1230" s="16" t="n">
        <f aca="false">I1230*(1-H1230)</f>
        <v>51083.613</v>
      </c>
      <c r="K1230" s="16" t="n">
        <f aca="false">J1230*INDEX(Customers!$G$2:$G$41,MATCH(C1230,Customers!$A$2:$A$41,0))</f>
        <v>510.83613</v>
      </c>
      <c r="L1230" s="16" t="n">
        <f aca="false">F1230*INDEX(Customers!$H$2:$H$41,MATCH(C1230,Customers!$A$2:$A$41,0))</f>
        <v>1557</v>
      </c>
      <c r="M1230" s="16" t="n">
        <f aca="false">J1230*INDEX(Customers!$I$2:$I$41,MATCH(C1230,Customers!$A$2:$A$41,0))/365*Assumptions!$B$6</f>
        <v>1007.67674958904</v>
      </c>
      <c r="N1230" s="16" t="n">
        <f aca="false">J1230-K1230-L1230-M1230</f>
        <v>48008.100120411</v>
      </c>
      <c r="O1230" s="16" t="n">
        <f aca="false">F1230*IF(A1230="2025",INDEX(Products!$D$2:$D$13,MATCH(D1230,Products!$A$2:$A$13,0)),INDEX(Products!$F$2:$F$13,MATCH(D1230,Products!$A$2:$A$13,0)))</f>
        <v>37887</v>
      </c>
      <c r="P1230" s="16" t="n">
        <f aca="false">N1230-O1230</f>
        <v>10121.100120411</v>
      </c>
    </row>
    <row r="1231" customFormat="false" ht="15" hidden="false" customHeight="false" outlineLevel="0" collapsed="false">
      <c r="A1231" s="2" t="s">
        <v>118</v>
      </c>
      <c r="B1231" s="2" t="n">
        <v>6</v>
      </c>
      <c r="C1231" s="2" t="s">
        <v>81</v>
      </c>
      <c r="D1231" s="2" t="s">
        <v>34</v>
      </c>
      <c r="E1231" s="2" t="str">
        <f aca="false">INDEX(Products!$B$2:$B$13,MATCH(D1231,Products!$A$2:$A$13,0))</f>
        <v>FCC</v>
      </c>
      <c r="F1231" s="15" t="n">
        <v>23</v>
      </c>
      <c r="G1231" s="16" t="n">
        <f aca="false">IF(A1231="2025",INDEX(Products!$C$2:$C$13,MATCH(D1231,Products!$A$2:$A$13,0)),INDEX(Products!$E$2:$E$13,MATCH(D1231,Products!$A$2:$A$13,0)))</f>
        <v>3270</v>
      </c>
      <c r="H1231" s="13" t="n">
        <f aca="false">IF(A1231="2025",INDEX(Customers!$D$2:$D$41,MATCH(C1231,Customers!$A$2:$A$41,0)),INDEX(Customers!$F$2:$F$41,MATCH(C1231,Customers!$A$2:$A$41,0)))</f>
        <v>0.097</v>
      </c>
      <c r="I1231" s="16" t="n">
        <f aca="false">F1231*G1231</f>
        <v>75210</v>
      </c>
      <c r="J1231" s="16" t="n">
        <f aca="false">I1231*(1-H1231)</f>
        <v>67914.63</v>
      </c>
      <c r="K1231" s="16" t="n">
        <f aca="false">J1231*INDEX(Customers!$G$2:$G$41,MATCH(C1231,Customers!$A$2:$A$41,0))</f>
        <v>679.1463</v>
      </c>
      <c r="L1231" s="16" t="n">
        <f aca="false">F1231*INDEX(Customers!$H$2:$H$41,MATCH(C1231,Customers!$A$2:$A$41,0))</f>
        <v>2070</v>
      </c>
      <c r="M1231" s="16" t="n">
        <f aca="false">J1231*INDEX(Customers!$I$2:$I$41,MATCH(C1231,Customers!$A$2:$A$41,0))/365*Assumptions!$B$6</f>
        <v>1339.68585205479</v>
      </c>
      <c r="N1231" s="16" t="n">
        <f aca="false">J1231-K1231-L1231-M1231</f>
        <v>63825.7978479452</v>
      </c>
      <c r="O1231" s="16" t="n">
        <f aca="false">F1231*IF(A1231="2025",INDEX(Products!$D$2:$D$13,MATCH(D1231,Products!$A$2:$A$13,0)),INDEX(Products!$F$2:$F$13,MATCH(D1231,Products!$A$2:$A$13,0)))</f>
        <v>50370</v>
      </c>
      <c r="P1231" s="16" t="n">
        <f aca="false">N1231-O1231</f>
        <v>13455.7978479452</v>
      </c>
    </row>
    <row r="1232" customFormat="false" ht="15" hidden="false" customHeight="false" outlineLevel="0" collapsed="false">
      <c r="A1232" s="2" t="s">
        <v>118</v>
      </c>
      <c r="B1232" s="2" t="n">
        <v>7</v>
      </c>
      <c r="C1232" s="2" t="s">
        <v>81</v>
      </c>
      <c r="D1232" s="2" t="s">
        <v>34</v>
      </c>
      <c r="E1232" s="2" t="str">
        <f aca="false">INDEX(Products!$B$2:$B$13,MATCH(D1232,Products!$A$2:$A$13,0))</f>
        <v>FCC</v>
      </c>
      <c r="F1232" s="15" t="n">
        <v>20</v>
      </c>
      <c r="G1232" s="16" t="n">
        <f aca="false">IF(A1232="2025",INDEX(Products!$C$2:$C$13,MATCH(D1232,Products!$A$2:$A$13,0)),INDEX(Products!$E$2:$E$13,MATCH(D1232,Products!$A$2:$A$13,0)))</f>
        <v>3270</v>
      </c>
      <c r="H1232" s="13" t="n">
        <f aca="false">IF(A1232="2025",INDEX(Customers!$D$2:$D$41,MATCH(C1232,Customers!$A$2:$A$41,0)),INDEX(Customers!$F$2:$F$41,MATCH(C1232,Customers!$A$2:$A$41,0)))</f>
        <v>0.097</v>
      </c>
      <c r="I1232" s="16" t="n">
        <f aca="false">F1232*G1232</f>
        <v>65400</v>
      </c>
      <c r="J1232" s="16" t="n">
        <f aca="false">I1232*(1-H1232)</f>
        <v>59056.2</v>
      </c>
      <c r="K1232" s="16" t="n">
        <f aca="false">J1232*INDEX(Customers!$G$2:$G$41,MATCH(C1232,Customers!$A$2:$A$41,0))</f>
        <v>590.562</v>
      </c>
      <c r="L1232" s="16" t="n">
        <f aca="false">F1232*INDEX(Customers!$H$2:$H$41,MATCH(C1232,Customers!$A$2:$A$41,0))</f>
        <v>1800</v>
      </c>
      <c r="M1232" s="16" t="n">
        <f aca="false">J1232*INDEX(Customers!$I$2:$I$41,MATCH(C1232,Customers!$A$2:$A$41,0))/365*Assumptions!$B$6</f>
        <v>1164.94421917808</v>
      </c>
      <c r="N1232" s="16" t="n">
        <f aca="false">J1232-K1232-L1232-M1232</f>
        <v>55500.6937808219</v>
      </c>
      <c r="O1232" s="16" t="n">
        <f aca="false">F1232*IF(A1232="2025",INDEX(Products!$D$2:$D$13,MATCH(D1232,Products!$A$2:$A$13,0)),INDEX(Products!$F$2:$F$13,MATCH(D1232,Products!$A$2:$A$13,0)))</f>
        <v>43800</v>
      </c>
      <c r="P1232" s="16" t="n">
        <f aca="false">N1232-O1232</f>
        <v>11700.6937808219</v>
      </c>
    </row>
    <row r="1233" customFormat="false" ht="15" hidden="false" customHeight="false" outlineLevel="0" collapsed="false">
      <c r="A1233" s="2" t="s">
        <v>118</v>
      </c>
      <c r="B1233" s="2" t="n">
        <v>8</v>
      </c>
      <c r="C1233" s="2" t="s">
        <v>81</v>
      </c>
      <c r="D1233" s="2" t="s">
        <v>34</v>
      </c>
      <c r="E1233" s="2" t="str">
        <f aca="false">INDEX(Products!$B$2:$B$13,MATCH(D1233,Products!$A$2:$A$13,0))</f>
        <v>FCC</v>
      </c>
      <c r="F1233" s="15" t="n">
        <v>16.4</v>
      </c>
      <c r="G1233" s="16" t="n">
        <f aca="false">IF(A1233="2025",INDEX(Products!$C$2:$C$13,MATCH(D1233,Products!$A$2:$A$13,0)),INDEX(Products!$E$2:$E$13,MATCH(D1233,Products!$A$2:$A$13,0)))</f>
        <v>3270</v>
      </c>
      <c r="H1233" s="13" t="n">
        <f aca="false">IF(A1233="2025",INDEX(Customers!$D$2:$D$41,MATCH(C1233,Customers!$A$2:$A$41,0)),INDEX(Customers!$F$2:$F$41,MATCH(C1233,Customers!$A$2:$A$41,0)))</f>
        <v>0.097</v>
      </c>
      <c r="I1233" s="16" t="n">
        <f aca="false">F1233*G1233</f>
        <v>53628</v>
      </c>
      <c r="J1233" s="16" t="n">
        <f aca="false">I1233*(1-H1233)</f>
        <v>48426.084</v>
      </c>
      <c r="K1233" s="16" t="n">
        <f aca="false">J1233*INDEX(Customers!$G$2:$G$41,MATCH(C1233,Customers!$A$2:$A$41,0))</f>
        <v>484.26084</v>
      </c>
      <c r="L1233" s="16" t="n">
        <f aca="false">F1233*INDEX(Customers!$H$2:$H$41,MATCH(C1233,Customers!$A$2:$A$41,0))</f>
        <v>1476</v>
      </c>
      <c r="M1233" s="16" t="n">
        <f aca="false">J1233*INDEX(Customers!$I$2:$I$41,MATCH(C1233,Customers!$A$2:$A$41,0))/365*Assumptions!$B$6</f>
        <v>955.254259726027</v>
      </c>
      <c r="N1233" s="16" t="n">
        <f aca="false">J1233-K1233-L1233-M1233</f>
        <v>45510.568900274</v>
      </c>
      <c r="O1233" s="16" t="n">
        <f aca="false">F1233*IF(A1233="2025",INDEX(Products!$D$2:$D$13,MATCH(D1233,Products!$A$2:$A$13,0)),INDEX(Products!$F$2:$F$13,MATCH(D1233,Products!$A$2:$A$13,0)))</f>
        <v>35916</v>
      </c>
      <c r="P1233" s="16" t="n">
        <f aca="false">N1233-O1233</f>
        <v>9594.56890027397</v>
      </c>
    </row>
    <row r="1234" customFormat="false" ht="15" hidden="false" customHeight="false" outlineLevel="0" collapsed="false">
      <c r="A1234" s="2" t="s">
        <v>118</v>
      </c>
      <c r="B1234" s="2" t="n">
        <v>9</v>
      </c>
      <c r="C1234" s="2" t="s">
        <v>81</v>
      </c>
      <c r="D1234" s="2" t="s">
        <v>34</v>
      </c>
      <c r="E1234" s="2" t="str">
        <f aca="false">INDEX(Products!$B$2:$B$13,MATCH(D1234,Products!$A$2:$A$13,0))</f>
        <v>FCC</v>
      </c>
      <c r="F1234" s="15" t="n">
        <v>23.6</v>
      </c>
      <c r="G1234" s="16" t="n">
        <f aca="false">IF(A1234="2025",INDEX(Products!$C$2:$C$13,MATCH(D1234,Products!$A$2:$A$13,0)),INDEX(Products!$E$2:$E$13,MATCH(D1234,Products!$A$2:$A$13,0)))</f>
        <v>3270</v>
      </c>
      <c r="H1234" s="13" t="n">
        <f aca="false">IF(A1234="2025",INDEX(Customers!$D$2:$D$41,MATCH(C1234,Customers!$A$2:$A$41,0)),INDEX(Customers!$F$2:$F$41,MATCH(C1234,Customers!$A$2:$A$41,0)))</f>
        <v>0.097</v>
      </c>
      <c r="I1234" s="16" t="n">
        <f aca="false">F1234*G1234</f>
        <v>77172</v>
      </c>
      <c r="J1234" s="16" t="n">
        <f aca="false">I1234*(1-H1234)</f>
        <v>69686.316</v>
      </c>
      <c r="K1234" s="16" t="n">
        <f aca="false">J1234*INDEX(Customers!$G$2:$G$41,MATCH(C1234,Customers!$A$2:$A$41,0))</f>
        <v>696.86316</v>
      </c>
      <c r="L1234" s="16" t="n">
        <f aca="false">F1234*INDEX(Customers!$H$2:$H$41,MATCH(C1234,Customers!$A$2:$A$41,0))</f>
        <v>2124</v>
      </c>
      <c r="M1234" s="16" t="n">
        <f aca="false">J1234*INDEX(Customers!$I$2:$I$41,MATCH(C1234,Customers!$A$2:$A$41,0))/365*Assumptions!$B$6</f>
        <v>1374.63417863014</v>
      </c>
      <c r="N1234" s="16" t="n">
        <f aca="false">J1234-K1234-L1234-M1234</f>
        <v>65490.8186613699</v>
      </c>
      <c r="O1234" s="16" t="n">
        <f aca="false">F1234*IF(A1234="2025",INDEX(Products!$D$2:$D$13,MATCH(D1234,Products!$A$2:$A$13,0)),INDEX(Products!$F$2:$F$13,MATCH(D1234,Products!$A$2:$A$13,0)))</f>
        <v>51684</v>
      </c>
      <c r="P1234" s="16" t="n">
        <f aca="false">N1234-O1234</f>
        <v>13806.8186613699</v>
      </c>
    </row>
    <row r="1235" customFormat="false" ht="15" hidden="false" customHeight="false" outlineLevel="0" collapsed="false">
      <c r="A1235" s="2" t="s">
        <v>118</v>
      </c>
      <c r="B1235" s="2" t="n">
        <v>10</v>
      </c>
      <c r="C1235" s="2" t="s">
        <v>81</v>
      </c>
      <c r="D1235" s="2" t="s">
        <v>34</v>
      </c>
      <c r="E1235" s="2" t="str">
        <f aca="false">INDEX(Products!$B$2:$B$13,MATCH(D1235,Products!$A$2:$A$13,0))</f>
        <v>FCC</v>
      </c>
      <c r="F1235" s="15" t="n">
        <v>18.9</v>
      </c>
      <c r="G1235" s="16" t="n">
        <f aca="false">IF(A1235="2025",INDEX(Products!$C$2:$C$13,MATCH(D1235,Products!$A$2:$A$13,0)),INDEX(Products!$E$2:$E$13,MATCH(D1235,Products!$A$2:$A$13,0)))</f>
        <v>3270</v>
      </c>
      <c r="H1235" s="13" t="n">
        <f aca="false">IF(A1235="2025",INDEX(Customers!$D$2:$D$41,MATCH(C1235,Customers!$A$2:$A$41,0)),INDEX(Customers!$F$2:$F$41,MATCH(C1235,Customers!$A$2:$A$41,0)))</f>
        <v>0.097</v>
      </c>
      <c r="I1235" s="16" t="n">
        <f aca="false">F1235*G1235</f>
        <v>61803</v>
      </c>
      <c r="J1235" s="16" t="n">
        <f aca="false">I1235*(1-H1235)</f>
        <v>55808.109</v>
      </c>
      <c r="K1235" s="16" t="n">
        <f aca="false">J1235*INDEX(Customers!$G$2:$G$41,MATCH(C1235,Customers!$A$2:$A$41,0))</f>
        <v>558.08109</v>
      </c>
      <c r="L1235" s="16" t="n">
        <f aca="false">F1235*INDEX(Customers!$H$2:$H$41,MATCH(C1235,Customers!$A$2:$A$41,0))</f>
        <v>1701</v>
      </c>
      <c r="M1235" s="16" t="n">
        <f aca="false">J1235*INDEX(Customers!$I$2:$I$41,MATCH(C1235,Customers!$A$2:$A$41,0))/365*Assumptions!$B$6</f>
        <v>1100.87228712329</v>
      </c>
      <c r="N1235" s="16" t="n">
        <f aca="false">J1235-K1235-L1235-M1235</f>
        <v>52448.1556228767</v>
      </c>
      <c r="O1235" s="16" t="n">
        <f aca="false">F1235*IF(A1235="2025",INDEX(Products!$D$2:$D$13,MATCH(D1235,Products!$A$2:$A$13,0)),INDEX(Products!$F$2:$F$13,MATCH(D1235,Products!$A$2:$A$13,0)))</f>
        <v>41391</v>
      </c>
      <c r="P1235" s="16" t="n">
        <f aca="false">N1235-O1235</f>
        <v>11057.1556228767</v>
      </c>
    </row>
    <row r="1236" customFormat="false" ht="15" hidden="false" customHeight="false" outlineLevel="0" collapsed="false">
      <c r="A1236" s="2" t="s">
        <v>118</v>
      </c>
      <c r="B1236" s="2" t="n">
        <v>11</v>
      </c>
      <c r="C1236" s="2" t="s">
        <v>81</v>
      </c>
      <c r="D1236" s="2" t="s">
        <v>34</v>
      </c>
      <c r="E1236" s="2" t="str">
        <f aca="false">INDEX(Products!$B$2:$B$13,MATCH(D1236,Products!$A$2:$A$13,0))</f>
        <v>FCC</v>
      </c>
      <c r="F1236" s="15" t="n">
        <v>15.6</v>
      </c>
      <c r="G1236" s="16" t="n">
        <f aca="false">IF(A1236="2025",INDEX(Products!$C$2:$C$13,MATCH(D1236,Products!$A$2:$A$13,0)),INDEX(Products!$E$2:$E$13,MATCH(D1236,Products!$A$2:$A$13,0)))</f>
        <v>3270</v>
      </c>
      <c r="H1236" s="13" t="n">
        <f aca="false">IF(A1236="2025",INDEX(Customers!$D$2:$D$41,MATCH(C1236,Customers!$A$2:$A$41,0)),INDEX(Customers!$F$2:$F$41,MATCH(C1236,Customers!$A$2:$A$41,0)))</f>
        <v>0.097</v>
      </c>
      <c r="I1236" s="16" t="n">
        <f aca="false">F1236*G1236</f>
        <v>51012</v>
      </c>
      <c r="J1236" s="16" t="n">
        <f aca="false">I1236*(1-H1236)</f>
        <v>46063.836</v>
      </c>
      <c r="K1236" s="16" t="n">
        <f aca="false">J1236*INDEX(Customers!$G$2:$G$41,MATCH(C1236,Customers!$A$2:$A$41,0))</f>
        <v>460.63836</v>
      </c>
      <c r="L1236" s="16" t="n">
        <f aca="false">F1236*INDEX(Customers!$H$2:$H$41,MATCH(C1236,Customers!$A$2:$A$41,0))</f>
        <v>1404</v>
      </c>
      <c r="M1236" s="16" t="n">
        <f aca="false">J1236*INDEX(Customers!$I$2:$I$41,MATCH(C1236,Customers!$A$2:$A$41,0))/365*Assumptions!$B$6</f>
        <v>908.656490958904</v>
      </c>
      <c r="N1236" s="16" t="n">
        <f aca="false">J1236-K1236-L1236-M1236</f>
        <v>43290.5411490411</v>
      </c>
      <c r="O1236" s="16" t="n">
        <f aca="false">F1236*IF(A1236="2025",INDEX(Products!$D$2:$D$13,MATCH(D1236,Products!$A$2:$A$13,0)),INDEX(Products!$F$2:$F$13,MATCH(D1236,Products!$A$2:$A$13,0)))</f>
        <v>34164</v>
      </c>
      <c r="P1236" s="16" t="n">
        <f aca="false">N1236-O1236</f>
        <v>9126.5411490411</v>
      </c>
    </row>
    <row r="1237" customFormat="false" ht="15" hidden="false" customHeight="false" outlineLevel="0" collapsed="false">
      <c r="A1237" s="2" t="s">
        <v>118</v>
      </c>
      <c r="B1237" s="2" t="n">
        <v>12</v>
      </c>
      <c r="C1237" s="2" t="s">
        <v>81</v>
      </c>
      <c r="D1237" s="2" t="s">
        <v>34</v>
      </c>
      <c r="E1237" s="2" t="str">
        <f aca="false">INDEX(Products!$B$2:$B$13,MATCH(D1237,Products!$A$2:$A$13,0))</f>
        <v>FCC</v>
      </c>
      <c r="F1237" s="15" t="n">
        <v>21.2</v>
      </c>
      <c r="G1237" s="16" t="n">
        <f aca="false">IF(A1237="2025",INDEX(Products!$C$2:$C$13,MATCH(D1237,Products!$A$2:$A$13,0)),INDEX(Products!$E$2:$E$13,MATCH(D1237,Products!$A$2:$A$13,0)))</f>
        <v>3270</v>
      </c>
      <c r="H1237" s="13" t="n">
        <f aca="false">IF(A1237="2025",INDEX(Customers!$D$2:$D$41,MATCH(C1237,Customers!$A$2:$A$41,0)),INDEX(Customers!$F$2:$F$41,MATCH(C1237,Customers!$A$2:$A$41,0)))</f>
        <v>0.097</v>
      </c>
      <c r="I1237" s="16" t="n">
        <f aca="false">F1237*G1237</f>
        <v>69324</v>
      </c>
      <c r="J1237" s="16" t="n">
        <f aca="false">I1237*(1-H1237)</f>
        <v>62599.572</v>
      </c>
      <c r="K1237" s="16" t="n">
        <f aca="false">J1237*INDEX(Customers!$G$2:$G$41,MATCH(C1237,Customers!$A$2:$A$41,0))</f>
        <v>625.99572</v>
      </c>
      <c r="L1237" s="16" t="n">
        <f aca="false">F1237*INDEX(Customers!$H$2:$H$41,MATCH(C1237,Customers!$A$2:$A$41,0))</f>
        <v>1908</v>
      </c>
      <c r="M1237" s="16" t="n">
        <f aca="false">J1237*INDEX(Customers!$I$2:$I$41,MATCH(C1237,Customers!$A$2:$A$41,0))/365*Assumptions!$B$6</f>
        <v>1234.84087232877</v>
      </c>
      <c r="N1237" s="16" t="n">
        <f aca="false">J1237-K1237-L1237-M1237</f>
        <v>58830.7354076712</v>
      </c>
      <c r="O1237" s="16" t="n">
        <f aca="false">F1237*IF(A1237="2025",INDEX(Products!$D$2:$D$13,MATCH(D1237,Products!$A$2:$A$13,0)),INDEX(Products!$F$2:$F$13,MATCH(D1237,Products!$A$2:$A$13,0)))</f>
        <v>46428</v>
      </c>
      <c r="P1237" s="16" t="n">
        <f aca="false">N1237-O1237</f>
        <v>12402.7354076712</v>
      </c>
    </row>
    <row r="1238" customFormat="false" ht="15" hidden="false" customHeight="false" outlineLevel="0" collapsed="false">
      <c r="A1238" s="2" t="s">
        <v>119</v>
      </c>
      <c r="B1238" s="2" t="n">
        <v>1</v>
      </c>
      <c r="C1238" s="2" t="s">
        <v>81</v>
      </c>
      <c r="D1238" s="2" t="s">
        <v>34</v>
      </c>
      <c r="E1238" s="2" t="str">
        <f aca="false">INDEX(Products!$B$2:$B$13,MATCH(D1238,Products!$A$2:$A$13,0))</f>
        <v>FCC</v>
      </c>
      <c r="F1238" s="15" t="n">
        <v>12.4</v>
      </c>
      <c r="G1238" s="16" t="n">
        <f aca="false">IF(A1238="2025",INDEX(Products!$C$2:$C$13,MATCH(D1238,Products!$A$2:$A$13,0)),INDEX(Products!$E$2:$E$13,MATCH(D1238,Products!$A$2:$A$13,0)))</f>
        <v>3433.5</v>
      </c>
      <c r="H1238" s="13" t="n">
        <f aca="false">IF(A1238="2025",INDEX(Customers!$D$2:$D$41,MATCH(C1238,Customers!$A$2:$A$41,0)),INDEX(Customers!$F$2:$F$41,MATCH(C1238,Customers!$A$2:$A$41,0)))</f>
        <v>0.131</v>
      </c>
      <c r="I1238" s="16" t="n">
        <f aca="false">F1238*G1238</f>
        <v>42575.4</v>
      </c>
      <c r="J1238" s="16" t="n">
        <f aca="false">I1238*(1-H1238)</f>
        <v>36998.0226</v>
      </c>
      <c r="K1238" s="16" t="n">
        <f aca="false">J1238*INDEX(Customers!$G$2:$G$41,MATCH(C1238,Customers!$A$2:$A$41,0))</f>
        <v>369.980226</v>
      </c>
      <c r="L1238" s="16" t="n">
        <f aca="false">F1238*INDEX(Customers!$H$2:$H$41,MATCH(C1238,Customers!$A$2:$A$41,0))</f>
        <v>1116</v>
      </c>
      <c r="M1238" s="16" t="n">
        <f aca="false">J1238*INDEX(Customers!$I$2:$I$41,MATCH(C1238,Customers!$A$2:$A$41,0))/365*Assumptions!$B$6</f>
        <v>729.824007452055</v>
      </c>
      <c r="N1238" s="16" t="n">
        <f aca="false">J1238-K1238-L1238-M1238</f>
        <v>34782.2183665479</v>
      </c>
      <c r="O1238" s="16" t="n">
        <f aca="false">F1238*IF(A1238="2025",INDEX(Products!$D$2:$D$13,MATCH(D1238,Products!$A$2:$A$13,0)),INDEX(Products!$F$2:$F$13,MATCH(D1238,Products!$A$2:$A$13,0)))</f>
        <v>27970.68</v>
      </c>
      <c r="P1238" s="16" t="n">
        <f aca="false">N1238-O1238</f>
        <v>6811.53836654794</v>
      </c>
    </row>
    <row r="1239" customFormat="false" ht="15" hidden="false" customHeight="false" outlineLevel="0" collapsed="false">
      <c r="A1239" s="2" t="s">
        <v>119</v>
      </c>
      <c r="B1239" s="2" t="n">
        <v>2</v>
      </c>
      <c r="C1239" s="2" t="s">
        <v>81</v>
      </c>
      <c r="D1239" s="2" t="s">
        <v>34</v>
      </c>
      <c r="E1239" s="2" t="str">
        <f aca="false">INDEX(Products!$B$2:$B$13,MATCH(D1239,Products!$A$2:$A$13,0))</f>
        <v>FCC</v>
      </c>
      <c r="F1239" s="15" t="n">
        <v>12.1</v>
      </c>
      <c r="G1239" s="16" t="n">
        <f aca="false">IF(A1239="2025",INDEX(Products!$C$2:$C$13,MATCH(D1239,Products!$A$2:$A$13,0)),INDEX(Products!$E$2:$E$13,MATCH(D1239,Products!$A$2:$A$13,0)))</f>
        <v>3433.5</v>
      </c>
      <c r="H1239" s="13" t="n">
        <f aca="false">IF(A1239="2025",INDEX(Customers!$D$2:$D$41,MATCH(C1239,Customers!$A$2:$A$41,0)),INDEX(Customers!$F$2:$F$41,MATCH(C1239,Customers!$A$2:$A$41,0)))</f>
        <v>0.131</v>
      </c>
      <c r="I1239" s="16" t="n">
        <f aca="false">F1239*G1239</f>
        <v>41545.35</v>
      </c>
      <c r="J1239" s="16" t="n">
        <f aca="false">I1239*(1-H1239)</f>
        <v>36102.90915</v>
      </c>
      <c r="K1239" s="16" t="n">
        <f aca="false">J1239*INDEX(Customers!$G$2:$G$41,MATCH(C1239,Customers!$A$2:$A$41,0))</f>
        <v>361.0290915</v>
      </c>
      <c r="L1239" s="16" t="n">
        <f aca="false">F1239*INDEX(Customers!$H$2:$H$41,MATCH(C1239,Customers!$A$2:$A$41,0))</f>
        <v>1089</v>
      </c>
      <c r="M1239" s="16" t="n">
        <f aca="false">J1239*INDEX(Customers!$I$2:$I$41,MATCH(C1239,Customers!$A$2:$A$41,0))/365*Assumptions!$B$6</f>
        <v>712.166975013699</v>
      </c>
      <c r="N1239" s="16" t="n">
        <f aca="false">J1239-K1239-L1239-M1239</f>
        <v>33940.7130834863</v>
      </c>
      <c r="O1239" s="16" t="n">
        <f aca="false">F1239*IF(A1239="2025",INDEX(Products!$D$2:$D$13,MATCH(D1239,Products!$A$2:$A$13,0)),INDEX(Products!$F$2:$F$13,MATCH(D1239,Products!$A$2:$A$13,0)))</f>
        <v>27293.97</v>
      </c>
      <c r="P1239" s="16" t="n">
        <f aca="false">N1239-O1239</f>
        <v>6646.7430834863</v>
      </c>
    </row>
    <row r="1240" customFormat="false" ht="15" hidden="false" customHeight="false" outlineLevel="0" collapsed="false">
      <c r="A1240" s="2" t="s">
        <v>119</v>
      </c>
      <c r="B1240" s="2" t="n">
        <v>3</v>
      </c>
      <c r="C1240" s="2" t="s">
        <v>81</v>
      </c>
      <c r="D1240" s="2" t="s">
        <v>34</v>
      </c>
      <c r="E1240" s="2" t="str">
        <f aca="false">INDEX(Products!$B$2:$B$13,MATCH(D1240,Products!$A$2:$A$13,0))</f>
        <v>FCC</v>
      </c>
      <c r="F1240" s="15" t="n">
        <v>19.8</v>
      </c>
      <c r="G1240" s="16" t="n">
        <f aca="false">IF(A1240="2025",INDEX(Products!$C$2:$C$13,MATCH(D1240,Products!$A$2:$A$13,0)),INDEX(Products!$E$2:$E$13,MATCH(D1240,Products!$A$2:$A$13,0)))</f>
        <v>3433.5</v>
      </c>
      <c r="H1240" s="13" t="n">
        <f aca="false">IF(A1240="2025",INDEX(Customers!$D$2:$D$41,MATCH(C1240,Customers!$A$2:$A$41,0)),INDEX(Customers!$F$2:$F$41,MATCH(C1240,Customers!$A$2:$A$41,0)))</f>
        <v>0.131</v>
      </c>
      <c r="I1240" s="16" t="n">
        <f aca="false">F1240*G1240</f>
        <v>67983.3</v>
      </c>
      <c r="J1240" s="16" t="n">
        <f aca="false">I1240*(1-H1240)</f>
        <v>59077.4877</v>
      </c>
      <c r="K1240" s="16" t="n">
        <f aca="false">J1240*INDEX(Customers!$G$2:$G$41,MATCH(C1240,Customers!$A$2:$A$41,0))</f>
        <v>590.774877</v>
      </c>
      <c r="L1240" s="16" t="n">
        <f aca="false">F1240*INDEX(Customers!$H$2:$H$41,MATCH(C1240,Customers!$A$2:$A$41,0))</f>
        <v>1782</v>
      </c>
      <c r="M1240" s="16" t="n">
        <f aca="false">J1240*INDEX(Customers!$I$2:$I$41,MATCH(C1240,Customers!$A$2:$A$41,0))/365*Assumptions!$B$6</f>
        <v>1165.36414093151</v>
      </c>
      <c r="N1240" s="16" t="n">
        <f aca="false">J1240-K1240-L1240-M1240</f>
        <v>55539.3486820685</v>
      </c>
      <c r="O1240" s="16" t="n">
        <f aca="false">F1240*IF(A1240="2025",INDEX(Products!$D$2:$D$13,MATCH(D1240,Products!$A$2:$A$13,0)),INDEX(Products!$F$2:$F$13,MATCH(D1240,Products!$A$2:$A$13,0)))</f>
        <v>44662.86</v>
      </c>
      <c r="P1240" s="16" t="n">
        <f aca="false">N1240-O1240</f>
        <v>10876.4886820685</v>
      </c>
    </row>
    <row r="1241" customFormat="false" ht="15" hidden="false" customHeight="false" outlineLevel="0" collapsed="false">
      <c r="A1241" s="2" t="s">
        <v>119</v>
      </c>
      <c r="B1241" s="2" t="n">
        <v>4</v>
      </c>
      <c r="C1241" s="2" t="s">
        <v>81</v>
      </c>
      <c r="D1241" s="2" t="s">
        <v>34</v>
      </c>
      <c r="E1241" s="2" t="str">
        <f aca="false">INDEX(Products!$B$2:$B$13,MATCH(D1241,Products!$A$2:$A$13,0))</f>
        <v>FCC</v>
      </c>
      <c r="F1241" s="15" t="n">
        <v>15</v>
      </c>
      <c r="G1241" s="16" t="n">
        <f aca="false">IF(A1241="2025",INDEX(Products!$C$2:$C$13,MATCH(D1241,Products!$A$2:$A$13,0)),INDEX(Products!$E$2:$E$13,MATCH(D1241,Products!$A$2:$A$13,0)))</f>
        <v>3433.5</v>
      </c>
      <c r="H1241" s="13" t="n">
        <f aca="false">IF(A1241="2025",INDEX(Customers!$D$2:$D$41,MATCH(C1241,Customers!$A$2:$A$41,0)),INDEX(Customers!$F$2:$F$41,MATCH(C1241,Customers!$A$2:$A$41,0)))</f>
        <v>0.131</v>
      </c>
      <c r="I1241" s="16" t="n">
        <f aca="false">F1241*G1241</f>
        <v>51502.5</v>
      </c>
      <c r="J1241" s="16" t="n">
        <f aca="false">I1241*(1-H1241)</f>
        <v>44755.6725</v>
      </c>
      <c r="K1241" s="16" t="n">
        <f aca="false">J1241*INDEX(Customers!$G$2:$G$41,MATCH(C1241,Customers!$A$2:$A$41,0))</f>
        <v>447.556725</v>
      </c>
      <c r="L1241" s="16" t="n">
        <f aca="false">F1241*INDEX(Customers!$H$2:$H$41,MATCH(C1241,Customers!$A$2:$A$41,0))</f>
        <v>1350</v>
      </c>
      <c r="M1241" s="16" t="n">
        <f aca="false">J1241*INDEX(Customers!$I$2:$I$41,MATCH(C1241,Customers!$A$2:$A$41,0))/365*Assumptions!$B$6</f>
        <v>882.851621917808</v>
      </c>
      <c r="N1241" s="16" t="n">
        <f aca="false">J1241-K1241-L1241-M1241</f>
        <v>42075.2641530822</v>
      </c>
      <c r="O1241" s="16" t="n">
        <f aca="false">F1241*IF(A1241="2025",INDEX(Products!$D$2:$D$13,MATCH(D1241,Products!$A$2:$A$13,0)),INDEX(Products!$F$2:$F$13,MATCH(D1241,Products!$A$2:$A$13,0)))</f>
        <v>33835.5</v>
      </c>
      <c r="P1241" s="16" t="n">
        <f aca="false">N1241-O1241</f>
        <v>8239.76415308219</v>
      </c>
    </row>
    <row r="1242" customFormat="false" ht="15" hidden="false" customHeight="false" outlineLevel="0" collapsed="false">
      <c r="A1242" s="2" t="s">
        <v>119</v>
      </c>
      <c r="B1242" s="2" t="n">
        <v>5</v>
      </c>
      <c r="C1242" s="2" t="s">
        <v>81</v>
      </c>
      <c r="D1242" s="2" t="s">
        <v>34</v>
      </c>
      <c r="E1242" s="2" t="str">
        <f aca="false">INDEX(Products!$B$2:$B$13,MATCH(D1242,Products!$A$2:$A$13,0))</f>
        <v>FCC</v>
      </c>
      <c r="F1242" s="15" t="n">
        <v>18.1</v>
      </c>
      <c r="G1242" s="16" t="n">
        <f aca="false">IF(A1242="2025",INDEX(Products!$C$2:$C$13,MATCH(D1242,Products!$A$2:$A$13,0)),INDEX(Products!$E$2:$E$13,MATCH(D1242,Products!$A$2:$A$13,0)))</f>
        <v>3433.5</v>
      </c>
      <c r="H1242" s="13" t="n">
        <f aca="false">IF(A1242="2025",INDEX(Customers!$D$2:$D$41,MATCH(C1242,Customers!$A$2:$A$41,0)),INDEX(Customers!$F$2:$F$41,MATCH(C1242,Customers!$A$2:$A$41,0)))</f>
        <v>0.131</v>
      </c>
      <c r="I1242" s="16" t="n">
        <f aca="false">F1242*G1242</f>
        <v>62146.35</v>
      </c>
      <c r="J1242" s="16" t="n">
        <f aca="false">I1242*(1-H1242)</f>
        <v>54005.17815</v>
      </c>
      <c r="K1242" s="16" t="n">
        <f aca="false">J1242*INDEX(Customers!$G$2:$G$41,MATCH(C1242,Customers!$A$2:$A$41,0))</f>
        <v>540.0517815</v>
      </c>
      <c r="L1242" s="16" t="n">
        <f aca="false">F1242*INDEX(Customers!$H$2:$H$41,MATCH(C1242,Customers!$A$2:$A$41,0))</f>
        <v>1629</v>
      </c>
      <c r="M1242" s="16" t="n">
        <f aca="false">J1242*INDEX(Customers!$I$2:$I$41,MATCH(C1242,Customers!$A$2:$A$41,0))/365*Assumptions!$B$6</f>
        <v>1065.30762378082</v>
      </c>
      <c r="N1242" s="16" t="n">
        <f aca="false">J1242-K1242-L1242-M1242</f>
        <v>50770.8187447192</v>
      </c>
      <c r="O1242" s="16" t="n">
        <f aca="false">F1242*IF(A1242="2025",INDEX(Products!$D$2:$D$13,MATCH(D1242,Products!$A$2:$A$13,0)),INDEX(Products!$F$2:$F$13,MATCH(D1242,Products!$A$2:$A$13,0)))</f>
        <v>40828.17</v>
      </c>
      <c r="P1242" s="16" t="n">
        <f aca="false">N1242-O1242</f>
        <v>9942.64874471918</v>
      </c>
    </row>
    <row r="1243" customFormat="false" ht="15" hidden="false" customHeight="false" outlineLevel="0" collapsed="false">
      <c r="A1243" s="2" t="s">
        <v>119</v>
      </c>
      <c r="B1243" s="2" t="n">
        <v>6</v>
      </c>
      <c r="C1243" s="2" t="s">
        <v>81</v>
      </c>
      <c r="D1243" s="2" t="s">
        <v>34</v>
      </c>
      <c r="E1243" s="2" t="str">
        <f aca="false">INDEX(Products!$B$2:$B$13,MATCH(D1243,Products!$A$2:$A$13,0))</f>
        <v>FCC</v>
      </c>
      <c r="F1243" s="15" t="n">
        <v>16.4</v>
      </c>
      <c r="G1243" s="16" t="n">
        <f aca="false">IF(A1243="2025",INDEX(Products!$C$2:$C$13,MATCH(D1243,Products!$A$2:$A$13,0)),INDEX(Products!$E$2:$E$13,MATCH(D1243,Products!$A$2:$A$13,0)))</f>
        <v>3433.5</v>
      </c>
      <c r="H1243" s="13" t="n">
        <f aca="false">IF(A1243="2025",INDEX(Customers!$D$2:$D$41,MATCH(C1243,Customers!$A$2:$A$41,0)),INDEX(Customers!$F$2:$F$41,MATCH(C1243,Customers!$A$2:$A$41,0)))</f>
        <v>0.131</v>
      </c>
      <c r="I1243" s="16" t="n">
        <f aca="false">F1243*G1243</f>
        <v>56309.4</v>
      </c>
      <c r="J1243" s="16" t="n">
        <f aca="false">I1243*(1-H1243)</f>
        <v>48932.8686</v>
      </c>
      <c r="K1243" s="16" t="n">
        <f aca="false">J1243*INDEX(Customers!$G$2:$G$41,MATCH(C1243,Customers!$A$2:$A$41,0))</f>
        <v>489.328686</v>
      </c>
      <c r="L1243" s="16" t="n">
        <f aca="false">F1243*INDEX(Customers!$H$2:$H$41,MATCH(C1243,Customers!$A$2:$A$41,0))</f>
        <v>1476</v>
      </c>
      <c r="M1243" s="16" t="n">
        <f aca="false">J1243*INDEX(Customers!$I$2:$I$41,MATCH(C1243,Customers!$A$2:$A$41,0))/365*Assumptions!$B$6</f>
        <v>965.251106630137</v>
      </c>
      <c r="N1243" s="16" t="n">
        <f aca="false">J1243-K1243-L1243-M1243</f>
        <v>46002.2888073699</v>
      </c>
      <c r="O1243" s="16" t="n">
        <f aca="false">F1243*IF(A1243="2025",INDEX(Products!$D$2:$D$13,MATCH(D1243,Products!$A$2:$A$13,0)),INDEX(Products!$F$2:$F$13,MATCH(D1243,Products!$A$2:$A$13,0)))</f>
        <v>36993.48</v>
      </c>
      <c r="P1243" s="16" t="n">
        <f aca="false">N1243-O1243</f>
        <v>9008.80880736985</v>
      </c>
    </row>
    <row r="1244" customFormat="false" ht="15" hidden="false" customHeight="false" outlineLevel="0" collapsed="false">
      <c r="A1244" s="2" t="s">
        <v>119</v>
      </c>
      <c r="B1244" s="2" t="n">
        <v>7</v>
      </c>
      <c r="C1244" s="2" t="s">
        <v>81</v>
      </c>
      <c r="D1244" s="2" t="s">
        <v>34</v>
      </c>
      <c r="E1244" s="2" t="str">
        <f aca="false">INDEX(Products!$B$2:$B$13,MATCH(D1244,Products!$A$2:$A$13,0))</f>
        <v>FCC</v>
      </c>
      <c r="F1244" s="15" t="n">
        <v>21.9</v>
      </c>
      <c r="G1244" s="16" t="n">
        <f aca="false">IF(A1244="2025",INDEX(Products!$C$2:$C$13,MATCH(D1244,Products!$A$2:$A$13,0)),INDEX(Products!$E$2:$E$13,MATCH(D1244,Products!$A$2:$A$13,0)))</f>
        <v>3433.5</v>
      </c>
      <c r="H1244" s="13" t="n">
        <f aca="false">IF(A1244="2025",INDEX(Customers!$D$2:$D$41,MATCH(C1244,Customers!$A$2:$A$41,0)),INDEX(Customers!$F$2:$F$41,MATCH(C1244,Customers!$A$2:$A$41,0)))</f>
        <v>0.131</v>
      </c>
      <c r="I1244" s="16" t="n">
        <f aca="false">F1244*G1244</f>
        <v>75193.65</v>
      </c>
      <c r="J1244" s="16" t="n">
        <f aca="false">I1244*(1-H1244)</f>
        <v>65343.28185</v>
      </c>
      <c r="K1244" s="16" t="n">
        <f aca="false">J1244*INDEX(Customers!$G$2:$G$41,MATCH(C1244,Customers!$A$2:$A$41,0))</f>
        <v>653.4328185</v>
      </c>
      <c r="L1244" s="16" t="n">
        <f aca="false">F1244*INDEX(Customers!$H$2:$H$41,MATCH(C1244,Customers!$A$2:$A$41,0))</f>
        <v>1971</v>
      </c>
      <c r="M1244" s="16" t="n">
        <f aca="false">J1244*INDEX(Customers!$I$2:$I$41,MATCH(C1244,Customers!$A$2:$A$41,0))/365*Assumptions!$B$6</f>
        <v>1288.963368</v>
      </c>
      <c r="N1244" s="16" t="n">
        <f aca="false">J1244-K1244-L1244-M1244</f>
        <v>61429.8856635</v>
      </c>
      <c r="O1244" s="16" t="n">
        <f aca="false">F1244*IF(A1244="2025",INDEX(Products!$D$2:$D$13,MATCH(D1244,Products!$A$2:$A$13,0)),INDEX(Products!$F$2:$F$13,MATCH(D1244,Products!$A$2:$A$13,0)))</f>
        <v>49399.83</v>
      </c>
      <c r="P1244" s="16" t="n">
        <f aca="false">N1244-O1244</f>
        <v>12030.0556635</v>
      </c>
    </row>
    <row r="1245" customFormat="false" ht="15" hidden="false" customHeight="false" outlineLevel="0" collapsed="false">
      <c r="A1245" s="2" t="s">
        <v>119</v>
      </c>
      <c r="B1245" s="2" t="n">
        <v>8</v>
      </c>
      <c r="C1245" s="2" t="s">
        <v>81</v>
      </c>
      <c r="D1245" s="2" t="s">
        <v>34</v>
      </c>
      <c r="E1245" s="2" t="str">
        <f aca="false">INDEX(Products!$B$2:$B$13,MATCH(D1245,Products!$A$2:$A$13,0))</f>
        <v>FCC</v>
      </c>
      <c r="F1245" s="15" t="n">
        <v>12.7</v>
      </c>
      <c r="G1245" s="16" t="n">
        <f aca="false">IF(A1245="2025",INDEX(Products!$C$2:$C$13,MATCH(D1245,Products!$A$2:$A$13,0)),INDEX(Products!$E$2:$E$13,MATCH(D1245,Products!$A$2:$A$13,0)))</f>
        <v>3433.5</v>
      </c>
      <c r="H1245" s="13" t="n">
        <f aca="false">IF(A1245="2025",INDEX(Customers!$D$2:$D$41,MATCH(C1245,Customers!$A$2:$A$41,0)),INDEX(Customers!$F$2:$F$41,MATCH(C1245,Customers!$A$2:$A$41,0)))</f>
        <v>0.131</v>
      </c>
      <c r="I1245" s="16" t="n">
        <f aca="false">F1245*G1245</f>
        <v>43605.45</v>
      </c>
      <c r="J1245" s="16" t="n">
        <f aca="false">I1245*(1-H1245)</f>
        <v>37893.13605</v>
      </c>
      <c r="K1245" s="16" t="n">
        <f aca="false">J1245*INDEX(Customers!$G$2:$G$41,MATCH(C1245,Customers!$A$2:$A$41,0))</f>
        <v>378.9313605</v>
      </c>
      <c r="L1245" s="16" t="n">
        <f aca="false">F1245*INDEX(Customers!$H$2:$H$41,MATCH(C1245,Customers!$A$2:$A$41,0))</f>
        <v>1143</v>
      </c>
      <c r="M1245" s="16" t="n">
        <f aca="false">J1245*INDEX(Customers!$I$2:$I$41,MATCH(C1245,Customers!$A$2:$A$41,0))/365*Assumptions!$B$6</f>
        <v>747.481039890411</v>
      </c>
      <c r="N1245" s="16" t="n">
        <f aca="false">J1245-K1245-L1245-M1245</f>
        <v>35623.7236496096</v>
      </c>
      <c r="O1245" s="16" t="n">
        <f aca="false">F1245*IF(A1245="2025",INDEX(Products!$D$2:$D$13,MATCH(D1245,Products!$A$2:$A$13,0)),INDEX(Products!$F$2:$F$13,MATCH(D1245,Products!$A$2:$A$13,0)))</f>
        <v>28647.39</v>
      </c>
      <c r="P1245" s="16" t="n">
        <f aca="false">N1245-O1245</f>
        <v>6976.33364960958</v>
      </c>
    </row>
    <row r="1246" customFormat="false" ht="15" hidden="false" customHeight="false" outlineLevel="0" collapsed="false">
      <c r="A1246" s="2" t="s">
        <v>119</v>
      </c>
      <c r="B1246" s="2" t="n">
        <v>9</v>
      </c>
      <c r="C1246" s="2" t="s">
        <v>81</v>
      </c>
      <c r="D1246" s="2" t="s">
        <v>34</v>
      </c>
      <c r="E1246" s="2" t="str">
        <f aca="false">INDEX(Products!$B$2:$B$13,MATCH(D1246,Products!$A$2:$A$13,0))</f>
        <v>FCC</v>
      </c>
      <c r="F1246" s="15" t="n">
        <v>21.8</v>
      </c>
      <c r="G1246" s="16" t="n">
        <f aca="false">IF(A1246="2025",INDEX(Products!$C$2:$C$13,MATCH(D1246,Products!$A$2:$A$13,0)),INDEX(Products!$E$2:$E$13,MATCH(D1246,Products!$A$2:$A$13,0)))</f>
        <v>3433.5</v>
      </c>
      <c r="H1246" s="13" t="n">
        <f aca="false">IF(A1246="2025",INDEX(Customers!$D$2:$D$41,MATCH(C1246,Customers!$A$2:$A$41,0)),INDEX(Customers!$F$2:$F$41,MATCH(C1246,Customers!$A$2:$A$41,0)))</f>
        <v>0.131</v>
      </c>
      <c r="I1246" s="16" t="n">
        <f aca="false">F1246*G1246</f>
        <v>74850.3</v>
      </c>
      <c r="J1246" s="16" t="n">
        <f aca="false">I1246*(1-H1246)</f>
        <v>65044.9107</v>
      </c>
      <c r="K1246" s="16" t="n">
        <f aca="false">J1246*INDEX(Customers!$G$2:$G$41,MATCH(C1246,Customers!$A$2:$A$41,0))</f>
        <v>650.449107</v>
      </c>
      <c r="L1246" s="16" t="n">
        <f aca="false">F1246*INDEX(Customers!$H$2:$H$41,MATCH(C1246,Customers!$A$2:$A$41,0))</f>
        <v>1962</v>
      </c>
      <c r="M1246" s="16" t="n">
        <f aca="false">J1246*INDEX(Customers!$I$2:$I$41,MATCH(C1246,Customers!$A$2:$A$41,0))/365*Assumptions!$B$6</f>
        <v>1283.07769052055</v>
      </c>
      <c r="N1246" s="16" t="n">
        <f aca="false">J1246-K1246-L1246-M1246</f>
        <v>61149.3839024795</v>
      </c>
      <c r="O1246" s="16" t="n">
        <f aca="false">F1246*IF(A1246="2025",INDEX(Products!$D$2:$D$13,MATCH(D1246,Products!$A$2:$A$13,0)),INDEX(Products!$F$2:$F$13,MATCH(D1246,Products!$A$2:$A$13,0)))</f>
        <v>49174.26</v>
      </c>
      <c r="P1246" s="16" t="n">
        <f aca="false">N1246-O1246</f>
        <v>11975.1239024794</v>
      </c>
    </row>
    <row r="1247" customFormat="false" ht="15" hidden="false" customHeight="false" outlineLevel="0" collapsed="false">
      <c r="A1247" s="2" t="s">
        <v>119</v>
      </c>
      <c r="B1247" s="2" t="n">
        <v>10</v>
      </c>
      <c r="C1247" s="2" t="s">
        <v>81</v>
      </c>
      <c r="D1247" s="2" t="s">
        <v>34</v>
      </c>
      <c r="E1247" s="2" t="str">
        <f aca="false">INDEX(Products!$B$2:$B$13,MATCH(D1247,Products!$A$2:$A$13,0))</f>
        <v>FCC</v>
      </c>
      <c r="F1247" s="15" t="n">
        <v>18.9</v>
      </c>
      <c r="G1247" s="16" t="n">
        <f aca="false">IF(A1247="2025",INDEX(Products!$C$2:$C$13,MATCH(D1247,Products!$A$2:$A$13,0)),INDEX(Products!$E$2:$E$13,MATCH(D1247,Products!$A$2:$A$13,0)))</f>
        <v>3433.5</v>
      </c>
      <c r="H1247" s="13" t="n">
        <f aca="false">IF(A1247="2025",INDEX(Customers!$D$2:$D$41,MATCH(C1247,Customers!$A$2:$A$41,0)),INDEX(Customers!$F$2:$F$41,MATCH(C1247,Customers!$A$2:$A$41,0)))</f>
        <v>0.131</v>
      </c>
      <c r="I1247" s="16" t="n">
        <f aca="false">F1247*G1247</f>
        <v>64893.15</v>
      </c>
      <c r="J1247" s="16" t="n">
        <f aca="false">I1247*(1-H1247)</f>
        <v>56392.14735</v>
      </c>
      <c r="K1247" s="16" t="n">
        <f aca="false">J1247*INDEX(Customers!$G$2:$G$41,MATCH(C1247,Customers!$A$2:$A$41,0))</f>
        <v>563.9214735</v>
      </c>
      <c r="L1247" s="16" t="n">
        <f aca="false">F1247*INDEX(Customers!$H$2:$H$41,MATCH(C1247,Customers!$A$2:$A$41,0))</f>
        <v>1701</v>
      </c>
      <c r="M1247" s="16" t="n">
        <f aca="false">J1247*INDEX(Customers!$I$2:$I$41,MATCH(C1247,Customers!$A$2:$A$41,0))/365*Assumptions!$B$6</f>
        <v>1112.39304361644</v>
      </c>
      <c r="N1247" s="16" t="n">
        <f aca="false">J1247-K1247-L1247-M1247</f>
        <v>53014.8328328836</v>
      </c>
      <c r="O1247" s="16" t="n">
        <f aca="false">F1247*IF(A1247="2025",INDEX(Products!$D$2:$D$13,MATCH(D1247,Products!$A$2:$A$13,0)),INDEX(Products!$F$2:$F$13,MATCH(D1247,Products!$A$2:$A$13,0)))</f>
        <v>42632.73</v>
      </c>
      <c r="P1247" s="16" t="n">
        <f aca="false">N1247-O1247</f>
        <v>10382.1028328836</v>
      </c>
    </row>
    <row r="1248" customFormat="false" ht="15" hidden="false" customHeight="false" outlineLevel="0" collapsed="false">
      <c r="A1248" s="2" t="s">
        <v>119</v>
      </c>
      <c r="B1248" s="2" t="n">
        <v>11</v>
      </c>
      <c r="C1248" s="2" t="s">
        <v>81</v>
      </c>
      <c r="D1248" s="2" t="s">
        <v>34</v>
      </c>
      <c r="E1248" s="2" t="str">
        <f aca="false">INDEX(Products!$B$2:$B$13,MATCH(D1248,Products!$A$2:$A$13,0))</f>
        <v>FCC</v>
      </c>
      <c r="F1248" s="15" t="n">
        <v>22</v>
      </c>
      <c r="G1248" s="16" t="n">
        <f aca="false">IF(A1248="2025",INDEX(Products!$C$2:$C$13,MATCH(D1248,Products!$A$2:$A$13,0)),INDEX(Products!$E$2:$E$13,MATCH(D1248,Products!$A$2:$A$13,0)))</f>
        <v>3433.5</v>
      </c>
      <c r="H1248" s="13" t="n">
        <f aca="false">IF(A1248="2025",INDEX(Customers!$D$2:$D$41,MATCH(C1248,Customers!$A$2:$A$41,0)),INDEX(Customers!$F$2:$F$41,MATCH(C1248,Customers!$A$2:$A$41,0)))</f>
        <v>0.131</v>
      </c>
      <c r="I1248" s="16" t="n">
        <f aca="false">F1248*G1248</f>
        <v>75537</v>
      </c>
      <c r="J1248" s="16" t="n">
        <f aca="false">I1248*(1-H1248)</f>
        <v>65641.653</v>
      </c>
      <c r="K1248" s="16" t="n">
        <f aca="false">J1248*INDEX(Customers!$G$2:$G$41,MATCH(C1248,Customers!$A$2:$A$41,0))</f>
        <v>656.41653</v>
      </c>
      <c r="L1248" s="16" t="n">
        <f aca="false">F1248*INDEX(Customers!$H$2:$H$41,MATCH(C1248,Customers!$A$2:$A$41,0))</f>
        <v>1980</v>
      </c>
      <c r="M1248" s="16" t="n">
        <f aca="false">J1248*INDEX(Customers!$I$2:$I$41,MATCH(C1248,Customers!$A$2:$A$41,0))/365*Assumptions!$B$6</f>
        <v>1294.84904547945</v>
      </c>
      <c r="N1248" s="16" t="n">
        <f aca="false">J1248-K1248-L1248-M1248</f>
        <v>61710.3874245206</v>
      </c>
      <c r="O1248" s="16" t="n">
        <f aca="false">F1248*IF(A1248="2025",INDEX(Products!$D$2:$D$13,MATCH(D1248,Products!$A$2:$A$13,0)),INDEX(Products!$F$2:$F$13,MATCH(D1248,Products!$A$2:$A$13,0)))</f>
        <v>49625.4</v>
      </c>
      <c r="P1248" s="16" t="n">
        <f aca="false">N1248-O1248</f>
        <v>12084.9874245205</v>
      </c>
    </row>
    <row r="1249" customFormat="false" ht="15" hidden="false" customHeight="false" outlineLevel="0" collapsed="false">
      <c r="A1249" s="2" t="s">
        <v>119</v>
      </c>
      <c r="B1249" s="2" t="n">
        <v>12</v>
      </c>
      <c r="C1249" s="2" t="s">
        <v>81</v>
      </c>
      <c r="D1249" s="2" t="s">
        <v>34</v>
      </c>
      <c r="E1249" s="2" t="str">
        <f aca="false">INDEX(Products!$B$2:$B$13,MATCH(D1249,Products!$A$2:$A$13,0))</f>
        <v>FCC</v>
      </c>
      <c r="F1249" s="15" t="n">
        <v>13.7</v>
      </c>
      <c r="G1249" s="16" t="n">
        <f aca="false">IF(A1249="2025",INDEX(Products!$C$2:$C$13,MATCH(D1249,Products!$A$2:$A$13,0)),INDEX(Products!$E$2:$E$13,MATCH(D1249,Products!$A$2:$A$13,0)))</f>
        <v>3433.5</v>
      </c>
      <c r="H1249" s="13" t="n">
        <f aca="false">IF(A1249="2025",INDEX(Customers!$D$2:$D$41,MATCH(C1249,Customers!$A$2:$A$41,0)),INDEX(Customers!$F$2:$F$41,MATCH(C1249,Customers!$A$2:$A$41,0)))</f>
        <v>0.131</v>
      </c>
      <c r="I1249" s="16" t="n">
        <f aca="false">F1249*G1249</f>
        <v>47038.95</v>
      </c>
      <c r="J1249" s="16" t="n">
        <f aca="false">I1249*(1-H1249)</f>
        <v>40876.84755</v>
      </c>
      <c r="K1249" s="16" t="n">
        <f aca="false">J1249*INDEX(Customers!$G$2:$G$41,MATCH(C1249,Customers!$A$2:$A$41,0))</f>
        <v>408.7684755</v>
      </c>
      <c r="L1249" s="16" t="n">
        <f aca="false">F1249*INDEX(Customers!$H$2:$H$41,MATCH(C1249,Customers!$A$2:$A$41,0))</f>
        <v>1233</v>
      </c>
      <c r="M1249" s="16" t="n">
        <f aca="false">J1249*INDEX(Customers!$I$2:$I$41,MATCH(C1249,Customers!$A$2:$A$41,0))/365*Assumptions!$B$6</f>
        <v>806.337814684932</v>
      </c>
      <c r="N1249" s="16" t="n">
        <f aca="false">J1249-K1249-L1249-M1249</f>
        <v>38428.7412598151</v>
      </c>
      <c r="O1249" s="16" t="n">
        <f aca="false">F1249*IF(A1249="2025",INDEX(Products!$D$2:$D$13,MATCH(D1249,Products!$A$2:$A$13,0)),INDEX(Products!$F$2:$F$13,MATCH(D1249,Products!$A$2:$A$13,0)))</f>
        <v>30903.09</v>
      </c>
      <c r="P1249" s="16" t="n">
        <f aca="false">N1249-O1249</f>
        <v>7525.65125981507</v>
      </c>
    </row>
    <row r="1250" customFormat="false" ht="15" hidden="false" customHeight="false" outlineLevel="0" collapsed="false">
      <c r="A1250" s="2" t="s">
        <v>118</v>
      </c>
      <c r="B1250" s="2" t="n">
        <v>1</v>
      </c>
      <c r="C1250" s="2" t="s">
        <v>81</v>
      </c>
      <c r="D1250" s="2" t="s">
        <v>44</v>
      </c>
      <c r="E1250" s="2" t="str">
        <f aca="false">INDEX(Products!$B$2:$B$13,MATCH(D1250,Products!$A$2:$A$13,0))</f>
        <v>Specialty</v>
      </c>
      <c r="F1250" s="15" t="n">
        <v>4.7</v>
      </c>
      <c r="G1250" s="16" t="n">
        <f aca="false">IF(A1250="2025",INDEX(Products!$C$2:$C$13,MATCH(D1250,Products!$A$2:$A$13,0)),INDEX(Products!$E$2:$E$13,MATCH(D1250,Products!$A$2:$A$13,0)))</f>
        <v>28970</v>
      </c>
      <c r="H1250" s="13" t="n">
        <f aca="false">IF(A1250="2025",INDEX(Customers!$D$2:$D$41,MATCH(C1250,Customers!$A$2:$A$41,0)),INDEX(Customers!$F$2:$F$41,MATCH(C1250,Customers!$A$2:$A$41,0)))</f>
        <v>0.097</v>
      </c>
      <c r="I1250" s="16" t="n">
        <f aca="false">F1250*G1250</f>
        <v>136159</v>
      </c>
      <c r="J1250" s="16" t="n">
        <f aca="false">I1250*(1-H1250)</f>
        <v>122951.577</v>
      </c>
      <c r="K1250" s="16" t="n">
        <f aca="false">J1250*INDEX(Customers!$G$2:$G$41,MATCH(C1250,Customers!$A$2:$A$41,0))</f>
        <v>1229.51577</v>
      </c>
      <c r="L1250" s="16" t="n">
        <f aca="false">F1250*INDEX(Customers!$H$2:$H$41,MATCH(C1250,Customers!$A$2:$A$41,0))</f>
        <v>423</v>
      </c>
      <c r="M1250" s="16" t="n">
        <f aca="false">J1250*INDEX(Customers!$I$2:$I$41,MATCH(C1250,Customers!$A$2:$A$41,0))/365*Assumptions!$B$6</f>
        <v>2425.34617643836</v>
      </c>
      <c r="N1250" s="16" t="n">
        <f aca="false">J1250-K1250-L1250-M1250</f>
        <v>118873.715053562</v>
      </c>
      <c r="O1250" s="16" t="n">
        <f aca="false">F1250*IF(A1250="2025",INDEX(Products!$D$2:$D$13,MATCH(D1250,Products!$A$2:$A$13,0)),INDEX(Products!$F$2:$F$13,MATCH(D1250,Products!$A$2:$A$13,0)))</f>
        <v>67257</v>
      </c>
      <c r="P1250" s="16" t="n">
        <f aca="false">N1250-O1250</f>
        <v>51616.7150535617</v>
      </c>
    </row>
    <row r="1251" customFormat="false" ht="15" hidden="false" customHeight="false" outlineLevel="0" collapsed="false">
      <c r="A1251" s="2" t="s">
        <v>118</v>
      </c>
      <c r="B1251" s="2" t="n">
        <v>2</v>
      </c>
      <c r="C1251" s="2" t="s">
        <v>81</v>
      </c>
      <c r="D1251" s="2" t="s">
        <v>44</v>
      </c>
      <c r="E1251" s="2" t="str">
        <f aca="false">INDEX(Products!$B$2:$B$13,MATCH(D1251,Products!$A$2:$A$13,0))</f>
        <v>Specialty</v>
      </c>
      <c r="F1251" s="15" t="n">
        <v>4.1</v>
      </c>
      <c r="G1251" s="16" t="n">
        <f aca="false">IF(A1251="2025",INDEX(Products!$C$2:$C$13,MATCH(D1251,Products!$A$2:$A$13,0)),INDEX(Products!$E$2:$E$13,MATCH(D1251,Products!$A$2:$A$13,0)))</f>
        <v>28970</v>
      </c>
      <c r="H1251" s="13" t="n">
        <f aca="false">IF(A1251="2025",INDEX(Customers!$D$2:$D$41,MATCH(C1251,Customers!$A$2:$A$41,0)),INDEX(Customers!$F$2:$F$41,MATCH(C1251,Customers!$A$2:$A$41,0)))</f>
        <v>0.097</v>
      </c>
      <c r="I1251" s="16" t="n">
        <f aca="false">F1251*G1251</f>
        <v>118777</v>
      </c>
      <c r="J1251" s="16" t="n">
        <f aca="false">I1251*(1-H1251)</f>
        <v>107255.631</v>
      </c>
      <c r="K1251" s="16" t="n">
        <f aca="false">J1251*INDEX(Customers!$G$2:$G$41,MATCH(C1251,Customers!$A$2:$A$41,0))</f>
        <v>1072.55631</v>
      </c>
      <c r="L1251" s="16" t="n">
        <f aca="false">F1251*INDEX(Customers!$H$2:$H$41,MATCH(C1251,Customers!$A$2:$A$41,0))</f>
        <v>369</v>
      </c>
      <c r="M1251" s="16" t="n">
        <f aca="false">J1251*INDEX(Customers!$I$2:$I$41,MATCH(C1251,Customers!$A$2:$A$41,0))/365*Assumptions!$B$6</f>
        <v>2115.72751561644</v>
      </c>
      <c r="N1251" s="16" t="n">
        <f aca="false">J1251-K1251-L1251-M1251</f>
        <v>103698.347174384</v>
      </c>
      <c r="O1251" s="16" t="n">
        <f aca="false">F1251*IF(A1251="2025",INDEX(Products!$D$2:$D$13,MATCH(D1251,Products!$A$2:$A$13,0)),INDEX(Products!$F$2:$F$13,MATCH(D1251,Products!$A$2:$A$13,0)))</f>
        <v>58671</v>
      </c>
      <c r="P1251" s="16" t="n">
        <f aca="false">N1251-O1251</f>
        <v>45027.3471743836</v>
      </c>
    </row>
    <row r="1252" customFormat="false" ht="15" hidden="false" customHeight="false" outlineLevel="0" collapsed="false">
      <c r="A1252" s="2" t="s">
        <v>118</v>
      </c>
      <c r="B1252" s="2" t="n">
        <v>3</v>
      </c>
      <c r="C1252" s="2" t="s">
        <v>81</v>
      </c>
      <c r="D1252" s="2" t="s">
        <v>44</v>
      </c>
      <c r="E1252" s="2" t="str">
        <f aca="false">INDEX(Products!$B$2:$B$13,MATCH(D1252,Products!$A$2:$A$13,0))</f>
        <v>Specialty</v>
      </c>
      <c r="F1252" s="15" t="n">
        <v>6.9</v>
      </c>
      <c r="G1252" s="16" t="n">
        <f aca="false">IF(A1252="2025",INDEX(Products!$C$2:$C$13,MATCH(D1252,Products!$A$2:$A$13,0)),INDEX(Products!$E$2:$E$13,MATCH(D1252,Products!$A$2:$A$13,0)))</f>
        <v>28970</v>
      </c>
      <c r="H1252" s="13" t="n">
        <f aca="false">IF(A1252="2025",INDEX(Customers!$D$2:$D$41,MATCH(C1252,Customers!$A$2:$A$41,0)),INDEX(Customers!$F$2:$F$41,MATCH(C1252,Customers!$A$2:$A$41,0)))</f>
        <v>0.097</v>
      </c>
      <c r="I1252" s="16" t="n">
        <f aca="false">F1252*G1252</f>
        <v>199893</v>
      </c>
      <c r="J1252" s="16" t="n">
        <f aca="false">I1252*(1-H1252)</f>
        <v>180503.379</v>
      </c>
      <c r="K1252" s="16" t="n">
        <f aca="false">J1252*INDEX(Customers!$G$2:$G$41,MATCH(C1252,Customers!$A$2:$A$41,0))</f>
        <v>1805.03379</v>
      </c>
      <c r="L1252" s="16" t="n">
        <f aca="false">F1252*INDEX(Customers!$H$2:$H$41,MATCH(C1252,Customers!$A$2:$A$41,0))</f>
        <v>621</v>
      </c>
      <c r="M1252" s="16" t="n">
        <f aca="false">J1252*INDEX(Customers!$I$2:$I$41,MATCH(C1252,Customers!$A$2:$A$41,0))/365*Assumptions!$B$6</f>
        <v>3560.61459945206</v>
      </c>
      <c r="N1252" s="16" t="n">
        <f aca="false">J1252-K1252-L1252-M1252</f>
        <v>174516.730610548</v>
      </c>
      <c r="O1252" s="16" t="n">
        <f aca="false">F1252*IF(A1252="2025",INDEX(Products!$D$2:$D$13,MATCH(D1252,Products!$A$2:$A$13,0)),INDEX(Products!$F$2:$F$13,MATCH(D1252,Products!$A$2:$A$13,0)))</f>
        <v>98739</v>
      </c>
      <c r="P1252" s="16" t="n">
        <f aca="false">N1252-O1252</f>
        <v>75777.730610548</v>
      </c>
    </row>
    <row r="1253" customFormat="false" ht="15" hidden="false" customHeight="false" outlineLevel="0" collapsed="false">
      <c r="A1253" s="2" t="s">
        <v>118</v>
      </c>
      <c r="B1253" s="2" t="n">
        <v>4</v>
      </c>
      <c r="C1253" s="2" t="s">
        <v>81</v>
      </c>
      <c r="D1253" s="2" t="s">
        <v>44</v>
      </c>
      <c r="E1253" s="2" t="str">
        <f aca="false">INDEX(Products!$B$2:$B$13,MATCH(D1253,Products!$A$2:$A$13,0))</f>
        <v>Specialty</v>
      </c>
      <c r="F1253" s="15" t="n">
        <v>4.6</v>
      </c>
      <c r="G1253" s="16" t="n">
        <f aca="false">IF(A1253="2025",INDEX(Products!$C$2:$C$13,MATCH(D1253,Products!$A$2:$A$13,0)),INDEX(Products!$E$2:$E$13,MATCH(D1253,Products!$A$2:$A$13,0)))</f>
        <v>28970</v>
      </c>
      <c r="H1253" s="13" t="n">
        <f aca="false">IF(A1253="2025",INDEX(Customers!$D$2:$D$41,MATCH(C1253,Customers!$A$2:$A$41,0)),INDEX(Customers!$F$2:$F$41,MATCH(C1253,Customers!$A$2:$A$41,0)))</f>
        <v>0.097</v>
      </c>
      <c r="I1253" s="16" t="n">
        <f aca="false">F1253*G1253</f>
        <v>133262</v>
      </c>
      <c r="J1253" s="16" t="n">
        <f aca="false">I1253*(1-H1253)</f>
        <v>120335.586</v>
      </c>
      <c r="K1253" s="16" t="n">
        <f aca="false">J1253*INDEX(Customers!$G$2:$G$41,MATCH(C1253,Customers!$A$2:$A$41,0))</f>
        <v>1203.35586</v>
      </c>
      <c r="L1253" s="16" t="n">
        <f aca="false">F1253*INDEX(Customers!$H$2:$H$41,MATCH(C1253,Customers!$A$2:$A$41,0))</f>
        <v>414</v>
      </c>
      <c r="M1253" s="16" t="n">
        <f aca="false">J1253*INDEX(Customers!$I$2:$I$41,MATCH(C1253,Customers!$A$2:$A$41,0))/365*Assumptions!$B$6</f>
        <v>2373.74306630137</v>
      </c>
      <c r="N1253" s="16" t="n">
        <f aca="false">J1253-K1253-L1253-M1253</f>
        <v>116344.487073699</v>
      </c>
      <c r="O1253" s="16" t="n">
        <f aca="false">F1253*IF(A1253="2025",INDEX(Products!$D$2:$D$13,MATCH(D1253,Products!$A$2:$A$13,0)),INDEX(Products!$F$2:$F$13,MATCH(D1253,Products!$A$2:$A$13,0)))</f>
        <v>65826</v>
      </c>
      <c r="P1253" s="16" t="n">
        <f aca="false">N1253-O1253</f>
        <v>50518.4870736987</v>
      </c>
    </row>
    <row r="1254" customFormat="false" ht="15" hidden="false" customHeight="false" outlineLevel="0" collapsed="false">
      <c r="A1254" s="2" t="s">
        <v>118</v>
      </c>
      <c r="B1254" s="2" t="n">
        <v>5</v>
      </c>
      <c r="C1254" s="2" t="s">
        <v>81</v>
      </c>
      <c r="D1254" s="2" t="s">
        <v>44</v>
      </c>
      <c r="E1254" s="2" t="str">
        <f aca="false">INDEX(Products!$B$2:$B$13,MATCH(D1254,Products!$A$2:$A$13,0))</f>
        <v>Specialty</v>
      </c>
      <c r="F1254" s="15" t="n">
        <v>4.5</v>
      </c>
      <c r="G1254" s="16" t="n">
        <f aca="false">IF(A1254="2025",INDEX(Products!$C$2:$C$13,MATCH(D1254,Products!$A$2:$A$13,0)),INDEX(Products!$E$2:$E$13,MATCH(D1254,Products!$A$2:$A$13,0)))</f>
        <v>28970</v>
      </c>
      <c r="H1254" s="13" t="n">
        <f aca="false">IF(A1254="2025",INDEX(Customers!$D$2:$D$41,MATCH(C1254,Customers!$A$2:$A$41,0)),INDEX(Customers!$F$2:$F$41,MATCH(C1254,Customers!$A$2:$A$41,0)))</f>
        <v>0.097</v>
      </c>
      <c r="I1254" s="16" t="n">
        <f aca="false">F1254*G1254</f>
        <v>130365</v>
      </c>
      <c r="J1254" s="16" t="n">
        <f aca="false">I1254*(1-H1254)</f>
        <v>117719.595</v>
      </c>
      <c r="K1254" s="16" t="n">
        <f aca="false">J1254*INDEX(Customers!$G$2:$G$41,MATCH(C1254,Customers!$A$2:$A$41,0))</f>
        <v>1177.19595</v>
      </c>
      <c r="L1254" s="16" t="n">
        <f aca="false">F1254*INDEX(Customers!$H$2:$H$41,MATCH(C1254,Customers!$A$2:$A$41,0))</f>
        <v>405</v>
      </c>
      <c r="M1254" s="16" t="n">
        <f aca="false">J1254*INDEX(Customers!$I$2:$I$41,MATCH(C1254,Customers!$A$2:$A$41,0))/365*Assumptions!$B$6</f>
        <v>2322.13995616438</v>
      </c>
      <c r="N1254" s="16" t="n">
        <f aca="false">J1254-K1254-L1254-M1254</f>
        <v>113815.259093836</v>
      </c>
      <c r="O1254" s="16" t="n">
        <f aca="false">F1254*IF(A1254="2025",INDEX(Products!$D$2:$D$13,MATCH(D1254,Products!$A$2:$A$13,0)),INDEX(Products!$F$2:$F$13,MATCH(D1254,Products!$A$2:$A$13,0)))</f>
        <v>64395</v>
      </c>
      <c r="P1254" s="16" t="n">
        <f aca="false">N1254-O1254</f>
        <v>49420.2590938356</v>
      </c>
    </row>
    <row r="1255" customFormat="false" ht="15" hidden="false" customHeight="false" outlineLevel="0" collapsed="false">
      <c r="A1255" s="2" t="s">
        <v>118</v>
      </c>
      <c r="B1255" s="2" t="n">
        <v>6</v>
      </c>
      <c r="C1255" s="2" t="s">
        <v>81</v>
      </c>
      <c r="D1255" s="2" t="s">
        <v>44</v>
      </c>
      <c r="E1255" s="2" t="str">
        <f aca="false">INDEX(Products!$B$2:$B$13,MATCH(D1255,Products!$A$2:$A$13,0))</f>
        <v>Specialty</v>
      </c>
      <c r="F1255" s="15" t="n">
        <v>5.5</v>
      </c>
      <c r="G1255" s="16" t="n">
        <f aca="false">IF(A1255="2025",INDEX(Products!$C$2:$C$13,MATCH(D1255,Products!$A$2:$A$13,0)),INDEX(Products!$E$2:$E$13,MATCH(D1255,Products!$A$2:$A$13,0)))</f>
        <v>28970</v>
      </c>
      <c r="H1255" s="13" t="n">
        <f aca="false">IF(A1255="2025",INDEX(Customers!$D$2:$D$41,MATCH(C1255,Customers!$A$2:$A$41,0)),INDEX(Customers!$F$2:$F$41,MATCH(C1255,Customers!$A$2:$A$41,0)))</f>
        <v>0.097</v>
      </c>
      <c r="I1255" s="16" t="n">
        <f aca="false">F1255*G1255</f>
        <v>159335</v>
      </c>
      <c r="J1255" s="16" t="n">
        <f aca="false">I1255*(1-H1255)</f>
        <v>143879.505</v>
      </c>
      <c r="K1255" s="16" t="n">
        <f aca="false">J1255*INDEX(Customers!$G$2:$G$41,MATCH(C1255,Customers!$A$2:$A$41,0))</f>
        <v>1438.79505</v>
      </c>
      <c r="L1255" s="16" t="n">
        <f aca="false">F1255*INDEX(Customers!$H$2:$H$41,MATCH(C1255,Customers!$A$2:$A$41,0))</f>
        <v>495</v>
      </c>
      <c r="M1255" s="16" t="n">
        <f aca="false">J1255*INDEX(Customers!$I$2:$I$41,MATCH(C1255,Customers!$A$2:$A$41,0))/365*Assumptions!$B$6</f>
        <v>2838.17105753425</v>
      </c>
      <c r="N1255" s="16" t="n">
        <f aca="false">J1255-K1255-L1255-M1255</f>
        <v>139107.538892466</v>
      </c>
      <c r="O1255" s="16" t="n">
        <f aca="false">F1255*IF(A1255="2025",INDEX(Products!$D$2:$D$13,MATCH(D1255,Products!$A$2:$A$13,0)),INDEX(Products!$F$2:$F$13,MATCH(D1255,Products!$A$2:$A$13,0)))</f>
        <v>78705</v>
      </c>
      <c r="P1255" s="16" t="n">
        <f aca="false">N1255-O1255</f>
        <v>60402.5388924658</v>
      </c>
    </row>
    <row r="1256" customFormat="false" ht="15" hidden="false" customHeight="false" outlineLevel="0" collapsed="false">
      <c r="A1256" s="2" t="s">
        <v>118</v>
      </c>
      <c r="B1256" s="2" t="n">
        <v>7</v>
      </c>
      <c r="C1256" s="2" t="s">
        <v>81</v>
      </c>
      <c r="D1256" s="2" t="s">
        <v>44</v>
      </c>
      <c r="E1256" s="2" t="str">
        <f aca="false">INDEX(Products!$B$2:$B$13,MATCH(D1256,Products!$A$2:$A$13,0))</f>
        <v>Specialty</v>
      </c>
      <c r="F1256" s="15" t="n">
        <v>6.5</v>
      </c>
      <c r="G1256" s="16" t="n">
        <f aca="false">IF(A1256="2025",INDEX(Products!$C$2:$C$13,MATCH(D1256,Products!$A$2:$A$13,0)),INDEX(Products!$E$2:$E$13,MATCH(D1256,Products!$A$2:$A$13,0)))</f>
        <v>28970</v>
      </c>
      <c r="H1256" s="13" t="n">
        <f aca="false">IF(A1256="2025",INDEX(Customers!$D$2:$D$41,MATCH(C1256,Customers!$A$2:$A$41,0)),INDEX(Customers!$F$2:$F$41,MATCH(C1256,Customers!$A$2:$A$41,0)))</f>
        <v>0.097</v>
      </c>
      <c r="I1256" s="16" t="n">
        <f aca="false">F1256*G1256</f>
        <v>188305</v>
      </c>
      <c r="J1256" s="16" t="n">
        <f aca="false">I1256*(1-H1256)</f>
        <v>170039.415</v>
      </c>
      <c r="K1256" s="16" t="n">
        <f aca="false">J1256*INDEX(Customers!$G$2:$G$41,MATCH(C1256,Customers!$A$2:$A$41,0))</f>
        <v>1700.39415</v>
      </c>
      <c r="L1256" s="16" t="n">
        <f aca="false">F1256*INDEX(Customers!$H$2:$H$41,MATCH(C1256,Customers!$A$2:$A$41,0))</f>
        <v>585</v>
      </c>
      <c r="M1256" s="16" t="n">
        <f aca="false">J1256*INDEX(Customers!$I$2:$I$41,MATCH(C1256,Customers!$A$2:$A$41,0))/365*Assumptions!$B$6</f>
        <v>3354.20215890411</v>
      </c>
      <c r="N1256" s="16" t="n">
        <f aca="false">J1256-K1256-L1256-M1256</f>
        <v>164399.818691096</v>
      </c>
      <c r="O1256" s="16" t="n">
        <f aca="false">F1256*IF(A1256="2025",INDEX(Products!$D$2:$D$13,MATCH(D1256,Products!$A$2:$A$13,0)),INDEX(Products!$F$2:$F$13,MATCH(D1256,Products!$A$2:$A$13,0)))</f>
        <v>93015</v>
      </c>
      <c r="P1256" s="16" t="n">
        <f aca="false">N1256-O1256</f>
        <v>71384.8186910959</v>
      </c>
    </row>
    <row r="1257" customFormat="false" ht="15" hidden="false" customHeight="false" outlineLevel="0" collapsed="false">
      <c r="A1257" s="2" t="s">
        <v>118</v>
      </c>
      <c r="B1257" s="2" t="n">
        <v>8</v>
      </c>
      <c r="C1257" s="2" t="s">
        <v>81</v>
      </c>
      <c r="D1257" s="2" t="s">
        <v>44</v>
      </c>
      <c r="E1257" s="2" t="str">
        <f aca="false">INDEX(Products!$B$2:$B$13,MATCH(D1257,Products!$A$2:$A$13,0))</f>
        <v>Specialty</v>
      </c>
      <c r="F1257" s="15" t="n">
        <v>5.5</v>
      </c>
      <c r="G1257" s="16" t="n">
        <f aca="false">IF(A1257="2025",INDEX(Products!$C$2:$C$13,MATCH(D1257,Products!$A$2:$A$13,0)),INDEX(Products!$E$2:$E$13,MATCH(D1257,Products!$A$2:$A$13,0)))</f>
        <v>28970</v>
      </c>
      <c r="H1257" s="13" t="n">
        <f aca="false">IF(A1257="2025",INDEX(Customers!$D$2:$D$41,MATCH(C1257,Customers!$A$2:$A$41,0)),INDEX(Customers!$F$2:$F$41,MATCH(C1257,Customers!$A$2:$A$41,0)))</f>
        <v>0.097</v>
      </c>
      <c r="I1257" s="16" t="n">
        <f aca="false">F1257*G1257</f>
        <v>159335</v>
      </c>
      <c r="J1257" s="16" t="n">
        <f aca="false">I1257*(1-H1257)</f>
        <v>143879.505</v>
      </c>
      <c r="K1257" s="16" t="n">
        <f aca="false">J1257*INDEX(Customers!$G$2:$G$41,MATCH(C1257,Customers!$A$2:$A$41,0))</f>
        <v>1438.79505</v>
      </c>
      <c r="L1257" s="16" t="n">
        <f aca="false">F1257*INDEX(Customers!$H$2:$H$41,MATCH(C1257,Customers!$A$2:$A$41,0))</f>
        <v>495</v>
      </c>
      <c r="M1257" s="16" t="n">
        <f aca="false">J1257*INDEX(Customers!$I$2:$I$41,MATCH(C1257,Customers!$A$2:$A$41,0))/365*Assumptions!$B$6</f>
        <v>2838.17105753425</v>
      </c>
      <c r="N1257" s="16" t="n">
        <f aca="false">J1257-K1257-L1257-M1257</f>
        <v>139107.538892466</v>
      </c>
      <c r="O1257" s="16" t="n">
        <f aca="false">F1257*IF(A1257="2025",INDEX(Products!$D$2:$D$13,MATCH(D1257,Products!$A$2:$A$13,0)),INDEX(Products!$F$2:$F$13,MATCH(D1257,Products!$A$2:$A$13,0)))</f>
        <v>78705</v>
      </c>
      <c r="P1257" s="16" t="n">
        <f aca="false">N1257-O1257</f>
        <v>60402.5388924658</v>
      </c>
    </row>
    <row r="1258" customFormat="false" ht="15" hidden="false" customHeight="false" outlineLevel="0" collapsed="false">
      <c r="A1258" s="2" t="s">
        <v>118</v>
      </c>
      <c r="B1258" s="2" t="n">
        <v>9</v>
      </c>
      <c r="C1258" s="2" t="s">
        <v>81</v>
      </c>
      <c r="D1258" s="2" t="s">
        <v>44</v>
      </c>
      <c r="E1258" s="2" t="str">
        <f aca="false">INDEX(Products!$B$2:$B$13,MATCH(D1258,Products!$A$2:$A$13,0))</f>
        <v>Specialty</v>
      </c>
      <c r="F1258" s="15" t="n">
        <v>3.8</v>
      </c>
      <c r="G1258" s="16" t="n">
        <f aca="false">IF(A1258="2025",INDEX(Products!$C$2:$C$13,MATCH(D1258,Products!$A$2:$A$13,0)),INDEX(Products!$E$2:$E$13,MATCH(D1258,Products!$A$2:$A$13,0)))</f>
        <v>28970</v>
      </c>
      <c r="H1258" s="13" t="n">
        <f aca="false">IF(A1258="2025",INDEX(Customers!$D$2:$D$41,MATCH(C1258,Customers!$A$2:$A$41,0)),INDEX(Customers!$F$2:$F$41,MATCH(C1258,Customers!$A$2:$A$41,0)))</f>
        <v>0.097</v>
      </c>
      <c r="I1258" s="16" t="n">
        <f aca="false">F1258*G1258</f>
        <v>110086</v>
      </c>
      <c r="J1258" s="16" t="n">
        <f aca="false">I1258*(1-H1258)</f>
        <v>99407.658</v>
      </c>
      <c r="K1258" s="16" t="n">
        <f aca="false">J1258*INDEX(Customers!$G$2:$G$41,MATCH(C1258,Customers!$A$2:$A$41,0))</f>
        <v>994.07658</v>
      </c>
      <c r="L1258" s="16" t="n">
        <f aca="false">F1258*INDEX(Customers!$H$2:$H$41,MATCH(C1258,Customers!$A$2:$A$41,0))</f>
        <v>342</v>
      </c>
      <c r="M1258" s="16" t="n">
        <f aca="false">J1258*INDEX(Customers!$I$2:$I$41,MATCH(C1258,Customers!$A$2:$A$41,0))/365*Assumptions!$B$6</f>
        <v>1960.91818520548</v>
      </c>
      <c r="N1258" s="16" t="n">
        <f aca="false">J1258-K1258-L1258-M1258</f>
        <v>96110.6632347945</v>
      </c>
      <c r="O1258" s="16" t="n">
        <f aca="false">F1258*IF(A1258="2025",INDEX(Products!$D$2:$D$13,MATCH(D1258,Products!$A$2:$A$13,0)),INDEX(Products!$F$2:$F$13,MATCH(D1258,Products!$A$2:$A$13,0)))</f>
        <v>54378</v>
      </c>
      <c r="P1258" s="16" t="n">
        <f aca="false">N1258-O1258</f>
        <v>41732.6632347945</v>
      </c>
    </row>
    <row r="1259" customFormat="false" ht="15" hidden="false" customHeight="false" outlineLevel="0" collapsed="false">
      <c r="A1259" s="2" t="s">
        <v>118</v>
      </c>
      <c r="B1259" s="2" t="n">
        <v>10</v>
      </c>
      <c r="C1259" s="2" t="s">
        <v>81</v>
      </c>
      <c r="D1259" s="2" t="s">
        <v>44</v>
      </c>
      <c r="E1259" s="2" t="str">
        <f aca="false">INDEX(Products!$B$2:$B$13,MATCH(D1259,Products!$A$2:$A$13,0))</f>
        <v>Specialty</v>
      </c>
      <c r="F1259" s="15" t="n">
        <v>4.8</v>
      </c>
      <c r="G1259" s="16" t="n">
        <f aca="false">IF(A1259="2025",INDEX(Products!$C$2:$C$13,MATCH(D1259,Products!$A$2:$A$13,0)),INDEX(Products!$E$2:$E$13,MATCH(D1259,Products!$A$2:$A$13,0)))</f>
        <v>28970</v>
      </c>
      <c r="H1259" s="13" t="n">
        <f aca="false">IF(A1259="2025",INDEX(Customers!$D$2:$D$41,MATCH(C1259,Customers!$A$2:$A$41,0)),INDEX(Customers!$F$2:$F$41,MATCH(C1259,Customers!$A$2:$A$41,0)))</f>
        <v>0.097</v>
      </c>
      <c r="I1259" s="16" t="n">
        <f aca="false">F1259*G1259</f>
        <v>139056</v>
      </c>
      <c r="J1259" s="16" t="n">
        <f aca="false">I1259*(1-H1259)</f>
        <v>125567.568</v>
      </c>
      <c r="K1259" s="16" t="n">
        <f aca="false">J1259*INDEX(Customers!$G$2:$G$41,MATCH(C1259,Customers!$A$2:$A$41,0))</f>
        <v>1255.67568</v>
      </c>
      <c r="L1259" s="16" t="n">
        <f aca="false">F1259*INDEX(Customers!$H$2:$H$41,MATCH(C1259,Customers!$A$2:$A$41,0))</f>
        <v>432</v>
      </c>
      <c r="M1259" s="16" t="n">
        <f aca="false">J1259*INDEX(Customers!$I$2:$I$41,MATCH(C1259,Customers!$A$2:$A$41,0))/365*Assumptions!$B$6</f>
        <v>2476.94928657534</v>
      </c>
      <c r="N1259" s="16" t="n">
        <f aca="false">J1259-K1259-L1259-M1259</f>
        <v>121402.943033425</v>
      </c>
      <c r="O1259" s="16" t="n">
        <f aca="false">F1259*IF(A1259="2025",INDEX(Products!$D$2:$D$13,MATCH(D1259,Products!$A$2:$A$13,0)),INDEX(Products!$F$2:$F$13,MATCH(D1259,Products!$A$2:$A$13,0)))</f>
        <v>68688</v>
      </c>
      <c r="P1259" s="16" t="n">
        <f aca="false">N1259-O1259</f>
        <v>52714.9430334247</v>
      </c>
    </row>
    <row r="1260" customFormat="false" ht="15" hidden="false" customHeight="false" outlineLevel="0" collapsed="false">
      <c r="A1260" s="2" t="s">
        <v>118</v>
      </c>
      <c r="B1260" s="2" t="n">
        <v>11</v>
      </c>
      <c r="C1260" s="2" t="s">
        <v>81</v>
      </c>
      <c r="D1260" s="2" t="s">
        <v>44</v>
      </c>
      <c r="E1260" s="2" t="str">
        <f aca="false">INDEX(Products!$B$2:$B$13,MATCH(D1260,Products!$A$2:$A$13,0))</f>
        <v>Specialty</v>
      </c>
      <c r="F1260" s="15" t="n">
        <v>5.7</v>
      </c>
      <c r="G1260" s="16" t="n">
        <f aca="false">IF(A1260="2025",INDEX(Products!$C$2:$C$13,MATCH(D1260,Products!$A$2:$A$13,0)),INDEX(Products!$E$2:$E$13,MATCH(D1260,Products!$A$2:$A$13,0)))</f>
        <v>28970</v>
      </c>
      <c r="H1260" s="13" t="n">
        <f aca="false">IF(A1260="2025",INDEX(Customers!$D$2:$D$41,MATCH(C1260,Customers!$A$2:$A$41,0)),INDEX(Customers!$F$2:$F$41,MATCH(C1260,Customers!$A$2:$A$41,0)))</f>
        <v>0.097</v>
      </c>
      <c r="I1260" s="16" t="n">
        <f aca="false">F1260*G1260</f>
        <v>165129</v>
      </c>
      <c r="J1260" s="16" t="n">
        <f aca="false">I1260*(1-H1260)</f>
        <v>149111.487</v>
      </c>
      <c r="K1260" s="16" t="n">
        <f aca="false">J1260*INDEX(Customers!$G$2:$G$41,MATCH(C1260,Customers!$A$2:$A$41,0))</f>
        <v>1491.11487</v>
      </c>
      <c r="L1260" s="16" t="n">
        <f aca="false">F1260*INDEX(Customers!$H$2:$H$41,MATCH(C1260,Customers!$A$2:$A$41,0))</f>
        <v>513</v>
      </c>
      <c r="M1260" s="16" t="n">
        <f aca="false">J1260*INDEX(Customers!$I$2:$I$41,MATCH(C1260,Customers!$A$2:$A$41,0))/365*Assumptions!$B$6</f>
        <v>2941.37727780822</v>
      </c>
      <c r="N1260" s="16" t="n">
        <f aca="false">J1260-K1260-L1260-M1260</f>
        <v>144165.994852192</v>
      </c>
      <c r="O1260" s="16" t="n">
        <f aca="false">F1260*IF(A1260="2025",INDEX(Products!$D$2:$D$13,MATCH(D1260,Products!$A$2:$A$13,0)),INDEX(Products!$F$2:$F$13,MATCH(D1260,Products!$A$2:$A$13,0)))</f>
        <v>81567</v>
      </c>
      <c r="P1260" s="16" t="n">
        <f aca="false">N1260-O1260</f>
        <v>62598.9948521918</v>
      </c>
    </row>
    <row r="1261" customFormat="false" ht="15" hidden="false" customHeight="false" outlineLevel="0" collapsed="false">
      <c r="A1261" s="2" t="s">
        <v>118</v>
      </c>
      <c r="B1261" s="2" t="n">
        <v>12</v>
      </c>
      <c r="C1261" s="2" t="s">
        <v>81</v>
      </c>
      <c r="D1261" s="2" t="s">
        <v>44</v>
      </c>
      <c r="E1261" s="2" t="str">
        <f aca="false">INDEX(Products!$B$2:$B$13,MATCH(D1261,Products!$A$2:$A$13,0))</f>
        <v>Specialty</v>
      </c>
      <c r="F1261" s="15" t="n">
        <v>5.2</v>
      </c>
      <c r="G1261" s="16" t="n">
        <f aca="false">IF(A1261="2025",INDEX(Products!$C$2:$C$13,MATCH(D1261,Products!$A$2:$A$13,0)),INDEX(Products!$E$2:$E$13,MATCH(D1261,Products!$A$2:$A$13,0)))</f>
        <v>28970</v>
      </c>
      <c r="H1261" s="13" t="n">
        <f aca="false">IF(A1261="2025",INDEX(Customers!$D$2:$D$41,MATCH(C1261,Customers!$A$2:$A$41,0)),INDEX(Customers!$F$2:$F$41,MATCH(C1261,Customers!$A$2:$A$41,0)))</f>
        <v>0.097</v>
      </c>
      <c r="I1261" s="16" t="n">
        <f aca="false">F1261*G1261</f>
        <v>150644</v>
      </c>
      <c r="J1261" s="16" t="n">
        <f aca="false">I1261*(1-H1261)</f>
        <v>136031.532</v>
      </c>
      <c r="K1261" s="16" t="n">
        <f aca="false">J1261*INDEX(Customers!$G$2:$G$41,MATCH(C1261,Customers!$A$2:$A$41,0))</f>
        <v>1360.31532</v>
      </c>
      <c r="L1261" s="16" t="n">
        <f aca="false">F1261*INDEX(Customers!$H$2:$H$41,MATCH(C1261,Customers!$A$2:$A$41,0))</f>
        <v>468</v>
      </c>
      <c r="M1261" s="16" t="n">
        <f aca="false">J1261*INDEX(Customers!$I$2:$I$41,MATCH(C1261,Customers!$A$2:$A$41,0))/365*Assumptions!$B$6</f>
        <v>2683.36172712329</v>
      </c>
      <c r="N1261" s="16" t="n">
        <f aca="false">J1261-K1261-L1261-M1261</f>
        <v>131519.854952877</v>
      </c>
      <c r="O1261" s="16" t="n">
        <f aca="false">F1261*IF(A1261="2025",INDEX(Products!$D$2:$D$13,MATCH(D1261,Products!$A$2:$A$13,0)),INDEX(Products!$F$2:$F$13,MATCH(D1261,Products!$A$2:$A$13,0)))</f>
        <v>74412</v>
      </c>
      <c r="P1261" s="16" t="n">
        <f aca="false">N1261-O1261</f>
        <v>57107.8549528767</v>
      </c>
    </row>
    <row r="1262" customFormat="false" ht="15" hidden="false" customHeight="false" outlineLevel="0" collapsed="false">
      <c r="A1262" s="2" t="s">
        <v>119</v>
      </c>
      <c r="B1262" s="2" t="n">
        <v>1</v>
      </c>
      <c r="C1262" s="2" t="s">
        <v>81</v>
      </c>
      <c r="D1262" s="2" t="s">
        <v>44</v>
      </c>
      <c r="E1262" s="2" t="str">
        <f aca="false">INDEX(Products!$B$2:$B$13,MATCH(D1262,Products!$A$2:$A$13,0))</f>
        <v>Specialty</v>
      </c>
      <c r="F1262" s="15" t="n">
        <v>4.4</v>
      </c>
      <c r="G1262" s="16" t="n">
        <f aca="false">IF(A1262="2025",INDEX(Products!$C$2:$C$13,MATCH(D1262,Products!$A$2:$A$13,0)),INDEX(Products!$E$2:$E$13,MATCH(D1262,Products!$A$2:$A$13,0)))</f>
        <v>30418.5</v>
      </c>
      <c r="H1262" s="13" t="n">
        <f aca="false">IF(A1262="2025",INDEX(Customers!$D$2:$D$41,MATCH(C1262,Customers!$A$2:$A$41,0)),INDEX(Customers!$F$2:$F$41,MATCH(C1262,Customers!$A$2:$A$41,0)))</f>
        <v>0.131</v>
      </c>
      <c r="I1262" s="16" t="n">
        <f aca="false">F1262*G1262</f>
        <v>133841.4</v>
      </c>
      <c r="J1262" s="16" t="n">
        <f aca="false">I1262*(1-H1262)</f>
        <v>116308.1766</v>
      </c>
      <c r="K1262" s="16" t="n">
        <f aca="false">J1262*INDEX(Customers!$G$2:$G$41,MATCH(C1262,Customers!$A$2:$A$41,0))</f>
        <v>1163.081766</v>
      </c>
      <c r="L1262" s="16" t="n">
        <f aca="false">F1262*INDEX(Customers!$H$2:$H$41,MATCH(C1262,Customers!$A$2:$A$41,0))</f>
        <v>396</v>
      </c>
      <c r="M1262" s="16" t="n">
        <f aca="false">J1262*INDEX(Customers!$I$2:$I$41,MATCH(C1262,Customers!$A$2:$A$41,0))/365*Assumptions!$B$6</f>
        <v>2294.29827813699</v>
      </c>
      <c r="N1262" s="16" t="n">
        <f aca="false">J1262-K1262-L1262-M1262</f>
        <v>112454.796555863</v>
      </c>
      <c r="O1262" s="16" t="n">
        <f aca="false">F1262*IF(A1262="2025",INDEX(Products!$D$2:$D$13,MATCH(D1262,Products!$A$2:$A$13,0)),INDEX(Products!$F$2:$F$13,MATCH(D1262,Products!$A$2:$A$13,0)))</f>
        <v>64852.92</v>
      </c>
      <c r="P1262" s="16" t="n">
        <f aca="false">N1262-O1262</f>
        <v>47601.876555863</v>
      </c>
    </row>
    <row r="1263" customFormat="false" ht="15" hidden="false" customHeight="false" outlineLevel="0" collapsed="false">
      <c r="A1263" s="2" t="s">
        <v>119</v>
      </c>
      <c r="B1263" s="2" t="n">
        <v>2</v>
      </c>
      <c r="C1263" s="2" t="s">
        <v>81</v>
      </c>
      <c r="D1263" s="2" t="s">
        <v>44</v>
      </c>
      <c r="E1263" s="2" t="str">
        <f aca="false">INDEX(Products!$B$2:$B$13,MATCH(D1263,Products!$A$2:$A$13,0))</f>
        <v>Specialty</v>
      </c>
      <c r="F1263" s="15" t="n">
        <v>4.8</v>
      </c>
      <c r="G1263" s="16" t="n">
        <f aca="false">IF(A1263="2025",INDEX(Products!$C$2:$C$13,MATCH(D1263,Products!$A$2:$A$13,0)),INDEX(Products!$E$2:$E$13,MATCH(D1263,Products!$A$2:$A$13,0)))</f>
        <v>30418.5</v>
      </c>
      <c r="H1263" s="13" t="n">
        <f aca="false">IF(A1263="2025",INDEX(Customers!$D$2:$D$41,MATCH(C1263,Customers!$A$2:$A$41,0)),INDEX(Customers!$F$2:$F$41,MATCH(C1263,Customers!$A$2:$A$41,0)))</f>
        <v>0.131</v>
      </c>
      <c r="I1263" s="16" t="n">
        <f aca="false">F1263*G1263</f>
        <v>146008.8</v>
      </c>
      <c r="J1263" s="16" t="n">
        <f aca="false">I1263*(1-H1263)</f>
        <v>126881.6472</v>
      </c>
      <c r="K1263" s="16" t="n">
        <f aca="false">J1263*INDEX(Customers!$G$2:$G$41,MATCH(C1263,Customers!$A$2:$A$41,0))</f>
        <v>1268.816472</v>
      </c>
      <c r="L1263" s="16" t="n">
        <f aca="false">F1263*INDEX(Customers!$H$2:$H$41,MATCH(C1263,Customers!$A$2:$A$41,0))</f>
        <v>432</v>
      </c>
      <c r="M1263" s="16" t="n">
        <f aca="false">J1263*INDEX(Customers!$I$2:$I$41,MATCH(C1263,Customers!$A$2:$A$41,0))/365*Assumptions!$B$6</f>
        <v>2502.87084887671</v>
      </c>
      <c r="N1263" s="16" t="n">
        <f aca="false">J1263-K1263-L1263-M1263</f>
        <v>122677.959879123</v>
      </c>
      <c r="O1263" s="16" t="n">
        <f aca="false">F1263*IF(A1263="2025",INDEX(Products!$D$2:$D$13,MATCH(D1263,Products!$A$2:$A$13,0)),INDEX(Products!$F$2:$F$13,MATCH(D1263,Products!$A$2:$A$13,0)))</f>
        <v>70748.64</v>
      </c>
      <c r="P1263" s="16" t="n">
        <f aca="false">N1263-O1263</f>
        <v>51929.3198791233</v>
      </c>
    </row>
    <row r="1264" customFormat="false" ht="15" hidden="false" customHeight="false" outlineLevel="0" collapsed="false">
      <c r="A1264" s="2" t="s">
        <v>119</v>
      </c>
      <c r="B1264" s="2" t="n">
        <v>3</v>
      </c>
      <c r="C1264" s="2" t="s">
        <v>81</v>
      </c>
      <c r="D1264" s="2" t="s">
        <v>44</v>
      </c>
      <c r="E1264" s="2" t="str">
        <f aca="false">INDEX(Products!$B$2:$B$13,MATCH(D1264,Products!$A$2:$A$13,0))</f>
        <v>Specialty</v>
      </c>
      <c r="F1264" s="15" t="n">
        <v>5</v>
      </c>
      <c r="G1264" s="16" t="n">
        <f aca="false">IF(A1264="2025",INDEX(Products!$C$2:$C$13,MATCH(D1264,Products!$A$2:$A$13,0)),INDEX(Products!$E$2:$E$13,MATCH(D1264,Products!$A$2:$A$13,0)))</f>
        <v>30418.5</v>
      </c>
      <c r="H1264" s="13" t="n">
        <f aca="false">IF(A1264="2025",INDEX(Customers!$D$2:$D$41,MATCH(C1264,Customers!$A$2:$A$41,0)),INDEX(Customers!$F$2:$F$41,MATCH(C1264,Customers!$A$2:$A$41,0)))</f>
        <v>0.131</v>
      </c>
      <c r="I1264" s="16" t="n">
        <f aca="false">F1264*G1264</f>
        <v>152092.5</v>
      </c>
      <c r="J1264" s="16" t="n">
        <f aca="false">I1264*(1-H1264)</f>
        <v>132168.3825</v>
      </c>
      <c r="K1264" s="16" t="n">
        <f aca="false">J1264*INDEX(Customers!$G$2:$G$41,MATCH(C1264,Customers!$A$2:$A$41,0))</f>
        <v>1321.683825</v>
      </c>
      <c r="L1264" s="16" t="n">
        <f aca="false">F1264*INDEX(Customers!$H$2:$H$41,MATCH(C1264,Customers!$A$2:$A$41,0))</f>
        <v>450</v>
      </c>
      <c r="M1264" s="16" t="n">
        <f aca="false">J1264*INDEX(Customers!$I$2:$I$41,MATCH(C1264,Customers!$A$2:$A$41,0))/365*Assumptions!$B$6</f>
        <v>2607.15713424658</v>
      </c>
      <c r="N1264" s="16" t="n">
        <f aca="false">J1264-K1264-L1264-M1264</f>
        <v>127789.541540753</v>
      </c>
      <c r="O1264" s="16" t="n">
        <f aca="false">F1264*IF(A1264="2025",INDEX(Products!$D$2:$D$13,MATCH(D1264,Products!$A$2:$A$13,0)),INDEX(Products!$F$2:$F$13,MATCH(D1264,Products!$A$2:$A$13,0)))</f>
        <v>73696.5</v>
      </c>
      <c r="P1264" s="16" t="n">
        <f aca="false">N1264-O1264</f>
        <v>54093.0415407534</v>
      </c>
    </row>
    <row r="1265" customFormat="false" ht="15" hidden="false" customHeight="false" outlineLevel="0" collapsed="false">
      <c r="A1265" s="2" t="s">
        <v>119</v>
      </c>
      <c r="B1265" s="2" t="n">
        <v>4</v>
      </c>
      <c r="C1265" s="2" t="s">
        <v>81</v>
      </c>
      <c r="D1265" s="2" t="s">
        <v>44</v>
      </c>
      <c r="E1265" s="2" t="str">
        <f aca="false">INDEX(Products!$B$2:$B$13,MATCH(D1265,Products!$A$2:$A$13,0))</f>
        <v>Specialty</v>
      </c>
      <c r="F1265" s="15" t="n">
        <v>3.7</v>
      </c>
      <c r="G1265" s="16" t="n">
        <f aca="false">IF(A1265="2025",INDEX(Products!$C$2:$C$13,MATCH(D1265,Products!$A$2:$A$13,0)),INDEX(Products!$E$2:$E$13,MATCH(D1265,Products!$A$2:$A$13,0)))</f>
        <v>30418.5</v>
      </c>
      <c r="H1265" s="13" t="n">
        <f aca="false">IF(A1265="2025",INDEX(Customers!$D$2:$D$41,MATCH(C1265,Customers!$A$2:$A$41,0)),INDEX(Customers!$F$2:$F$41,MATCH(C1265,Customers!$A$2:$A$41,0)))</f>
        <v>0.131</v>
      </c>
      <c r="I1265" s="16" t="n">
        <f aca="false">F1265*G1265</f>
        <v>112548.45</v>
      </c>
      <c r="J1265" s="16" t="n">
        <f aca="false">I1265*(1-H1265)</f>
        <v>97804.60305</v>
      </c>
      <c r="K1265" s="16" t="n">
        <f aca="false">J1265*INDEX(Customers!$G$2:$G$41,MATCH(C1265,Customers!$A$2:$A$41,0))</f>
        <v>978.0460305</v>
      </c>
      <c r="L1265" s="16" t="n">
        <f aca="false">F1265*INDEX(Customers!$H$2:$H$41,MATCH(C1265,Customers!$A$2:$A$41,0))</f>
        <v>333</v>
      </c>
      <c r="M1265" s="16" t="n">
        <f aca="false">J1265*INDEX(Customers!$I$2:$I$41,MATCH(C1265,Customers!$A$2:$A$41,0))/365*Assumptions!$B$6</f>
        <v>1929.29627934247</v>
      </c>
      <c r="N1265" s="16" t="n">
        <f aca="false">J1265-K1265-L1265-M1265</f>
        <v>94564.2607401575</v>
      </c>
      <c r="O1265" s="16" t="n">
        <f aca="false">F1265*IF(A1265="2025",INDEX(Products!$D$2:$D$13,MATCH(D1265,Products!$A$2:$A$13,0)),INDEX(Products!$F$2:$F$13,MATCH(D1265,Products!$A$2:$A$13,0)))</f>
        <v>54535.41</v>
      </c>
      <c r="P1265" s="16" t="n">
        <f aca="false">N1265-O1265</f>
        <v>40028.8507401575</v>
      </c>
    </row>
    <row r="1266" customFormat="false" ht="15" hidden="false" customHeight="false" outlineLevel="0" collapsed="false">
      <c r="A1266" s="2" t="s">
        <v>119</v>
      </c>
      <c r="B1266" s="2" t="n">
        <v>5</v>
      </c>
      <c r="C1266" s="2" t="s">
        <v>81</v>
      </c>
      <c r="D1266" s="2" t="s">
        <v>44</v>
      </c>
      <c r="E1266" s="2" t="str">
        <f aca="false">INDEX(Products!$B$2:$B$13,MATCH(D1266,Products!$A$2:$A$13,0))</f>
        <v>Specialty</v>
      </c>
      <c r="F1266" s="15" t="n">
        <v>5.7</v>
      </c>
      <c r="G1266" s="16" t="n">
        <f aca="false">IF(A1266="2025",INDEX(Products!$C$2:$C$13,MATCH(D1266,Products!$A$2:$A$13,0)),INDEX(Products!$E$2:$E$13,MATCH(D1266,Products!$A$2:$A$13,0)))</f>
        <v>30418.5</v>
      </c>
      <c r="H1266" s="13" t="n">
        <f aca="false">IF(A1266="2025",INDEX(Customers!$D$2:$D$41,MATCH(C1266,Customers!$A$2:$A$41,0)),INDEX(Customers!$F$2:$F$41,MATCH(C1266,Customers!$A$2:$A$41,0)))</f>
        <v>0.131</v>
      </c>
      <c r="I1266" s="16" t="n">
        <f aca="false">F1266*G1266</f>
        <v>173385.45</v>
      </c>
      <c r="J1266" s="16" t="n">
        <f aca="false">I1266*(1-H1266)</f>
        <v>150671.95605</v>
      </c>
      <c r="K1266" s="16" t="n">
        <f aca="false">J1266*INDEX(Customers!$G$2:$G$41,MATCH(C1266,Customers!$A$2:$A$41,0))</f>
        <v>1506.7195605</v>
      </c>
      <c r="L1266" s="16" t="n">
        <f aca="false">F1266*INDEX(Customers!$H$2:$H$41,MATCH(C1266,Customers!$A$2:$A$41,0))</f>
        <v>513</v>
      </c>
      <c r="M1266" s="16" t="n">
        <f aca="false">J1266*INDEX(Customers!$I$2:$I$41,MATCH(C1266,Customers!$A$2:$A$41,0))/365*Assumptions!$B$6</f>
        <v>2972.1591330411</v>
      </c>
      <c r="N1266" s="16" t="n">
        <f aca="false">J1266-K1266-L1266-M1266</f>
        <v>145680.077356459</v>
      </c>
      <c r="O1266" s="16" t="n">
        <f aca="false">F1266*IF(A1266="2025",INDEX(Products!$D$2:$D$13,MATCH(D1266,Products!$A$2:$A$13,0)),INDEX(Products!$F$2:$F$13,MATCH(D1266,Products!$A$2:$A$13,0)))</f>
        <v>84014.01</v>
      </c>
      <c r="P1266" s="16" t="n">
        <f aca="false">N1266-O1266</f>
        <v>61666.0673564589</v>
      </c>
    </row>
    <row r="1267" customFormat="false" ht="15" hidden="false" customHeight="false" outlineLevel="0" collapsed="false">
      <c r="A1267" s="2" t="s">
        <v>119</v>
      </c>
      <c r="B1267" s="2" t="n">
        <v>6</v>
      </c>
      <c r="C1267" s="2" t="s">
        <v>81</v>
      </c>
      <c r="D1267" s="2" t="s">
        <v>44</v>
      </c>
      <c r="E1267" s="2" t="str">
        <f aca="false">INDEX(Products!$B$2:$B$13,MATCH(D1267,Products!$A$2:$A$13,0))</f>
        <v>Specialty</v>
      </c>
      <c r="F1267" s="15" t="n">
        <v>6.4</v>
      </c>
      <c r="G1267" s="16" t="n">
        <f aca="false">IF(A1267="2025",INDEX(Products!$C$2:$C$13,MATCH(D1267,Products!$A$2:$A$13,0)),INDEX(Products!$E$2:$E$13,MATCH(D1267,Products!$A$2:$A$13,0)))</f>
        <v>30418.5</v>
      </c>
      <c r="H1267" s="13" t="n">
        <f aca="false">IF(A1267="2025",INDEX(Customers!$D$2:$D$41,MATCH(C1267,Customers!$A$2:$A$41,0)),INDEX(Customers!$F$2:$F$41,MATCH(C1267,Customers!$A$2:$A$41,0)))</f>
        <v>0.131</v>
      </c>
      <c r="I1267" s="16" t="n">
        <f aca="false">F1267*G1267</f>
        <v>194678.4</v>
      </c>
      <c r="J1267" s="16" t="n">
        <f aca="false">I1267*(1-H1267)</f>
        <v>169175.5296</v>
      </c>
      <c r="K1267" s="16" t="n">
        <f aca="false">J1267*INDEX(Customers!$G$2:$G$41,MATCH(C1267,Customers!$A$2:$A$41,0))</f>
        <v>1691.755296</v>
      </c>
      <c r="L1267" s="16" t="n">
        <f aca="false">F1267*INDEX(Customers!$H$2:$H$41,MATCH(C1267,Customers!$A$2:$A$41,0))</f>
        <v>576</v>
      </c>
      <c r="M1267" s="16" t="n">
        <f aca="false">J1267*INDEX(Customers!$I$2:$I$41,MATCH(C1267,Customers!$A$2:$A$41,0))/365*Assumptions!$B$6</f>
        <v>3337.16113183562</v>
      </c>
      <c r="N1267" s="16" t="n">
        <f aca="false">J1267-K1267-L1267-M1267</f>
        <v>163570.613172164</v>
      </c>
      <c r="O1267" s="16" t="n">
        <f aca="false">F1267*IF(A1267="2025",INDEX(Products!$D$2:$D$13,MATCH(D1267,Products!$A$2:$A$13,0)),INDEX(Products!$F$2:$F$13,MATCH(D1267,Products!$A$2:$A$13,0)))</f>
        <v>94331.52</v>
      </c>
      <c r="P1267" s="16" t="n">
        <f aca="false">N1267-O1267</f>
        <v>69239.0931721644</v>
      </c>
    </row>
    <row r="1268" customFormat="false" ht="15" hidden="false" customHeight="false" outlineLevel="0" collapsed="false">
      <c r="A1268" s="2" t="s">
        <v>119</v>
      </c>
      <c r="B1268" s="2" t="n">
        <v>7</v>
      </c>
      <c r="C1268" s="2" t="s">
        <v>81</v>
      </c>
      <c r="D1268" s="2" t="s">
        <v>44</v>
      </c>
      <c r="E1268" s="2" t="str">
        <f aca="false">INDEX(Products!$B$2:$B$13,MATCH(D1268,Products!$A$2:$A$13,0))</f>
        <v>Specialty</v>
      </c>
      <c r="F1268" s="15" t="n">
        <v>4.2</v>
      </c>
      <c r="G1268" s="16" t="n">
        <f aca="false">IF(A1268="2025",INDEX(Products!$C$2:$C$13,MATCH(D1268,Products!$A$2:$A$13,0)),INDEX(Products!$E$2:$E$13,MATCH(D1268,Products!$A$2:$A$13,0)))</f>
        <v>30418.5</v>
      </c>
      <c r="H1268" s="13" t="n">
        <f aca="false">IF(A1268="2025",INDEX(Customers!$D$2:$D$41,MATCH(C1268,Customers!$A$2:$A$41,0)),INDEX(Customers!$F$2:$F$41,MATCH(C1268,Customers!$A$2:$A$41,0)))</f>
        <v>0.131</v>
      </c>
      <c r="I1268" s="16" t="n">
        <f aca="false">F1268*G1268</f>
        <v>127757.7</v>
      </c>
      <c r="J1268" s="16" t="n">
        <f aca="false">I1268*(1-H1268)</f>
        <v>111021.4413</v>
      </c>
      <c r="K1268" s="16" t="n">
        <f aca="false">J1268*INDEX(Customers!$G$2:$G$41,MATCH(C1268,Customers!$A$2:$A$41,0))</f>
        <v>1110.214413</v>
      </c>
      <c r="L1268" s="16" t="n">
        <f aca="false">F1268*INDEX(Customers!$H$2:$H$41,MATCH(C1268,Customers!$A$2:$A$41,0))</f>
        <v>378</v>
      </c>
      <c r="M1268" s="16" t="n">
        <f aca="false">J1268*INDEX(Customers!$I$2:$I$41,MATCH(C1268,Customers!$A$2:$A$41,0))/365*Assumptions!$B$6</f>
        <v>2190.01199276712</v>
      </c>
      <c r="N1268" s="16" t="n">
        <f aca="false">J1268-K1268-L1268-M1268</f>
        <v>107343.214894233</v>
      </c>
      <c r="O1268" s="16" t="n">
        <f aca="false">F1268*IF(A1268="2025",INDEX(Products!$D$2:$D$13,MATCH(D1268,Products!$A$2:$A$13,0)),INDEX(Products!$F$2:$F$13,MATCH(D1268,Products!$A$2:$A$13,0)))</f>
        <v>61905.06</v>
      </c>
      <c r="P1268" s="16" t="n">
        <f aca="false">N1268-O1268</f>
        <v>45438.1548942329</v>
      </c>
    </row>
    <row r="1269" customFormat="false" ht="15" hidden="false" customHeight="false" outlineLevel="0" collapsed="false">
      <c r="A1269" s="2" t="s">
        <v>119</v>
      </c>
      <c r="B1269" s="2" t="n">
        <v>8</v>
      </c>
      <c r="C1269" s="2" t="s">
        <v>81</v>
      </c>
      <c r="D1269" s="2" t="s">
        <v>44</v>
      </c>
      <c r="E1269" s="2" t="str">
        <f aca="false">INDEX(Products!$B$2:$B$13,MATCH(D1269,Products!$A$2:$A$13,0))</f>
        <v>Specialty</v>
      </c>
      <c r="F1269" s="15" t="n">
        <v>6.2</v>
      </c>
      <c r="G1269" s="16" t="n">
        <f aca="false">IF(A1269="2025",INDEX(Products!$C$2:$C$13,MATCH(D1269,Products!$A$2:$A$13,0)),INDEX(Products!$E$2:$E$13,MATCH(D1269,Products!$A$2:$A$13,0)))</f>
        <v>30418.5</v>
      </c>
      <c r="H1269" s="13" t="n">
        <f aca="false">IF(A1269="2025",INDEX(Customers!$D$2:$D$41,MATCH(C1269,Customers!$A$2:$A$41,0)),INDEX(Customers!$F$2:$F$41,MATCH(C1269,Customers!$A$2:$A$41,0)))</f>
        <v>0.131</v>
      </c>
      <c r="I1269" s="16" t="n">
        <f aca="false">F1269*G1269</f>
        <v>188594.7</v>
      </c>
      <c r="J1269" s="16" t="n">
        <f aca="false">I1269*(1-H1269)</f>
        <v>163888.7943</v>
      </c>
      <c r="K1269" s="16" t="n">
        <f aca="false">J1269*INDEX(Customers!$G$2:$G$41,MATCH(C1269,Customers!$A$2:$A$41,0))</f>
        <v>1638.887943</v>
      </c>
      <c r="L1269" s="16" t="n">
        <f aca="false">F1269*INDEX(Customers!$H$2:$H$41,MATCH(C1269,Customers!$A$2:$A$41,0))</f>
        <v>558</v>
      </c>
      <c r="M1269" s="16" t="n">
        <f aca="false">J1269*INDEX(Customers!$I$2:$I$41,MATCH(C1269,Customers!$A$2:$A$41,0))/365*Assumptions!$B$6</f>
        <v>3232.87484646575</v>
      </c>
      <c r="N1269" s="16" t="n">
        <f aca="false">J1269-K1269-L1269-M1269</f>
        <v>158459.031510534</v>
      </c>
      <c r="O1269" s="16" t="n">
        <f aca="false">F1269*IF(A1269="2025",INDEX(Products!$D$2:$D$13,MATCH(D1269,Products!$A$2:$A$13,0)),INDEX(Products!$F$2:$F$13,MATCH(D1269,Products!$A$2:$A$13,0)))</f>
        <v>91383.66</v>
      </c>
      <c r="P1269" s="16" t="n">
        <f aca="false">N1269-O1269</f>
        <v>67075.3715105343</v>
      </c>
    </row>
    <row r="1270" customFormat="false" ht="15" hidden="false" customHeight="false" outlineLevel="0" collapsed="false">
      <c r="A1270" s="2" t="s">
        <v>119</v>
      </c>
      <c r="B1270" s="2" t="n">
        <v>9</v>
      </c>
      <c r="C1270" s="2" t="s">
        <v>81</v>
      </c>
      <c r="D1270" s="2" t="s">
        <v>44</v>
      </c>
      <c r="E1270" s="2" t="str">
        <f aca="false">INDEX(Products!$B$2:$B$13,MATCH(D1270,Products!$A$2:$A$13,0))</f>
        <v>Specialty</v>
      </c>
      <c r="F1270" s="15" t="n">
        <v>5</v>
      </c>
      <c r="G1270" s="16" t="n">
        <f aca="false">IF(A1270="2025",INDEX(Products!$C$2:$C$13,MATCH(D1270,Products!$A$2:$A$13,0)),INDEX(Products!$E$2:$E$13,MATCH(D1270,Products!$A$2:$A$13,0)))</f>
        <v>30418.5</v>
      </c>
      <c r="H1270" s="13" t="n">
        <f aca="false">IF(A1270="2025",INDEX(Customers!$D$2:$D$41,MATCH(C1270,Customers!$A$2:$A$41,0)),INDEX(Customers!$F$2:$F$41,MATCH(C1270,Customers!$A$2:$A$41,0)))</f>
        <v>0.131</v>
      </c>
      <c r="I1270" s="16" t="n">
        <f aca="false">F1270*G1270</f>
        <v>152092.5</v>
      </c>
      <c r="J1270" s="16" t="n">
        <f aca="false">I1270*(1-H1270)</f>
        <v>132168.3825</v>
      </c>
      <c r="K1270" s="16" t="n">
        <f aca="false">J1270*INDEX(Customers!$G$2:$G$41,MATCH(C1270,Customers!$A$2:$A$41,0))</f>
        <v>1321.683825</v>
      </c>
      <c r="L1270" s="16" t="n">
        <f aca="false">F1270*INDEX(Customers!$H$2:$H$41,MATCH(C1270,Customers!$A$2:$A$41,0))</f>
        <v>450</v>
      </c>
      <c r="M1270" s="16" t="n">
        <f aca="false">J1270*INDEX(Customers!$I$2:$I$41,MATCH(C1270,Customers!$A$2:$A$41,0))/365*Assumptions!$B$6</f>
        <v>2607.15713424658</v>
      </c>
      <c r="N1270" s="16" t="n">
        <f aca="false">J1270-K1270-L1270-M1270</f>
        <v>127789.541540753</v>
      </c>
      <c r="O1270" s="16" t="n">
        <f aca="false">F1270*IF(A1270="2025",INDEX(Products!$D$2:$D$13,MATCH(D1270,Products!$A$2:$A$13,0)),INDEX(Products!$F$2:$F$13,MATCH(D1270,Products!$A$2:$A$13,0)))</f>
        <v>73696.5</v>
      </c>
      <c r="P1270" s="16" t="n">
        <f aca="false">N1270-O1270</f>
        <v>54093.0415407534</v>
      </c>
    </row>
    <row r="1271" customFormat="false" ht="15" hidden="false" customHeight="false" outlineLevel="0" collapsed="false">
      <c r="A1271" s="2" t="s">
        <v>119</v>
      </c>
      <c r="B1271" s="2" t="n">
        <v>10</v>
      </c>
      <c r="C1271" s="2" t="s">
        <v>81</v>
      </c>
      <c r="D1271" s="2" t="s">
        <v>44</v>
      </c>
      <c r="E1271" s="2" t="str">
        <f aca="false">INDEX(Products!$B$2:$B$13,MATCH(D1271,Products!$A$2:$A$13,0))</f>
        <v>Specialty</v>
      </c>
      <c r="F1271" s="15" t="n">
        <v>4.5</v>
      </c>
      <c r="G1271" s="16" t="n">
        <f aca="false">IF(A1271="2025",INDEX(Products!$C$2:$C$13,MATCH(D1271,Products!$A$2:$A$13,0)),INDEX(Products!$E$2:$E$13,MATCH(D1271,Products!$A$2:$A$13,0)))</f>
        <v>30418.5</v>
      </c>
      <c r="H1271" s="13" t="n">
        <f aca="false">IF(A1271="2025",INDEX(Customers!$D$2:$D$41,MATCH(C1271,Customers!$A$2:$A$41,0)),INDEX(Customers!$F$2:$F$41,MATCH(C1271,Customers!$A$2:$A$41,0)))</f>
        <v>0.131</v>
      </c>
      <c r="I1271" s="16" t="n">
        <f aca="false">F1271*G1271</f>
        <v>136883.25</v>
      </c>
      <c r="J1271" s="16" t="n">
        <f aca="false">I1271*(1-H1271)</f>
        <v>118951.54425</v>
      </c>
      <c r="K1271" s="16" t="n">
        <f aca="false">J1271*INDEX(Customers!$G$2:$G$41,MATCH(C1271,Customers!$A$2:$A$41,0))</f>
        <v>1189.5154425</v>
      </c>
      <c r="L1271" s="16" t="n">
        <f aca="false">F1271*INDEX(Customers!$H$2:$H$41,MATCH(C1271,Customers!$A$2:$A$41,0))</f>
        <v>405</v>
      </c>
      <c r="M1271" s="16" t="n">
        <f aca="false">J1271*INDEX(Customers!$I$2:$I$41,MATCH(C1271,Customers!$A$2:$A$41,0))/365*Assumptions!$B$6</f>
        <v>2346.44142082192</v>
      </c>
      <c r="N1271" s="16" t="n">
        <f aca="false">J1271-K1271-L1271-M1271</f>
        <v>115010.587386678</v>
      </c>
      <c r="O1271" s="16" t="n">
        <f aca="false">F1271*IF(A1271="2025",INDEX(Products!$D$2:$D$13,MATCH(D1271,Products!$A$2:$A$13,0)),INDEX(Products!$F$2:$F$13,MATCH(D1271,Products!$A$2:$A$13,0)))</f>
        <v>66326.85</v>
      </c>
      <c r="P1271" s="16" t="n">
        <f aca="false">N1271-O1271</f>
        <v>48683.7373866781</v>
      </c>
    </row>
    <row r="1272" customFormat="false" ht="15" hidden="false" customHeight="false" outlineLevel="0" collapsed="false">
      <c r="A1272" s="2" t="s">
        <v>119</v>
      </c>
      <c r="B1272" s="2" t="n">
        <v>11</v>
      </c>
      <c r="C1272" s="2" t="s">
        <v>81</v>
      </c>
      <c r="D1272" s="2" t="s">
        <v>44</v>
      </c>
      <c r="E1272" s="2" t="str">
        <f aca="false">INDEX(Products!$B$2:$B$13,MATCH(D1272,Products!$A$2:$A$13,0))</f>
        <v>Specialty</v>
      </c>
      <c r="F1272" s="15" t="n">
        <v>5.5</v>
      </c>
      <c r="G1272" s="16" t="n">
        <f aca="false">IF(A1272="2025",INDEX(Products!$C$2:$C$13,MATCH(D1272,Products!$A$2:$A$13,0)),INDEX(Products!$E$2:$E$13,MATCH(D1272,Products!$A$2:$A$13,0)))</f>
        <v>30418.5</v>
      </c>
      <c r="H1272" s="13" t="n">
        <f aca="false">IF(A1272="2025",INDEX(Customers!$D$2:$D$41,MATCH(C1272,Customers!$A$2:$A$41,0)),INDEX(Customers!$F$2:$F$41,MATCH(C1272,Customers!$A$2:$A$41,0)))</f>
        <v>0.131</v>
      </c>
      <c r="I1272" s="16" t="n">
        <f aca="false">F1272*G1272</f>
        <v>167301.75</v>
      </c>
      <c r="J1272" s="16" t="n">
        <f aca="false">I1272*(1-H1272)</f>
        <v>145385.22075</v>
      </c>
      <c r="K1272" s="16" t="n">
        <f aca="false">J1272*INDEX(Customers!$G$2:$G$41,MATCH(C1272,Customers!$A$2:$A$41,0))</f>
        <v>1453.8522075</v>
      </c>
      <c r="L1272" s="16" t="n">
        <f aca="false">F1272*INDEX(Customers!$H$2:$H$41,MATCH(C1272,Customers!$A$2:$A$41,0))</f>
        <v>495</v>
      </c>
      <c r="M1272" s="16" t="n">
        <f aca="false">J1272*INDEX(Customers!$I$2:$I$41,MATCH(C1272,Customers!$A$2:$A$41,0))/365*Assumptions!$B$6</f>
        <v>2867.87284767123</v>
      </c>
      <c r="N1272" s="16" t="n">
        <f aca="false">J1272-K1272-L1272-M1272</f>
        <v>140568.495694829</v>
      </c>
      <c r="O1272" s="16" t="n">
        <f aca="false">F1272*IF(A1272="2025",INDEX(Products!$D$2:$D$13,MATCH(D1272,Products!$A$2:$A$13,0)),INDEX(Products!$F$2:$F$13,MATCH(D1272,Products!$A$2:$A$13,0)))</f>
        <v>81066.15</v>
      </c>
      <c r="P1272" s="16" t="n">
        <f aca="false">N1272-O1272</f>
        <v>59502.3456948288</v>
      </c>
    </row>
    <row r="1273" customFormat="false" ht="15" hidden="false" customHeight="false" outlineLevel="0" collapsed="false">
      <c r="A1273" s="2" t="s">
        <v>119</v>
      </c>
      <c r="B1273" s="2" t="n">
        <v>12</v>
      </c>
      <c r="C1273" s="2" t="s">
        <v>81</v>
      </c>
      <c r="D1273" s="2" t="s">
        <v>44</v>
      </c>
      <c r="E1273" s="2" t="str">
        <f aca="false">INDEX(Products!$B$2:$B$13,MATCH(D1273,Products!$A$2:$A$13,0))</f>
        <v>Specialty</v>
      </c>
      <c r="F1273" s="15" t="n">
        <v>4.3</v>
      </c>
      <c r="G1273" s="16" t="n">
        <f aca="false">IF(A1273="2025",INDEX(Products!$C$2:$C$13,MATCH(D1273,Products!$A$2:$A$13,0)),INDEX(Products!$E$2:$E$13,MATCH(D1273,Products!$A$2:$A$13,0)))</f>
        <v>30418.5</v>
      </c>
      <c r="H1273" s="13" t="n">
        <f aca="false">IF(A1273="2025",INDEX(Customers!$D$2:$D$41,MATCH(C1273,Customers!$A$2:$A$41,0)),INDEX(Customers!$F$2:$F$41,MATCH(C1273,Customers!$A$2:$A$41,0)))</f>
        <v>0.131</v>
      </c>
      <c r="I1273" s="16" t="n">
        <f aca="false">F1273*G1273</f>
        <v>130799.55</v>
      </c>
      <c r="J1273" s="16" t="n">
        <f aca="false">I1273*(1-H1273)</f>
        <v>113664.80895</v>
      </c>
      <c r="K1273" s="16" t="n">
        <f aca="false">J1273*INDEX(Customers!$G$2:$G$41,MATCH(C1273,Customers!$A$2:$A$41,0))</f>
        <v>1136.6480895</v>
      </c>
      <c r="L1273" s="16" t="n">
        <f aca="false">F1273*INDEX(Customers!$H$2:$H$41,MATCH(C1273,Customers!$A$2:$A$41,0))</f>
        <v>387</v>
      </c>
      <c r="M1273" s="16" t="n">
        <f aca="false">J1273*INDEX(Customers!$I$2:$I$41,MATCH(C1273,Customers!$A$2:$A$41,0))/365*Assumptions!$B$6</f>
        <v>2242.15513545205</v>
      </c>
      <c r="N1273" s="16" t="n">
        <f aca="false">J1273-K1273-L1273-M1273</f>
        <v>109899.005725048</v>
      </c>
      <c r="O1273" s="16" t="n">
        <f aca="false">F1273*IF(A1273="2025",INDEX(Products!$D$2:$D$13,MATCH(D1273,Products!$A$2:$A$13,0)),INDEX(Products!$F$2:$F$13,MATCH(D1273,Products!$A$2:$A$13,0)))</f>
        <v>63378.99</v>
      </c>
      <c r="P1273" s="16" t="n">
        <f aca="false">N1273-O1273</f>
        <v>46520.0157250479</v>
      </c>
    </row>
    <row r="1274" customFormat="false" ht="15" hidden="false" customHeight="false" outlineLevel="0" collapsed="false">
      <c r="A1274" s="2" t="s">
        <v>118</v>
      </c>
      <c r="B1274" s="2" t="n">
        <v>1</v>
      </c>
      <c r="C1274" s="2" t="s">
        <v>81</v>
      </c>
      <c r="D1274" s="2" t="s">
        <v>36</v>
      </c>
      <c r="E1274" s="2" t="str">
        <f aca="false">INDEX(Products!$B$2:$B$13,MATCH(D1274,Products!$A$2:$A$13,0))</f>
        <v>FCC</v>
      </c>
      <c r="F1274" s="15" t="n">
        <v>16.1</v>
      </c>
      <c r="G1274" s="16" t="n">
        <f aca="false">IF(A1274="2025",INDEX(Products!$C$2:$C$13,MATCH(D1274,Products!$A$2:$A$13,0)),INDEX(Products!$E$2:$E$13,MATCH(D1274,Products!$A$2:$A$13,0)))</f>
        <v>3700</v>
      </c>
      <c r="H1274" s="13" t="n">
        <f aca="false">IF(A1274="2025",INDEX(Customers!$D$2:$D$41,MATCH(C1274,Customers!$A$2:$A$41,0)),INDEX(Customers!$F$2:$F$41,MATCH(C1274,Customers!$A$2:$A$41,0)))</f>
        <v>0.097</v>
      </c>
      <c r="I1274" s="16" t="n">
        <f aca="false">F1274*G1274</f>
        <v>59570</v>
      </c>
      <c r="J1274" s="16" t="n">
        <f aca="false">I1274*(1-H1274)</f>
        <v>53791.71</v>
      </c>
      <c r="K1274" s="16" t="n">
        <f aca="false">J1274*INDEX(Customers!$G$2:$G$41,MATCH(C1274,Customers!$A$2:$A$41,0))</f>
        <v>537.9171</v>
      </c>
      <c r="L1274" s="16" t="n">
        <f aca="false">F1274*INDEX(Customers!$H$2:$H$41,MATCH(C1274,Customers!$A$2:$A$41,0))</f>
        <v>1449</v>
      </c>
      <c r="M1274" s="16" t="n">
        <f aca="false">J1274*INDEX(Customers!$I$2:$I$41,MATCH(C1274,Customers!$A$2:$A$41,0))/365*Assumptions!$B$6</f>
        <v>1061.09674520548</v>
      </c>
      <c r="N1274" s="16" t="n">
        <f aca="false">J1274-K1274-L1274-M1274</f>
        <v>50743.6961547945</v>
      </c>
      <c r="O1274" s="16" t="n">
        <f aca="false">F1274*IF(A1274="2025",INDEX(Products!$D$2:$D$13,MATCH(D1274,Products!$A$2:$A$13,0)),INDEX(Products!$F$2:$F$13,MATCH(D1274,Products!$A$2:$A$13,0)))</f>
        <v>38640</v>
      </c>
      <c r="P1274" s="16" t="n">
        <f aca="false">N1274-O1274</f>
        <v>12103.6961547945</v>
      </c>
    </row>
    <row r="1275" customFormat="false" ht="15" hidden="false" customHeight="false" outlineLevel="0" collapsed="false">
      <c r="A1275" s="2" t="s">
        <v>118</v>
      </c>
      <c r="B1275" s="2" t="n">
        <v>2</v>
      </c>
      <c r="C1275" s="2" t="s">
        <v>81</v>
      </c>
      <c r="D1275" s="2" t="s">
        <v>36</v>
      </c>
      <c r="E1275" s="2" t="str">
        <f aca="false">INDEX(Products!$B$2:$B$13,MATCH(D1275,Products!$A$2:$A$13,0))</f>
        <v>FCC</v>
      </c>
      <c r="F1275" s="15" t="n">
        <v>21.7</v>
      </c>
      <c r="G1275" s="16" t="n">
        <f aca="false">IF(A1275="2025",INDEX(Products!$C$2:$C$13,MATCH(D1275,Products!$A$2:$A$13,0)),INDEX(Products!$E$2:$E$13,MATCH(D1275,Products!$A$2:$A$13,0)))</f>
        <v>3700</v>
      </c>
      <c r="H1275" s="13" t="n">
        <f aca="false">IF(A1275="2025",INDEX(Customers!$D$2:$D$41,MATCH(C1275,Customers!$A$2:$A$41,0)),INDEX(Customers!$F$2:$F$41,MATCH(C1275,Customers!$A$2:$A$41,0)))</f>
        <v>0.097</v>
      </c>
      <c r="I1275" s="16" t="n">
        <f aca="false">F1275*G1275</f>
        <v>80290</v>
      </c>
      <c r="J1275" s="16" t="n">
        <f aca="false">I1275*(1-H1275)</f>
        <v>72501.87</v>
      </c>
      <c r="K1275" s="16" t="n">
        <f aca="false">J1275*INDEX(Customers!$G$2:$G$41,MATCH(C1275,Customers!$A$2:$A$41,0))</f>
        <v>725.0187</v>
      </c>
      <c r="L1275" s="16" t="n">
        <f aca="false">F1275*INDEX(Customers!$H$2:$H$41,MATCH(C1275,Customers!$A$2:$A$41,0))</f>
        <v>1953</v>
      </c>
      <c r="M1275" s="16" t="n">
        <f aca="false">J1275*INDEX(Customers!$I$2:$I$41,MATCH(C1275,Customers!$A$2:$A$41,0))/365*Assumptions!$B$6</f>
        <v>1430.1738739726</v>
      </c>
      <c r="N1275" s="16" t="n">
        <f aca="false">J1275-K1275-L1275-M1275</f>
        <v>68393.6774260274</v>
      </c>
      <c r="O1275" s="16" t="n">
        <f aca="false">F1275*IF(A1275="2025",INDEX(Products!$D$2:$D$13,MATCH(D1275,Products!$A$2:$A$13,0)),INDEX(Products!$F$2:$F$13,MATCH(D1275,Products!$A$2:$A$13,0)))</f>
        <v>52080</v>
      </c>
      <c r="P1275" s="16" t="n">
        <f aca="false">N1275-O1275</f>
        <v>16313.6774260274</v>
      </c>
    </row>
    <row r="1276" customFormat="false" ht="15" hidden="false" customHeight="false" outlineLevel="0" collapsed="false">
      <c r="A1276" s="2" t="s">
        <v>118</v>
      </c>
      <c r="B1276" s="2" t="n">
        <v>3</v>
      </c>
      <c r="C1276" s="2" t="s">
        <v>81</v>
      </c>
      <c r="D1276" s="2" t="s">
        <v>36</v>
      </c>
      <c r="E1276" s="2" t="str">
        <f aca="false">INDEX(Products!$B$2:$B$13,MATCH(D1276,Products!$A$2:$A$13,0))</f>
        <v>FCC</v>
      </c>
      <c r="F1276" s="15" t="n">
        <v>17.6</v>
      </c>
      <c r="G1276" s="16" t="n">
        <f aca="false">IF(A1276="2025",INDEX(Products!$C$2:$C$13,MATCH(D1276,Products!$A$2:$A$13,0)),INDEX(Products!$E$2:$E$13,MATCH(D1276,Products!$A$2:$A$13,0)))</f>
        <v>3700</v>
      </c>
      <c r="H1276" s="13" t="n">
        <f aca="false">IF(A1276="2025",INDEX(Customers!$D$2:$D$41,MATCH(C1276,Customers!$A$2:$A$41,0)),INDEX(Customers!$F$2:$F$41,MATCH(C1276,Customers!$A$2:$A$41,0)))</f>
        <v>0.097</v>
      </c>
      <c r="I1276" s="16" t="n">
        <f aca="false">F1276*G1276</f>
        <v>65120</v>
      </c>
      <c r="J1276" s="16" t="n">
        <f aca="false">I1276*(1-H1276)</f>
        <v>58803.36</v>
      </c>
      <c r="K1276" s="16" t="n">
        <f aca="false">J1276*INDEX(Customers!$G$2:$G$41,MATCH(C1276,Customers!$A$2:$A$41,0))</f>
        <v>588.0336</v>
      </c>
      <c r="L1276" s="16" t="n">
        <f aca="false">F1276*INDEX(Customers!$H$2:$H$41,MATCH(C1276,Customers!$A$2:$A$41,0))</f>
        <v>1584</v>
      </c>
      <c r="M1276" s="16" t="n">
        <f aca="false">J1276*INDEX(Customers!$I$2:$I$41,MATCH(C1276,Customers!$A$2:$A$41,0))/365*Assumptions!$B$6</f>
        <v>1159.95669041096</v>
      </c>
      <c r="N1276" s="16" t="n">
        <f aca="false">J1276-K1276-L1276-M1276</f>
        <v>55471.369709589</v>
      </c>
      <c r="O1276" s="16" t="n">
        <f aca="false">F1276*IF(A1276="2025",INDEX(Products!$D$2:$D$13,MATCH(D1276,Products!$A$2:$A$13,0)),INDEX(Products!$F$2:$F$13,MATCH(D1276,Products!$A$2:$A$13,0)))</f>
        <v>42240</v>
      </c>
      <c r="P1276" s="16" t="n">
        <f aca="false">N1276-O1276</f>
        <v>13231.369709589</v>
      </c>
    </row>
    <row r="1277" customFormat="false" ht="15" hidden="false" customHeight="false" outlineLevel="0" collapsed="false">
      <c r="A1277" s="2" t="s">
        <v>118</v>
      </c>
      <c r="B1277" s="2" t="n">
        <v>4</v>
      </c>
      <c r="C1277" s="2" t="s">
        <v>81</v>
      </c>
      <c r="D1277" s="2" t="s">
        <v>36</v>
      </c>
      <c r="E1277" s="2" t="str">
        <f aca="false">INDEX(Products!$B$2:$B$13,MATCH(D1277,Products!$A$2:$A$13,0))</f>
        <v>FCC</v>
      </c>
      <c r="F1277" s="15" t="n">
        <v>23.3</v>
      </c>
      <c r="G1277" s="16" t="n">
        <f aca="false">IF(A1277="2025",INDEX(Products!$C$2:$C$13,MATCH(D1277,Products!$A$2:$A$13,0)),INDEX(Products!$E$2:$E$13,MATCH(D1277,Products!$A$2:$A$13,0)))</f>
        <v>3700</v>
      </c>
      <c r="H1277" s="13" t="n">
        <f aca="false">IF(A1277="2025",INDEX(Customers!$D$2:$D$41,MATCH(C1277,Customers!$A$2:$A$41,0)),INDEX(Customers!$F$2:$F$41,MATCH(C1277,Customers!$A$2:$A$41,0)))</f>
        <v>0.097</v>
      </c>
      <c r="I1277" s="16" t="n">
        <f aca="false">F1277*G1277</f>
        <v>86210</v>
      </c>
      <c r="J1277" s="16" t="n">
        <f aca="false">I1277*(1-H1277)</f>
        <v>77847.63</v>
      </c>
      <c r="K1277" s="16" t="n">
        <f aca="false">J1277*INDEX(Customers!$G$2:$G$41,MATCH(C1277,Customers!$A$2:$A$41,0))</f>
        <v>778.4763</v>
      </c>
      <c r="L1277" s="16" t="n">
        <f aca="false">F1277*INDEX(Customers!$H$2:$H$41,MATCH(C1277,Customers!$A$2:$A$41,0))</f>
        <v>2097</v>
      </c>
      <c r="M1277" s="16" t="n">
        <f aca="false">J1277*INDEX(Customers!$I$2:$I$41,MATCH(C1277,Customers!$A$2:$A$41,0))/365*Assumptions!$B$6</f>
        <v>1535.62448219178</v>
      </c>
      <c r="N1277" s="16" t="n">
        <f aca="false">J1277-K1277-L1277-M1277</f>
        <v>73436.5292178082</v>
      </c>
      <c r="O1277" s="16" t="n">
        <f aca="false">F1277*IF(A1277="2025",INDEX(Products!$D$2:$D$13,MATCH(D1277,Products!$A$2:$A$13,0)),INDEX(Products!$F$2:$F$13,MATCH(D1277,Products!$A$2:$A$13,0)))</f>
        <v>55920</v>
      </c>
      <c r="P1277" s="16" t="n">
        <f aca="false">N1277-O1277</f>
        <v>17516.5292178082</v>
      </c>
    </row>
    <row r="1278" customFormat="false" ht="15" hidden="false" customHeight="false" outlineLevel="0" collapsed="false">
      <c r="A1278" s="2" t="s">
        <v>118</v>
      </c>
      <c r="B1278" s="2" t="n">
        <v>5</v>
      </c>
      <c r="C1278" s="2" t="s">
        <v>81</v>
      </c>
      <c r="D1278" s="2" t="s">
        <v>36</v>
      </c>
      <c r="E1278" s="2" t="str">
        <f aca="false">INDEX(Products!$B$2:$B$13,MATCH(D1278,Products!$A$2:$A$13,0))</f>
        <v>FCC</v>
      </c>
      <c r="F1278" s="15" t="n">
        <v>15.8</v>
      </c>
      <c r="G1278" s="16" t="n">
        <f aca="false">IF(A1278="2025",INDEX(Products!$C$2:$C$13,MATCH(D1278,Products!$A$2:$A$13,0)),INDEX(Products!$E$2:$E$13,MATCH(D1278,Products!$A$2:$A$13,0)))</f>
        <v>3700</v>
      </c>
      <c r="H1278" s="13" t="n">
        <f aca="false">IF(A1278="2025",INDEX(Customers!$D$2:$D$41,MATCH(C1278,Customers!$A$2:$A$41,0)),INDEX(Customers!$F$2:$F$41,MATCH(C1278,Customers!$A$2:$A$41,0)))</f>
        <v>0.097</v>
      </c>
      <c r="I1278" s="16" t="n">
        <f aca="false">F1278*G1278</f>
        <v>58460</v>
      </c>
      <c r="J1278" s="16" t="n">
        <f aca="false">I1278*(1-H1278)</f>
        <v>52789.38</v>
      </c>
      <c r="K1278" s="16" t="n">
        <f aca="false">J1278*INDEX(Customers!$G$2:$G$41,MATCH(C1278,Customers!$A$2:$A$41,0))</f>
        <v>527.8938</v>
      </c>
      <c r="L1278" s="16" t="n">
        <f aca="false">F1278*INDEX(Customers!$H$2:$H$41,MATCH(C1278,Customers!$A$2:$A$41,0))</f>
        <v>1422</v>
      </c>
      <c r="M1278" s="16" t="n">
        <f aca="false">J1278*INDEX(Customers!$I$2:$I$41,MATCH(C1278,Customers!$A$2:$A$41,0))/365*Assumptions!$B$6</f>
        <v>1041.32475616438</v>
      </c>
      <c r="N1278" s="16" t="n">
        <f aca="false">J1278-K1278-L1278-M1278</f>
        <v>49798.1614438356</v>
      </c>
      <c r="O1278" s="16" t="n">
        <f aca="false">F1278*IF(A1278="2025",INDEX(Products!$D$2:$D$13,MATCH(D1278,Products!$A$2:$A$13,0)),INDEX(Products!$F$2:$F$13,MATCH(D1278,Products!$A$2:$A$13,0)))</f>
        <v>37920</v>
      </c>
      <c r="P1278" s="16" t="n">
        <f aca="false">N1278-O1278</f>
        <v>11878.1614438356</v>
      </c>
    </row>
    <row r="1279" customFormat="false" ht="15" hidden="false" customHeight="false" outlineLevel="0" collapsed="false">
      <c r="A1279" s="2" t="s">
        <v>118</v>
      </c>
      <c r="B1279" s="2" t="n">
        <v>6</v>
      </c>
      <c r="C1279" s="2" t="s">
        <v>81</v>
      </c>
      <c r="D1279" s="2" t="s">
        <v>36</v>
      </c>
      <c r="E1279" s="2" t="str">
        <f aca="false">INDEX(Products!$B$2:$B$13,MATCH(D1279,Products!$A$2:$A$13,0))</f>
        <v>FCC</v>
      </c>
      <c r="F1279" s="15" t="n">
        <v>15.4</v>
      </c>
      <c r="G1279" s="16" t="n">
        <f aca="false">IF(A1279="2025",INDEX(Products!$C$2:$C$13,MATCH(D1279,Products!$A$2:$A$13,0)),INDEX(Products!$E$2:$E$13,MATCH(D1279,Products!$A$2:$A$13,0)))</f>
        <v>3700</v>
      </c>
      <c r="H1279" s="13" t="n">
        <f aca="false">IF(A1279="2025",INDEX(Customers!$D$2:$D$41,MATCH(C1279,Customers!$A$2:$A$41,0)),INDEX(Customers!$F$2:$F$41,MATCH(C1279,Customers!$A$2:$A$41,0)))</f>
        <v>0.097</v>
      </c>
      <c r="I1279" s="16" t="n">
        <f aca="false">F1279*G1279</f>
        <v>56980</v>
      </c>
      <c r="J1279" s="16" t="n">
        <f aca="false">I1279*(1-H1279)</f>
        <v>51452.94</v>
      </c>
      <c r="K1279" s="16" t="n">
        <f aca="false">J1279*INDEX(Customers!$G$2:$G$41,MATCH(C1279,Customers!$A$2:$A$41,0))</f>
        <v>514.5294</v>
      </c>
      <c r="L1279" s="16" t="n">
        <f aca="false">F1279*INDEX(Customers!$H$2:$H$41,MATCH(C1279,Customers!$A$2:$A$41,0))</f>
        <v>1386</v>
      </c>
      <c r="M1279" s="16" t="n">
        <f aca="false">J1279*INDEX(Customers!$I$2:$I$41,MATCH(C1279,Customers!$A$2:$A$41,0))/365*Assumptions!$B$6</f>
        <v>1014.96210410959</v>
      </c>
      <c r="N1279" s="16" t="n">
        <f aca="false">J1279-K1279-L1279-M1279</f>
        <v>48537.4484958904</v>
      </c>
      <c r="O1279" s="16" t="n">
        <f aca="false">F1279*IF(A1279="2025",INDEX(Products!$D$2:$D$13,MATCH(D1279,Products!$A$2:$A$13,0)),INDEX(Products!$F$2:$F$13,MATCH(D1279,Products!$A$2:$A$13,0)))</f>
        <v>36960</v>
      </c>
      <c r="P1279" s="16" t="n">
        <f aca="false">N1279-O1279</f>
        <v>11577.4484958904</v>
      </c>
    </row>
    <row r="1280" customFormat="false" ht="15" hidden="false" customHeight="false" outlineLevel="0" collapsed="false">
      <c r="A1280" s="2" t="s">
        <v>118</v>
      </c>
      <c r="B1280" s="2" t="n">
        <v>7</v>
      </c>
      <c r="C1280" s="2" t="s">
        <v>81</v>
      </c>
      <c r="D1280" s="2" t="s">
        <v>36</v>
      </c>
      <c r="E1280" s="2" t="str">
        <f aca="false">INDEX(Products!$B$2:$B$13,MATCH(D1280,Products!$A$2:$A$13,0))</f>
        <v>FCC</v>
      </c>
      <c r="F1280" s="15" t="n">
        <v>18.7</v>
      </c>
      <c r="G1280" s="16" t="n">
        <f aca="false">IF(A1280="2025",INDEX(Products!$C$2:$C$13,MATCH(D1280,Products!$A$2:$A$13,0)),INDEX(Products!$E$2:$E$13,MATCH(D1280,Products!$A$2:$A$13,0)))</f>
        <v>3700</v>
      </c>
      <c r="H1280" s="13" t="n">
        <f aca="false">IF(A1280="2025",INDEX(Customers!$D$2:$D$41,MATCH(C1280,Customers!$A$2:$A$41,0)),INDEX(Customers!$F$2:$F$41,MATCH(C1280,Customers!$A$2:$A$41,0)))</f>
        <v>0.097</v>
      </c>
      <c r="I1280" s="16" t="n">
        <f aca="false">F1280*G1280</f>
        <v>69190</v>
      </c>
      <c r="J1280" s="16" t="n">
        <f aca="false">I1280*(1-H1280)</f>
        <v>62478.57</v>
      </c>
      <c r="K1280" s="16" t="n">
        <f aca="false">J1280*INDEX(Customers!$G$2:$G$41,MATCH(C1280,Customers!$A$2:$A$41,0))</f>
        <v>624.7857</v>
      </c>
      <c r="L1280" s="16" t="n">
        <f aca="false">F1280*INDEX(Customers!$H$2:$H$41,MATCH(C1280,Customers!$A$2:$A$41,0))</f>
        <v>1683</v>
      </c>
      <c r="M1280" s="16" t="n">
        <f aca="false">J1280*INDEX(Customers!$I$2:$I$41,MATCH(C1280,Customers!$A$2:$A$41,0))/365*Assumptions!$B$6</f>
        <v>1232.45398356164</v>
      </c>
      <c r="N1280" s="16" t="n">
        <f aca="false">J1280-K1280-L1280-M1280</f>
        <v>58938.3303164384</v>
      </c>
      <c r="O1280" s="16" t="n">
        <f aca="false">F1280*IF(A1280="2025",INDEX(Products!$D$2:$D$13,MATCH(D1280,Products!$A$2:$A$13,0)),INDEX(Products!$F$2:$F$13,MATCH(D1280,Products!$A$2:$A$13,0)))</f>
        <v>44880</v>
      </c>
      <c r="P1280" s="16" t="n">
        <f aca="false">N1280-O1280</f>
        <v>14058.3303164384</v>
      </c>
    </row>
    <row r="1281" customFormat="false" ht="15" hidden="false" customHeight="false" outlineLevel="0" collapsed="false">
      <c r="A1281" s="2" t="s">
        <v>118</v>
      </c>
      <c r="B1281" s="2" t="n">
        <v>8</v>
      </c>
      <c r="C1281" s="2" t="s">
        <v>81</v>
      </c>
      <c r="D1281" s="2" t="s">
        <v>36</v>
      </c>
      <c r="E1281" s="2" t="str">
        <f aca="false">INDEX(Products!$B$2:$B$13,MATCH(D1281,Products!$A$2:$A$13,0))</f>
        <v>FCC</v>
      </c>
      <c r="F1281" s="15" t="n">
        <v>21.7</v>
      </c>
      <c r="G1281" s="16" t="n">
        <f aca="false">IF(A1281="2025",INDEX(Products!$C$2:$C$13,MATCH(D1281,Products!$A$2:$A$13,0)),INDEX(Products!$E$2:$E$13,MATCH(D1281,Products!$A$2:$A$13,0)))</f>
        <v>3700</v>
      </c>
      <c r="H1281" s="13" t="n">
        <f aca="false">IF(A1281="2025",INDEX(Customers!$D$2:$D$41,MATCH(C1281,Customers!$A$2:$A$41,0)),INDEX(Customers!$F$2:$F$41,MATCH(C1281,Customers!$A$2:$A$41,0)))</f>
        <v>0.097</v>
      </c>
      <c r="I1281" s="16" t="n">
        <f aca="false">F1281*G1281</f>
        <v>80290</v>
      </c>
      <c r="J1281" s="16" t="n">
        <f aca="false">I1281*(1-H1281)</f>
        <v>72501.87</v>
      </c>
      <c r="K1281" s="16" t="n">
        <f aca="false">J1281*INDEX(Customers!$G$2:$G$41,MATCH(C1281,Customers!$A$2:$A$41,0))</f>
        <v>725.0187</v>
      </c>
      <c r="L1281" s="16" t="n">
        <f aca="false">F1281*INDEX(Customers!$H$2:$H$41,MATCH(C1281,Customers!$A$2:$A$41,0))</f>
        <v>1953</v>
      </c>
      <c r="M1281" s="16" t="n">
        <f aca="false">J1281*INDEX(Customers!$I$2:$I$41,MATCH(C1281,Customers!$A$2:$A$41,0))/365*Assumptions!$B$6</f>
        <v>1430.1738739726</v>
      </c>
      <c r="N1281" s="16" t="n">
        <f aca="false">J1281-K1281-L1281-M1281</f>
        <v>68393.6774260274</v>
      </c>
      <c r="O1281" s="16" t="n">
        <f aca="false">F1281*IF(A1281="2025",INDEX(Products!$D$2:$D$13,MATCH(D1281,Products!$A$2:$A$13,0)),INDEX(Products!$F$2:$F$13,MATCH(D1281,Products!$A$2:$A$13,0)))</f>
        <v>52080</v>
      </c>
      <c r="P1281" s="16" t="n">
        <f aca="false">N1281-O1281</f>
        <v>16313.6774260274</v>
      </c>
    </row>
    <row r="1282" customFormat="false" ht="15" hidden="false" customHeight="false" outlineLevel="0" collapsed="false">
      <c r="A1282" s="2" t="s">
        <v>118</v>
      </c>
      <c r="B1282" s="2" t="n">
        <v>9</v>
      </c>
      <c r="C1282" s="2" t="s">
        <v>81</v>
      </c>
      <c r="D1282" s="2" t="s">
        <v>36</v>
      </c>
      <c r="E1282" s="2" t="str">
        <f aca="false">INDEX(Products!$B$2:$B$13,MATCH(D1282,Products!$A$2:$A$13,0))</f>
        <v>FCC</v>
      </c>
      <c r="F1282" s="15" t="n">
        <v>21.5</v>
      </c>
      <c r="G1282" s="16" t="n">
        <f aca="false">IF(A1282="2025",INDEX(Products!$C$2:$C$13,MATCH(D1282,Products!$A$2:$A$13,0)),INDEX(Products!$E$2:$E$13,MATCH(D1282,Products!$A$2:$A$13,0)))</f>
        <v>3700</v>
      </c>
      <c r="H1282" s="13" t="n">
        <f aca="false">IF(A1282="2025",INDEX(Customers!$D$2:$D$41,MATCH(C1282,Customers!$A$2:$A$41,0)),INDEX(Customers!$F$2:$F$41,MATCH(C1282,Customers!$A$2:$A$41,0)))</f>
        <v>0.097</v>
      </c>
      <c r="I1282" s="16" t="n">
        <f aca="false">F1282*G1282</f>
        <v>79550</v>
      </c>
      <c r="J1282" s="16" t="n">
        <f aca="false">I1282*(1-H1282)</f>
        <v>71833.65</v>
      </c>
      <c r="K1282" s="16" t="n">
        <f aca="false">J1282*INDEX(Customers!$G$2:$G$41,MATCH(C1282,Customers!$A$2:$A$41,0))</f>
        <v>718.3365</v>
      </c>
      <c r="L1282" s="16" t="n">
        <f aca="false">F1282*INDEX(Customers!$H$2:$H$41,MATCH(C1282,Customers!$A$2:$A$41,0))</f>
        <v>1935</v>
      </c>
      <c r="M1282" s="16" t="n">
        <f aca="false">J1282*INDEX(Customers!$I$2:$I$41,MATCH(C1282,Customers!$A$2:$A$41,0))/365*Assumptions!$B$6</f>
        <v>1416.99254794521</v>
      </c>
      <c r="N1282" s="16" t="n">
        <f aca="false">J1282-K1282-L1282-M1282</f>
        <v>67763.3209520548</v>
      </c>
      <c r="O1282" s="16" t="n">
        <f aca="false">F1282*IF(A1282="2025",INDEX(Products!$D$2:$D$13,MATCH(D1282,Products!$A$2:$A$13,0)),INDEX(Products!$F$2:$F$13,MATCH(D1282,Products!$A$2:$A$13,0)))</f>
        <v>51600</v>
      </c>
      <c r="P1282" s="16" t="n">
        <f aca="false">N1282-O1282</f>
        <v>16163.3209520548</v>
      </c>
    </row>
    <row r="1283" customFormat="false" ht="15" hidden="false" customHeight="false" outlineLevel="0" collapsed="false">
      <c r="A1283" s="2" t="s">
        <v>118</v>
      </c>
      <c r="B1283" s="2" t="n">
        <v>10</v>
      </c>
      <c r="C1283" s="2" t="s">
        <v>81</v>
      </c>
      <c r="D1283" s="2" t="s">
        <v>36</v>
      </c>
      <c r="E1283" s="2" t="str">
        <f aca="false">INDEX(Products!$B$2:$B$13,MATCH(D1283,Products!$A$2:$A$13,0))</f>
        <v>FCC</v>
      </c>
      <c r="F1283" s="15" t="n">
        <v>15.4</v>
      </c>
      <c r="G1283" s="16" t="n">
        <f aca="false">IF(A1283="2025",INDEX(Products!$C$2:$C$13,MATCH(D1283,Products!$A$2:$A$13,0)),INDEX(Products!$E$2:$E$13,MATCH(D1283,Products!$A$2:$A$13,0)))</f>
        <v>3700</v>
      </c>
      <c r="H1283" s="13" t="n">
        <f aca="false">IF(A1283="2025",INDEX(Customers!$D$2:$D$41,MATCH(C1283,Customers!$A$2:$A$41,0)),INDEX(Customers!$F$2:$F$41,MATCH(C1283,Customers!$A$2:$A$41,0)))</f>
        <v>0.097</v>
      </c>
      <c r="I1283" s="16" t="n">
        <f aca="false">F1283*G1283</f>
        <v>56980</v>
      </c>
      <c r="J1283" s="16" t="n">
        <f aca="false">I1283*(1-H1283)</f>
        <v>51452.94</v>
      </c>
      <c r="K1283" s="16" t="n">
        <f aca="false">J1283*INDEX(Customers!$G$2:$G$41,MATCH(C1283,Customers!$A$2:$A$41,0))</f>
        <v>514.5294</v>
      </c>
      <c r="L1283" s="16" t="n">
        <f aca="false">F1283*INDEX(Customers!$H$2:$H$41,MATCH(C1283,Customers!$A$2:$A$41,0))</f>
        <v>1386</v>
      </c>
      <c r="M1283" s="16" t="n">
        <f aca="false">J1283*INDEX(Customers!$I$2:$I$41,MATCH(C1283,Customers!$A$2:$A$41,0))/365*Assumptions!$B$6</f>
        <v>1014.96210410959</v>
      </c>
      <c r="N1283" s="16" t="n">
        <f aca="false">J1283-K1283-L1283-M1283</f>
        <v>48537.4484958904</v>
      </c>
      <c r="O1283" s="16" t="n">
        <f aca="false">F1283*IF(A1283="2025",INDEX(Products!$D$2:$D$13,MATCH(D1283,Products!$A$2:$A$13,0)),INDEX(Products!$F$2:$F$13,MATCH(D1283,Products!$A$2:$A$13,0)))</f>
        <v>36960</v>
      </c>
      <c r="P1283" s="16" t="n">
        <f aca="false">N1283-O1283</f>
        <v>11577.4484958904</v>
      </c>
    </row>
    <row r="1284" customFormat="false" ht="15" hidden="false" customHeight="false" outlineLevel="0" collapsed="false">
      <c r="A1284" s="2" t="s">
        <v>118</v>
      </c>
      <c r="B1284" s="2" t="n">
        <v>11</v>
      </c>
      <c r="C1284" s="2" t="s">
        <v>81</v>
      </c>
      <c r="D1284" s="2" t="s">
        <v>36</v>
      </c>
      <c r="E1284" s="2" t="str">
        <f aca="false">INDEX(Products!$B$2:$B$13,MATCH(D1284,Products!$A$2:$A$13,0))</f>
        <v>FCC</v>
      </c>
      <c r="F1284" s="15" t="n">
        <v>14.9</v>
      </c>
      <c r="G1284" s="16" t="n">
        <f aca="false">IF(A1284="2025",INDEX(Products!$C$2:$C$13,MATCH(D1284,Products!$A$2:$A$13,0)),INDEX(Products!$E$2:$E$13,MATCH(D1284,Products!$A$2:$A$13,0)))</f>
        <v>3700</v>
      </c>
      <c r="H1284" s="13" t="n">
        <f aca="false">IF(A1284="2025",INDEX(Customers!$D$2:$D$41,MATCH(C1284,Customers!$A$2:$A$41,0)),INDEX(Customers!$F$2:$F$41,MATCH(C1284,Customers!$A$2:$A$41,0)))</f>
        <v>0.097</v>
      </c>
      <c r="I1284" s="16" t="n">
        <f aca="false">F1284*G1284</f>
        <v>55130</v>
      </c>
      <c r="J1284" s="16" t="n">
        <f aca="false">I1284*(1-H1284)</f>
        <v>49782.39</v>
      </c>
      <c r="K1284" s="16" t="n">
        <f aca="false">J1284*INDEX(Customers!$G$2:$G$41,MATCH(C1284,Customers!$A$2:$A$41,0))</f>
        <v>497.8239</v>
      </c>
      <c r="L1284" s="16" t="n">
        <f aca="false">F1284*INDEX(Customers!$H$2:$H$41,MATCH(C1284,Customers!$A$2:$A$41,0))</f>
        <v>1341</v>
      </c>
      <c r="M1284" s="16" t="n">
        <f aca="false">J1284*INDEX(Customers!$I$2:$I$41,MATCH(C1284,Customers!$A$2:$A$41,0))/365*Assumptions!$B$6</f>
        <v>982.008789041096</v>
      </c>
      <c r="N1284" s="16" t="n">
        <f aca="false">J1284-K1284-L1284-M1284</f>
        <v>46961.5573109589</v>
      </c>
      <c r="O1284" s="16" t="n">
        <f aca="false">F1284*IF(A1284="2025",INDEX(Products!$D$2:$D$13,MATCH(D1284,Products!$A$2:$A$13,0)),INDEX(Products!$F$2:$F$13,MATCH(D1284,Products!$A$2:$A$13,0)))</f>
        <v>35760</v>
      </c>
      <c r="P1284" s="16" t="n">
        <f aca="false">N1284-O1284</f>
        <v>11201.5573109589</v>
      </c>
    </row>
    <row r="1285" customFormat="false" ht="15" hidden="false" customHeight="false" outlineLevel="0" collapsed="false">
      <c r="A1285" s="2" t="s">
        <v>118</v>
      </c>
      <c r="B1285" s="2" t="n">
        <v>12</v>
      </c>
      <c r="C1285" s="2" t="s">
        <v>81</v>
      </c>
      <c r="D1285" s="2" t="s">
        <v>36</v>
      </c>
      <c r="E1285" s="2" t="str">
        <f aca="false">INDEX(Products!$B$2:$B$13,MATCH(D1285,Products!$A$2:$A$13,0))</f>
        <v>FCC</v>
      </c>
      <c r="F1285" s="15" t="n">
        <v>16.4</v>
      </c>
      <c r="G1285" s="16" t="n">
        <f aca="false">IF(A1285="2025",INDEX(Products!$C$2:$C$13,MATCH(D1285,Products!$A$2:$A$13,0)),INDEX(Products!$E$2:$E$13,MATCH(D1285,Products!$A$2:$A$13,0)))</f>
        <v>3700</v>
      </c>
      <c r="H1285" s="13" t="n">
        <f aca="false">IF(A1285="2025",INDEX(Customers!$D$2:$D$41,MATCH(C1285,Customers!$A$2:$A$41,0)),INDEX(Customers!$F$2:$F$41,MATCH(C1285,Customers!$A$2:$A$41,0)))</f>
        <v>0.097</v>
      </c>
      <c r="I1285" s="16" t="n">
        <f aca="false">F1285*G1285</f>
        <v>60680</v>
      </c>
      <c r="J1285" s="16" t="n">
        <f aca="false">I1285*(1-H1285)</f>
        <v>54794.04</v>
      </c>
      <c r="K1285" s="16" t="n">
        <f aca="false">J1285*INDEX(Customers!$G$2:$G$41,MATCH(C1285,Customers!$A$2:$A$41,0))</f>
        <v>547.9404</v>
      </c>
      <c r="L1285" s="16" t="n">
        <f aca="false">F1285*INDEX(Customers!$H$2:$H$41,MATCH(C1285,Customers!$A$2:$A$41,0))</f>
        <v>1476</v>
      </c>
      <c r="M1285" s="16" t="n">
        <f aca="false">J1285*INDEX(Customers!$I$2:$I$41,MATCH(C1285,Customers!$A$2:$A$41,0))/365*Assumptions!$B$6</f>
        <v>1080.86873424658</v>
      </c>
      <c r="N1285" s="16" t="n">
        <f aca="false">J1285-K1285-L1285-M1285</f>
        <v>51689.2308657534</v>
      </c>
      <c r="O1285" s="16" t="n">
        <f aca="false">F1285*IF(A1285="2025",INDEX(Products!$D$2:$D$13,MATCH(D1285,Products!$A$2:$A$13,0)),INDEX(Products!$F$2:$F$13,MATCH(D1285,Products!$A$2:$A$13,0)))</f>
        <v>39360</v>
      </c>
      <c r="P1285" s="16" t="n">
        <f aca="false">N1285-O1285</f>
        <v>12329.2308657534</v>
      </c>
    </row>
    <row r="1286" customFormat="false" ht="15" hidden="false" customHeight="false" outlineLevel="0" collapsed="false">
      <c r="A1286" s="2" t="s">
        <v>119</v>
      </c>
      <c r="B1286" s="2" t="n">
        <v>1</v>
      </c>
      <c r="C1286" s="2" t="s">
        <v>81</v>
      </c>
      <c r="D1286" s="2" t="s">
        <v>36</v>
      </c>
      <c r="E1286" s="2" t="str">
        <f aca="false">INDEX(Products!$B$2:$B$13,MATCH(D1286,Products!$A$2:$A$13,0))</f>
        <v>FCC</v>
      </c>
      <c r="F1286" s="15" t="n">
        <v>14.8</v>
      </c>
      <c r="G1286" s="16" t="n">
        <f aca="false">IF(A1286="2025",INDEX(Products!$C$2:$C$13,MATCH(D1286,Products!$A$2:$A$13,0)),INDEX(Products!$E$2:$E$13,MATCH(D1286,Products!$A$2:$A$13,0)))</f>
        <v>3885</v>
      </c>
      <c r="H1286" s="13" t="n">
        <f aca="false">IF(A1286="2025",INDEX(Customers!$D$2:$D$41,MATCH(C1286,Customers!$A$2:$A$41,0)),INDEX(Customers!$F$2:$F$41,MATCH(C1286,Customers!$A$2:$A$41,0)))</f>
        <v>0.131</v>
      </c>
      <c r="I1286" s="16" t="n">
        <f aca="false">F1286*G1286</f>
        <v>57498</v>
      </c>
      <c r="J1286" s="16" t="n">
        <f aca="false">I1286*(1-H1286)</f>
        <v>49965.762</v>
      </c>
      <c r="K1286" s="16" t="n">
        <f aca="false">J1286*INDEX(Customers!$G$2:$G$41,MATCH(C1286,Customers!$A$2:$A$41,0))</f>
        <v>499.65762</v>
      </c>
      <c r="L1286" s="16" t="n">
        <f aca="false">F1286*INDEX(Customers!$H$2:$H$41,MATCH(C1286,Customers!$A$2:$A$41,0))</f>
        <v>1332</v>
      </c>
      <c r="M1286" s="16" t="n">
        <f aca="false">J1286*INDEX(Customers!$I$2:$I$41,MATCH(C1286,Customers!$A$2:$A$41,0))/365*Assumptions!$B$6</f>
        <v>985.625990136986</v>
      </c>
      <c r="N1286" s="16" t="n">
        <f aca="false">J1286-K1286-L1286-M1286</f>
        <v>47148.478389863</v>
      </c>
      <c r="O1286" s="16" t="n">
        <f aca="false">F1286*IF(A1286="2025",INDEX(Products!$D$2:$D$13,MATCH(D1286,Products!$A$2:$A$13,0)),INDEX(Products!$F$2:$F$13,MATCH(D1286,Products!$A$2:$A$13,0)))</f>
        <v>36585.6</v>
      </c>
      <c r="P1286" s="16" t="n">
        <f aca="false">N1286-O1286</f>
        <v>10562.878389863</v>
      </c>
    </row>
    <row r="1287" customFormat="false" ht="15" hidden="false" customHeight="false" outlineLevel="0" collapsed="false">
      <c r="A1287" s="2" t="s">
        <v>119</v>
      </c>
      <c r="B1287" s="2" t="n">
        <v>2</v>
      </c>
      <c r="C1287" s="2" t="s">
        <v>81</v>
      </c>
      <c r="D1287" s="2" t="s">
        <v>36</v>
      </c>
      <c r="E1287" s="2" t="str">
        <f aca="false">INDEX(Products!$B$2:$B$13,MATCH(D1287,Products!$A$2:$A$13,0))</f>
        <v>FCC</v>
      </c>
      <c r="F1287" s="15" t="n">
        <v>12.8</v>
      </c>
      <c r="G1287" s="16" t="n">
        <f aca="false">IF(A1287="2025",INDEX(Products!$C$2:$C$13,MATCH(D1287,Products!$A$2:$A$13,0)),INDEX(Products!$E$2:$E$13,MATCH(D1287,Products!$A$2:$A$13,0)))</f>
        <v>3885</v>
      </c>
      <c r="H1287" s="13" t="n">
        <f aca="false">IF(A1287="2025",INDEX(Customers!$D$2:$D$41,MATCH(C1287,Customers!$A$2:$A$41,0)),INDEX(Customers!$F$2:$F$41,MATCH(C1287,Customers!$A$2:$A$41,0)))</f>
        <v>0.131</v>
      </c>
      <c r="I1287" s="16" t="n">
        <f aca="false">F1287*G1287</f>
        <v>49728</v>
      </c>
      <c r="J1287" s="16" t="n">
        <f aca="false">I1287*(1-H1287)</f>
        <v>43213.632</v>
      </c>
      <c r="K1287" s="16" t="n">
        <f aca="false">J1287*INDEX(Customers!$G$2:$G$41,MATCH(C1287,Customers!$A$2:$A$41,0))</f>
        <v>432.13632</v>
      </c>
      <c r="L1287" s="16" t="n">
        <f aca="false">F1287*INDEX(Customers!$H$2:$H$41,MATCH(C1287,Customers!$A$2:$A$41,0))</f>
        <v>1152</v>
      </c>
      <c r="M1287" s="16" t="n">
        <f aca="false">J1287*INDEX(Customers!$I$2:$I$41,MATCH(C1287,Customers!$A$2:$A$41,0))/365*Assumptions!$B$6</f>
        <v>852.433288767123</v>
      </c>
      <c r="N1287" s="16" t="n">
        <f aca="false">J1287-K1287-L1287-M1287</f>
        <v>40777.0623912329</v>
      </c>
      <c r="O1287" s="16" t="n">
        <f aca="false">F1287*IF(A1287="2025",INDEX(Products!$D$2:$D$13,MATCH(D1287,Products!$A$2:$A$13,0)),INDEX(Products!$F$2:$F$13,MATCH(D1287,Products!$A$2:$A$13,0)))</f>
        <v>31641.6</v>
      </c>
      <c r="P1287" s="16" t="n">
        <f aca="false">N1287-O1287</f>
        <v>9135.46239123287</v>
      </c>
    </row>
    <row r="1288" customFormat="false" ht="15" hidden="false" customHeight="false" outlineLevel="0" collapsed="false">
      <c r="A1288" s="2" t="s">
        <v>119</v>
      </c>
      <c r="B1288" s="2" t="n">
        <v>3</v>
      </c>
      <c r="C1288" s="2" t="s">
        <v>81</v>
      </c>
      <c r="D1288" s="2" t="s">
        <v>36</v>
      </c>
      <c r="E1288" s="2" t="str">
        <f aca="false">INDEX(Products!$B$2:$B$13,MATCH(D1288,Products!$A$2:$A$13,0))</f>
        <v>FCC</v>
      </c>
      <c r="F1288" s="15" t="n">
        <v>12.7</v>
      </c>
      <c r="G1288" s="16" t="n">
        <f aca="false">IF(A1288="2025",INDEX(Products!$C$2:$C$13,MATCH(D1288,Products!$A$2:$A$13,0)),INDEX(Products!$E$2:$E$13,MATCH(D1288,Products!$A$2:$A$13,0)))</f>
        <v>3885</v>
      </c>
      <c r="H1288" s="13" t="n">
        <f aca="false">IF(A1288="2025",INDEX(Customers!$D$2:$D$41,MATCH(C1288,Customers!$A$2:$A$41,0)),INDEX(Customers!$F$2:$F$41,MATCH(C1288,Customers!$A$2:$A$41,0)))</f>
        <v>0.131</v>
      </c>
      <c r="I1288" s="16" t="n">
        <f aca="false">F1288*G1288</f>
        <v>49339.5</v>
      </c>
      <c r="J1288" s="16" t="n">
        <f aca="false">I1288*(1-H1288)</f>
        <v>42876.0255</v>
      </c>
      <c r="K1288" s="16" t="n">
        <f aca="false">J1288*INDEX(Customers!$G$2:$G$41,MATCH(C1288,Customers!$A$2:$A$41,0))</f>
        <v>428.760255</v>
      </c>
      <c r="L1288" s="16" t="n">
        <f aca="false">F1288*INDEX(Customers!$H$2:$H$41,MATCH(C1288,Customers!$A$2:$A$41,0))</f>
        <v>1143</v>
      </c>
      <c r="M1288" s="16" t="n">
        <f aca="false">J1288*INDEX(Customers!$I$2:$I$41,MATCH(C1288,Customers!$A$2:$A$41,0))/365*Assumptions!$B$6</f>
        <v>845.77365369863</v>
      </c>
      <c r="N1288" s="16" t="n">
        <f aca="false">J1288-K1288-L1288-M1288</f>
        <v>40458.4915913014</v>
      </c>
      <c r="O1288" s="16" t="n">
        <f aca="false">F1288*IF(A1288="2025",INDEX(Products!$D$2:$D$13,MATCH(D1288,Products!$A$2:$A$13,0)),INDEX(Products!$F$2:$F$13,MATCH(D1288,Products!$A$2:$A$13,0)))</f>
        <v>31394.4</v>
      </c>
      <c r="P1288" s="16" t="n">
        <f aca="false">N1288-O1288</f>
        <v>9064.09159130137</v>
      </c>
    </row>
    <row r="1289" customFormat="false" ht="15" hidden="false" customHeight="false" outlineLevel="0" collapsed="false">
      <c r="A1289" s="2" t="s">
        <v>119</v>
      </c>
      <c r="B1289" s="2" t="n">
        <v>4</v>
      </c>
      <c r="C1289" s="2" t="s">
        <v>81</v>
      </c>
      <c r="D1289" s="2" t="s">
        <v>36</v>
      </c>
      <c r="E1289" s="2" t="str">
        <f aca="false">INDEX(Products!$B$2:$B$13,MATCH(D1289,Products!$A$2:$A$13,0))</f>
        <v>FCC</v>
      </c>
      <c r="F1289" s="15" t="n">
        <v>18</v>
      </c>
      <c r="G1289" s="16" t="n">
        <f aca="false">IF(A1289="2025",INDEX(Products!$C$2:$C$13,MATCH(D1289,Products!$A$2:$A$13,0)),INDEX(Products!$E$2:$E$13,MATCH(D1289,Products!$A$2:$A$13,0)))</f>
        <v>3885</v>
      </c>
      <c r="H1289" s="13" t="n">
        <f aca="false">IF(A1289="2025",INDEX(Customers!$D$2:$D$41,MATCH(C1289,Customers!$A$2:$A$41,0)),INDEX(Customers!$F$2:$F$41,MATCH(C1289,Customers!$A$2:$A$41,0)))</f>
        <v>0.131</v>
      </c>
      <c r="I1289" s="16" t="n">
        <f aca="false">F1289*G1289</f>
        <v>69930</v>
      </c>
      <c r="J1289" s="16" t="n">
        <f aca="false">I1289*(1-H1289)</f>
        <v>60769.17</v>
      </c>
      <c r="K1289" s="16" t="n">
        <f aca="false">J1289*INDEX(Customers!$G$2:$G$41,MATCH(C1289,Customers!$A$2:$A$41,0))</f>
        <v>607.6917</v>
      </c>
      <c r="L1289" s="16" t="n">
        <f aca="false">F1289*INDEX(Customers!$H$2:$H$41,MATCH(C1289,Customers!$A$2:$A$41,0))</f>
        <v>1620</v>
      </c>
      <c r="M1289" s="16" t="n">
        <f aca="false">J1289*INDEX(Customers!$I$2:$I$41,MATCH(C1289,Customers!$A$2:$A$41,0))/365*Assumptions!$B$6</f>
        <v>1198.73431232877</v>
      </c>
      <c r="N1289" s="16" t="n">
        <f aca="false">J1289-K1289-L1289-M1289</f>
        <v>57342.7439876712</v>
      </c>
      <c r="O1289" s="16" t="n">
        <f aca="false">F1289*IF(A1289="2025",INDEX(Products!$D$2:$D$13,MATCH(D1289,Products!$A$2:$A$13,0)),INDEX(Products!$F$2:$F$13,MATCH(D1289,Products!$A$2:$A$13,0)))</f>
        <v>44496</v>
      </c>
      <c r="P1289" s="16" t="n">
        <f aca="false">N1289-O1289</f>
        <v>12846.7439876712</v>
      </c>
    </row>
    <row r="1290" customFormat="false" ht="15" hidden="false" customHeight="false" outlineLevel="0" collapsed="false">
      <c r="A1290" s="2" t="s">
        <v>119</v>
      </c>
      <c r="B1290" s="2" t="n">
        <v>5</v>
      </c>
      <c r="C1290" s="2" t="s">
        <v>81</v>
      </c>
      <c r="D1290" s="2" t="s">
        <v>36</v>
      </c>
      <c r="E1290" s="2" t="str">
        <f aca="false">INDEX(Products!$B$2:$B$13,MATCH(D1290,Products!$A$2:$A$13,0))</f>
        <v>FCC</v>
      </c>
      <c r="F1290" s="15" t="n">
        <v>13.9</v>
      </c>
      <c r="G1290" s="16" t="n">
        <f aca="false">IF(A1290="2025",INDEX(Products!$C$2:$C$13,MATCH(D1290,Products!$A$2:$A$13,0)),INDEX(Products!$E$2:$E$13,MATCH(D1290,Products!$A$2:$A$13,0)))</f>
        <v>3885</v>
      </c>
      <c r="H1290" s="13" t="n">
        <f aca="false">IF(A1290="2025",INDEX(Customers!$D$2:$D$41,MATCH(C1290,Customers!$A$2:$A$41,0)),INDEX(Customers!$F$2:$F$41,MATCH(C1290,Customers!$A$2:$A$41,0)))</f>
        <v>0.131</v>
      </c>
      <c r="I1290" s="16" t="n">
        <f aca="false">F1290*G1290</f>
        <v>54001.5</v>
      </c>
      <c r="J1290" s="16" t="n">
        <f aca="false">I1290*(1-H1290)</f>
        <v>46927.3035</v>
      </c>
      <c r="K1290" s="16" t="n">
        <f aca="false">J1290*INDEX(Customers!$G$2:$G$41,MATCH(C1290,Customers!$A$2:$A$41,0))</f>
        <v>469.273035</v>
      </c>
      <c r="L1290" s="16" t="n">
        <f aca="false">F1290*INDEX(Customers!$H$2:$H$41,MATCH(C1290,Customers!$A$2:$A$41,0))</f>
        <v>1251</v>
      </c>
      <c r="M1290" s="16" t="n">
        <f aca="false">J1290*INDEX(Customers!$I$2:$I$41,MATCH(C1290,Customers!$A$2:$A$41,0))/365*Assumptions!$B$6</f>
        <v>925.689274520548</v>
      </c>
      <c r="N1290" s="16" t="n">
        <f aca="false">J1290-K1290-L1290-M1290</f>
        <v>44281.3411904795</v>
      </c>
      <c r="O1290" s="16" t="n">
        <f aca="false">F1290*IF(A1290="2025",INDEX(Products!$D$2:$D$13,MATCH(D1290,Products!$A$2:$A$13,0)),INDEX(Products!$F$2:$F$13,MATCH(D1290,Products!$A$2:$A$13,0)))</f>
        <v>34360.8</v>
      </c>
      <c r="P1290" s="16" t="n">
        <f aca="false">N1290-O1290</f>
        <v>9920.54119047945</v>
      </c>
    </row>
    <row r="1291" customFormat="false" ht="15" hidden="false" customHeight="false" outlineLevel="0" collapsed="false">
      <c r="A1291" s="2" t="s">
        <v>119</v>
      </c>
      <c r="B1291" s="2" t="n">
        <v>6</v>
      </c>
      <c r="C1291" s="2" t="s">
        <v>81</v>
      </c>
      <c r="D1291" s="2" t="s">
        <v>36</v>
      </c>
      <c r="E1291" s="2" t="str">
        <f aca="false">INDEX(Products!$B$2:$B$13,MATCH(D1291,Products!$A$2:$A$13,0))</f>
        <v>FCC</v>
      </c>
      <c r="F1291" s="15" t="n">
        <v>19.7</v>
      </c>
      <c r="G1291" s="16" t="n">
        <f aca="false">IF(A1291="2025",INDEX(Products!$C$2:$C$13,MATCH(D1291,Products!$A$2:$A$13,0)),INDEX(Products!$E$2:$E$13,MATCH(D1291,Products!$A$2:$A$13,0)))</f>
        <v>3885</v>
      </c>
      <c r="H1291" s="13" t="n">
        <f aca="false">IF(A1291="2025",INDEX(Customers!$D$2:$D$41,MATCH(C1291,Customers!$A$2:$A$41,0)),INDEX(Customers!$F$2:$F$41,MATCH(C1291,Customers!$A$2:$A$41,0)))</f>
        <v>0.131</v>
      </c>
      <c r="I1291" s="16" t="n">
        <f aca="false">F1291*G1291</f>
        <v>76534.5</v>
      </c>
      <c r="J1291" s="16" t="n">
        <f aca="false">I1291*(1-H1291)</f>
        <v>66508.4805</v>
      </c>
      <c r="K1291" s="16" t="n">
        <f aca="false">J1291*INDEX(Customers!$G$2:$G$41,MATCH(C1291,Customers!$A$2:$A$41,0))</f>
        <v>665.084805</v>
      </c>
      <c r="L1291" s="16" t="n">
        <f aca="false">F1291*INDEX(Customers!$H$2:$H$41,MATCH(C1291,Customers!$A$2:$A$41,0))</f>
        <v>1773</v>
      </c>
      <c r="M1291" s="16" t="n">
        <f aca="false">J1291*INDEX(Customers!$I$2:$I$41,MATCH(C1291,Customers!$A$2:$A$41,0))/365*Assumptions!$B$6</f>
        <v>1311.94810849315</v>
      </c>
      <c r="N1291" s="16" t="n">
        <f aca="false">J1291-K1291-L1291-M1291</f>
        <v>62758.4475865068</v>
      </c>
      <c r="O1291" s="16" t="n">
        <f aca="false">F1291*IF(A1291="2025",INDEX(Products!$D$2:$D$13,MATCH(D1291,Products!$A$2:$A$13,0)),INDEX(Products!$F$2:$F$13,MATCH(D1291,Products!$A$2:$A$13,0)))</f>
        <v>48698.4</v>
      </c>
      <c r="P1291" s="16" t="n">
        <f aca="false">N1291-O1291</f>
        <v>14060.0475865068</v>
      </c>
    </row>
    <row r="1292" customFormat="false" ht="15" hidden="false" customHeight="false" outlineLevel="0" collapsed="false">
      <c r="A1292" s="2" t="s">
        <v>119</v>
      </c>
      <c r="B1292" s="2" t="n">
        <v>7</v>
      </c>
      <c r="C1292" s="2" t="s">
        <v>81</v>
      </c>
      <c r="D1292" s="2" t="s">
        <v>36</v>
      </c>
      <c r="E1292" s="2" t="str">
        <f aca="false">INDEX(Products!$B$2:$B$13,MATCH(D1292,Products!$A$2:$A$13,0))</f>
        <v>FCC</v>
      </c>
      <c r="F1292" s="15" t="n">
        <v>16</v>
      </c>
      <c r="G1292" s="16" t="n">
        <f aca="false">IF(A1292="2025",INDEX(Products!$C$2:$C$13,MATCH(D1292,Products!$A$2:$A$13,0)),INDEX(Products!$E$2:$E$13,MATCH(D1292,Products!$A$2:$A$13,0)))</f>
        <v>3885</v>
      </c>
      <c r="H1292" s="13" t="n">
        <f aca="false">IF(A1292="2025",INDEX(Customers!$D$2:$D$41,MATCH(C1292,Customers!$A$2:$A$41,0)),INDEX(Customers!$F$2:$F$41,MATCH(C1292,Customers!$A$2:$A$41,0)))</f>
        <v>0.131</v>
      </c>
      <c r="I1292" s="16" t="n">
        <f aca="false">F1292*G1292</f>
        <v>62160</v>
      </c>
      <c r="J1292" s="16" t="n">
        <f aca="false">I1292*(1-H1292)</f>
        <v>54017.04</v>
      </c>
      <c r="K1292" s="16" t="n">
        <f aca="false">J1292*INDEX(Customers!$G$2:$G$41,MATCH(C1292,Customers!$A$2:$A$41,0))</f>
        <v>540.1704</v>
      </c>
      <c r="L1292" s="16" t="n">
        <f aca="false">F1292*INDEX(Customers!$H$2:$H$41,MATCH(C1292,Customers!$A$2:$A$41,0))</f>
        <v>1440</v>
      </c>
      <c r="M1292" s="16" t="n">
        <f aca="false">J1292*INDEX(Customers!$I$2:$I$41,MATCH(C1292,Customers!$A$2:$A$41,0))/365*Assumptions!$B$6</f>
        <v>1065.5416109589</v>
      </c>
      <c r="N1292" s="16" t="n">
        <f aca="false">J1292-K1292-L1292-M1292</f>
        <v>50971.3279890411</v>
      </c>
      <c r="O1292" s="16" t="n">
        <f aca="false">F1292*IF(A1292="2025",INDEX(Products!$D$2:$D$13,MATCH(D1292,Products!$A$2:$A$13,0)),INDEX(Products!$F$2:$F$13,MATCH(D1292,Products!$A$2:$A$13,0)))</f>
        <v>39552</v>
      </c>
      <c r="P1292" s="16" t="n">
        <f aca="false">N1292-O1292</f>
        <v>11419.3279890411</v>
      </c>
    </row>
    <row r="1293" customFormat="false" ht="15" hidden="false" customHeight="false" outlineLevel="0" collapsed="false">
      <c r="A1293" s="2" t="s">
        <v>119</v>
      </c>
      <c r="B1293" s="2" t="n">
        <v>8</v>
      </c>
      <c r="C1293" s="2" t="s">
        <v>81</v>
      </c>
      <c r="D1293" s="2" t="s">
        <v>36</v>
      </c>
      <c r="E1293" s="2" t="str">
        <f aca="false">INDEX(Products!$B$2:$B$13,MATCH(D1293,Products!$A$2:$A$13,0))</f>
        <v>FCC</v>
      </c>
      <c r="F1293" s="15" t="n">
        <v>11.3</v>
      </c>
      <c r="G1293" s="16" t="n">
        <f aca="false">IF(A1293="2025",INDEX(Products!$C$2:$C$13,MATCH(D1293,Products!$A$2:$A$13,0)),INDEX(Products!$E$2:$E$13,MATCH(D1293,Products!$A$2:$A$13,0)))</f>
        <v>3885</v>
      </c>
      <c r="H1293" s="13" t="n">
        <f aca="false">IF(A1293="2025",INDEX(Customers!$D$2:$D$41,MATCH(C1293,Customers!$A$2:$A$41,0)),INDEX(Customers!$F$2:$F$41,MATCH(C1293,Customers!$A$2:$A$41,0)))</f>
        <v>0.131</v>
      </c>
      <c r="I1293" s="16" t="n">
        <f aca="false">F1293*G1293</f>
        <v>43900.5</v>
      </c>
      <c r="J1293" s="16" t="n">
        <f aca="false">I1293*(1-H1293)</f>
        <v>38149.5345</v>
      </c>
      <c r="K1293" s="16" t="n">
        <f aca="false">J1293*INDEX(Customers!$G$2:$G$41,MATCH(C1293,Customers!$A$2:$A$41,0))</f>
        <v>381.495345</v>
      </c>
      <c r="L1293" s="16" t="n">
        <f aca="false">F1293*INDEX(Customers!$H$2:$H$41,MATCH(C1293,Customers!$A$2:$A$41,0))</f>
        <v>1017</v>
      </c>
      <c r="M1293" s="16" t="n">
        <f aca="false">J1293*INDEX(Customers!$I$2:$I$41,MATCH(C1293,Customers!$A$2:$A$41,0))/365*Assumptions!$B$6</f>
        <v>752.538762739726</v>
      </c>
      <c r="N1293" s="16" t="n">
        <f aca="false">J1293-K1293-L1293-M1293</f>
        <v>35998.5003922603</v>
      </c>
      <c r="O1293" s="16" t="n">
        <f aca="false">F1293*IF(A1293="2025",INDEX(Products!$D$2:$D$13,MATCH(D1293,Products!$A$2:$A$13,0)),INDEX(Products!$F$2:$F$13,MATCH(D1293,Products!$A$2:$A$13,0)))</f>
        <v>27933.6</v>
      </c>
      <c r="P1293" s="16" t="n">
        <f aca="false">N1293-O1293</f>
        <v>8064.90039226027</v>
      </c>
    </row>
    <row r="1294" customFormat="false" ht="15" hidden="false" customHeight="false" outlineLevel="0" collapsed="false">
      <c r="A1294" s="2" t="s">
        <v>119</v>
      </c>
      <c r="B1294" s="2" t="n">
        <v>9</v>
      </c>
      <c r="C1294" s="2" t="s">
        <v>81</v>
      </c>
      <c r="D1294" s="2" t="s">
        <v>36</v>
      </c>
      <c r="E1294" s="2" t="str">
        <f aca="false">INDEX(Products!$B$2:$B$13,MATCH(D1294,Products!$A$2:$A$13,0))</f>
        <v>FCC</v>
      </c>
      <c r="F1294" s="15" t="n">
        <v>17.8</v>
      </c>
      <c r="G1294" s="16" t="n">
        <f aca="false">IF(A1294="2025",INDEX(Products!$C$2:$C$13,MATCH(D1294,Products!$A$2:$A$13,0)),INDEX(Products!$E$2:$E$13,MATCH(D1294,Products!$A$2:$A$13,0)))</f>
        <v>3885</v>
      </c>
      <c r="H1294" s="13" t="n">
        <f aca="false">IF(A1294="2025",INDEX(Customers!$D$2:$D$41,MATCH(C1294,Customers!$A$2:$A$41,0)),INDEX(Customers!$F$2:$F$41,MATCH(C1294,Customers!$A$2:$A$41,0)))</f>
        <v>0.131</v>
      </c>
      <c r="I1294" s="16" t="n">
        <f aca="false">F1294*G1294</f>
        <v>69153</v>
      </c>
      <c r="J1294" s="16" t="n">
        <f aca="false">I1294*(1-H1294)</f>
        <v>60093.957</v>
      </c>
      <c r="K1294" s="16" t="n">
        <f aca="false">J1294*INDEX(Customers!$G$2:$G$41,MATCH(C1294,Customers!$A$2:$A$41,0))</f>
        <v>600.93957</v>
      </c>
      <c r="L1294" s="16" t="n">
        <f aca="false">F1294*INDEX(Customers!$H$2:$H$41,MATCH(C1294,Customers!$A$2:$A$41,0))</f>
        <v>1602</v>
      </c>
      <c r="M1294" s="16" t="n">
        <f aca="false">J1294*INDEX(Customers!$I$2:$I$41,MATCH(C1294,Customers!$A$2:$A$41,0))/365*Assumptions!$B$6</f>
        <v>1185.41504219178</v>
      </c>
      <c r="N1294" s="16" t="n">
        <f aca="false">J1294-K1294-L1294-M1294</f>
        <v>56705.6023878082</v>
      </c>
      <c r="O1294" s="16" t="n">
        <f aca="false">F1294*IF(A1294="2025",INDEX(Products!$D$2:$D$13,MATCH(D1294,Products!$A$2:$A$13,0)),INDEX(Products!$F$2:$F$13,MATCH(D1294,Products!$A$2:$A$13,0)))</f>
        <v>44001.6</v>
      </c>
      <c r="P1294" s="16" t="n">
        <f aca="false">N1294-O1294</f>
        <v>12704.0023878082</v>
      </c>
    </row>
    <row r="1295" customFormat="false" ht="15" hidden="false" customHeight="false" outlineLevel="0" collapsed="false">
      <c r="A1295" s="2" t="s">
        <v>119</v>
      </c>
      <c r="B1295" s="2" t="n">
        <v>10</v>
      </c>
      <c r="C1295" s="2" t="s">
        <v>81</v>
      </c>
      <c r="D1295" s="2" t="s">
        <v>36</v>
      </c>
      <c r="E1295" s="2" t="str">
        <f aca="false">INDEX(Products!$B$2:$B$13,MATCH(D1295,Products!$A$2:$A$13,0))</f>
        <v>FCC</v>
      </c>
      <c r="F1295" s="15" t="n">
        <v>12.7</v>
      </c>
      <c r="G1295" s="16" t="n">
        <f aca="false">IF(A1295="2025",INDEX(Products!$C$2:$C$13,MATCH(D1295,Products!$A$2:$A$13,0)),INDEX(Products!$E$2:$E$13,MATCH(D1295,Products!$A$2:$A$13,0)))</f>
        <v>3885</v>
      </c>
      <c r="H1295" s="13" t="n">
        <f aca="false">IF(A1295="2025",INDEX(Customers!$D$2:$D$41,MATCH(C1295,Customers!$A$2:$A$41,0)),INDEX(Customers!$F$2:$F$41,MATCH(C1295,Customers!$A$2:$A$41,0)))</f>
        <v>0.131</v>
      </c>
      <c r="I1295" s="16" t="n">
        <f aca="false">F1295*G1295</f>
        <v>49339.5</v>
      </c>
      <c r="J1295" s="16" t="n">
        <f aca="false">I1295*(1-H1295)</f>
        <v>42876.0255</v>
      </c>
      <c r="K1295" s="16" t="n">
        <f aca="false">J1295*INDEX(Customers!$G$2:$G$41,MATCH(C1295,Customers!$A$2:$A$41,0))</f>
        <v>428.760255</v>
      </c>
      <c r="L1295" s="16" t="n">
        <f aca="false">F1295*INDEX(Customers!$H$2:$H$41,MATCH(C1295,Customers!$A$2:$A$41,0))</f>
        <v>1143</v>
      </c>
      <c r="M1295" s="16" t="n">
        <f aca="false">J1295*INDEX(Customers!$I$2:$I$41,MATCH(C1295,Customers!$A$2:$A$41,0))/365*Assumptions!$B$6</f>
        <v>845.77365369863</v>
      </c>
      <c r="N1295" s="16" t="n">
        <f aca="false">J1295-K1295-L1295-M1295</f>
        <v>40458.4915913014</v>
      </c>
      <c r="O1295" s="16" t="n">
        <f aca="false">F1295*IF(A1295="2025",INDEX(Products!$D$2:$D$13,MATCH(D1295,Products!$A$2:$A$13,0)),INDEX(Products!$F$2:$F$13,MATCH(D1295,Products!$A$2:$A$13,0)))</f>
        <v>31394.4</v>
      </c>
      <c r="P1295" s="16" t="n">
        <f aca="false">N1295-O1295</f>
        <v>9064.09159130137</v>
      </c>
    </row>
    <row r="1296" customFormat="false" ht="15" hidden="false" customHeight="false" outlineLevel="0" collapsed="false">
      <c r="A1296" s="2" t="s">
        <v>119</v>
      </c>
      <c r="B1296" s="2" t="n">
        <v>11</v>
      </c>
      <c r="C1296" s="2" t="s">
        <v>81</v>
      </c>
      <c r="D1296" s="2" t="s">
        <v>36</v>
      </c>
      <c r="E1296" s="2" t="str">
        <f aca="false">INDEX(Products!$B$2:$B$13,MATCH(D1296,Products!$A$2:$A$13,0))</f>
        <v>FCC</v>
      </c>
      <c r="F1296" s="15" t="n">
        <v>14.9</v>
      </c>
      <c r="G1296" s="16" t="n">
        <f aca="false">IF(A1296="2025",INDEX(Products!$C$2:$C$13,MATCH(D1296,Products!$A$2:$A$13,0)),INDEX(Products!$E$2:$E$13,MATCH(D1296,Products!$A$2:$A$13,0)))</f>
        <v>3885</v>
      </c>
      <c r="H1296" s="13" t="n">
        <f aca="false">IF(A1296="2025",INDEX(Customers!$D$2:$D$41,MATCH(C1296,Customers!$A$2:$A$41,0)),INDEX(Customers!$F$2:$F$41,MATCH(C1296,Customers!$A$2:$A$41,0)))</f>
        <v>0.131</v>
      </c>
      <c r="I1296" s="16" t="n">
        <f aca="false">F1296*G1296</f>
        <v>57886.5</v>
      </c>
      <c r="J1296" s="16" t="n">
        <f aca="false">I1296*(1-H1296)</f>
        <v>50303.3685</v>
      </c>
      <c r="K1296" s="16" t="n">
        <f aca="false">J1296*INDEX(Customers!$G$2:$G$41,MATCH(C1296,Customers!$A$2:$A$41,0))</f>
        <v>503.033685</v>
      </c>
      <c r="L1296" s="16" t="n">
        <f aca="false">F1296*INDEX(Customers!$H$2:$H$41,MATCH(C1296,Customers!$A$2:$A$41,0))</f>
        <v>1341</v>
      </c>
      <c r="M1296" s="16" t="n">
        <f aca="false">J1296*INDEX(Customers!$I$2:$I$41,MATCH(C1296,Customers!$A$2:$A$41,0))/365*Assumptions!$B$6</f>
        <v>992.28562520548</v>
      </c>
      <c r="N1296" s="16" t="n">
        <f aca="false">J1296-K1296-L1296-M1296</f>
        <v>47467.0491897945</v>
      </c>
      <c r="O1296" s="16" t="n">
        <f aca="false">F1296*IF(A1296="2025",INDEX(Products!$D$2:$D$13,MATCH(D1296,Products!$A$2:$A$13,0)),INDEX(Products!$F$2:$F$13,MATCH(D1296,Products!$A$2:$A$13,0)))</f>
        <v>36832.8</v>
      </c>
      <c r="P1296" s="16" t="n">
        <f aca="false">N1296-O1296</f>
        <v>10634.2491897945</v>
      </c>
    </row>
    <row r="1297" customFormat="false" ht="15" hidden="false" customHeight="false" outlineLevel="0" collapsed="false">
      <c r="A1297" s="2" t="s">
        <v>119</v>
      </c>
      <c r="B1297" s="2" t="n">
        <v>12</v>
      </c>
      <c r="C1297" s="2" t="s">
        <v>81</v>
      </c>
      <c r="D1297" s="2" t="s">
        <v>36</v>
      </c>
      <c r="E1297" s="2" t="str">
        <f aca="false">INDEX(Products!$B$2:$B$13,MATCH(D1297,Products!$A$2:$A$13,0))</f>
        <v>FCC</v>
      </c>
      <c r="F1297" s="15" t="n">
        <v>15.1</v>
      </c>
      <c r="G1297" s="16" t="n">
        <f aca="false">IF(A1297="2025",INDEX(Products!$C$2:$C$13,MATCH(D1297,Products!$A$2:$A$13,0)),INDEX(Products!$E$2:$E$13,MATCH(D1297,Products!$A$2:$A$13,0)))</f>
        <v>3885</v>
      </c>
      <c r="H1297" s="13" t="n">
        <f aca="false">IF(A1297="2025",INDEX(Customers!$D$2:$D$41,MATCH(C1297,Customers!$A$2:$A$41,0)),INDEX(Customers!$F$2:$F$41,MATCH(C1297,Customers!$A$2:$A$41,0)))</f>
        <v>0.131</v>
      </c>
      <c r="I1297" s="16" t="n">
        <f aca="false">F1297*G1297</f>
        <v>58663.5</v>
      </c>
      <c r="J1297" s="16" t="n">
        <f aca="false">I1297*(1-H1297)</f>
        <v>50978.5815</v>
      </c>
      <c r="K1297" s="16" t="n">
        <f aca="false">J1297*INDEX(Customers!$G$2:$G$41,MATCH(C1297,Customers!$A$2:$A$41,0))</f>
        <v>509.785815</v>
      </c>
      <c r="L1297" s="16" t="n">
        <f aca="false">F1297*INDEX(Customers!$H$2:$H$41,MATCH(C1297,Customers!$A$2:$A$41,0))</f>
        <v>1359</v>
      </c>
      <c r="M1297" s="16" t="n">
        <f aca="false">J1297*INDEX(Customers!$I$2:$I$41,MATCH(C1297,Customers!$A$2:$A$41,0))/365*Assumptions!$B$6</f>
        <v>1005.60489534247</v>
      </c>
      <c r="N1297" s="16" t="n">
        <f aca="false">J1297-K1297-L1297-M1297</f>
        <v>48104.1907896575</v>
      </c>
      <c r="O1297" s="16" t="n">
        <f aca="false">F1297*IF(A1297="2025",INDEX(Products!$D$2:$D$13,MATCH(D1297,Products!$A$2:$A$13,0)),INDEX(Products!$F$2:$F$13,MATCH(D1297,Products!$A$2:$A$13,0)))</f>
        <v>37327.2</v>
      </c>
      <c r="P1297" s="16" t="n">
        <f aca="false">N1297-O1297</f>
        <v>10776.9907896575</v>
      </c>
    </row>
    <row r="1298" customFormat="false" ht="15" hidden="false" customHeight="false" outlineLevel="0" collapsed="false">
      <c r="A1298" s="2" t="s">
        <v>118</v>
      </c>
      <c r="B1298" s="2" t="n">
        <v>1</v>
      </c>
      <c r="C1298" s="2" t="s">
        <v>82</v>
      </c>
      <c r="D1298" s="2" t="s">
        <v>48</v>
      </c>
      <c r="E1298" s="2" t="str">
        <f aca="false">INDEX(Products!$B$2:$B$13,MATCH(D1298,Products!$A$2:$A$13,0))</f>
        <v>Specialty</v>
      </c>
      <c r="F1298" s="15" t="n">
        <v>8.1</v>
      </c>
      <c r="G1298" s="16" t="n">
        <f aca="false">IF(A1298="2025",INDEX(Products!$C$2:$C$13,MATCH(D1298,Products!$A$2:$A$13,0)),INDEX(Products!$E$2:$E$13,MATCH(D1298,Products!$A$2:$A$13,0)))</f>
        <v>33260</v>
      </c>
      <c r="H1298" s="13" t="n">
        <f aca="false">IF(A1298="2025",INDEX(Customers!$D$2:$D$41,MATCH(C1298,Customers!$A$2:$A$41,0)),INDEX(Customers!$F$2:$F$41,MATCH(C1298,Customers!$A$2:$A$41,0)))</f>
        <v>0.084</v>
      </c>
      <c r="I1298" s="16" t="n">
        <f aca="false">F1298*G1298</f>
        <v>269406</v>
      </c>
      <c r="J1298" s="16" t="n">
        <f aca="false">I1298*(1-H1298)</f>
        <v>246775.896</v>
      </c>
      <c r="K1298" s="16" t="n">
        <f aca="false">J1298*INDEX(Customers!$G$2:$G$41,MATCH(C1298,Customers!$A$2:$A$41,0))</f>
        <v>12338.7948</v>
      </c>
      <c r="L1298" s="16" t="n">
        <f aca="false">F1298*INDEX(Customers!$H$2:$H$41,MATCH(C1298,Customers!$A$2:$A$41,0))</f>
        <v>3240</v>
      </c>
      <c r="M1298" s="16" t="n">
        <f aca="false">J1298*INDEX(Customers!$I$2:$I$41,MATCH(C1298,Customers!$A$2:$A$41,0))/365*Assumptions!$B$6</f>
        <v>1622.63602849315</v>
      </c>
      <c r="N1298" s="16" t="n">
        <f aca="false">J1298-K1298-L1298-M1298</f>
        <v>229574.465171507</v>
      </c>
      <c r="O1298" s="16" t="n">
        <f aca="false">F1298*IF(A1298="2025",INDEX(Products!$D$2:$D$13,MATCH(D1298,Products!$A$2:$A$13,0)),INDEX(Products!$F$2:$F$13,MATCH(D1298,Products!$A$2:$A$13,0)))</f>
        <v>121662</v>
      </c>
      <c r="P1298" s="16" t="n">
        <f aca="false">N1298-O1298</f>
        <v>107912.465171507</v>
      </c>
    </row>
    <row r="1299" customFormat="false" ht="15" hidden="false" customHeight="false" outlineLevel="0" collapsed="false">
      <c r="A1299" s="2" t="s">
        <v>118</v>
      </c>
      <c r="B1299" s="2" t="n">
        <v>2</v>
      </c>
      <c r="C1299" s="2" t="s">
        <v>82</v>
      </c>
      <c r="D1299" s="2" t="s">
        <v>48</v>
      </c>
      <c r="E1299" s="2" t="str">
        <f aca="false">INDEX(Products!$B$2:$B$13,MATCH(D1299,Products!$A$2:$A$13,0))</f>
        <v>Specialty</v>
      </c>
      <c r="F1299" s="15" t="n">
        <v>9.9</v>
      </c>
      <c r="G1299" s="16" t="n">
        <f aca="false">IF(A1299="2025",INDEX(Products!$C$2:$C$13,MATCH(D1299,Products!$A$2:$A$13,0)),INDEX(Products!$E$2:$E$13,MATCH(D1299,Products!$A$2:$A$13,0)))</f>
        <v>33260</v>
      </c>
      <c r="H1299" s="13" t="n">
        <f aca="false">IF(A1299="2025",INDEX(Customers!$D$2:$D$41,MATCH(C1299,Customers!$A$2:$A$41,0)),INDEX(Customers!$F$2:$F$41,MATCH(C1299,Customers!$A$2:$A$41,0)))</f>
        <v>0.084</v>
      </c>
      <c r="I1299" s="16" t="n">
        <f aca="false">F1299*G1299</f>
        <v>329274</v>
      </c>
      <c r="J1299" s="16" t="n">
        <f aca="false">I1299*(1-H1299)</f>
        <v>301614.984</v>
      </c>
      <c r="K1299" s="16" t="n">
        <f aca="false">J1299*INDEX(Customers!$G$2:$G$41,MATCH(C1299,Customers!$A$2:$A$41,0))</f>
        <v>15080.7492</v>
      </c>
      <c r="L1299" s="16" t="n">
        <f aca="false">F1299*INDEX(Customers!$H$2:$H$41,MATCH(C1299,Customers!$A$2:$A$41,0))</f>
        <v>3960</v>
      </c>
      <c r="M1299" s="16" t="n">
        <f aca="false">J1299*INDEX(Customers!$I$2:$I$41,MATCH(C1299,Customers!$A$2:$A$41,0))/365*Assumptions!$B$6</f>
        <v>1983.22181260274</v>
      </c>
      <c r="N1299" s="16" t="n">
        <f aca="false">J1299-K1299-L1299-M1299</f>
        <v>280591.012987397</v>
      </c>
      <c r="O1299" s="16" t="n">
        <f aca="false">F1299*IF(A1299="2025",INDEX(Products!$D$2:$D$13,MATCH(D1299,Products!$A$2:$A$13,0)),INDEX(Products!$F$2:$F$13,MATCH(D1299,Products!$A$2:$A$13,0)))</f>
        <v>148698</v>
      </c>
      <c r="P1299" s="16" t="n">
        <f aca="false">N1299-O1299</f>
        <v>131893.012987397</v>
      </c>
    </row>
    <row r="1300" customFormat="false" ht="15" hidden="false" customHeight="false" outlineLevel="0" collapsed="false">
      <c r="A1300" s="2" t="s">
        <v>118</v>
      </c>
      <c r="B1300" s="2" t="n">
        <v>3</v>
      </c>
      <c r="C1300" s="2" t="s">
        <v>82</v>
      </c>
      <c r="D1300" s="2" t="s">
        <v>48</v>
      </c>
      <c r="E1300" s="2" t="str">
        <f aca="false">INDEX(Products!$B$2:$B$13,MATCH(D1300,Products!$A$2:$A$13,0))</f>
        <v>Specialty</v>
      </c>
      <c r="F1300" s="15" t="n">
        <v>7.9</v>
      </c>
      <c r="G1300" s="16" t="n">
        <f aca="false">IF(A1300="2025",INDEX(Products!$C$2:$C$13,MATCH(D1300,Products!$A$2:$A$13,0)),INDEX(Products!$E$2:$E$13,MATCH(D1300,Products!$A$2:$A$13,0)))</f>
        <v>33260</v>
      </c>
      <c r="H1300" s="13" t="n">
        <f aca="false">IF(A1300="2025",INDEX(Customers!$D$2:$D$41,MATCH(C1300,Customers!$A$2:$A$41,0)),INDEX(Customers!$F$2:$F$41,MATCH(C1300,Customers!$A$2:$A$41,0)))</f>
        <v>0.084</v>
      </c>
      <c r="I1300" s="16" t="n">
        <f aca="false">F1300*G1300</f>
        <v>262754</v>
      </c>
      <c r="J1300" s="16" t="n">
        <f aca="false">I1300*(1-H1300)</f>
        <v>240682.664</v>
      </c>
      <c r="K1300" s="16" t="n">
        <f aca="false">J1300*INDEX(Customers!$G$2:$G$41,MATCH(C1300,Customers!$A$2:$A$41,0))</f>
        <v>12034.1332</v>
      </c>
      <c r="L1300" s="16" t="n">
        <f aca="false">F1300*INDEX(Customers!$H$2:$H$41,MATCH(C1300,Customers!$A$2:$A$41,0))</f>
        <v>3160</v>
      </c>
      <c r="M1300" s="16" t="n">
        <f aca="false">J1300*INDEX(Customers!$I$2:$I$41,MATCH(C1300,Customers!$A$2:$A$41,0))/365*Assumptions!$B$6</f>
        <v>1582.57094136986</v>
      </c>
      <c r="N1300" s="16" t="n">
        <f aca="false">J1300-K1300-L1300-M1300</f>
        <v>223905.95985863</v>
      </c>
      <c r="O1300" s="16" t="n">
        <f aca="false">F1300*IF(A1300="2025",INDEX(Products!$D$2:$D$13,MATCH(D1300,Products!$A$2:$A$13,0)),INDEX(Products!$F$2:$F$13,MATCH(D1300,Products!$A$2:$A$13,0)))</f>
        <v>118658</v>
      </c>
      <c r="P1300" s="16" t="n">
        <f aca="false">N1300-O1300</f>
        <v>105247.95985863</v>
      </c>
    </row>
    <row r="1301" customFormat="false" ht="15" hidden="false" customHeight="false" outlineLevel="0" collapsed="false">
      <c r="A1301" s="2" t="s">
        <v>118</v>
      </c>
      <c r="B1301" s="2" t="n">
        <v>4</v>
      </c>
      <c r="C1301" s="2" t="s">
        <v>82</v>
      </c>
      <c r="D1301" s="2" t="s">
        <v>48</v>
      </c>
      <c r="E1301" s="2" t="str">
        <f aca="false">INDEX(Products!$B$2:$B$13,MATCH(D1301,Products!$A$2:$A$13,0))</f>
        <v>Specialty</v>
      </c>
      <c r="F1301" s="15" t="n">
        <v>9.8</v>
      </c>
      <c r="G1301" s="16" t="n">
        <f aca="false">IF(A1301="2025",INDEX(Products!$C$2:$C$13,MATCH(D1301,Products!$A$2:$A$13,0)),INDEX(Products!$E$2:$E$13,MATCH(D1301,Products!$A$2:$A$13,0)))</f>
        <v>33260</v>
      </c>
      <c r="H1301" s="13" t="n">
        <f aca="false">IF(A1301="2025",INDEX(Customers!$D$2:$D$41,MATCH(C1301,Customers!$A$2:$A$41,0)),INDEX(Customers!$F$2:$F$41,MATCH(C1301,Customers!$A$2:$A$41,0)))</f>
        <v>0.084</v>
      </c>
      <c r="I1301" s="16" t="n">
        <f aca="false">F1301*G1301</f>
        <v>325948</v>
      </c>
      <c r="J1301" s="16" t="n">
        <f aca="false">I1301*(1-H1301)</f>
        <v>298568.368</v>
      </c>
      <c r="K1301" s="16" t="n">
        <f aca="false">J1301*INDEX(Customers!$G$2:$G$41,MATCH(C1301,Customers!$A$2:$A$41,0))</f>
        <v>14928.4184</v>
      </c>
      <c r="L1301" s="16" t="n">
        <f aca="false">F1301*INDEX(Customers!$H$2:$H$41,MATCH(C1301,Customers!$A$2:$A$41,0))</f>
        <v>3920</v>
      </c>
      <c r="M1301" s="16" t="n">
        <f aca="false">J1301*INDEX(Customers!$I$2:$I$41,MATCH(C1301,Customers!$A$2:$A$41,0))/365*Assumptions!$B$6</f>
        <v>1963.1892690411</v>
      </c>
      <c r="N1301" s="16" t="n">
        <f aca="false">J1301-K1301-L1301-M1301</f>
        <v>277756.760330959</v>
      </c>
      <c r="O1301" s="16" t="n">
        <f aca="false">F1301*IF(A1301="2025",INDEX(Products!$D$2:$D$13,MATCH(D1301,Products!$A$2:$A$13,0)),INDEX(Products!$F$2:$F$13,MATCH(D1301,Products!$A$2:$A$13,0)))</f>
        <v>147196</v>
      </c>
      <c r="P1301" s="16" t="n">
        <f aca="false">N1301-O1301</f>
        <v>130560.760330959</v>
      </c>
    </row>
    <row r="1302" customFormat="false" ht="15" hidden="false" customHeight="false" outlineLevel="0" collapsed="false">
      <c r="A1302" s="2" t="s">
        <v>118</v>
      </c>
      <c r="B1302" s="2" t="n">
        <v>5</v>
      </c>
      <c r="C1302" s="2" t="s">
        <v>82</v>
      </c>
      <c r="D1302" s="2" t="s">
        <v>48</v>
      </c>
      <c r="E1302" s="2" t="str">
        <f aca="false">INDEX(Products!$B$2:$B$13,MATCH(D1302,Products!$A$2:$A$13,0))</f>
        <v>Specialty</v>
      </c>
      <c r="F1302" s="15" t="n">
        <v>11.2</v>
      </c>
      <c r="G1302" s="16" t="n">
        <f aca="false">IF(A1302="2025",INDEX(Products!$C$2:$C$13,MATCH(D1302,Products!$A$2:$A$13,0)),INDEX(Products!$E$2:$E$13,MATCH(D1302,Products!$A$2:$A$13,0)))</f>
        <v>33260</v>
      </c>
      <c r="H1302" s="13" t="n">
        <f aca="false">IF(A1302="2025",INDEX(Customers!$D$2:$D$41,MATCH(C1302,Customers!$A$2:$A$41,0)),INDEX(Customers!$F$2:$F$41,MATCH(C1302,Customers!$A$2:$A$41,0)))</f>
        <v>0.084</v>
      </c>
      <c r="I1302" s="16" t="n">
        <f aca="false">F1302*G1302</f>
        <v>372512</v>
      </c>
      <c r="J1302" s="16" t="n">
        <f aca="false">I1302*(1-H1302)</f>
        <v>341220.992</v>
      </c>
      <c r="K1302" s="16" t="n">
        <f aca="false">J1302*INDEX(Customers!$G$2:$G$41,MATCH(C1302,Customers!$A$2:$A$41,0))</f>
        <v>17061.0496</v>
      </c>
      <c r="L1302" s="16" t="n">
        <f aca="false">F1302*INDEX(Customers!$H$2:$H$41,MATCH(C1302,Customers!$A$2:$A$41,0))</f>
        <v>4480</v>
      </c>
      <c r="M1302" s="16" t="n">
        <f aca="false">J1302*INDEX(Customers!$I$2:$I$41,MATCH(C1302,Customers!$A$2:$A$41,0))/365*Assumptions!$B$6</f>
        <v>2243.64487890411</v>
      </c>
      <c r="N1302" s="16" t="n">
        <f aca="false">J1302-K1302-L1302-M1302</f>
        <v>317436.297521096</v>
      </c>
      <c r="O1302" s="16" t="n">
        <f aca="false">F1302*IF(A1302="2025",INDEX(Products!$D$2:$D$13,MATCH(D1302,Products!$A$2:$A$13,0)),INDEX(Products!$F$2:$F$13,MATCH(D1302,Products!$A$2:$A$13,0)))</f>
        <v>168224</v>
      </c>
      <c r="P1302" s="16" t="n">
        <f aca="false">N1302-O1302</f>
        <v>149212.297521096</v>
      </c>
    </row>
    <row r="1303" customFormat="false" ht="15" hidden="false" customHeight="false" outlineLevel="0" collapsed="false">
      <c r="A1303" s="2" t="s">
        <v>118</v>
      </c>
      <c r="B1303" s="2" t="n">
        <v>6</v>
      </c>
      <c r="C1303" s="2" t="s">
        <v>82</v>
      </c>
      <c r="D1303" s="2" t="s">
        <v>48</v>
      </c>
      <c r="E1303" s="2" t="str">
        <f aca="false">INDEX(Products!$B$2:$B$13,MATCH(D1303,Products!$A$2:$A$13,0))</f>
        <v>Specialty</v>
      </c>
      <c r="F1303" s="15" t="n">
        <v>7.5</v>
      </c>
      <c r="G1303" s="16" t="n">
        <f aca="false">IF(A1303="2025",INDEX(Products!$C$2:$C$13,MATCH(D1303,Products!$A$2:$A$13,0)),INDEX(Products!$E$2:$E$13,MATCH(D1303,Products!$A$2:$A$13,0)))</f>
        <v>33260</v>
      </c>
      <c r="H1303" s="13" t="n">
        <f aca="false">IF(A1303="2025",INDEX(Customers!$D$2:$D$41,MATCH(C1303,Customers!$A$2:$A$41,0)),INDEX(Customers!$F$2:$F$41,MATCH(C1303,Customers!$A$2:$A$41,0)))</f>
        <v>0.084</v>
      </c>
      <c r="I1303" s="16" t="n">
        <f aca="false">F1303*G1303</f>
        <v>249450</v>
      </c>
      <c r="J1303" s="16" t="n">
        <f aca="false">I1303*(1-H1303)</f>
        <v>228496.2</v>
      </c>
      <c r="K1303" s="16" t="n">
        <f aca="false">J1303*INDEX(Customers!$G$2:$G$41,MATCH(C1303,Customers!$A$2:$A$41,0))</f>
        <v>11424.81</v>
      </c>
      <c r="L1303" s="16" t="n">
        <f aca="false">F1303*INDEX(Customers!$H$2:$H$41,MATCH(C1303,Customers!$A$2:$A$41,0))</f>
        <v>3000</v>
      </c>
      <c r="M1303" s="16" t="n">
        <f aca="false">J1303*INDEX(Customers!$I$2:$I$41,MATCH(C1303,Customers!$A$2:$A$41,0))/365*Assumptions!$B$6</f>
        <v>1502.44076712329</v>
      </c>
      <c r="N1303" s="16" t="n">
        <f aca="false">J1303-K1303-L1303-M1303</f>
        <v>212568.949232877</v>
      </c>
      <c r="O1303" s="16" t="n">
        <f aca="false">F1303*IF(A1303="2025",INDEX(Products!$D$2:$D$13,MATCH(D1303,Products!$A$2:$A$13,0)),INDEX(Products!$F$2:$F$13,MATCH(D1303,Products!$A$2:$A$13,0)))</f>
        <v>112650</v>
      </c>
      <c r="P1303" s="16" t="n">
        <f aca="false">N1303-O1303</f>
        <v>99918.9492328767</v>
      </c>
    </row>
    <row r="1304" customFormat="false" ht="15" hidden="false" customHeight="false" outlineLevel="0" collapsed="false">
      <c r="A1304" s="2" t="s">
        <v>118</v>
      </c>
      <c r="B1304" s="2" t="n">
        <v>7</v>
      </c>
      <c r="C1304" s="2" t="s">
        <v>82</v>
      </c>
      <c r="D1304" s="2" t="s">
        <v>48</v>
      </c>
      <c r="E1304" s="2" t="str">
        <f aca="false">INDEX(Products!$B$2:$B$13,MATCH(D1304,Products!$A$2:$A$13,0))</f>
        <v>Specialty</v>
      </c>
      <c r="F1304" s="15" t="n">
        <v>8.8</v>
      </c>
      <c r="G1304" s="16" t="n">
        <f aca="false">IF(A1304="2025",INDEX(Products!$C$2:$C$13,MATCH(D1304,Products!$A$2:$A$13,0)),INDEX(Products!$E$2:$E$13,MATCH(D1304,Products!$A$2:$A$13,0)))</f>
        <v>33260</v>
      </c>
      <c r="H1304" s="13" t="n">
        <f aca="false">IF(A1304="2025",INDEX(Customers!$D$2:$D$41,MATCH(C1304,Customers!$A$2:$A$41,0)),INDEX(Customers!$F$2:$F$41,MATCH(C1304,Customers!$A$2:$A$41,0)))</f>
        <v>0.084</v>
      </c>
      <c r="I1304" s="16" t="n">
        <f aca="false">F1304*G1304</f>
        <v>292688</v>
      </c>
      <c r="J1304" s="16" t="n">
        <f aca="false">I1304*(1-H1304)</f>
        <v>268102.208</v>
      </c>
      <c r="K1304" s="16" t="n">
        <f aca="false">J1304*INDEX(Customers!$G$2:$G$41,MATCH(C1304,Customers!$A$2:$A$41,0))</f>
        <v>13405.1104</v>
      </c>
      <c r="L1304" s="16" t="n">
        <f aca="false">F1304*INDEX(Customers!$H$2:$H$41,MATCH(C1304,Customers!$A$2:$A$41,0))</f>
        <v>3520</v>
      </c>
      <c r="M1304" s="16" t="n">
        <f aca="false">J1304*INDEX(Customers!$I$2:$I$41,MATCH(C1304,Customers!$A$2:$A$41,0))/365*Assumptions!$B$6</f>
        <v>1762.86383342466</v>
      </c>
      <c r="N1304" s="16" t="n">
        <f aca="false">J1304-K1304-L1304-M1304</f>
        <v>249414.233766575</v>
      </c>
      <c r="O1304" s="16" t="n">
        <f aca="false">F1304*IF(A1304="2025",INDEX(Products!$D$2:$D$13,MATCH(D1304,Products!$A$2:$A$13,0)),INDEX(Products!$F$2:$F$13,MATCH(D1304,Products!$A$2:$A$13,0)))</f>
        <v>132176</v>
      </c>
      <c r="P1304" s="16" t="n">
        <f aca="false">N1304-O1304</f>
        <v>117238.233766575</v>
      </c>
    </row>
    <row r="1305" customFormat="false" ht="15" hidden="false" customHeight="false" outlineLevel="0" collapsed="false">
      <c r="A1305" s="2" t="s">
        <v>118</v>
      </c>
      <c r="B1305" s="2" t="n">
        <v>8</v>
      </c>
      <c r="C1305" s="2" t="s">
        <v>82</v>
      </c>
      <c r="D1305" s="2" t="s">
        <v>48</v>
      </c>
      <c r="E1305" s="2" t="str">
        <f aca="false">INDEX(Products!$B$2:$B$13,MATCH(D1305,Products!$A$2:$A$13,0))</f>
        <v>Specialty</v>
      </c>
      <c r="F1305" s="15" t="n">
        <v>9.4</v>
      </c>
      <c r="G1305" s="16" t="n">
        <f aca="false">IF(A1305="2025",INDEX(Products!$C$2:$C$13,MATCH(D1305,Products!$A$2:$A$13,0)),INDEX(Products!$E$2:$E$13,MATCH(D1305,Products!$A$2:$A$13,0)))</f>
        <v>33260</v>
      </c>
      <c r="H1305" s="13" t="n">
        <f aca="false">IF(A1305="2025",INDEX(Customers!$D$2:$D$41,MATCH(C1305,Customers!$A$2:$A$41,0)),INDEX(Customers!$F$2:$F$41,MATCH(C1305,Customers!$A$2:$A$41,0)))</f>
        <v>0.084</v>
      </c>
      <c r="I1305" s="16" t="n">
        <f aca="false">F1305*G1305</f>
        <v>312644</v>
      </c>
      <c r="J1305" s="16" t="n">
        <f aca="false">I1305*(1-H1305)</f>
        <v>286381.904</v>
      </c>
      <c r="K1305" s="16" t="n">
        <f aca="false">J1305*INDEX(Customers!$G$2:$G$41,MATCH(C1305,Customers!$A$2:$A$41,0))</f>
        <v>14319.0952</v>
      </c>
      <c r="L1305" s="16" t="n">
        <f aca="false">F1305*INDEX(Customers!$H$2:$H$41,MATCH(C1305,Customers!$A$2:$A$41,0))</f>
        <v>3760</v>
      </c>
      <c r="M1305" s="16" t="n">
        <f aca="false">J1305*INDEX(Customers!$I$2:$I$41,MATCH(C1305,Customers!$A$2:$A$41,0))/365*Assumptions!$B$6</f>
        <v>1883.05909479452</v>
      </c>
      <c r="N1305" s="16" t="n">
        <f aca="false">J1305-K1305-L1305-M1305</f>
        <v>266419.749705206</v>
      </c>
      <c r="O1305" s="16" t="n">
        <f aca="false">F1305*IF(A1305="2025",INDEX(Products!$D$2:$D$13,MATCH(D1305,Products!$A$2:$A$13,0)),INDEX(Products!$F$2:$F$13,MATCH(D1305,Products!$A$2:$A$13,0)))</f>
        <v>141188</v>
      </c>
      <c r="P1305" s="16" t="n">
        <f aca="false">N1305-O1305</f>
        <v>125231.749705206</v>
      </c>
    </row>
    <row r="1306" customFormat="false" ht="15" hidden="false" customHeight="false" outlineLevel="0" collapsed="false">
      <c r="A1306" s="2" t="s">
        <v>118</v>
      </c>
      <c r="B1306" s="2" t="n">
        <v>9</v>
      </c>
      <c r="C1306" s="2" t="s">
        <v>82</v>
      </c>
      <c r="D1306" s="2" t="s">
        <v>48</v>
      </c>
      <c r="E1306" s="2" t="str">
        <f aca="false">INDEX(Products!$B$2:$B$13,MATCH(D1306,Products!$A$2:$A$13,0))</f>
        <v>Specialty</v>
      </c>
      <c r="F1306" s="15" t="n">
        <v>7.1</v>
      </c>
      <c r="G1306" s="16" t="n">
        <f aca="false">IF(A1306="2025",INDEX(Products!$C$2:$C$13,MATCH(D1306,Products!$A$2:$A$13,0)),INDEX(Products!$E$2:$E$13,MATCH(D1306,Products!$A$2:$A$13,0)))</f>
        <v>33260</v>
      </c>
      <c r="H1306" s="13" t="n">
        <f aca="false">IF(A1306="2025",INDEX(Customers!$D$2:$D$41,MATCH(C1306,Customers!$A$2:$A$41,0)),INDEX(Customers!$F$2:$F$41,MATCH(C1306,Customers!$A$2:$A$41,0)))</f>
        <v>0.084</v>
      </c>
      <c r="I1306" s="16" t="n">
        <f aca="false">F1306*G1306</f>
        <v>236146</v>
      </c>
      <c r="J1306" s="16" t="n">
        <f aca="false">I1306*(1-H1306)</f>
        <v>216309.736</v>
      </c>
      <c r="K1306" s="16" t="n">
        <f aca="false">J1306*INDEX(Customers!$G$2:$G$41,MATCH(C1306,Customers!$A$2:$A$41,0))</f>
        <v>10815.4868</v>
      </c>
      <c r="L1306" s="16" t="n">
        <f aca="false">F1306*INDEX(Customers!$H$2:$H$41,MATCH(C1306,Customers!$A$2:$A$41,0))</f>
        <v>2840</v>
      </c>
      <c r="M1306" s="16" t="n">
        <f aca="false">J1306*INDEX(Customers!$I$2:$I$41,MATCH(C1306,Customers!$A$2:$A$41,0))/365*Assumptions!$B$6</f>
        <v>1422.31059287671</v>
      </c>
      <c r="N1306" s="16" t="n">
        <f aca="false">J1306-K1306-L1306-M1306</f>
        <v>201231.938607123</v>
      </c>
      <c r="O1306" s="16" t="n">
        <f aca="false">F1306*IF(A1306="2025",INDEX(Products!$D$2:$D$13,MATCH(D1306,Products!$A$2:$A$13,0)),INDEX(Products!$F$2:$F$13,MATCH(D1306,Products!$A$2:$A$13,0)))</f>
        <v>106642</v>
      </c>
      <c r="P1306" s="16" t="n">
        <f aca="false">N1306-O1306</f>
        <v>94589.9386071233</v>
      </c>
    </row>
    <row r="1307" customFormat="false" ht="15" hidden="false" customHeight="false" outlineLevel="0" collapsed="false">
      <c r="A1307" s="2" t="s">
        <v>118</v>
      </c>
      <c r="B1307" s="2" t="n">
        <v>10</v>
      </c>
      <c r="C1307" s="2" t="s">
        <v>82</v>
      </c>
      <c r="D1307" s="2" t="s">
        <v>48</v>
      </c>
      <c r="E1307" s="2" t="str">
        <f aca="false">INDEX(Products!$B$2:$B$13,MATCH(D1307,Products!$A$2:$A$13,0))</f>
        <v>Specialty</v>
      </c>
      <c r="F1307" s="15" t="n">
        <v>9.8</v>
      </c>
      <c r="G1307" s="16" t="n">
        <f aca="false">IF(A1307="2025",INDEX(Products!$C$2:$C$13,MATCH(D1307,Products!$A$2:$A$13,0)),INDEX(Products!$E$2:$E$13,MATCH(D1307,Products!$A$2:$A$13,0)))</f>
        <v>33260</v>
      </c>
      <c r="H1307" s="13" t="n">
        <f aca="false">IF(A1307="2025",INDEX(Customers!$D$2:$D$41,MATCH(C1307,Customers!$A$2:$A$41,0)),INDEX(Customers!$F$2:$F$41,MATCH(C1307,Customers!$A$2:$A$41,0)))</f>
        <v>0.084</v>
      </c>
      <c r="I1307" s="16" t="n">
        <f aca="false">F1307*G1307</f>
        <v>325948</v>
      </c>
      <c r="J1307" s="16" t="n">
        <f aca="false">I1307*(1-H1307)</f>
        <v>298568.368</v>
      </c>
      <c r="K1307" s="16" t="n">
        <f aca="false">J1307*INDEX(Customers!$G$2:$G$41,MATCH(C1307,Customers!$A$2:$A$41,0))</f>
        <v>14928.4184</v>
      </c>
      <c r="L1307" s="16" t="n">
        <f aca="false">F1307*INDEX(Customers!$H$2:$H$41,MATCH(C1307,Customers!$A$2:$A$41,0))</f>
        <v>3920</v>
      </c>
      <c r="M1307" s="16" t="n">
        <f aca="false">J1307*INDEX(Customers!$I$2:$I$41,MATCH(C1307,Customers!$A$2:$A$41,0))/365*Assumptions!$B$6</f>
        <v>1963.1892690411</v>
      </c>
      <c r="N1307" s="16" t="n">
        <f aca="false">J1307-K1307-L1307-M1307</f>
        <v>277756.760330959</v>
      </c>
      <c r="O1307" s="16" t="n">
        <f aca="false">F1307*IF(A1307="2025",INDEX(Products!$D$2:$D$13,MATCH(D1307,Products!$A$2:$A$13,0)),INDEX(Products!$F$2:$F$13,MATCH(D1307,Products!$A$2:$A$13,0)))</f>
        <v>147196</v>
      </c>
      <c r="P1307" s="16" t="n">
        <f aca="false">N1307-O1307</f>
        <v>130560.760330959</v>
      </c>
    </row>
    <row r="1308" customFormat="false" ht="15" hidden="false" customHeight="false" outlineLevel="0" collapsed="false">
      <c r="A1308" s="2" t="s">
        <v>118</v>
      </c>
      <c r="B1308" s="2" t="n">
        <v>11</v>
      </c>
      <c r="C1308" s="2" t="s">
        <v>82</v>
      </c>
      <c r="D1308" s="2" t="s">
        <v>48</v>
      </c>
      <c r="E1308" s="2" t="str">
        <f aca="false">INDEX(Products!$B$2:$B$13,MATCH(D1308,Products!$A$2:$A$13,0))</f>
        <v>Specialty</v>
      </c>
      <c r="F1308" s="15" t="n">
        <v>12.1</v>
      </c>
      <c r="G1308" s="16" t="n">
        <f aca="false">IF(A1308="2025",INDEX(Products!$C$2:$C$13,MATCH(D1308,Products!$A$2:$A$13,0)),INDEX(Products!$E$2:$E$13,MATCH(D1308,Products!$A$2:$A$13,0)))</f>
        <v>33260</v>
      </c>
      <c r="H1308" s="13" t="n">
        <f aca="false">IF(A1308="2025",INDEX(Customers!$D$2:$D$41,MATCH(C1308,Customers!$A$2:$A$41,0)),INDEX(Customers!$F$2:$F$41,MATCH(C1308,Customers!$A$2:$A$41,0)))</f>
        <v>0.084</v>
      </c>
      <c r="I1308" s="16" t="n">
        <f aca="false">F1308*G1308</f>
        <v>402446</v>
      </c>
      <c r="J1308" s="16" t="n">
        <f aca="false">I1308*(1-H1308)</f>
        <v>368640.536</v>
      </c>
      <c r="K1308" s="16" t="n">
        <f aca="false">J1308*INDEX(Customers!$G$2:$G$41,MATCH(C1308,Customers!$A$2:$A$41,0))</f>
        <v>18432.0268</v>
      </c>
      <c r="L1308" s="16" t="n">
        <f aca="false">F1308*INDEX(Customers!$H$2:$H$41,MATCH(C1308,Customers!$A$2:$A$41,0))</f>
        <v>4840</v>
      </c>
      <c r="M1308" s="16" t="n">
        <f aca="false">J1308*INDEX(Customers!$I$2:$I$41,MATCH(C1308,Customers!$A$2:$A$41,0))/365*Assumptions!$B$6</f>
        <v>2423.9377709589</v>
      </c>
      <c r="N1308" s="16" t="n">
        <f aca="false">J1308-K1308-L1308-M1308</f>
        <v>342944.571429041</v>
      </c>
      <c r="O1308" s="16" t="n">
        <f aca="false">F1308*IF(A1308="2025",INDEX(Products!$D$2:$D$13,MATCH(D1308,Products!$A$2:$A$13,0)),INDEX(Products!$F$2:$F$13,MATCH(D1308,Products!$A$2:$A$13,0)))</f>
        <v>181742</v>
      </c>
      <c r="P1308" s="16" t="n">
        <f aca="false">N1308-O1308</f>
        <v>161202.571429041</v>
      </c>
    </row>
    <row r="1309" customFormat="false" ht="15" hidden="false" customHeight="false" outlineLevel="0" collapsed="false">
      <c r="A1309" s="2" t="s">
        <v>118</v>
      </c>
      <c r="B1309" s="2" t="n">
        <v>12</v>
      </c>
      <c r="C1309" s="2" t="s">
        <v>82</v>
      </c>
      <c r="D1309" s="2" t="s">
        <v>48</v>
      </c>
      <c r="E1309" s="2" t="str">
        <f aca="false">INDEX(Products!$B$2:$B$13,MATCH(D1309,Products!$A$2:$A$13,0))</f>
        <v>Specialty</v>
      </c>
      <c r="F1309" s="15" t="n">
        <v>11</v>
      </c>
      <c r="G1309" s="16" t="n">
        <f aca="false">IF(A1309="2025",INDEX(Products!$C$2:$C$13,MATCH(D1309,Products!$A$2:$A$13,0)),INDEX(Products!$E$2:$E$13,MATCH(D1309,Products!$A$2:$A$13,0)))</f>
        <v>33260</v>
      </c>
      <c r="H1309" s="13" t="n">
        <f aca="false">IF(A1309="2025",INDEX(Customers!$D$2:$D$41,MATCH(C1309,Customers!$A$2:$A$41,0)),INDEX(Customers!$F$2:$F$41,MATCH(C1309,Customers!$A$2:$A$41,0)))</f>
        <v>0.084</v>
      </c>
      <c r="I1309" s="16" t="n">
        <f aca="false">F1309*G1309</f>
        <v>365860</v>
      </c>
      <c r="J1309" s="16" t="n">
        <f aca="false">I1309*(1-H1309)</f>
        <v>335127.76</v>
      </c>
      <c r="K1309" s="16" t="n">
        <f aca="false">J1309*INDEX(Customers!$G$2:$G$41,MATCH(C1309,Customers!$A$2:$A$41,0))</f>
        <v>16756.388</v>
      </c>
      <c r="L1309" s="16" t="n">
        <f aca="false">F1309*INDEX(Customers!$H$2:$H$41,MATCH(C1309,Customers!$A$2:$A$41,0))</f>
        <v>4400</v>
      </c>
      <c r="M1309" s="16" t="n">
        <f aca="false">J1309*INDEX(Customers!$I$2:$I$41,MATCH(C1309,Customers!$A$2:$A$41,0))/365*Assumptions!$B$6</f>
        <v>2203.57979178082</v>
      </c>
      <c r="N1309" s="16" t="n">
        <f aca="false">J1309-K1309-L1309-M1309</f>
        <v>311767.792208219</v>
      </c>
      <c r="O1309" s="16" t="n">
        <f aca="false">F1309*IF(A1309="2025",INDEX(Products!$D$2:$D$13,MATCH(D1309,Products!$A$2:$A$13,0)),INDEX(Products!$F$2:$F$13,MATCH(D1309,Products!$A$2:$A$13,0)))</f>
        <v>165220</v>
      </c>
      <c r="P1309" s="16" t="n">
        <f aca="false">N1309-O1309</f>
        <v>146547.792208219</v>
      </c>
    </row>
    <row r="1310" customFormat="false" ht="15" hidden="false" customHeight="false" outlineLevel="0" collapsed="false">
      <c r="A1310" s="2" t="s">
        <v>119</v>
      </c>
      <c r="B1310" s="2" t="n">
        <v>1</v>
      </c>
      <c r="C1310" s="2" t="s">
        <v>82</v>
      </c>
      <c r="D1310" s="2" t="s">
        <v>48</v>
      </c>
      <c r="E1310" s="2" t="str">
        <f aca="false">INDEX(Products!$B$2:$B$13,MATCH(D1310,Products!$A$2:$A$13,0))</f>
        <v>Specialty</v>
      </c>
      <c r="F1310" s="15" t="n">
        <v>9.7</v>
      </c>
      <c r="G1310" s="16" t="n">
        <f aca="false">IF(A1310="2025",INDEX(Products!$C$2:$C$13,MATCH(D1310,Products!$A$2:$A$13,0)),INDEX(Products!$E$2:$E$13,MATCH(D1310,Products!$A$2:$A$13,0)))</f>
        <v>34923</v>
      </c>
      <c r="H1310" s="13" t="n">
        <f aca="false">IF(A1310="2025",INDEX(Customers!$D$2:$D$41,MATCH(C1310,Customers!$A$2:$A$41,0)),INDEX(Customers!$F$2:$F$41,MATCH(C1310,Customers!$A$2:$A$41,0)))</f>
        <v>0.11</v>
      </c>
      <c r="I1310" s="16" t="n">
        <f aca="false">F1310*G1310</f>
        <v>338753.1</v>
      </c>
      <c r="J1310" s="16" t="n">
        <f aca="false">I1310*(1-H1310)</f>
        <v>301490.259</v>
      </c>
      <c r="K1310" s="16" t="n">
        <f aca="false">J1310*INDEX(Customers!$G$2:$G$41,MATCH(C1310,Customers!$A$2:$A$41,0))</f>
        <v>15074.51295</v>
      </c>
      <c r="L1310" s="16" t="n">
        <f aca="false">F1310*INDEX(Customers!$H$2:$H$41,MATCH(C1310,Customers!$A$2:$A$41,0))</f>
        <v>3880</v>
      </c>
      <c r="M1310" s="16" t="n">
        <f aca="false">J1310*INDEX(Customers!$I$2:$I$41,MATCH(C1310,Customers!$A$2:$A$41,0))/365*Assumptions!$B$6</f>
        <v>1982.4017030137</v>
      </c>
      <c r="N1310" s="16" t="n">
        <f aca="false">J1310-K1310-L1310-M1310</f>
        <v>280553.344346986</v>
      </c>
      <c r="O1310" s="16" t="n">
        <f aca="false">F1310*IF(A1310="2025",INDEX(Products!$D$2:$D$13,MATCH(D1310,Products!$A$2:$A$13,0)),INDEX(Products!$F$2:$F$13,MATCH(D1310,Products!$A$2:$A$13,0)))</f>
        <v>150064.82</v>
      </c>
      <c r="P1310" s="16" t="n">
        <f aca="false">N1310-O1310</f>
        <v>130488.524346986</v>
      </c>
    </row>
    <row r="1311" customFormat="false" ht="15" hidden="false" customHeight="false" outlineLevel="0" collapsed="false">
      <c r="A1311" s="2" t="s">
        <v>119</v>
      </c>
      <c r="B1311" s="2" t="n">
        <v>2</v>
      </c>
      <c r="C1311" s="2" t="s">
        <v>82</v>
      </c>
      <c r="D1311" s="2" t="s">
        <v>48</v>
      </c>
      <c r="E1311" s="2" t="str">
        <f aca="false">INDEX(Products!$B$2:$B$13,MATCH(D1311,Products!$A$2:$A$13,0))</f>
        <v>Specialty</v>
      </c>
      <c r="F1311" s="15" t="n">
        <v>7.8</v>
      </c>
      <c r="G1311" s="16" t="n">
        <f aca="false">IF(A1311="2025",INDEX(Products!$C$2:$C$13,MATCH(D1311,Products!$A$2:$A$13,0)),INDEX(Products!$E$2:$E$13,MATCH(D1311,Products!$A$2:$A$13,0)))</f>
        <v>34923</v>
      </c>
      <c r="H1311" s="13" t="n">
        <f aca="false">IF(A1311="2025",INDEX(Customers!$D$2:$D$41,MATCH(C1311,Customers!$A$2:$A$41,0)),INDEX(Customers!$F$2:$F$41,MATCH(C1311,Customers!$A$2:$A$41,0)))</f>
        <v>0.11</v>
      </c>
      <c r="I1311" s="16" t="n">
        <f aca="false">F1311*G1311</f>
        <v>272399.4</v>
      </c>
      <c r="J1311" s="16" t="n">
        <f aca="false">I1311*(1-H1311)</f>
        <v>242435.466</v>
      </c>
      <c r="K1311" s="16" t="n">
        <f aca="false">J1311*INDEX(Customers!$G$2:$G$41,MATCH(C1311,Customers!$A$2:$A$41,0))</f>
        <v>12121.7733</v>
      </c>
      <c r="L1311" s="16" t="n">
        <f aca="false">F1311*INDEX(Customers!$H$2:$H$41,MATCH(C1311,Customers!$A$2:$A$41,0))</f>
        <v>3120</v>
      </c>
      <c r="M1311" s="16" t="n">
        <f aca="false">J1311*INDEX(Customers!$I$2:$I$41,MATCH(C1311,Customers!$A$2:$A$41,0))/365*Assumptions!$B$6</f>
        <v>1594.09621479452</v>
      </c>
      <c r="N1311" s="16" t="n">
        <f aca="false">J1311-K1311-L1311-M1311</f>
        <v>225599.596485205</v>
      </c>
      <c r="O1311" s="16" t="n">
        <f aca="false">F1311*IF(A1311="2025",INDEX(Products!$D$2:$D$13,MATCH(D1311,Products!$A$2:$A$13,0)),INDEX(Products!$F$2:$F$13,MATCH(D1311,Products!$A$2:$A$13,0)))</f>
        <v>120670.68</v>
      </c>
      <c r="P1311" s="16" t="n">
        <f aca="false">N1311-O1311</f>
        <v>104928.916485205</v>
      </c>
    </row>
    <row r="1312" customFormat="false" ht="15" hidden="false" customHeight="false" outlineLevel="0" collapsed="false">
      <c r="A1312" s="2" t="s">
        <v>119</v>
      </c>
      <c r="B1312" s="2" t="n">
        <v>3</v>
      </c>
      <c r="C1312" s="2" t="s">
        <v>82</v>
      </c>
      <c r="D1312" s="2" t="s">
        <v>48</v>
      </c>
      <c r="E1312" s="2" t="str">
        <f aca="false">INDEX(Products!$B$2:$B$13,MATCH(D1312,Products!$A$2:$A$13,0))</f>
        <v>Specialty</v>
      </c>
      <c r="F1312" s="15" t="n">
        <v>7.3</v>
      </c>
      <c r="G1312" s="16" t="n">
        <f aca="false">IF(A1312="2025",INDEX(Products!$C$2:$C$13,MATCH(D1312,Products!$A$2:$A$13,0)),INDEX(Products!$E$2:$E$13,MATCH(D1312,Products!$A$2:$A$13,0)))</f>
        <v>34923</v>
      </c>
      <c r="H1312" s="13" t="n">
        <f aca="false">IF(A1312="2025",INDEX(Customers!$D$2:$D$41,MATCH(C1312,Customers!$A$2:$A$41,0)),INDEX(Customers!$F$2:$F$41,MATCH(C1312,Customers!$A$2:$A$41,0)))</f>
        <v>0.11</v>
      </c>
      <c r="I1312" s="16" t="n">
        <f aca="false">F1312*G1312</f>
        <v>254937.9</v>
      </c>
      <c r="J1312" s="16" t="n">
        <f aca="false">I1312*(1-H1312)</f>
        <v>226894.731</v>
      </c>
      <c r="K1312" s="16" t="n">
        <f aca="false">J1312*INDEX(Customers!$G$2:$G$41,MATCH(C1312,Customers!$A$2:$A$41,0))</f>
        <v>11344.73655</v>
      </c>
      <c r="L1312" s="16" t="n">
        <f aca="false">F1312*INDEX(Customers!$H$2:$H$41,MATCH(C1312,Customers!$A$2:$A$41,0))</f>
        <v>2920</v>
      </c>
      <c r="M1312" s="16" t="n">
        <f aca="false">J1312*INDEX(Customers!$I$2:$I$41,MATCH(C1312,Customers!$A$2:$A$41,0))/365*Assumptions!$B$6</f>
        <v>1491.91056</v>
      </c>
      <c r="N1312" s="16" t="n">
        <f aca="false">J1312-K1312-L1312-M1312</f>
        <v>211138.08389</v>
      </c>
      <c r="O1312" s="16" t="n">
        <f aca="false">F1312*IF(A1312="2025",INDEX(Products!$D$2:$D$13,MATCH(D1312,Products!$A$2:$A$13,0)),INDEX(Products!$F$2:$F$13,MATCH(D1312,Products!$A$2:$A$13,0)))</f>
        <v>112935.38</v>
      </c>
      <c r="P1312" s="16" t="n">
        <f aca="false">N1312-O1312</f>
        <v>98202.70389</v>
      </c>
    </row>
    <row r="1313" customFormat="false" ht="15" hidden="false" customHeight="false" outlineLevel="0" collapsed="false">
      <c r="A1313" s="2" t="s">
        <v>119</v>
      </c>
      <c r="B1313" s="2" t="n">
        <v>4</v>
      </c>
      <c r="C1313" s="2" t="s">
        <v>82</v>
      </c>
      <c r="D1313" s="2" t="s">
        <v>48</v>
      </c>
      <c r="E1313" s="2" t="str">
        <f aca="false">INDEX(Products!$B$2:$B$13,MATCH(D1313,Products!$A$2:$A$13,0))</f>
        <v>Specialty</v>
      </c>
      <c r="F1313" s="15" t="n">
        <v>11.7</v>
      </c>
      <c r="G1313" s="16" t="n">
        <f aca="false">IF(A1313="2025",INDEX(Products!$C$2:$C$13,MATCH(D1313,Products!$A$2:$A$13,0)),INDEX(Products!$E$2:$E$13,MATCH(D1313,Products!$A$2:$A$13,0)))</f>
        <v>34923</v>
      </c>
      <c r="H1313" s="13" t="n">
        <f aca="false">IF(A1313="2025",INDEX(Customers!$D$2:$D$41,MATCH(C1313,Customers!$A$2:$A$41,0)),INDEX(Customers!$F$2:$F$41,MATCH(C1313,Customers!$A$2:$A$41,0)))</f>
        <v>0.11</v>
      </c>
      <c r="I1313" s="16" t="n">
        <f aca="false">F1313*G1313</f>
        <v>408599.1</v>
      </c>
      <c r="J1313" s="16" t="n">
        <f aca="false">I1313*(1-H1313)</f>
        <v>363653.199</v>
      </c>
      <c r="K1313" s="16" t="n">
        <f aca="false">J1313*INDEX(Customers!$G$2:$G$41,MATCH(C1313,Customers!$A$2:$A$41,0))</f>
        <v>18182.65995</v>
      </c>
      <c r="L1313" s="16" t="n">
        <f aca="false">F1313*INDEX(Customers!$H$2:$H$41,MATCH(C1313,Customers!$A$2:$A$41,0))</f>
        <v>4680</v>
      </c>
      <c r="M1313" s="16" t="n">
        <f aca="false">J1313*INDEX(Customers!$I$2:$I$41,MATCH(C1313,Customers!$A$2:$A$41,0))/365*Assumptions!$B$6</f>
        <v>2391.14432219178</v>
      </c>
      <c r="N1313" s="16" t="n">
        <f aca="false">J1313-K1313-L1313-M1313</f>
        <v>338399.394727808</v>
      </c>
      <c r="O1313" s="16" t="n">
        <f aca="false">F1313*IF(A1313="2025",INDEX(Products!$D$2:$D$13,MATCH(D1313,Products!$A$2:$A$13,0)),INDEX(Products!$F$2:$F$13,MATCH(D1313,Products!$A$2:$A$13,0)))</f>
        <v>181006.02</v>
      </c>
      <c r="P1313" s="16" t="n">
        <f aca="false">N1313-O1313</f>
        <v>157393.374727808</v>
      </c>
    </row>
    <row r="1314" customFormat="false" ht="15" hidden="false" customHeight="false" outlineLevel="0" collapsed="false">
      <c r="A1314" s="2" t="s">
        <v>119</v>
      </c>
      <c r="B1314" s="2" t="n">
        <v>5</v>
      </c>
      <c r="C1314" s="2" t="s">
        <v>82</v>
      </c>
      <c r="D1314" s="2" t="s">
        <v>48</v>
      </c>
      <c r="E1314" s="2" t="str">
        <f aca="false">INDEX(Products!$B$2:$B$13,MATCH(D1314,Products!$A$2:$A$13,0))</f>
        <v>Specialty</v>
      </c>
      <c r="F1314" s="15" t="n">
        <v>10.9</v>
      </c>
      <c r="G1314" s="16" t="n">
        <f aca="false">IF(A1314="2025",INDEX(Products!$C$2:$C$13,MATCH(D1314,Products!$A$2:$A$13,0)),INDEX(Products!$E$2:$E$13,MATCH(D1314,Products!$A$2:$A$13,0)))</f>
        <v>34923</v>
      </c>
      <c r="H1314" s="13" t="n">
        <f aca="false">IF(A1314="2025",INDEX(Customers!$D$2:$D$41,MATCH(C1314,Customers!$A$2:$A$41,0)),INDEX(Customers!$F$2:$F$41,MATCH(C1314,Customers!$A$2:$A$41,0)))</f>
        <v>0.11</v>
      </c>
      <c r="I1314" s="16" t="n">
        <f aca="false">F1314*G1314</f>
        <v>380660.7</v>
      </c>
      <c r="J1314" s="16" t="n">
        <f aca="false">I1314*(1-H1314)</f>
        <v>338788.023</v>
      </c>
      <c r="K1314" s="16" t="n">
        <f aca="false">J1314*INDEX(Customers!$G$2:$G$41,MATCH(C1314,Customers!$A$2:$A$41,0))</f>
        <v>16939.40115</v>
      </c>
      <c r="L1314" s="16" t="n">
        <f aca="false">F1314*INDEX(Customers!$H$2:$H$41,MATCH(C1314,Customers!$A$2:$A$41,0))</f>
        <v>4360</v>
      </c>
      <c r="M1314" s="16" t="n">
        <f aca="false">J1314*INDEX(Customers!$I$2:$I$41,MATCH(C1314,Customers!$A$2:$A$41,0))/365*Assumptions!$B$6</f>
        <v>2227.64727452055</v>
      </c>
      <c r="N1314" s="16" t="n">
        <f aca="false">J1314-K1314-L1314-M1314</f>
        <v>315260.974575479</v>
      </c>
      <c r="O1314" s="16" t="n">
        <f aca="false">F1314*IF(A1314="2025",INDEX(Products!$D$2:$D$13,MATCH(D1314,Products!$A$2:$A$13,0)),INDEX(Products!$F$2:$F$13,MATCH(D1314,Products!$A$2:$A$13,0)))</f>
        <v>168629.54</v>
      </c>
      <c r="P1314" s="16" t="n">
        <f aca="false">N1314-O1314</f>
        <v>146631.434575479</v>
      </c>
    </row>
    <row r="1315" customFormat="false" ht="15" hidden="false" customHeight="false" outlineLevel="0" collapsed="false">
      <c r="A1315" s="2" t="s">
        <v>119</v>
      </c>
      <c r="B1315" s="2" t="n">
        <v>6</v>
      </c>
      <c r="C1315" s="2" t="s">
        <v>82</v>
      </c>
      <c r="D1315" s="2" t="s">
        <v>48</v>
      </c>
      <c r="E1315" s="2" t="str">
        <f aca="false">INDEX(Products!$B$2:$B$13,MATCH(D1315,Products!$A$2:$A$13,0))</f>
        <v>Specialty</v>
      </c>
      <c r="F1315" s="15" t="n">
        <v>11.1</v>
      </c>
      <c r="G1315" s="16" t="n">
        <f aca="false">IF(A1315="2025",INDEX(Products!$C$2:$C$13,MATCH(D1315,Products!$A$2:$A$13,0)),INDEX(Products!$E$2:$E$13,MATCH(D1315,Products!$A$2:$A$13,0)))</f>
        <v>34923</v>
      </c>
      <c r="H1315" s="13" t="n">
        <f aca="false">IF(A1315="2025",INDEX(Customers!$D$2:$D$41,MATCH(C1315,Customers!$A$2:$A$41,0)),INDEX(Customers!$F$2:$F$41,MATCH(C1315,Customers!$A$2:$A$41,0)))</f>
        <v>0.11</v>
      </c>
      <c r="I1315" s="16" t="n">
        <f aca="false">F1315*G1315</f>
        <v>387645.3</v>
      </c>
      <c r="J1315" s="16" t="n">
        <f aca="false">I1315*(1-H1315)</f>
        <v>345004.317</v>
      </c>
      <c r="K1315" s="16" t="n">
        <f aca="false">J1315*INDEX(Customers!$G$2:$G$41,MATCH(C1315,Customers!$A$2:$A$41,0))</f>
        <v>17250.21585</v>
      </c>
      <c r="L1315" s="16" t="n">
        <f aca="false">F1315*INDEX(Customers!$H$2:$H$41,MATCH(C1315,Customers!$A$2:$A$41,0))</f>
        <v>4440</v>
      </c>
      <c r="M1315" s="16" t="n">
        <f aca="false">J1315*INDEX(Customers!$I$2:$I$41,MATCH(C1315,Customers!$A$2:$A$41,0))/365*Assumptions!$B$6</f>
        <v>2268.52153643836</v>
      </c>
      <c r="N1315" s="16" t="n">
        <f aca="false">J1315-K1315-L1315-M1315</f>
        <v>321045.579613562</v>
      </c>
      <c r="O1315" s="16" t="n">
        <f aca="false">F1315*IF(A1315="2025",INDEX(Products!$D$2:$D$13,MATCH(D1315,Products!$A$2:$A$13,0)),INDEX(Products!$F$2:$F$13,MATCH(D1315,Products!$A$2:$A$13,0)))</f>
        <v>171723.66</v>
      </c>
      <c r="P1315" s="16" t="n">
        <f aca="false">N1315-O1315</f>
        <v>149321.919613562</v>
      </c>
    </row>
    <row r="1316" customFormat="false" ht="15" hidden="false" customHeight="false" outlineLevel="0" collapsed="false">
      <c r="A1316" s="2" t="s">
        <v>119</v>
      </c>
      <c r="B1316" s="2" t="n">
        <v>7</v>
      </c>
      <c r="C1316" s="2" t="s">
        <v>82</v>
      </c>
      <c r="D1316" s="2" t="s">
        <v>48</v>
      </c>
      <c r="E1316" s="2" t="str">
        <f aca="false">INDEX(Products!$B$2:$B$13,MATCH(D1316,Products!$A$2:$A$13,0))</f>
        <v>Specialty</v>
      </c>
      <c r="F1316" s="15" t="n">
        <v>9.4</v>
      </c>
      <c r="G1316" s="16" t="n">
        <f aca="false">IF(A1316="2025",INDEX(Products!$C$2:$C$13,MATCH(D1316,Products!$A$2:$A$13,0)),INDEX(Products!$E$2:$E$13,MATCH(D1316,Products!$A$2:$A$13,0)))</f>
        <v>34923</v>
      </c>
      <c r="H1316" s="13" t="n">
        <f aca="false">IF(A1316="2025",INDEX(Customers!$D$2:$D$41,MATCH(C1316,Customers!$A$2:$A$41,0)),INDEX(Customers!$F$2:$F$41,MATCH(C1316,Customers!$A$2:$A$41,0)))</f>
        <v>0.11</v>
      </c>
      <c r="I1316" s="16" t="n">
        <f aca="false">F1316*G1316</f>
        <v>328276.2</v>
      </c>
      <c r="J1316" s="16" t="n">
        <f aca="false">I1316*(1-H1316)</f>
        <v>292165.818</v>
      </c>
      <c r="K1316" s="16" t="n">
        <f aca="false">J1316*INDEX(Customers!$G$2:$G$41,MATCH(C1316,Customers!$A$2:$A$41,0))</f>
        <v>14608.2909</v>
      </c>
      <c r="L1316" s="16" t="n">
        <f aca="false">F1316*INDEX(Customers!$H$2:$H$41,MATCH(C1316,Customers!$A$2:$A$41,0))</f>
        <v>3760</v>
      </c>
      <c r="M1316" s="16" t="n">
        <f aca="false">J1316*INDEX(Customers!$I$2:$I$41,MATCH(C1316,Customers!$A$2:$A$41,0))/365*Assumptions!$B$6</f>
        <v>1921.09031013699</v>
      </c>
      <c r="N1316" s="16" t="n">
        <f aca="false">J1316-K1316-L1316-M1316</f>
        <v>271876.436789863</v>
      </c>
      <c r="O1316" s="16" t="n">
        <f aca="false">F1316*IF(A1316="2025",INDEX(Products!$D$2:$D$13,MATCH(D1316,Products!$A$2:$A$13,0)),INDEX(Products!$F$2:$F$13,MATCH(D1316,Products!$A$2:$A$13,0)))</f>
        <v>145423.64</v>
      </c>
      <c r="P1316" s="16" t="n">
        <f aca="false">N1316-O1316</f>
        <v>126452.796789863</v>
      </c>
    </row>
    <row r="1317" customFormat="false" ht="15" hidden="false" customHeight="false" outlineLevel="0" collapsed="false">
      <c r="A1317" s="2" t="s">
        <v>119</v>
      </c>
      <c r="B1317" s="2" t="n">
        <v>8</v>
      </c>
      <c r="C1317" s="2" t="s">
        <v>82</v>
      </c>
      <c r="D1317" s="2" t="s">
        <v>48</v>
      </c>
      <c r="E1317" s="2" t="str">
        <f aca="false">INDEX(Products!$B$2:$B$13,MATCH(D1317,Products!$A$2:$A$13,0))</f>
        <v>Specialty</v>
      </c>
      <c r="F1317" s="15" t="n">
        <v>7</v>
      </c>
      <c r="G1317" s="16" t="n">
        <f aca="false">IF(A1317="2025",INDEX(Products!$C$2:$C$13,MATCH(D1317,Products!$A$2:$A$13,0)),INDEX(Products!$E$2:$E$13,MATCH(D1317,Products!$A$2:$A$13,0)))</f>
        <v>34923</v>
      </c>
      <c r="H1317" s="13" t="n">
        <f aca="false">IF(A1317="2025",INDEX(Customers!$D$2:$D$41,MATCH(C1317,Customers!$A$2:$A$41,0)),INDEX(Customers!$F$2:$F$41,MATCH(C1317,Customers!$A$2:$A$41,0)))</f>
        <v>0.11</v>
      </c>
      <c r="I1317" s="16" t="n">
        <f aca="false">F1317*G1317</f>
        <v>244461</v>
      </c>
      <c r="J1317" s="16" t="n">
        <f aca="false">I1317*(1-H1317)</f>
        <v>217570.29</v>
      </c>
      <c r="K1317" s="16" t="n">
        <f aca="false">J1317*INDEX(Customers!$G$2:$G$41,MATCH(C1317,Customers!$A$2:$A$41,0))</f>
        <v>10878.5145</v>
      </c>
      <c r="L1317" s="16" t="n">
        <f aca="false">F1317*INDEX(Customers!$H$2:$H$41,MATCH(C1317,Customers!$A$2:$A$41,0))</f>
        <v>2800</v>
      </c>
      <c r="M1317" s="16" t="n">
        <f aca="false">J1317*INDEX(Customers!$I$2:$I$41,MATCH(C1317,Customers!$A$2:$A$41,0))/365*Assumptions!$B$6</f>
        <v>1430.59916712329</v>
      </c>
      <c r="N1317" s="16" t="n">
        <f aca="false">J1317-K1317-L1317-M1317</f>
        <v>202461.176332877</v>
      </c>
      <c r="O1317" s="16" t="n">
        <f aca="false">F1317*IF(A1317="2025",INDEX(Products!$D$2:$D$13,MATCH(D1317,Products!$A$2:$A$13,0)),INDEX(Products!$F$2:$F$13,MATCH(D1317,Products!$A$2:$A$13,0)))</f>
        <v>108294.2</v>
      </c>
      <c r="P1317" s="16" t="n">
        <f aca="false">N1317-O1317</f>
        <v>94166.9763328767</v>
      </c>
    </row>
    <row r="1318" customFormat="false" ht="15" hidden="false" customHeight="false" outlineLevel="0" collapsed="false">
      <c r="A1318" s="2" t="s">
        <v>119</v>
      </c>
      <c r="B1318" s="2" t="n">
        <v>9</v>
      </c>
      <c r="C1318" s="2" t="s">
        <v>82</v>
      </c>
      <c r="D1318" s="2" t="s">
        <v>48</v>
      </c>
      <c r="E1318" s="2" t="str">
        <f aca="false">INDEX(Products!$B$2:$B$13,MATCH(D1318,Products!$A$2:$A$13,0))</f>
        <v>Specialty</v>
      </c>
      <c r="F1318" s="15" t="n">
        <v>10</v>
      </c>
      <c r="G1318" s="16" t="n">
        <f aca="false">IF(A1318="2025",INDEX(Products!$C$2:$C$13,MATCH(D1318,Products!$A$2:$A$13,0)),INDEX(Products!$E$2:$E$13,MATCH(D1318,Products!$A$2:$A$13,0)))</f>
        <v>34923</v>
      </c>
      <c r="H1318" s="13" t="n">
        <f aca="false">IF(A1318="2025",INDEX(Customers!$D$2:$D$41,MATCH(C1318,Customers!$A$2:$A$41,0)),INDEX(Customers!$F$2:$F$41,MATCH(C1318,Customers!$A$2:$A$41,0)))</f>
        <v>0.11</v>
      </c>
      <c r="I1318" s="16" t="n">
        <f aca="false">F1318*G1318</f>
        <v>349230</v>
      </c>
      <c r="J1318" s="16" t="n">
        <f aca="false">I1318*(1-H1318)</f>
        <v>310814.7</v>
      </c>
      <c r="K1318" s="16" t="n">
        <f aca="false">J1318*INDEX(Customers!$G$2:$G$41,MATCH(C1318,Customers!$A$2:$A$41,0))</f>
        <v>15540.735</v>
      </c>
      <c r="L1318" s="16" t="n">
        <f aca="false">F1318*INDEX(Customers!$H$2:$H$41,MATCH(C1318,Customers!$A$2:$A$41,0))</f>
        <v>4000</v>
      </c>
      <c r="M1318" s="16" t="n">
        <f aca="false">J1318*INDEX(Customers!$I$2:$I$41,MATCH(C1318,Customers!$A$2:$A$41,0))/365*Assumptions!$B$6</f>
        <v>2043.71309589041</v>
      </c>
      <c r="N1318" s="16" t="n">
        <f aca="false">J1318-K1318-L1318-M1318</f>
        <v>289230.25190411</v>
      </c>
      <c r="O1318" s="16" t="n">
        <f aca="false">F1318*IF(A1318="2025",INDEX(Products!$D$2:$D$13,MATCH(D1318,Products!$A$2:$A$13,0)),INDEX(Products!$F$2:$F$13,MATCH(D1318,Products!$A$2:$A$13,0)))</f>
        <v>154706</v>
      </c>
      <c r="P1318" s="16" t="n">
        <f aca="false">N1318-O1318</f>
        <v>134524.25190411</v>
      </c>
    </row>
    <row r="1319" customFormat="false" ht="15" hidden="false" customHeight="false" outlineLevel="0" collapsed="false">
      <c r="A1319" s="2" t="s">
        <v>119</v>
      </c>
      <c r="B1319" s="2" t="n">
        <v>10</v>
      </c>
      <c r="C1319" s="2" t="s">
        <v>82</v>
      </c>
      <c r="D1319" s="2" t="s">
        <v>48</v>
      </c>
      <c r="E1319" s="2" t="str">
        <f aca="false">INDEX(Products!$B$2:$B$13,MATCH(D1319,Products!$A$2:$A$13,0))</f>
        <v>Specialty</v>
      </c>
      <c r="F1319" s="15" t="n">
        <v>9.6</v>
      </c>
      <c r="G1319" s="16" t="n">
        <f aca="false">IF(A1319="2025",INDEX(Products!$C$2:$C$13,MATCH(D1319,Products!$A$2:$A$13,0)),INDEX(Products!$E$2:$E$13,MATCH(D1319,Products!$A$2:$A$13,0)))</f>
        <v>34923</v>
      </c>
      <c r="H1319" s="13" t="n">
        <f aca="false">IF(A1319="2025",INDEX(Customers!$D$2:$D$41,MATCH(C1319,Customers!$A$2:$A$41,0)),INDEX(Customers!$F$2:$F$41,MATCH(C1319,Customers!$A$2:$A$41,0)))</f>
        <v>0.11</v>
      </c>
      <c r="I1319" s="16" t="n">
        <f aca="false">F1319*G1319</f>
        <v>335260.8</v>
      </c>
      <c r="J1319" s="16" t="n">
        <f aca="false">I1319*(1-H1319)</f>
        <v>298382.112</v>
      </c>
      <c r="K1319" s="16" t="n">
        <f aca="false">J1319*INDEX(Customers!$G$2:$G$41,MATCH(C1319,Customers!$A$2:$A$41,0))</f>
        <v>14919.1056</v>
      </c>
      <c r="L1319" s="16" t="n">
        <f aca="false">F1319*INDEX(Customers!$H$2:$H$41,MATCH(C1319,Customers!$A$2:$A$41,0))</f>
        <v>3840</v>
      </c>
      <c r="M1319" s="16" t="n">
        <f aca="false">J1319*INDEX(Customers!$I$2:$I$41,MATCH(C1319,Customers!$A$2:$A$41,0))/365*Assumptions!$B$6</f>
        <v>1961.96457205479</v>
      </c>
      <c r="N1319" s="16" t="n">
        <f aca="false">J1319-K1319-L1319-M1319</f>
        <v>277661.041827945</v>
      </c>
      <c r="O1319" s="16" t="n">
        <f aca="false">F1319*IF(A1319="2025",INDEX(Products!$D$2:$D$13,MATCH(D1319,Products!$A$2:$A$13,0)),INDEX(Products!$F$2:$F$13,MATCH(D1319,Products!$A$2:$A$13,0)))</f>
        <v>148517.76</v>
      </c>
      <c r="P1319" s="16" t="n">
        <f aca="false">N1319-O1319</f>
        <v>129143.281827945</v>
      </c>
    </row>
    <row r="1320" customFormat="false" ht="15" hidden="false" customHeight="false" outlineLevel="0" collapsed="false">
      <c r="A1320" s="2" t="s">
        <v>119</v>
      </c>
      <c r="B1320" s="2" t="n">
        <v>11</v>
      </c>
      <c r="C1320" s="2" t="s">
        <v>82</v>
      </c>
      <c r="D1320" s="2" t="s">
        <v>48</v>
      </c>
      <c r="E1320" s="2" t="str">
        <f aca="false">INDEX(Products!$B$2:$B$13,MATCH(D1320,Products!$A$2:$A$13,0))</f>
        <v>Specialty</v>
      </c>
      <c r="F1320" s="15" t="n">
        <v>6.9</v>
      </c>
      <c r="G1320" s="16" t="n">
        <f aca="false">IF(A1320="2025",INDEX(Products!$C$2:$C$13,MATCH(D1320,Products!$A$2:$A$13,0)),INDEX(Products!$E$2:$E$13,MATCH(D1320,Products!$A$2:$A$13,0)))</f>
        <v>34923</v>
      </c>
      <c r="H1320" s="13" t="n">
        <f aca="false">IF(A1320="2025",INDEX(Customers!$D$2:$D$41,MATCH(C1320,Customers!$A$2:$A$41,0)),INDEX(Customers!$F$2:$F$41,MATCH(C1320,Customers!$A$2:$A$41,0)))</f>
        <v>0.11</v>
      </c>
      <c r="I1320" s="16" t="n">
        <f aca="false">F1320*G1320</f>
        <v>240968.7</v>
      </c>
      <c r="J1320" s="16" t="n">
        <f aca="false">I1320*(1-H1320)</f>
        <v>214462.143</v>
      </c>
      <c r="K1320" s="16" t="n">
        <f aca="false">J1320*INDEX(Customers!$G$2:$G$41,MATCH(C1320,Customers!$A$2:$A$41,0))</f>
        <v>10723.10715</v>
      </c>
      <c r="L1320" s="16" t="n">
        <f aca="false">F1320*INDEX(Customers!$H$2:$H$41,MATCH(C1320,Customers!$A$2:$A$41,0))</f>
        <v>2760</v>
      </c>
      <c r="M1320" s="16" t="n">
        <f aca="false">J1320*INDEX(Customers!$I$2:$I$41,MATCH(C1320,Customers!$A$2:$A$41,0))/365*Assumptions!$B$6</f>
        <v>1410.16203616438</v>
      </c>
      <c r="N1320" s="16" t="n">
        <f aca="false">J1320-K1320-L1320-M1320</f>
        <v>199568.873813836</v>
      </c>
      <c r="O1320" s="16" t="n">
        <f aca="false">F1320*IF(A1320="2025",INDEX(Products!$D$2:$D$13,MATCH(D1320,Products!$A$2:$A$13,0)),INDEX(Products!$F$2:$F$13,MATCH(D1320,Products!$A$2:$A$13,0)))</f>
        <v>106747.14</v>
      </c>
      <c r="P1320" s="16" t="n">
        <f aca="false">N1320-O1320</f>
        <v>92821.7338138356</v>
      </c>
    </row>
    <row r="1321" customFormat="false" ht="15" hidden="false" customHeight="false" outlineLevel="0" collapsed="false">
      <c r="A1321" s="2" t="s">
        <v>119</v>
      </c>
      <c r="B1321" s="2" t="n">
        <v>12</v>
      </c>
      <c r="C1321" s="2" t="s">
        <v>82</v>
      </c>
      <c r="D1321" s="2" t="s">
        <v>48</v>
      </c>
      <c r="E1321" s="2" t="str">
        <f aca="false">INDEX(Products!$B$2:$B$13,MATCH(D1321,Products!$A$2:$A$13,0))</f>
        <v>Specialty</v>
      </c>
      <c r="F1321" s="15" t="n">
        <v>8.9</v>
      </c>
      <c r="G1321" s="16" t="n">
        <f aca="false">IF(A1321="2025",INDEX(Products!$C$2:$C$13,MATCH(D1321,Products!$A$2:$A$13,0)),INDEX(Products!$E$2:$E$13,MATCH(D1321,Products!$A$2:$A$13,0)))</f>
        <v>34923</v>
      </c>
      <c r="H1321" s="13" t="n">
        <f aca="false">IF(A1321="2025",INDEX(Customers!$D$2:$D$41,MATCH(C1321,Customers!$A$2:$A$41,0)),INDEX(Customers!$F$2:$F$41,MATCH(C1321,Customers!$A$2:$A$41,0)))</f>
        <v>0.11</v>
      </c>
      <c r="I1321" s="16" t="n">
        <f aca="false">F1321*G1321</f>
        <v>310814.7</v>
      </c>
      <c r="J1321" s="16" t="n">
        <f aca="false">I1321*(1-H1321)</f>
        <v>276625.083</v>
      </c>
      <c r="K1321" s="16" t="n">
        <f aca="false">J1321*INDEX(Customers!$G$2:$G$41,MATCH(C1321,Customers!$A$2:$A$41,0))</f>
        <v>13831.25415</v>
      </c>
      <c r="L1321" s="16" t="n">
        <f aca="false">F1321*INDEX(Customers!$H$2:$H$41,MATCH(C1321,Customers!$A$2:$A$41,0))</f>
        <v>3560</v>
      </c>
      <c r="M1321" s="16" t="n">
        <f aca="false">J1321*INDEX(Customers!$I$2:$I$41,MATCH(C1321,Customers!$A$2:$A$41,0))/365*Assumptions!$B$6</f>
        <v>1818.90465534247</v>
      </c>
      <c r="N1321" s="16" t="n">
        <f aca="false">J1321-K1321-L1321-M1321</f>
        <v>257414.924194658</v>
      </c>
      <c r="O1321" s="16" t="n">
        <f aca="false">F1321*IF(A1321="2025",INDEX(Products!$D$2:$D$13,MATCH(D1321,Products!$A$2:$A$13,0)),INDEX(Products!$F$2:$F$13,MATCH(D1321,Products!$A$2:$A$13,0)))</f>
        <v>137688.34</v>
      </c>
      <c r="P1321" s="16" t="n">
        <f aca="false">N1321-O1321</f>
        <v>119726.584194658</v>
      </c>
    </row>
    <row r="1322" customFormat="false" ht="15" hidden="false" customHeight="false" outlineLevel="0" collapsed="false">
      <c r="A1322" s="2" t="s">
        <v>118</v>
      </c>
      <c r="B1322" s="2" t="n">
        <v>1</v>
      </c>
      <c r="C1322" s="2" t="s">
        <v>82</v>
      </c>
      <c r="D1322" s="2" t="s">
        <v>47</v>
      </c>
      <c r="E1322" s="2" t="str">
        <f aca="false">INDEX(Products!$B$2:$B$13,MATCH(D1322,Products!$A$2:$A$13,0))</f>
        <v>Specialty</v>
      </c>
      <c r="F1322" s="15" t="n">
        <v>10.6</v>
      </c>
      <c r="G1322" s="16" t="n">
        <f aca="false">IF(A1322="2025",INDEX(Products!$C$2:$C$13,MATCH(D1322,Products!$A$2:$A$13,0)),INDEX(Products!$E$2:$E$13,MATCH(D1322,Products!$A$2:$A$13,0)))</f>
        <v>30520</v>
      </c>
      <c r="H1322" s="13" t="n">
        <f aca="false">IF(A1322="2025",INDEX(Customers!$D$2:$D$41,MATCH(C1322,Customers!$A$2:$A$41,0)),INDEX(Customers!$F$2:$F$41,MATCH(C1322,Customers!$A$2:$A$41,0)))</f>
        <v>0.084</v>
      </c>
      <c r="I1322" s="16" t="n">
        <f aca="false">F1322*G1322</f>
        <v>323512</v>
      </c>
      <c r="J1322" s="16" t="n">
        <f aca="false">I1322*(1-H1322)</f>
        <v>296336.992</v>
      </c>
      <c r="K1322" s="16" t="n">
        <f aca="false">J1322*INDEX(Customers!$G$2:$G$41,MATCH(C1322,Customers!$A$2:$A$41,0))</f>
        <v>14816.8496</v>
      </c>
      <c r="L1322" s="16" t="n">
        <f aca="false">F1322*INDEX(Customers!$H$2:$H$41,MATCH(C1322,Customers!$A$2:$A$41,0))</f>
        <v>4240</v>
      </c>
      <c r="M1322" s="16" t="n">
        <f aca="false">J1322*INDEX(Customers!$I$2:$I$41,MATCH(C1322,Customers!$A$2:$A$41,0))/365*Assumptions!$B$6</f>
        <v>1948.51720767123</v>
      </c>
      <c r="N1322" s="16" t="n">
        <f aca="false">J1322-K1322-L1322-M1322</f>
        <v>275331.625192329</v>
      </c>
      <c r="O1322" s="16" t="n">
        <f aca="false">F1322*IF(A1322="2025",INDEX(Products!$D$2:$D$13,MATCH(D1322,Products!$A$2:$A$13,0)),INDEX(Products!$F$2:$F$13,MATCH(D1322,Products!$A$2:$A$13,0)))</f>
        <v>163664</v>
      </c>
      <c r="P1322" s="16" t="n">
        <f aca="false">N1322-O1322</f>
        <v>111667.625192329</v>
      </c>
    </row>
    <row r="1323" customFormat="false" ht="15" hidden="false" customHeight="false" outlineLevel="0" collapsed="false">
      <c r="A1323" s="2" t="s">
        <v>118</v>
      </c>
      <c r="B1323" s="2" t="n">
        <v>2</v>
      </c>
      <c r="C1323" s="2" t="s">
        <v>82</v>
      </c>
      <c r="D1323" s="2" t="s">
        <v>47</v>
      </c>
      <c r="E1323" s="2" t="str">
        <f aca="false">INDEX(Products!$B$2:$B$13,MATCH(D1323,Products!$A$2:$A$13,0))</f>
        <v>Specialty</v>
      </c>
      <c r="F1323" s="15" t="n">
        <v>7.6</v>
      </c>
      <c r="G1323" s="16" t="n">
        <f aca="false">IF(A1323="2025",INDEX(Products!$C$2:$C$13,MATCH(D1323,Products!$A$2:$A$13,0)),INDEX(Products!$E$2:$E$13,MATCH(D1323,Products!$A$2:$A$13,0)))</f>
        <v>30520</v>
      </c>
      <c r="H1323" s="13" t="n">
        <f aca="false">IF(A1323="2025",INDEX(Customers!$D$2:$D$41,MATCH(C1323,Customers!$A$2:$A$41,0)),INDEX(Customers!$F$2:$F$41,MATCH(C1323,Customers!$A$2:$A$41,0)))</f>
        <v>0.084</v>
      </c>
      <c r="I1323" s="16" t="n">
        <f aca="false">F1323*G1323</f>
        <v>231952</v>
      </c>
      <c r="J1323" s="16" t="n">
        <f aca="false">I1323*(1-H1323)</f>
        <v>212468.032</v>
      </c>
      <c r="K1323" s="16" t="n">
        <f aca="false">J1323*INDEX(Customers!$G$2:$G$41,MATCH(C1323,Customers!$A$2:$A$41,0))</f>
        <v>10623.4016</v>
      </c>
      <c r="L1323" s="16" t="n">
        <f aca="false">F1323*INDEX(Customers!$H$2:$H$41,MATCH(C1323,Customers!$A$2:$A$41,0))</f>
        <v>3040</v>
      </c>
      <c r="M1323" s="16" t="n">
        <f aca="false">J1323*INDEX(Customers!$I$2:$I$41,MATCH(C1323,Customers!$A$2:$A$41,0))/365*Assumptions!$B$6</f>
        <v>1397.05007342466</v>
      </c>
      <c r="N1323" s="16" t="n">
        <f aca="false">J1323-K1323-L1323-M1323</f>
        <v>197407.580326575</v>
      </c>
      <c r="O1323" s="16" t="n">
        <f aca="false">F1323*IF(A1323="2025",INDEX(Products!$D$2:$D$13,MATCH(D1323,Products!$A$2:$A$13,0)),INDEX(Products!$F$2:$F$13,MATCH(D1323,Products!$A$2:$A$13,0)))</f>
        <v>117344</v>
      </c>
      <c r="P1323" s="16" t="n">
        <f aca="false">N1323-O1323</f>
        <v>80063.5803265754</v>
      </c>
    </row>
    <row r="1324" customFormat="false" ht="15" hidden="false" customHeight="false" outlineLevel="0" collapsed="false">
      <c r="A1324" s="2" t="s">
        <v>118</v>
      </c>
      <c r="B1324" s="2" t="n">
        <v>3</v>
      </c>
      <c r="C1324" s="2" t="s">
        <v>82</v>
      </c>
      <c r="D1324" s="2" t="s">
        <v>47</v>
      </c>
      <c r="E1324" s="2" t="str">
        <f aca="false">INDEX(Products!$B$2:$B$13,MATCH(D1324,Products!$A$2:$A$13,0))</f>
        <v>Specialty</v>
      </c>
      <c r="F1324" s="15" t="n">
        <v>8.4</v>
      </c>
      <c r="G1324" s="16" t="n">
        <f aca="false">IF(A1324="2025",INDEX(Products!$C$2:$C$13,MATCH(D1324,Products!$A$2:$A$13,0)),INDEX(Products!$E$2:$E$13,MATCH(D1324,Products!$A$2:$A$13,0)))</f>
        <v>30520</v>
      </c>
      <c r="H1324" s="13" t="n">
        <f aca="false">IF(A1324="2025",INDEX(Customers!$D$2:$D$41,MATCH(C1324,Customers!$A$2:$A$41,0)),INDEX(Customers!$F$2:$F$41,MATCH(C1324,Customers!$A$2:$A$41,0)))</f>
        <v>0.084</v>
      </c>
      <c r="I1324" s="16" t="n">
        <f aca="false">F1324*G1324</f>
        <v>256368</v>
      </c>
      <c r="J1324" s="16" t="n">
        <f aca="false">I1324*(1-H1324)</f>
        <v>234833.088</v>
      </c>
      <c r="K1324" s="16" t="n">
        <f aca="false">J1324*INDEX(Customers!$G$2:$G$41,MATCH(C1324,Customers!$A$2:$A$41,0))</f>
        <v>11741.6544</v>
      </c>
      <c r="L1324" s="16" t="n">
        <f aca="false">F1324*INDEX(Customers!$H$2:$H$41,MATCH(C1324,Customers!$A$2:$A$41,0))</f>
        <v>3360</v>
      </c>
      <c r="M1324" s="16" t="n">
        <f aca="false">J1324*INDEX(Customers!$I$2:$I$41,MATCH(C1324,Customers!$A$2:$A$41,0))/365*Assumptions!$B$6</f>
        <v>1544.10797589041</v>
      </c>
      <c r="N1324" s="16" t="n">
        <f aca="false">J1324-K1324-L1324-M1324</f>
        <v>218187.32562411</v>
      </c>
      <c r="O1324" s="16" t="n">
        <f aca="false">F1324*IF(A1324="2025",INDEX(Products!$D$2:$D$13,MATCH(D1324,Products!$A$2:$A$13,0)),INDEX(Products!$F$2:$F$13,MATCH(D1324,Products!$A$2:$A$13,0)))</f>
        <v>129696</v>
      </c>
      <c r="P1324" s="16" t="n">
        <f aca="false">N1324-O1324</f>
        <v>88491.3256241096</v>
      </c>
    </row>
    <row r="1325" customFormat="false" ht="15" hidden="false" customHeight="false" outlineLevel="0" collapsed="false">
      <c r="A1325" s="2" t="s">
        <v>118</v>
      </c>
      <c r="B1325" s="2" t="n">
        <v>4</v>
      </c>
      <c r="C1325" s="2" t="s">
        <v>82</v>
      </c>
      <c r="D1325" s="2" t="s">
        <v>47</v>
      </c>
      <c r="E1325" s="2" t="str">
        <f aca="false">INDEX(Products!$B$2:$B$13,MATCH(D1325,Products!$A$2:$A$13,0))</f>
        <v>Specialty</v>
      </c>
      <c r="F1325" s="15" t="n">
        <v>8.2</v>
      </c>
      <c r="G1325" s="16" t="n">
        <f aca="false">IF(A1325="2025",INDEX(Products!$C$2:$C$13,MATCH(D1325,Products!$A$2:$A$13,0)),INDEX(Products!$E$2:$E$13,MATCH(D1325,Products!$A$2:$A$13,0)))</f>
        <v>30520</v>
      </c>
      <c r="H1325" s="13" t="n">
        <f aca="false">IF(A1325="2025",INDEX(Customers!$D$2:$D$41,MATCH(C1325,Customers!$A$2:$A$41,0)),INDEX(Customers!$F$2:$F$41,MATCH(C1325,Customers!$A$2:$A$41,0)))</f>
        <v>0.084</v>
      </c>
      <c r="I1325" s="16" t="n">
        <f aca="false">F1325*G1325</f>
        <v>250264</v>
      </c>
      <c r="J1325" s="16" t="n">
        <f aca="false">I1325*(1-H1325)</f>
        <v>229241.824</v>
      </c>
      <c r="K1325" s="16" t="n">
        <f aca="false">J1325*INDEX(Customers!$G$2:$G$41,MATCH(C1325,Customers!$A$2:$A$41,0))</f>
        <v>11462.0912</v>
      </c>
      <c r="L1325" s="16" t="n">
        <f aca="false">F1325*INDEX(Customers!$H$2:$H$41,MATCH(C1325,Customers!$A$2:$A$41,0))</f>
        <v>3280</v>
      </c>
      <c r="M1325" s="16" t="n">
        <f aca="false">J1325*INDEX(Customers!$I$2:$I$41,MATCH(C1325,Customers!$A$2:$A$41,0))/365*Assumptions!$B$6</f>
        <v>1507.34350027397</v>
      </c>
      <c r="N1325" s="16" t="n">
        <f aca="false">J1325-K1325-L1325-M1325</f>
        <v>212992.389299726</v>
      </c>
      <c r="O1325" s="16" t="n">
        <f aca="false">F1325*IF(A1325="2025",INDEX(Products!$D$2:$D$13,MATCH(D1325,Products!$A$2:$A$13,0)),INDEX(Products!$F$2:$F$13,MATCH(D1325,Products!$A$2:$A$13,0)))</f>
        <v>126608</v>
      </c>
      <c r="P1325" s="16" t="n">
        <f aca="false">N1325-O1325</f>
        <v>86384.389299726</v>
      </c>
    </row>
    <row r="1326" customFormat="false" ht="15" hidden="false" customHeight="false" outlineLevel="0" collapsed="false">
      <c r="A1326" s="2" t="s">
        <v>118</v>
      </c>
      <c r="B1326" s="2" t="n">
        <v>5</v>
      </c>
      <c r="C1326" s="2" t="s">
        <v>82</v>
      </c>
      <c r="D1326" s="2" t="s">
        <v>47</v>
      </c>
      <c r="E1326" s="2" t="str">
        <f aca="false">INDEX(Products!$B$2:$B$13,MATCH(D1326,Products!$A$2:$A$13,0))</f>
        <v>Specialty</v>
      </c>
      <c r="F1326" s="15" t="n">
        <v>11.2</v>
      </c>
      <c r="G1326" s="16" t="n">
        <f aca="false">IF(A1326="2025",INDEX(Products!$C$2:$C$13,MATCH(D1326,Products!$A$2:$A$13,0)),INDEX(Products!$E$2:$E$13,MATCH(D1326,Products!$A$2:$A$13,0)))</f>
        <v>30520</v>
      </c>
      <c r="H1326" s="13" t="n">
        <f aca="false">IF(A1326="2025",INDEX(Customers!$D$2:$D$41,MATCH(C1326,Customers!$A$2:$A$41,0)),INDEX(Customers!$F$2:$F$41,MATCH(C1326,Customers!$A$2:$A$41,0)))</f>
        <v>0.084</v>
      </c>
      <c r="I1326" s="16" t="n">
        <f aca="false">F1326*G1326</f>
        <v>341824</v>
      </c>
      <c r="J1326" s="16" t="n">
        <f aca="false">I1326*(1-H1326)</f>
        <v>313110.784</v>
      </c>
      <c r="K1326" s="16" t="n">
        <f aca="false">J1326*INDEX(Customers!$G$2:$G$41,MATCH(C1326,Customers!$A$2:$A$41,0))</f>
        <v>15655.5392</v>
      </c>
      <c r="L1326" s="16" t="n">
        <f aca="false">F1326*INDEX(Customers!$H$2:$H$41,MATCH(C1326,Customers!$A$2:$A$41,0))</f>
        <v>4480</v>
      </c>
      <c r="M1326" s="16" t="n">
        <f aca="false">J1326*INDEX(Customers!$I$2:$I$41,MATCH(C1326,Customers!$A$2:$A$41,0))/365*Assumptions!$B$6</f>
        <v>2058.81063452055</v>
      </c>
      <c r="N1326" s="16" t="n">
        <f aca="false">J1326-K1326-L1326-M1326</f>
        <v>290916.434165479</v>
      </c>
      <c r="O1326" s="16" t="n">
        <f aca="false">F1326*IF(A1326="2025",INDEX(Products!$D$2:$D$13,MATCH(D1326,Products!$A$2:$A$13,0)),INDEX(Products!$F$2:$F$13,MATCH(D1326,Products!$A$2:$A$13,0)))</f>
        <v>172928</v>
      </c>
      <c r="P1326" s="16" t="n">
        <f aca="false">N1326-O1326</f>
        <v>117988.434165479</v>
      </c>
    </row>
    <row r="1327" customFormat="false" ht="15" hidden="false" customHeight="false" outlineLevel="0" collapsed="false">
      <c r="A1327" s="2" t="s">
        <v>118</v>
      </c>
      <c r="B1327" s="2" t="n">
        <v>6</v>
      </c>
      <c r="C1327" s="2" t="s">
        <v>82</v>
      </c>
      <c r="D1327" s="2" t="s">
        <v>47</v>
      </c>
      <c r="E1327" s="2" t="str">
        <f aca="false">INDEX(Products!$B$2:$B$13,MATCH(D1327,Products!$A$2:$A$13,0))</f>
        <v>Specialty</v>
      </c>
      <c r="F1327" s="15" t="n">
        <v>9.1</v>
      </c>
      <c r="G1327" s="16" t="n">
        <f aca="false">IF(A1327="2025",INDEX(Products!$C$2:$C$13,MATCH(D1327,Products!$A$2:$A$13,0)),INDEX(Products!$E$2:$E$13,MATCH(D1327,Products!$A$2:$A$13,0)))</f>
        <v>30520</v>
      </c>
      <c r="H1327" s="13" t="n">
        <f aca="false">IF(A1327="2025",INDEX(Customers!$D$2:$D$41,MATCH(C1327,Customers!$A$2:$A$41,0)),INDEX(Customers!$F$2:$F$41,MATCH(C1327,Customers!$A$2:$A$41,0)))</f>
        <v>0.084</v>
      </c>
      <c r="I1327" s="16" t="n">
        <f aca="false">F1327*G1327</f>
        <v>277732</v>
      </c>
      <c r="J1327" s="16" t="n">
        <f aca="false">I1327*(1-H1327)</f>
        <v>254402.512</v>
      </c>
      <c r="K1327" s="16" t="n">
        <f aca="false">J1327*INDEX(Customers!$G$2:$G$41,MATCH(C1327,Customers!$A$2:$A$41,0))</f>
        <v>12720.1256</v>
      </c>
      <c r="L1327" s="16" t="n">
        <f aca="false">F1327*INDEX(Customers!$H$2:$H$41,MATCH(C1327,Customers!$A$2:$A$41,0))</f>
        <v>3640</v>
      </c>
      <c r="M1327" s="16" t="n">
        <f aca="false">J1327*INDEX(Customers!$I$2:$I$41,MATCH(C1327,Customers!$A$2:$A$41,0))/365*Assumptions!$B$6</f>
        <v>1672.78364054795</v>
      </c>
      <c r="N1327" s="16" t="n">
        <f aca="false">J1327-K1327-L1327-M1327</f>
        <v>236369.602759452</v>
      </c>
      <c r="O1327" s="16" t="n">
        <f aca="false">F1327*IF(A1327="2025",INDEX(Products!$D$2:$D$13,MATCH(D1327,Products!$A$2:$A$13,0)),INDEX(Products!$F$2:$F$13,MATCH(D1327,Products!$A$2:$A$13,0)))</f>
        <v>140504</v>
      </c>
      <c r="P1327" s="16" t="n">
        <f aca="false">N1327-O1327</f>
        <v>95865.6027594521</v>
      </c>
    </row>
    <row r="1328" customFormat="false" ht="15" hidden="false" customHeight="false" outlineLevel="0" collapsed="false">
      <c r="A1328" s="2" t="s">
        <v>118</v>
      </c>
      <c r="B1328" s="2" t="n">
        <v>7</v>
      </c>
      <c r="C1328" s="2" t="s">
        <v>82</v>
      </c>
      <c r="D1328" s="2" t="s">
        <v>47</v>
      </c>
      <c r="E1328" s="2" t="str">
        <f aca="false">INDEX(Products!$B$2:$B$13,MATCH(D1328,Products!$A$2:$A$13,0))</f>
        <v>Specialty</v>
      </c>
      <c r="F1328" s="15" t="n">
        <v>10.6</v>
      </c>
      <c r="G1328" s="16" t="n">
        <f aca="false">IF(A1328="2025",INDEX(Products!$C$2:$C$13,MATCH(D1328,Products!$A$2:$A$13,0)),INDEX(Products!$E$2:$E$13,MATCH(D1328,Products!$A$2:$A$13,0)))</f>
        <v>30520</v>
      </c>
      <c r="H1328" s="13" t="n">
        <f aca="false">IF(A1328="2025",INDEX(Customers!$D$2:$D$41,MATCH(C1328,Customers!$A$2:$A$41,0)),INDEX(Customers!$F$2:$F$41,MATCH(C1328,Customers!$A$2:$A$41,0)))</f>
        <v>0.084</v>
      </c>
      <c r="I1328" s="16" t="n">
        <f aca="false">F1328*G1328</f>
        <v>323512</v>
      </c>
      <c r="J1328" s="16" t="n">
        <f aca="false">I1328*(1-H1328)</f>
        <v>296336.992</v>
      </c>
      <c r="K1328" s="16" t="n">
        <f aca="false">J1328*INDEX(Customers!$G$2:$G$41,MATCH(C1328,Customers!$A$2:$A$41,0))</f>
        <v>14816.8496</v>
      </c>
      <c r="L1328" s="16" t="n">
        <f aca="false">F1328*INDEX(Customers!$H$2:$H$41,MATCH(C1328,Customers!$A$2:$A$41,0))</f>
        <v>4240</v>
      </c>
      <c r="M1328" s="16" t="n">
        <f aca="false">J1328*INDEX(Customers!$I$2:$I$41,MATCH(C1328,Customers!$A$2:$A$41,0))/365*Assumptions!$B$6</f>
        <v>1948.51720767123</v>
      </c>
      <c r="N1328" s="16" t="n">
        <f aca="false">J1328-K1328-L1328-M1328</f>
        <v>275331.625192329</v>
      </c>
      <c r="O1328" s="16" t="n">
        <f aca="false">F1328*IF(A1328="2025",INDEX(Products!$D$2:$D$13,MATCH(D1328,Products!$A$2:$A$13,0)),INDEX(Products!$F$2:$F$13,MATCH(D1328,Products!$A$2:$A$13,0)))</f>
        <v>163664</v>
      </c>
      <c r="P1328" s="16" t="n">
        <f aca="false">N1328-O1328</f>
        <v>111667.625192329</v>
      </c>
    </row>
    <row r="1329" customFormat="false" ht="15" hidden="false" customHeight="false" outlineLevel="0" collapsed="false">
      <c r="A1329" s="2" t="s">
        <v>118</v>
      </c>
      <c r="B1329" s="2" t="n">
        <v>8</v>
      </c>
      <c r="C1329" s="2" t="s">
        <v>82</v>
      </c>
      <c r="D1329" s="2" t="s">
        <v>47</v>
      </c>
      <c r="E1329" s="2" t="str">
        <f aca="false">INDEX(Products!$B$2:$B$13,MATCH(D1329,Products!$A$2:$A$13,0))</f>
        <v>Specialty</v>
      </c>
      <c r="F1329" s="15" t="n">
        <v>9.2</v>
      </c>
      <c r="G1329" s="16" t="n">
        <f aca="false">IF(A1329="2025",INDEX(Products!$C$2:$C$13,MATCH(D1329,Products!$A$2:$A$13,0)),INDEX(Products!$E$2:$E$13,MATCH(D1329,Products!$A$2:$A$13,0)))</f>
        <v>30520</v>
      </c>
      <c r="H1329" s="13" t="n">
        <f aca="false">IF(A1329="2025",INDEX(Customers!$D$2:$D$41,MATCH(C1329,Customers!$A$2:$A$41,0)),INDEX(Customers!$F$2:$F$41,MATCH(C1329,Customers!$A$2:$A$41,0)))</f>
        <v>0.084</v>
      </c>
      <c r="I1329" s="16" t="n">
        <f aca="false">F1329*G1329</f>
        <v>280784</v>
      </c>
      <c r="J1329" s="16" t="n">
        <f aca="false">I1329*(1-H1329)</f>
        <v>257198.144</v>
      </c>
      <c r="K1329" s="16" t="n">
        <f aca="false">J1329*INDEX(Customers!$G$2:$G$41,MATCH(C1329,Customers!$A$2:$A$41,0))</f>
        <v>12859.9072</v>
      </c>
      <c r="L1329" s="16" t="n">
        <f aca="false">F1329*INDEX(Customers!$H$2:$H$41,MATCH(C1329,Customers!$A$2:$A$41,0))</f>
        <v>3680</v>
      </c>
      <c r="M1329" s="16" t="n">
        <f aca="false">J1329*INDEX(Customers!$I$2:$I$41,MATCH(C1329,Customers!$A$2:$A$41,0))/365*Assumptions!$B$6</f>
        <v>1691.16587835616</v>
      </c>
      <c r="N1329" s="16" t="n">
        <f aca="false">J1329-K1329-L1329-M1329</f>
        <v>238967.070921644</v>
      </c>
      <c r="O1329" s="16" t="n">
        <f aca="false">F1329*IF(A1329="2025",INDEX(Products!$D$2:$D$13,MATCH(D1329,Products!$A$2:$A$13,0)),INDEX(Products!$F$2:$F$13,MATCH(D1329,Products!$A$2:$A$13,0)))</f>
        <v>142048</v>
      </c>
      <c r="P1329" s="16" t="n">
        <f aca="false">N1329-O1329</f>
        <v>96919.0709216438</v>
      </c>
    </row>
    <row r="1330" customFormat="false" ht="15" hidden="false" customHeight="false" outlineLevel="0" collapsed="false">
      <c r="A1330" s="2" t="s">
        <v>118</v>
      </c>
      <c r="B1330" s="2" t="n">
        <v>9</v>
      </c>
      <c r="C1330" s="2" t="s">
        <v>82</v>
      </c>
      <c r="D1330" s="2" t="s">
        <v>47</v>
      </c>
      <c r="E1330" s="2" t="str">
        <f aca="false">INDEX(Products!$B$2:$B$13,MATCH(D1330,Products!$A$2:$A$13,0))</f>
        <v>Specialty</v>
      </c>
      <c r="F1330" s="15" t="n">
        <v>9.3</v>
      </c>
      <c r="G1330" s="16" t="n">
        <f aca="false">IF(A1330="2025",INDEX(Products!$C$2:$C$13,MATCH(D1330,Products!$A$2:$A$13,0)),INDEX(Products!$E$2:$E$13,MATCH(D1330,Products!$A$2:$A$13,0)))</f>
        <v>30520</v>
      </c>
      <c r="H1330" s="13" t="n">
        <f aca="false">IF(A1330="2025",INDEX(Customers!$D$2:$D$41,MATCH(C1330,Customers!$A$2:$A$41,0)),INDEX(Customers!$F$2:$F$41,MATCH(C1330,Customers!$A$2:$A$41,0)))</f>
        <v>0.084</v>
      </c>
      <c r="I1330" s="16" t="n">
        <f aca="false">F1330*G1330</f>
        <v>283836</v>
      </c>
      <c r="J1330" s="16" t="n">
        <f aca="false">I1330*(1-H1330)</f>
        <v>259993.776</v>
      </c>
      <c r="K1330" s="16" t="n">
        <f aca="false">J1330*INDEX(Customers!$G$2:$G$41,MATCH(C1330,Customers!$A$2:$A$41,0))</f>
        <v>12999.6888</v>
      </c>
      <c r="L1330" s="16" t="n">
        <f aca="false">F1330*INDEX(Customers!$H$2:$H$41,MATCH(C1330,Customers!$A$2:$A$41,0))</f>
        <v>3720</v>
      </c>
      <c r="M1330" s="16" t="n">
        <f aca="false">J1330*INDEX(Customers!$I$2:$I$41,MATCH(C1330,Customers!$A$2:$A$41,0))/365*Assumptions!$B$6</f>
        <v>1709.54811616438</v>
      </c>
      <c r="N1330" s="16" t="n">
        <f aca="false">J1330-K1330-L1330-M1330</f>
        <v>241564.539083836</v>
      </c>
      <c r="O1330" s="16" t="n">
        <f aca="false">F1330*IF(A1330="2025",INDEX(Products!$D$2:$D$13,MATCH(D1330,Products!$A$2:$A$13,0)),INDEX(Products!$F$2:$F$13,MATCH(D1330,Products!$A$2:$A$13,0)))</f>
        <v>143592</v>
      </c>
      <c r="P1330" s="16" t="n">
        <f aca="false">N1330-O1330</f>
        <v>97972.5390838356</v>
      </c>
    </row>
    <row r="1331" customFormat="false" ht="15" hidden="false" customHeight="false" outlineLevel="0" collapsed="false">
      <c r="A1331" s="2" t="s">
        <v>118</v>
      </c>
      <c r="B1331" s="2" t="n">
        <v>10</v>
      </c>
      <c r="C1331" s="2" t="s">
        <v>82</v>
      </c>
      <c r="D1331" s="2" t="s">
        <v>47</v>
      </c>
      <c r="E1331" s="2" t="str">
        <f aca="false">INDEX(Products!$B$2:$B$13,MATCH(D1331,Products!$A$2:$A$13,0))</f>
        <v>Specialty</v>
      </c>
      <c r="F1331" s="15" t="n">
        <v>7.6</v>
      </c>
      <c r="G1331" s="16" t="n">
        <f aca="false">IF(A1331="2025",INDEX(Products!$C$2:$C$13,MATCH(D1331,Products!$A$2:$A$13,0)),INDEX(Products!$E$2:$E$13,MATCH(D1331,Products!$A$2:$A$13,0)))</f>
        <v>30520</v>
      </c>
      <c r="H1331" s="13" t="n">
        <f aca="false">IF(A1331="2025",INDEX(Customers!$D$2:$D$41,MATCH(C1331,Customers!$A$2:$A$41,0)),INDEX(Customers!$F$2:$F$41,MATCH(C1331,Customers!$A$2:$A$41,0)))</f>
        <v>0.084</v>
      </c>
      <c r="I1331" s="16" t="n">
        <f aca="false">F1331*G1331</f>
        <v>231952</v>
      </c>
      <c r="J1331" s="16" t="n">
        <f aca="false">I1331*(1-H1331)</f>
        <v>212468.032</v>
      </c>
      <c r="K1331" s="16" t="n">
        <f aca="false">J1331*INDEX(Customers!$G$2:$G$41,MATCH(C1331,Customers!$A$2:$A$41,0))</f>
        <v>10623.4016</v>
      </c>
      <c r="L1331" s="16" t="n">
        <f aca="false">F1331*INDEX(Customers!$H$2:$H$41,MATCH(C1331,Customers!$A$2:$A$41,0))</f>
        <v>3040</v>
      </c>
      <c r="M1331" s="16" t="n">
        <f aca="false">J1331*INDEX(Customers!$I$2:$I$41,MATCH(C1331,Customers!$A$2:$A$41,0))/365*Assumptions!$B$6</f>
        <v>1397.05007342466</v>
      </c>
      <c r="N1331" s="16" t="n">
        <f aca="false">J1331-K1331-L1331-M1331</f>
        <v>197407.580326575</v>
      </c>
      <c r="O1331" s="16" t="n">
        <f aca="false">F1331*IF(A1331="2025",INDEX(Products!$D$2:$D$13,MATCH(D1331,Products!$A$2:$A$13,0)),INDEX(Products!$F$2:$F$13,MATCH(D1331,Products!$A$2:$A$13,0)))</f>
        <v>117344</v>
      </c>
      <c r="P1331" s="16" t="n">
        <f aca="false">N1331-O1331</f>
        <v>80063.5803265754</v>
      </c>
    </row>
    <row r="1332" customFormat="false" ht="15" hidden="false" customHeight="false" outlineLevel="0" collapsed="false">
      <c r="A1332" s="2" t="s">
        <v>118</v>
      </c>
      <c r="B1332" s="2" t="n">
        <v>11</v>
      </c>
      <c r="C1332" s="2" t="s">
        <v>82</v>
      </c>
      <c r="D1332" s="2" t="s">
        <v>47</v>
      </c>
      <c r="E1332" s="2" t="str">
        <f aca="false">INDEX(Products!$B$2:$B$13,MATCH(D1332,Products!$A$2:$A$13,0))</f>
        <v>Specialty</v>
      </c>
      <c r="F1332" s="15" t="n">
        <v>9.3</v>
      </c>
      <c r="G1332" s="16" t="n">
        <f aca="false">IF(A1332="2025",INDEX(Products!$C$2:$C$13,MATCH(D1332,Products!$A$2:$A$13,0)),INDEX(Products!$E$2:$E$13,MATCH(D1332,Products!$A$2:$A$13,0)))</f>
        <v>30520</v>
      </c>
      <c r="H1332" s="13" t="n">
        <f aca="false">IF(A1332="2025",INDEX(Customers!$D$2:$D$41,MATCH(C1332,Customers!$A$2:$A$41,0)),INDEX(Customers!$F$2:$F$41,MATCH(C1332,Customers!$A$2:$A$41,0)))</f>
        <v>0.084</v>
      </c>
      <c r="I1332" s="16" t="n">
        <f aca="false">F1332*G1332</f>
        <v>283836</v>
      </c>
      <c r="J1332" s="16" t="n">
        <f aca="false">I1332*(1-H1332)</f>
        <v>259993.776</v>
      </c>
      <c r="K1332" s="16" t="n">
        <f aca="false">J1332*INDEX(Customers!$G$2:$G$41,MATCH(C1332,Customers!$A$2:$A$41,0))</f>
        <v>12999.6888</v>
      </c>
      <c r="L1332" s="16" t="n">
        <f aca="false">F1332*INDEX(Customers!$H$2:$H$41,MATCH(C1332,Customers!$A$2:$A$41,0))</f>
        <v>3720</v>
      </c>
      <c r="M1332" s="16" t="n">
        <f aca="false">J1332*INDEX(Customers!$I$2:$I$41,MATCH(C1332,Customers!$A$2:$A$41,0))/365*Assumptions!$B$6</f>
        <v>1709.54811616438</v>
      </c>
      <c r="N1332" s="16" t="n">
        <f aca="false">J1332-K1332-L1332-M1332</f>
        <v>241564.539083836</v>
      </c>
      <c r="O1332" s="16" t="n">
        <f aca="false">F1332*IF(A1332="2025",INDEX(Products!$D$2:$D$13,MATCH(D1332,Products!$A$2:$A$13,0)),INDEX(Products!$F$2:$F$13,MATCH(D1332,Products!$A$2:$A$13,0)))</f>
        <v>143592</v>
      </c>
      <c r="P1332" s="16" t="n">
        <f aca="false">N1332-O1332</f>
        <v>97972.5390838356</v>
      </c>
    </row>
    <row r="1333" customFormat="false" ht="15" hidden="false" customHeight="false" outlineLevel="0" collapsed="false">
      <c r="A1333" s="2" t="s">
        <v>118</v>
      </c>
      <c r="B1333" s="2" t="n">
        <v>12</v>
      </c>
      <c r="C1333" s="2" t="s">
        <v>82</v>
      </c>
      <c r="D1333" s="2" t="s">
        <v>47</v>
      </c>
      <c r="E1333" s="2" t="str">
        <f aca="false">INDEX(Products!$B$2:$B$13,MATCH(D1333,Products!$A$2:$A$13,0))</f>
        <v>Specialty</v>
      </c>
      <c r="F1333" s="15" t="n">
        <v>12.7</v>
      </c>
      <c r="G1333" s="16" t="n">
        <f aca="false">IF(A1333="2025",INDEX(Products!$C$2:$C$13,MATCH(D1333,Products!$A$2:$A$13,0)),INDEX(Products!$E$2:$E$13,MATCH(D1333,Products!$A$2:$A$13,0)))</f>
        <v>30520</v>
      </c>
      <c r="H1333" s="13" t="n">
        <f aca="false">IF(A1333="2025",INDEX(Customers!$D$2:$D$41,MATCH(C1333,Customers!$A$2:$A$41,0)),INDEX(Customers!$F$2:$F$41,MATCH(C1333,Customers!$A$2:$A$41,0)))</f>
        <v>0.084</v>
      </c>
      <c r="I1333" s="16" t="n">
        <f aca="false">F1333*G1333</f>
        <v>387604</v>
      </c>
      <c r="J1333" s="16" t="n">
        <f aca="false">I1333*(1-H1333)</f>
        <v>355045.264</v>
      </c>
      <c r="K1333" s="16" t="n">
        <f aca="false">J1333*INDEX(Customers!$G$2:$G$41,MATCH(C1333,Customers!$A$2:$A$41,0))</f>
        <v>17752.2632</v>
      </c>
      <c r="L1333" s="16" t="n">
        <f aca="false">F1333*INDEX(Customers!$H$2:$H$41,MATCH(C1333,Customers!$A$2:$A$41,0))</f>
        <v>5080</v>
      </c>
      <c r="M1333" s="16" t="n">
        <f aca="false">J1333*INDEX(Customers!$I$2:$I$41,MATCH(C1333,Customers!$A$2:$A$41,0))/365*Assumptions!$B$6</f>
        <v>2334.54420164384</v>
      </c>
      <c r="N1333" s="16" t="n">
        <f aca="false">J1333-K1333-L1333-M1333</f>
        <v>329878.456598356</v>
      </c>
      <c r="O1333" s="16" t="n">
        <f aca="false">F1333*IF(A1333="2025",INDEX(Products!$D$2:$D$13,MATCH(D1333,Products!$A$2:$A$13,0)),INDEX(Products!$F$2:$F$13,MATCH(D1333,Products!$A$2:$A$13,0)))</f>
        <v>196088</v>
      </c>
      <c r="P1333" s="16" t="n">
        <f aca="false">N1333-O1333</f>
        <v>133790.456598356</v>
      </c>
    </row>
    <row r="1334" customFormat="false" ht="15" hidden="false" customHeight="false" outlineLevel="0" collapsed="false">
      <c r="A1334" s="2" t="s">
        <v>119</v>
      </c>
      <c r="B1334" s="2" t="n">
        <v>1</v>
      </c>
      <c r="C1334" s="2" t="s">
        <v>82</v>
      </c>
      <c r="D1334" s="2" t="s">
        <v>47</v>
      </c>
      <c r="E1334" s="2" t="str">
        <f aca="false">INDEX(Products!$B$2:$B$13,MATCH(D1334,Products!$A$2:$A$13,0))</f>
        <v>Specialty</v>
      </c>
      <c r="F1334" s="15" t="n">
        <v>11.6</v>
      </c>
      <c r="G1334" s="16" t="n">
        <f aca="false">IF(A1334="2025",INDEX(Products!$C$2:$C$13,MATCH(D1334,Products!$A$2:$A$13,0)),INDEX(Products!$E$2:$E$13,MATCH(D1334,Products!$A$2:$A$13,0)))</f>
        <v>32046</v>
      </c>
      <c r="H1334" s="13" t="n">
        <f aca="false">IF(A1334="2025",INDEX(Customers!$D$2:$D$41,MATCH(C1334,Customers!$A$2:$A$41,0)),INDEX(Customers!$F$2:$F$41,MATCH(C1334,Customers!$A$2:$A$41,0)))</f>
        <v>0.11</v>
      </c>
      <c r="I1334" s="16" t="n">
        <f aca="false">F1334*G1334</f>
        <v>371733.6</v>
      </c>
      <c r="J1334" s="16" t="n">
        <f aca="false">I1334*(1-H1334)</f>
        <v>330842.904</v>
      </c>
      <c r="K1334" s="16" t="n">
        <f aca="false">J1334*INDEX(Customers!$G$2:$G$41,MATCH(C1334,Customers!$A$2:$A$41,0))</f>
        <v>16542.1452</v>
      </c>
      <c r="L1334" s="16" t="n">
        <f aca="false">F1334*INDEX(Customers!$H$2:$H$41,MATCH(C1334,Customers!$A$2:$A$41,0))</f>
        <v>4640</v>
      </c>
      <c r="M1334" s="16" t="n">
        <f aca="false">J1334*INDEX(Customers!$I$2:$I$41,MATCH(C1334,Customers!$A$2:$A$41,0))/365*Assumptions!$B$6</f>
        <v>2175.40539616438</v>
      </c>
      <c r="N1334" s="16" t="n">
        <f aca="false">J1334-K1334-L1334-M1334</f>
        <v>307485.353403836</v>
      </c>
      <c r="O1334" s="16" t="n">
        <f aca="false">F1334*IF(A1334="2025",INDEX(Products!$D$2:$D$13,MATCH(D1334,Products!$A$2:$A$13,0)),INDEX(Products!$F$2:$F$13,MATCH(D1334,Products!$A$2:$A$13,0)))</f>
        <v>184477.12</v>
      </c>
      <c r="P1334" s="16" t="n">
        <f aca="false">N1334-O1334</f>
        <v>123008.233403836</v>
      </c>
    </row>
    <row r="1335" customFormat="false" ht="15" hidden="false" customHeight="false" outlineLevel="0" collapsed="false">
      <c r="A1335" s="2" t="s">
        <v>119</v>
      </c>
      <c r="B1335" s="2" t="n">
        <v>2</v>
      </c>
      <c r="C1335" s="2" t="s">
        <v>82</v>
      </c>
      <c r="D1335" s="2" t="s">
        <v>47</v>
      </c>
      <c r="E1335" s="2" t="str">
        <f aca="false">INDEX(Products!$B$2:$B$13,MATCH(D1335,Products!$A$2:$A$13,0))</f>
        <v>Specialty</v>
      </c>
      <c r="F1335" s="15" t="n">
        <v>11.2</v>
      </c>
      <c r="G1335" s="16" t="n">
        <f aca="false">IF(A1335="2025",INDEX(Products!$C$2:$C$13,MATCH(D1335,Products!$A$2:$A$13,0)),INDEX(Products!$E$2:$E$13,MATCH(D1335,Products!$A$2:$A$13,0)))</f>
        <v>32046</v>
      </c>
      <c r="H1335" s="13" t="n">
        <f aca="false">IF(A1335="2025",INDEX(Customers!$D$2:$D$41,MATCH(C1335,Customers!$A$2:$A$41,0)),INDEX(Customers!$F$2:$F$41,MATCH(C1335,Customers!$A$2:$A$41,0)))</f>
        <v>0.11</v>
      </c>
      <c r="I1335" s="16" t="n">
        <f aca="false">F1335*G1335</f>
        <v>358915.2</v>
      </c>
      <c r="J1335" s="16" t="n">
        <f aca="false">I1335*(1-H1335)</f>
        <v>319434.528</v>
      </c>
      <c r="K1335" s="16" t="n">
        <f aca="false">J1335*INDEX(Customers!$G$2:$G$41,MATCH(C1335,Customers!$A$2:$A$41,0))</f>
        <v>15971.7264</v>
      </c>
      <c r="L1335" s="16" t="n">
        <f aca="false">F1335*INDEX(Customers!$H$2:$H$41,MATCH(C1335,Customers!$A$2:$A$41,0))</f>
        <v>4480</v>
      </c>
      <c r="M1335" s="16" t="n">
        <f aca="false">J1335*INDEX(Customers!$I$2:$I$41,MATCH(C1335,Customers!$A$2:$A$41,0))/365*Assumptions!$B$6</f>
        <v>2100.3914169863</v>
      </c>
      <c r="N1335" s="16" t="n">
        <f aca="false">J1335-K1335-L1335-M1335</f>
        <v>296882.410183014</v>
      </c>
      <c r="O1335" s="16" t="n">
        <f aca="false">F1335*IF(A1335="2025",INDEX(Products!$D$2:$D$13,MATCH(D1335,Products!$A$2:$A$13,0)),INDEX(Products!$F$2:$F$13,MATCH(D1335,Products!$A$2:$A$13,0)))</f>
        <v>178115.84</v>
      </c>
      <c r="P1335" s="16" t="n">
        <f aca="false">N1335-O1335</f>
        <v>118766.570183014</v>
      </c>
    </row>
    <row r="1336" customFormat="false" ht="15" hidden="false" customHeight="false" outlineLevel="0" collapsed="false">
      <c r="A1336" s="2" t="s">
        <v>119</v>
      </c>
      <c r="B1336" s="2" t="n">
        <v>3</v>
      </c>
      <c r="C1336" s="2" t="s">
        <v>82</v>
      </c>
      <c r="D1336" s="2" t="s">
        <v>47</v>
      </c>
      <c r="E1336" s="2" t="str">
        <f aca="false">INDEX(Products!$B$2:$B$13,MATCH(D1336,Products!$A$2:$A$13,0))</f>
        <v>Specialty</v>
      </c>
      <c r="F1336" s="15" t="n">
        <v>11.9</v>
      </c>
      <c r="G1336" s="16" t="n">
        <f aca="false">IF(A1336="2025",INDEX(Products!$C$2:$C$13,MATCH(D1336,Products!$A$2:$A$13,0)),INDEX(Products!$E$2:$E$13,MATCH(D1336,Products!$A$2:$A$13,0)))</f>
        <v>32046</v>
      </c>
      <c r="H1336" s="13" t="n">
        <f aca="false">IF(A1336="2025",INDEX(Customers!$D$2:$D$41,MATCH(C1336,Customers!$A$2:$A$41,0)),INDEX(Customers!$F$2:$F$41,MATCH(C1336,Customers!$A$2:$A$41,0)))</f>
        <v>0.11</v>
      </c>
      <c r="I1336" s="16" t="n">
        <f aca="false">F1336*G1336</f>
        <v>381347.4</v>
      </c>
      <c r="J1336" s="16" t="n">
        <f aca="false">I1336*(1-H1336)</f>
        <v>339399.186</v>
      </c>
      <c r="K1336" s="16" t="n">
        <f aca="false">J1336*INDEX(Customers!$G$2:$G$41,MATCH(C1336,Customers!$A$2:$A$41,0))</f>
        <v>16969.9593</v>
      </c>
      <c r="L1336" s="16" t="n">
        <f aca="false">F1336*INDEX(Customers!$H$2:$H$41,MATCH(C1336,Customers!$A$2:$A$41,0))</f>
        <v>4760</v>
      </c>
      <c r="M1336" s="16" t="n">
        <f aca="false">J1336*INDEX(Customers!$I$2:$I$41,MATCH(C1336,Customers!$A$2:$A$41,0))/365*Assumptions!$B$6</f>
        <v>2231.66588054795</v>
      </c>
      <c r="N1336" s="16" t="n">
        <f aca="false">J1336-K1336-L1336-M1336</f>
        <v>315437.560819452</v>
      </c>
      <c r="O1336" s="16" t="n">
        <f aca="false">F1336*IF(A1336="2025",INDEX(Products!$D$2:$D$13,MATCH(D1336,Products!$A$2:$A$13,0)),INDEX(Products!$F$2:$F$13,MATCH(D1336,Products!$A$2:$A$13,0)))</f>
        <v>189248.08</v>
      </c>
      <c r="P1336" s="16" t="n">
        <f aca="false">N1336-O1336</f>
        <v>126189.480819452</v>
      </c>
    </row>
    <row r="1337" customFormat="false" ht="15" hidden="false" customHeight="false" outlineLevel="0" collapsed="false">
      <c r="A1337" s="2" t="s">
        <v>119</v>
      </c>
      <c r="B1337" s="2" t="n">
        <v>4</v>
      </c>
      <c r="C1337" s="2" t="s">
        <v>82</v>
      </c>
      <c r="D1337" s="2" t="s">
        <v>47</v>
      </c>
      <c r="E1337" s="2" t="str">
        <f aca="false">INDEX(Products!$B$2:$B$13,MATCH(D1337,Products!$A$2:$A$13,0))</f>
        <v>Specialty</v>
      </c>
      <c r="F1337" s="15" t="n">
        <v>7.4</v>
      </c>
      <c r="G1337" s="16" t="n">
        <f aca="false">IF(A1337="2025",INDEX(Products!$C$2:$C$13,MATCH(D1337,Products!$A$2:$A$13,0)),INDEX(Products!$E$2:$E$13,MATCH(D1337,Products!$A$2:$A$13,0)))</f>
        <v>32046</v>
      </c>
      <c r="H1337" s="13" t="n">
        <f aca="false">IF(A1337="2025",INDEX(Customers!$D$2:$D$41,MATCH(C1337,Customers!$A$2:$A$41,0)),INDEX(Customers!$F$2:$F$41,MATCH(C1337,Customers!$A$2:$A$41,0)))</f>
        <v>0.11</v>
      </c>
      <c r="I1337" s="16" t="n">
        <f aca="false">F1337*G1337</f>
        <v>237140.4</v>
      </c>
      <c r="J1337" s="16" t="n">
        <f aca="false">I1337*(1-H1337)</f>
        <v>211054.956</v>
      </c>
      <c r="K1337" s="16" t="n">
        <f aca="false">J1337*INDEX(Customers!$G$2:$G$41,MATCH(C1337,Customers!$A$2:$A$41,0))</f>
        <v>10552.7478</v>
      </c>
      <c r="L1337" s="16" t="n">
        <f aca="false">F1337*INDEX(Customers!$H$2:$H$41,MATCH(C1337,Customers!$A$2:$A$41,0))</f>
        <v>2960</v>
      </c>
      <c r="M1337" s="16" t="n">
        <f aca="false">J1337*INDEX(Customers!$I$2:$I$41,MATCH(C1337,Customers!$A$2:$A$41,0))/365*Assumptions!$B$6</f>
        <v>1387.75861479452</v>
      </c>
      <c r="N1337" s="16" t="n">
        <f aca="false">J1337-K1337-L1337-M1337</f>
        <v>196154.449585206</v>
      </c>
      <c r="O1337" s="16" t="n">
        <f aca="false">F1337*IF(A1337="2025",INDEX(Products!$D$2:$D$13,MATCH(D1337,Products!$A$2:$A$13,0)),INDEX(Products!$F$2:$F$13,MATCH(D1337,Products!$A$2:$A$13,0)))</f>
        <v>117683.68</v>
      </c>
      <c r="P1337" s="16" t="n">
        <f aca="false">N1337-O1337</f>
        <v>78470.7695852055</v>
      </c>
    </row>
    <row r="1338" customFormat="false" ht="15" hidden="false" customHeight="false" outlineLevel="0" collapsed="false">
      <c r="A1338" s="2" t="s">
        <v>119</v>
      </c>
      <c r="B1338" s="2" t="n">
        <v>5</v>
      </c>
      <c r="C1338" s="2" t="s">
        <v>82</v>
      </c>
      <c r="D1338" s="2" t="s">
        <v>47</v>
      </c>
      <c r="E1338" s="2" t="str">
        <f aca="false">INDEX(Products!$B$2:$B$13,MATCH(D1338,Products!$A$2:$A$13,0))</f>
        <v>Specialty</v>
      </c>
      <c r="F1338" s="15" t="n">
        <v>11.9</v>
      </c>
      <c r="G1338" s="16" t="n">
        <f aca="false">IF(A1338="2025",INDEX(Products!$C$2:$C$13,MATCH(D1338,Products!$A$2:$A$13,0)),INDEX(Products!$E$2:$E$13,MATCH(D1338,Products!$A$2:$A$13,0)))</f>
        <v>32046</v>
      </c>
      <c r="H1338" s="13" t="n">
        <f aca="false">IF(A1338="2025",INDEX(Customers!$D$2:$D$41,MATCH(C1338,Customers!$A$2:$A$41,0)),INDEX(Customers!$F$2:$F$41,MATCH(C1338,Customers!$A$2:$A$41,0)))</f>
        <v>0.11</v>
      </c>
      <c r="I1338" s="16" t="n">
        <f aca="false">F1338*G1338</f>
        <v>381347.4</v>
      </c>
      <c r="J1338" s="16" t="n">
        <f aca="false">I1338*(1-H1338)</f>
        <v>339399.186</v>
      </c>
      <c r="K1338" s="16" t="n">
        <f aca="false">J1338*INDEX(Customers!$G$2:$G$41,MATCH(C1338,Customers!$A$2:$A$41,0))</f>
        <v>16969.9593</v>
      </c>
      <c r="L1338" s="16" t="n">
        <f aca="false">F1338*INDEX(Customers!$H$2:$H$41,MATCH(C1338,Customers!$A$2:$A$41,0))</f>
        <v>4760</v>
      </c>
      <c r="M1338" s="16" t="n">
        <f aca="false">J1338*INDEX(Customers!$I$2:$I$41,MATCH(C1338,Customers!$A$2:$A$41,0))/365*Assumptions!$B$6</f>
        <v>2231.66588054795</v>
      </c>
      <c r="N1338" s="16" t="n">
        <f aca="false">J1338-K1338-L1338-M1338</f>
        <v>315437.560819452</v>
      </c>
      <c r="O1338" s="16" t="n">
        <f aca="false">F1338*IF(A1338="2025",INDEX(Products!$D$2:$D$13,MATCH(D1338,Products!$A$2:$A$13,0)),INDEX(Products!$F$2:$F$13,MATCH(D1338,Products!$A$2:$A$13,0)))</f>
        <v>189248.08</v>
      </c>
      <c r="P1338" s="16" t="n">
        <f aca="false">N1338-O1338</f>
        <v>126189.480819452</v>
      </c>
    </row>
    <row r="1339" customFormat="false" ht="15" hidden="false" customHeight="false" outlineLevel="0" collapsed="false">
      <c r="A1339" s="2" t="s">
        <v>119</v>
      </c>
      <c r="B1339" s="2" t="n">
        <v>6</v>
      </c>
      <c r="C1339" s="2" t="s">
        <v>82</v>
      </c>
      <c r="D1339" s="2" t="s">
        <v>47</v>
      </c>
      <c r="E1339" s="2" t="str">
        <f aca="false">INDEX(Products!$B$2:$B$13,MATCH(D1339,Products!$A$2:$A$13,0))</f>
        <v>Specialty</v>
      </c>
      <c r="F1339" s="15" t="n">
        <v>11.8</v>
      </c>
      <c r="G1339" s="16" t="n">
        <f aca="false">IF(A1339="2025",INDEX(Products!$C$2:$C$13,MATCH(D1339,Products!$A$2:$A$13,0)),INDEX(Products!$E$2:$E$13,MATCH(D1339,Products!$A$2:$A$13,0)))</f>
        <v>32046</v>
      </c>
      <c r="H1339" s="13" t="n">
        <f aca="false">IF(A1339="2025",INDEX(Customers!$D$2:$D$41,MATCH(C1339,Customers!$A$2:$A$41,0)),INDEX(Customers!$F$2:$F$41,MATCH(C1339,Customers!$A$2:$A$41,0)))</f>
        <v>0.11</v>
      </c>
      <c r="I1339" s="16" t="n">
        <f aca="false">F1339*G1339</f>
        <v>378142.8</v>
      </c>
      <c r="J1339" s="16" t="n">
        <f aca="false">I1339*(1-H1339)</f>
        <v>336547.092</v>
      </c>
      <c r="K1339" s="16" t="n">
        <f aca="false">J1339*INDEX(Customers!$G$2:$G$41,MATCH(C1339,Customers!$A$2:$A$41,0))</f>
        <v>16827.3546</v>
      </c>
      <c r="L1339" s="16" t="n">
        <f aca="false">F1339*INDEX(Customers!$H$2:$H$41,MATCH(C1339,Customers!$A$2:$A$41,0))</f>
        <v>4720</v>
      </c>
      <c r="M1339" s="16" t="n">
        <f aca="false">J1339*INDEX(Customers!$I$2:$I$41,MATCH(C1339,Customers!$A$2:$A$41,0))/365*Assumptions!$B$6</f>
        <v>2212.91238575343</v>
      </c>
      <c r="N1339" s="16" t="n">
        <f aca="false">J1339-K1339-L1339-M1339</f>
        <v>312786.825014247</v>
      </c>
      <c r="O1339" s="16" t="n">
        <f aca="false">F1339*IF(A1339="2025",INDEX(Products!$D$2:$D$13,MATCH(D1339,Products!$A$2:$A$13,0)),INDEX(Products!$F$2:$F$13,MATCH(D1339,Products!$A$2:$A$13,0)))</f>
        <v>187657.76</v>
      </c>
      <c r="P1339" s="16" t="n">
        <f aca="false">N1339-O1339</f>
        <v>125129.065014247</v>
      </c>
    </row>
    <row r="1340" customFormat="false" ht="15" hidden="false" customHeight="false" outlineLevel="0" collapsed="false">
      <c r="A1340" s="2" t="s">
        <v>119</v>
      </c>
      <c r="B1340" s="2" t="n">
        <v>7</v>
      </c>
      <c r="C1340" s="2" t="s">
        <v>82</v>
      </c>
      <c r="D1340" s="2" t="s">
        <v>47</v>
      </c>
      <c r="E1340" s="2" t="str">
        <f aca="false">INDEX(Products!$B$2:$B$13,MATCH(D1340,Products!$A$2:$A$13,0))</f>
        <v>Specialty</v>
      </c>
      <c r="F1340" s="15" t="n">
        <v>11</v>
      </c>
      <c r="G1340" s="16" t="n">
        <f aca="false">IF(A1340="2025",INDEX(Products!$C$2:$C$13,MATCH(D1340,Products!$A$2:$A$13,0)),INDEX(Products!$E$2:$E$13,MATCH(D1340,Products!$A$2:$A$13,0)))</f>
        <v>32046</v>
      </c>
      <c r="H1340" s="13" t="n">
        <f aca="false">IF(A1340="2025",INDEX(Customers!$D$2:$D$41,MATCH(C1340,Customers!$A$2:$A$41,0)),INDEX(Customers!$F$2:$F$41,MATCH(C1340,Customers!$A$2:$A$41,0)))</f>
        <v>0.11</v>
      </c>
      <c r="I1340" s="16" t="n">
        <f aca="false">F1340*G1340</f>
        <v>352506</v>
      </c>
      <c r="J1340" s="16" t="n">
        <f aca="false">I1340*(1-H1340)</f>
        <v>313730.34</v>
      </c>
      <c r="K1340" s="16" t="n">
        <f aca="false">J1340*INDEX(Customers!$G$2:$G$41,MATCH(C1340,Customers!$A$2:$A$41,0))</f>
        <v>15686.517</v>
      </c>
      <c r="L1340" s="16" t="n">
        <f aca="false">F1340*INDEX(Customers!$H$2:$H$41,MATCH(C1340,Customers!$A$2:$A$41,0))</f>
        <v>4400</v>
      </c>
      <c r="M1340" s="16" t="n">
        <f aca="false">J1340*INDEX(Customers!$I$2:$I$41,MATCH(C1340,Customers!$A$2:$A$41,0))/365*Assumptions!$B$6</f>
        <v>2062.88442739726</v>
      </c>
      <c r="N1340" s="16" t="n">
        <f aca="false">J1340-K1340-L1340-M1340</f>
        <v>291580.938572603</v>
      </c>
      <c r="O1340" s="16" t="n">
        <f aca="false">F1340*IF(A1340="2025",INDEX(Products!$D$2:$D$13,MATCH(D1340,Products!$A$2:$A$13,0)),INDEX(Products!$F$2:$F$13,MATCH(D1340,Products!$A$2:$A$13,0)))</f>
        <v>174935.2</v>
      </c>
      <c r="P1340" s="16" t="n">
        <f aca="false">N1340-O1340</f>
        <v>116645.738572603</v>
      </c>
    </row>
    <row r="1341" customFormat="false" ht="15" hidden="false" customHeight="false" outlineLevel="0" collapsed="false">
      <c r="A1341" s="2" t="s">
        <v>119</v>
      </c>
      <c r="B1341" s="2" t="n">
        <v>8</v>
      </c>
      <c r="C1341" s="2" t="s">
        <v>82</v>
      </c>
      <c r="D1341" s="2" t="s">
        <v>47</v>
      </c>
      <c r="E1341" s="2" t="str">
        <f aca="false">INDEX(Products!$B$2:$B$13,MATCH(D1341,Products!$A$2:$A$13,0))</f>
        <v>Specialty</v>
      </c>
      <c r="F1341" s="15" t="n">
        <v>12.6</v>
      </c>
      <c r="G1341" s="16" t="n">
        <f aca="false">IF(A1341="2025",INDEX(Products!$C$2:$C$13,MATCH(D1341,Products!$A$2:$A$13,0)),INDEX(Products!$E$2:$E$13,MATCH(D1341,Products!$A$2:$A$13,0)))</f>
        <v>32046</v>
      </c>
      <c r="H1341" s="13" t="n">
        <f aca="false">IF(A1341="2025",INDEX(Customers!$D$2:$D$41,MATCH(C1341,Customers!$A$2:$A$41,0)),INDEX(Customers!$F$2:$F$41,MATCH(C1341,Customers!$A$2:$A$41,0)))</f>
        <v>0.11</v>
      </c>
      <c r="I1341" s="16" t="n">
        <f aca="false">F1341*G1341</f>
        <v>403779.6</v>
      </c>
      <c r="J1341" s="16" t="n">
        <f aca="false">I1341*(1-H1341)</f>
        <v>359363.844</v>
      </c>
      <c r="K1341" s="16" t="n">
        <f aca="false">J1341*INDEX(Customers!$G$2:$G$41,MATCH(C1341,Customers!$A$2:$A$41,0))</f>
        <v>17968.1922</v>
      </c>
      <c r="L1341" s="16" t="n">
        <f aca="false">F1341*INDEX(Customers!$H$2:$H$41,MATCH(C1341,Customers!$A$2:$A$41,0))</f>
        <v>5040</v>
      </c>
      <c r="M1341" s="16" t="n">
        <f aca="false">J1341*INDEX(Customers!$I$2:$I$41,MATCH(C1341,Customers!$A$2:$A$41,0))/365*Assumptions!$B$6</f>
        <v>2362.94034410959</v>
      </c>
      <c r="N1341" s="16" t="n">
        <f aca="false">J1341-K1341-L1341-M1341</f>
        <v>333992.71145589</v>
      </c>
      <c r="O1341" s="16" t="n">
        <f aca="false">F1341*IF(A1341="2025",INDEX(Products!$D$2:$D$13,MATCH(D1341,Products!$A$2:$A$13,0)),INDEX(Products!$F$2:$F$13,MATCH(D1341,Products!$A$2:$A$13,0)))</f>
        <v>200380.32</v>
      </c>
      <c r="P1341" s="16" t="n">
        <f aca="false">N1341-O1341</f>
        <v>133612.39145589</v>
      </c>
    </row>
    <row r="1342" customFormat="false" ht="15" hidden="false" customHeight="false" outlineLevel="0" collapsed="false">
      <c r="A1342" s="2" t="s">
        <v>119</v>
      </c>
      <c r="B1342" s="2" t="n">
        <v>9</v>
      </c>
      <c r="C1342" s="2" t="s">
        <v>82</v>
      </c>
      <c r="D1342" s="2" t="s">
        <v>47</v>
      </c>
      <c r="E1342" s="2" t="str">
        <f aca="false">INDEX(Products!$B$2:$B$13,MATCH(D1342,Products!$A$2:$A$13,0))</f>
        <v>Specialty</v>
      </c>
      <c r="F1342" s="15" t="n">
        <v>7.4</v>
      </c>
      <c r="G1342" s="16" t="n">
        <f aca="false">IF(A1342="2025",INDEX(Products!$C$2:$C$13,MATCH(D1342,Products!$A$2:$A$13,0)),INDEX(Products!$E$2:$E$13,MATCH(D1342,Products!$A$2:$A$13,0)))</f>
        <v>32046</v>
      </c>
      <c r="H1342" s="13" t="n">
        <f aca="false">IF(A1342="2025",INDEX(Customers!$D$2:$D$41,MATCH(C1342,Customers!$A$2:$A$41,0)),INDEX(Customers!$F$2:$F$41,MATCH(C1342,Customers!$A$2:$A$41,0)))</f>
        <v>0.11</v>
      </c>
      <c r="I1342" s="16" t="n">
        <f aca="false">F1342*G1342</f>
        <v>237140.4</v>
      </c>
      <c r="J1342" s="16" t="n">
        <f aca="false">I1342*(1-H1342)</f>
        <v>211054.956</v>
      </c>
      <c r="K1342" s="16" t="n">
        <f aca="false">J1342*INDEX(Customers!$G$2:$G$41,MATCH(C1342,Customers!$A$2:$A$41,0))</f>
        <v>10552.7478</v>
      </c>
      <c r="L1342" s="16" t="n">
        <f aca="false">F1342*INDEX(Customers!$H$2:$H$41,MATCH(C1342,Customers!$A$2:$A$41,0))</f>
        <v>2960</v>
      </c>
      <c r="M1342" s="16" t="n">
        <f aca="false">J1342*INDEX(Customers!$I$2:$I$41,MATCH(C1342,Customers!$A$2:$A$41,0))/365*Assumptions!$B$6</f>
        <v>1387.75861479452</v>
      </c>
      <c r="N1342" s="16" t="n">
        <f aca="false">J1342-K1342-L1342-M1342</f>
        <v>196154.449585206</v>
      </c>
      <c r="O1342" s="16" t="n">
        <f aca="false">F1342*IF(A1342="2025",INDEX(Products!$D$2:$D$13,MATCH(D1342,Products!$A$2:$A$13,0)),INDEX(Products!$F$2:$F$13,MATCH(D1342,Products!$A$2:$A$13,0)))</f>
        <v>117683.68</v>
      </c>
      <c r="P1342" s="16" t="n">
        <f aca="false">N1342-O1342</f>
        <v>78470.7695852055</v>
      </c>
    </row>
    <row r="1343" customFormat="false" ht="15" hidden="false" customHeight="false" outlineLevel="0" collapsed="false">
      <c r="A1343" s="2" t="s">
        <v>119</v>
      </c>
      <c r="B1343" s="2" t="n">
        <v>10</v>
      </c>
      <c r="C1343" s="2" t="s">
        <v>82</v>
      </c>
      <c r="D1343" s="2" t="s">
        <v>47</v>
      </c>
      <c r="E1343" s="2" t="str">
        <f aca="false">INDEX(Products!$B$2:$B$13,MATCH(D1343,Products!$A$2:$A$13,0))</f>
        <v>Specialty</v>
      </c>
      <c r="F1343" s="15" t="n">
        <v>7.6</v>
      </c>
      <c r="G1343" s="16" t="n">
        <f aca="false">IF(A1343="2025",INDEX(Products!$C$2:$C$13,MATCH(D1343,Products!$A$2:$A$13,0)),INDEX(Products!$E$2:$E$13,MATCH(D1343,Products!$A$2:$A$13,0)))</f>
        <v>32046</v>
      </c>
      <c r="H1343" s="13" t="n">
        <f aca="false">IF(A1343="2025",INDEX(Customers!$D$2:$D$41,MATCH(C1343,Customers!$A$2:$A$41,0)),INDEX(Customers!$F$2:$F$41,MATCH(C1343,Customers!$A$2:$A$41,0)))</f>
        <v>0.11</v>
      </c>
      <c r="I1343" s="16" t="n">
        <f aca="false">F1343*G1343</f>
        <v>243549.6</v>
      </c>
      <c r="J1343" s="16" t="n">
        <f aca="false">I1343*(1-H1343)</f>
        <v>216759.144</v>
      </c>
      <c r="K1343" s="16" t="n">
        <f aca="false">J1343*INDEX(Customers!$G$2:$G$41,MATCH(C1343,Customers!$A$2:$A$41,0))</f>
        <v>10837.9572</v>
      </c>
      <c r="L1343" s="16" t="n">
        <f aca="false">F1343*INDEX(Customers!$H$2:$H$41,MATCH(C1343,Customers!$A$2:$A$41,0))</f>
        <v>3040</v>
      </c>
      <c r="M1343" s="16" t="n">
        <f aca="false">J1343*INDEX(Customers!$I$2:$I$41,MATCH(C1343,Customers!$A$2:$A$41,0))/365*Assumptions!$B$6</f>
        <v>1425.26560438356</v>
      </c>
      <c r="N1343" s="16" t="n">
        <f aca="false">J1343-K1343-L1343-M1343</f>
        <v>201455.921195616</v>
      </c>
      <c r="O1343" s="16" t="n">
        <f aca="false">F1343*IF(A1343="2025",INDEX(Products!$D$2:$D$13,MATCH(D1343,Products!$A$2:$A$13,0)),INDEX(Products!$F$2:$F$13,MATCH(D1343,Products!$A$2:$A$13,0)))</f>
        <v>120864.32</v>
      </c>
      <c r="P1343" s="16" t="n">
        <f aca="false">N1343-O1343</f>
        <v>80591.6011956164</v>
      </c>
    </row>
    <row r="1344" customFormat="false" ht="15" hidden="false" customHeight="false" outlineLevel="0" collapsed="false">
      <c r="A1344" s="2" t="s">
        <v>119</v>
      </c>
      <c r="B1344" s="2" t="n">
        <v>11</v>
      </c>
      <c r="C1344" s="2" t="s">
        <v>82</v>
      </c>
      <c r="D1344" s="2" t="s">
        <v>47</v>
      </c>
      <c r="E1344" s="2" t="str">
        <f aca="false">INDEX(Products!$B$2:$B$13,MATCH(D1344,Products!$A$2:$A$13,0))</f>
        <v>Specialty</v>
      </c>
      <c r="F1344" s="15" t="n">
        <v>12.6</v>
      </c>
      <c r="G1344" s="16" t="n">
        <f aca="false">IF(A1344="2025",INDEX(Products!$C$2:$C$13,MATCH(D1344,Products!$A$2:$A$13,0)),INDEX(Products!$E$2:$E$13,MATCH(D1344,Products!$A$2:$A$13,0)))</f>
        <v>32046</v>
      </c>
      <c r="H1344" s="13" t="n">
        <f aca="false">IF(A1344="2025",INDEX(Customers!$D$2:$D$41,MATCH(C1344,Customers!$A$2:$A$41,0)),INDEX(Customers!$F$2:$F$41,MATCH(C1344,Customers!$A$2:$A$41,0)))</f>
        <v>0.11</v>
      </c>
      <c r="I1344" s="16" t="n">
        <f aca="false">F1344*G1344</f>
        <v>403779.6</v>
      </c>
      <c r="J1344" s="16" t="n">
        <f aca="false">I1344*(1-H1344)</f>
        <v>359363.844</v>
      </c>
      <c r="K1344" s="16" t="n">
        <f aca="false">J1344*INDEX(Customers!$G$2:$G$41,MATCH(C1344,Customers!$A$2:$A$41,0))</f>
        <v>17968.1922</v>
      </c>
      <c r="L1344" s="16" t="n">
        <f aca="false">F1344*INDEX(Customers!$H$2:$H$41,MATCH(C1344,Customers!$A$2:$A$41,0))</f>
        <v>5040</v>
      </c>
      <c r="M1344" s="16" t="n">
        <f aca="false">J1344*INDEX(Customers!$I$2:$I$41,MATCH(C1344,Customers!$A$2:$A$41,0))/365*Assumptions!$B$6</f>
        <v>2362.94034410959</v>
      </c>
      <c r="N1344" s="16" t="n">
        <f aca="false">J1344-K1344-L1344-M1344</f>
        <v>333992.71145589</v>
      </c>
      <c r="O1344" s="16" t="n">
        <f aca="false">F1344*IF(A1344="2025",INDEX(Products!$D$2:$D$13,MATCH(D1344,Products!$A$2:$A$13,0)),INDEX(Products!$F$2:$F$13,MATCH(D1344,Products!$A$2:$A$13,0)))</f>
        <v>200380.32</v>
      </c>
      <c r="P1344" s="16" t="n">
        <f aca="false">N1344-O1344</f>
        <v>133612.39145589</v>
      </c>
    </row>
    <row r="1345" customFormat="false" ht="15" hidden="false" customHeight="false" outlineLevel="0" collapsed="false">
      <c r="A1345" s="2" t="s">
        <v>119</v>
      </c>
      <c r="B1345" s="2" t="n">
        <v>12</v>
      </c>
      <c r="C1345" s="2" t="s">
        <v>82</v>
      </c>
      <c r="D1345" s="2" t="s">
        <v>47</v>
      </c>
      <c r="E1345" s="2" t="str">
        <f aca="false">INDEX(Products!$B$2:$B$13,MATCH(D1345,Products!$A$2:$A$13,0))</f>
        <v>Specialty</v>
      </c>
      <c r="F1345" s="15" t="n">
        <v>9.5</v>
      </c>
      <c r="G1345" s="16" t="n">
        <f aca="false">IF(A1345="2025",INDEX(Products!$C$2:$C$13,MATCH(D1345,Products!$A$2:$A$13,0)),INDEX(Products!$E$2:$E$13,MATCH(D1345,Products!$A$2:$A$13,0)))</f>
        <v>32046</v>
      </c>
      <c r="H1345" s="13" t="n">
        <f aca="false">IF(A1345="2025",INDEX(Customers!$D$2:$D$41,MATCH(C1345,Customers!$A$2:$A$41,0)),INDEX(Customers!$F$2:$F$41,MATCH(C1345,Customers!$A$2:$A$41,0)))</f>
        <v>0.11</v>
      </c>
      <c r="I1345" s="16" t="n">
        <f aca="false">F1345*G1345</f>
        <v>304437</v>
      </c>
      <c r="J1345" s="16" t="n">
        <f aca="false">I1345*(1-H1345)</f>
        <v>270948.93</v>
      </c>
      <c r="K1345" s="16" t="n">
        <f aca="false">J1345*INDEX(Customers!$G$2:$G$41,MATCH(C1345,Customers!$A$2:$A$41,0))</f>
        <v>13547.4465</v>
      </c>
      <c r="L1345" s="16" t="n">
        <f aca="false">F1345*INDEX(Customers!$H$2:$H$41,MATCH(C1345,Customers!$A$2:$A$41,0))</f>
        <v>3800</v>
      </c>
      <c r="M1345" s="16" t="n">
        <f aca="false">J1345*INDEX(Customers!$I$2:$I$41,MATCH(C1345,Customers!$A$2:$A$41,0))/365*Assumptions!$B$6</f>
        <v>1781.58200547945</v>
      </c>
      <c r="N1345" s="16" t="n">
        <f aca="false">J1345-K1345-L1345-M1345</f>
        <v>251819.901494521</v>
      </c>
      <c r="O1345" s="16" t="n">
        <f aca="false">F1345*IF(A1345="2025",INDEX(Products!$D$2:$D$13,MATCH(D1345,Products!$A$2:$A$13,0)),INDEX(Products!$F$2:$F$13,MATCH(D1345,Products!$A$2:$A$13,0)))</f>
        <v>151080.4</v>
      </c>
      <c r="P1345" s="16" t="n">
        <f aca="false">N1345-O1345</f>
        <v>100739.501494521</v>
      </c>
    </row>
    <row r="1346" customFormat="false" ht="15" hidden="false" customHeight="false" outlineLevel="0" collapsed="false">
      <c r="A1346" s="2" t="s">
        <v>118</v>
      </c>
      <c r="B1346" s="2" t="n">
        <v>1</v>
      </c>
      <c r="C1346" s="2" t="s">
        <v>83</v>
      </c>
      <c r="D1346" s="2" t="s">
        <v>38</v>
      </c>
      <c r="E1346" s="2" t="str">
        <f aca="false">INDEX(Products!$B$2:$B$13,MATCH(D1346,Products!$A$2:$A$13,0))</f>
        <v>FCC</v>
      </c>
      <c r="F1346" s="15" t="n">
        <v>8.3</v>
      </c>
      <c r="G1346" s="16" t="n">
        <f aca="false">IF(A1346="2025",INDEX(Products!$C$2:$C$13,MATCH(D1346,Products!$A$2:$A$13,0)),INDEX(Products!$E$2:$E$13,MATCH(D1346,Products!$A$2:$A$13,0)))</f>
        <v>4360</v>
      </c>
      <c r="H1346" s="13" t="n">
        <f aca="false">IF(A1346="2025",INDEX(Customers!$D$2:$D$41,MATCH(C1346,Customers!$A$2:$A$41,0)),INDEX(Customers!$F$2:$F$41,MATCH(C1346,Customers!$A$2:$A$41,0)))</f>
        <v>0.056</v>
      </c>
      <c r="I1346" s="16" t="n">
        <f aca="false">F1346*G1346</f>
        <v>36188</v>
      </c>
      <c r="J1346" s="16" t="n">
        <f aca="false">I1346*(1-H1346)</f>
        <v>34161.472</v>
      </c>
      <c r="K1346" s="16" t="n">
        <f aca="false">J1346*INDEX(Customers!$G$2:$G$41,MATCH(C1346,Customers!$A$2:$A$41,0))</f>
        <v>1024.84416</v>
      </c>
      <c r="L1346" s="16" t="n">
        <f aca="false">F1346*INDEX(Customers!$H$2:$H$41,MATCH(C1346,Customers!$A$2:$A$41,0))</f>
        <v>3403</v>
      </c>
      <c r="M1346" s="16" t="n">
        <f aca="false">J1346*INDEX(Customers!$I$2:$I$41,MATCH(C1346,Customers!$A$2:$A$41,0))/365*Assumptions!$B$6</f>
        <v>224.623377534247</v>
      </c>
      <c r="N1346" s="16" t="n">
        <f aca="false">J1346-K1346-L1346-M1346</f>
        <v>29509.0044624658</v>
      </c>
      <c r="O1346" s="16" t="n">
        <f aca="false">F1346*IF(A1346="2025",INDEX(Products!$D$2:$D$13,MATCH(D1346,Products!$A$2:$A$13,0)),INDEX(Products!$F$2:$F$13,MATCH(D1346,Products!$A$2:$A$13,0)))</f>
        <v>22991</v>
      </c>
      <c r="P1346" s="16" t="n">
        <f aca="false">N1346-O1346</f>
        <v>6518.00446246575</v>
      </c>
    </row>
    <row r="1347" customFormat="false" ht="15" hidden="false" customHeight="false" outlineLevel="0" collapsed="false">
      <c r="A1347" s="2" t="s">
        <v>118</v>
      </c>
      <c r="B1347" s="2" t="n">
        <v>2</v>
      </c>
      <c r="C1347" s="2" t="s">
        <v>83</v>
      </c>
      <c r="D1347" s="2" t="s">
        <v>38</v>
      </c>
      <c r="E1347" s="2" t="str">
        <f aca="false">INDEX(Products!$B$2:$B$13,MATCH(D1347,Products!$A$2:$A$13,0))</f>
        <v>FCC</v>
      </c>
      <c r="F1347" s="15" t="n">
        <v>10.2</v>
      </c>
      <c r="G1347" s="16" t="n">
        <f aca="false">IF(A1347="2025",INDEX(Products!$C$2:$C$13,MATCH(D1347,Products!$A$2:$A$13,0)),INDEX(Products!$E$2:$E$13,MATCH(D1347,Products!$A$2:$A$13,0)))</f>
        <v>4360</v>
      </c>
      <c r="H1347" s="13" t="n">
        <f aca="false">IF(A1347="2025",INDEX(Customers!$D$2:$D$41,MATCH(C1347,Customers!$A$2:$A$41,0)),INDEX(Customers!$F$2:$F$41,MATCH(C1347,Customers!$A$2:$A$41,0)))</f>
        <v>0.056</v>
      </c>
      <c r="I1347" s="16" t="n">
        <f aca="false">F1347*G1347</f>
        <v>44472</v>
      </c>
      <c r="J1347" s="16" t="n">
        <f aca="false">I1347*(1-H1347)</f>
        <v>41981.568</v>
      </c>
      <c r="K1347" s="16" t="n">
        <f aca="false">J1347*INDEX(Customers!$G$2:$G$41,MATCH(C1347,Customers!$A$2:$A$41,0))</f>
        <v>1259.44704</v>
      </c>
      <c r="L1347" s="16" t="n">
        <f aca="false">F1347*INDEX(Customers!$H$2:$H$41,MATCH(C1347,Customers!$A$2:$A$41,0))</f>
        <v>4182</v>
      </c>
      <c r="M1347" s="16" t="n">
        <f aca="false">J1347*INDEX(Customers!$I$2:$I$41,MATCH(C1347,Customers!$A$2:$A$41,0))/365*Assumptions!$B$6</f>
        <v>276.043186849315</v>
      </c>
      <c r="N1347" s="16" t="n">
        <f aca="false">J1347-K1347-L1347-M1347</f>
        <v>36264.0777731507</v>
      </c>
      <c r="O1347" s="16" t="n">
        <f aca="false">F1347*IF(A1347="2025",INDEX(Products!$D$2:$D$13,MATCH(D1347,Products!$A$2:$A$13,0)),INDEX(Products!$F$2:$F$13,MATCH(D1347,Products!$A$2:$A$13,0)))</f>
        <v>28254</v>
      </c>
      <c r="P1347" s="16" t="n">
        <f aca="false">N1347-O1347</f>
        <v>8010.07777315069</v>
      </c>
    </row>
    <row r="1348" customFormat="false" ht="15" hidden="false" customHeight="false" outlineLevel="0" collapsed="false">
      <c r="A1348" s="2" t="s">
        <v>118</v>
      </c>
      <c r="B1348" s="2" t="n">
        <v>3</v>
      </c>
      <c r="C1348" s="2" t="s">
        <v>83</v>
      </c>
      <c r="D1348" s="2" t="s">
        <v>38</v>
      </c>
      <c r="E1348" s="2" t="str">
        <f aca="false">INDEX(Products!$B$2:$B$13,MATCH(D1348,Products!$A$2:$A$13,0))</f>
        <v>FCC</v>
      </c>
      <c r="F1348" s="15" t="n">
        <v>8.5</v>
      </c>
      <c r="G1348" s="16" t="n">
        <f aca="false">IF(A1348="2025",INDEX(Products!$C$2:$C$13,MATCH(D1348,Products!$A$2:$A$13,0)),INDEX(Products!$E$2:$E$13,MATCH(D1348,Products!$A$2:$A$13,0)))</f>
        <v>4360</v>
      </c>
      <c r="H1348" s="13" t="n">
        <f aca="false">IF(A1348="2025",INDEX(Customers!$D$2:$D$41,MATCH(C1348,Customers!$A$2:$A$41,0)),INDEX(Customers!$F$2:$F$41,MATCH(C1348,Customers!$A$2:$A$41,0)))</f>
        <v>0.056</v>
      </c>
      <c r="I1348" s="16" t="n">
        <f aca="false">F1348*G1348</f>
        <v>37060</v>
      </c>
      <c r="J1348" s="16" t="n">
        <f aca="false">I1348*(1-H1348)</f>
        <v>34984.64</v>
      </c>
      <c r="K1348" s="16" t="n">
        <f aca="false">J1348*INDEX(Customers!$G$2:$G$41,MATCH(C1348,Customers!$A$2:$A$41,0))</f>
        <v>1049.5392</v>
      </c>
      <c r="L1348" s="16" t="n">
        <f aca="false">F1348*INDEX(Customers!$H$2:$H$41,MATCH(C1348,Customers!$A$2:$A$41,0))</f>
        <v>3485</v>
      </c>
      <c r="M1348" s="16" t="n">
        <f aca="false">J1348*INDEX(Customers!$I$2:$I$41,MATCH(C1348,Customers!$A$2:$A$41,0))/365*Assumptions!$B$6</f>
        <v>230.035989041096</v>
      </c>
      <c r="N1348" s="16" t="n">
        <f aca="false">J1348-K1348-L1348-M1348</f>
        <v>30220.0648109589</v>
      </c>
      <c r="O1348" s="16" t="n">
        <f aca="false">F1348*IF(A1348="2025",INDEX(Products!$D$2:$D$13,MATCH(D1348,Products!$A$2:$A$13,0)),INDEX(Products!$F$2:$F$13,MATCH(D1348,Products!$A$2:$A$13,0)))</f>
        <v>23545</v>
      </c>
      <c r="P1348" s="16" t="n">
        <f aca="false">N1348-O1348</f>
        <v>6675.06481095891</v>
      </c>
    </row>
    <row r="1349" customFormat="false" ht="15" hidden="false" customHeight="false" outlineLevel="0" collapsed="false">
      <c r="A1349" s="2" t="s">
        <v>118</v>
      </c>
      <c r="B1349" s="2" t="n">
        <v>4</v>
      </c>
      <c r="C1349" s="2" t="s">
        <v>83</v>
      </c>
      <c r="D1349" s="2" t="s">
        <v>38</v>
      </c>
      <c r="E1349" s="2" t="str">
        <f aca="false">INDEX(Products!$B$2:$B$13,MATCH(D1349,Products!$A$2:$A$13,0))</f>
        <v>FCC</v>
      </c>
      <c r="F1349" s="15" t="n">
        <v>7</v>
      </c>
      <c r="G1349" s="16" t="n">
        <f aca="false">IF(A1349="2025",INDEX(Products!$C$2:$C$13,MATCH(D1349,Products!$A$2:$A$13,0)),INDEX(Products!$E$2:$E$13,MATCH(D1349,Products!$A$2:$A$13,0)))</f>
        <v>4360</v>
      </c>
      <c r="H1349" s="13" t="n">
        <f aca="false">IF(A1349="2025",INDEX(Customers!$D$2:$D$41,MATCH(C1349,Customers!$A$2:$A$41,0)),INDEX(Customers!$F$2:$F$41,MATCH(C1349,Customers!$A$2:$A$41,0)))</f>
        <v>0.056</v>
      </c>
      <c r="I1349" s="16" t="n">
        <f aca="false">F1349*G1349</f>
        <v>30520</v>
      </c>
      <c r="J1349" s="16" t="n">
        <f aca="false">I1349*(1-H1349)</f>
        <v>28810.88</v>
      </c>
      <c r="K1349" s="16" t="n">
        <f aca="false">J1349*INDEX(Customers!$G$2:$G$41,MATCH(C1349,Customers!$A$2:$A$41,0))</f>
        <v>864.3264</v>
      </c>
      <c r="L1349" s="16" t="n">
        <f aca="false">F1349*INDEX(Customers!$H$2:$H$41,MATCH(C1349,Customers!$A$2:$A$41,0))</f>
        <v>2870</v>
      </c>
      <c r="M1349" s="16" t="n">
        <f aca="false">J1349*INDEX(Customers!$I$2:$I$41,MATCH(C1349,Customers!$A$2:$A$41,0))/365*Assumptions!$B$6</f>
        <v>189.441402739726</v>
      </c>
      <c r="N1349" s="16" t="n">
        <f aca="false">J1349-K1349-L1349-M1349</f>
        <v>24887.1121972603</v>
      </c>
      <c r="O1349" s="16" t="n">
        <f aca="false">F1349*IF(A1349="2025",INDEX(Products!$D$2:$D$13,MATCH(D1349,Products!$A$2:$A$13,0)),INDEX(Products!$F$2:$F$13,MATCH(D1349,Products!$A$2:$A$13,0)))</f>
        <v>19390</v>
      </c>
      <c r="P1349" s="16" t="n">
        <f aca="false">N1349-O1349</f>
        <v>5497.11219726027</v>
      </c>
    </row>
    <row r="1350" customFormat="false" ht="15" hidden="false" customHeight="false" outlineLevel="0" collapsed="false">
      <c r="A1350" s="2" t="s">
        <v>118</v>
      </c>
      <c r="B1350" s="2" t="n">
        <v>5</v>
      </c>
      <c r="C1350" s="2" t="s">
        <v>83</v>
      </c>
      <c r="D1350" s="2" t="s">
        <v>38</v>
      </c>
      <c r="E1350" s="2" t="str">
        <f aca="false">INDEX(Products!$B$2:$B$13,MATCH(D1350,Products!$A$2:$A$13,0))</f>
        <v>FCC</v>
      </c>
      <c r="F1350" s="15" t="n">
        <v>8.3</v>
      </c>
      <c r="G1350" s="16" t="n">
        <f aca="false">IF(A1350="2025",INDEX(Products!$C$2:$C$13,MATCH(D1350,Products!$A$2:$A$13,0)),INDEX(Products!$E$2:$E$13,MATCH(D1350,Products!$A$2:$A$13,0)))</f>
        <v>4360</v>
      </c>
      <c r="H1350" s="13" t="n">
        <f aca="false">IF(A1350="2025",INDEX(Customers!$D$2:$D$41,MATCH(C1350,Customers!$A$2:$A$41,0)),INDEX(Customers!$F$2:$F$41,MATCH(C1350,Customers!$A$2:$A$41,0)))</f>
        <v>0.056</v>
      </c>
      <c r="I1350" s="16" t="n">
        <f aca="false">F1350*G1350</f>
        <v>36188</v>
      </c>
      <c r="J1350" s="16" t="n">
        <f aca="false">I1350*(1-H1350)</f>
        <v>34161.472</v>
      </c>
      <c r="K1350" s="16" t="n">
        <f aca="false">J1350*INDEX(Customers!$G$2:$G$41,MATCH(C1350,Customers!$A$2:$A$41,0))</f>
        <v>1024.84416</v>
      </c>
      <c r="L1350" s="16" t="n">
        <f aca="false">F1350*INDEX(Customers!$H$2:$H$41,MATCH(C1350,Customers!$A$2:$A$41,0))</f>
        <v>3403</v>
      </c>
      <c r="M1350" s="16" t="n">
        <f aca="false">J1350*INDEX(Customers!$I$2:$I$41,MATCH(C1350,Customers!$A$2:$A$41,0))/365*Assumptions!$B$6</f>
        <v>224.623377534247</v>
      </c>
      <c r="N1350" s="16" t="n">
        <f aca="false">J1350-K1350-L1350-M1350</f>
        <v>29509.0044624658</v>
      </c>
      <c r="O1350" s="16" t="n">
        <f aca="false">F1350*IF(A1350="2025",INDEX(Products!$D$2:$D$13,MATCH(D1350,Products!$A$2:$A$13,0)),INDEX(Products!$F$2:$F$13,MATCH(D1350,Products!$A$2:$A$13,0)))</f>
        <v>22991</v>
      </c>
      <c r="P1350" s="16" t="n">
        <f aca="false">N1350-O1350</f>
        <v>6518.00446246575</v>
      </c>
    </row>
    <row r="1351" customFormat="false" ht="15" hidden="false" customHeight="false" outlineLevel="0" collapsed="false">
      <c r="A1351" s="2" t="s">
        <v>118</v>
      </c>
      <c r="B1351" s="2" t="n">
        <v>6</v>
      </c>
      <c r="C1351" s="2" t="s">
        <v>83</v>
      </c>
      <c r="D1351" s="2" t="s">
        <v>38</v>
      </c>
      <c r="E1351" s="2" t="str">
        <f aca="false">INDEX(Products!$B$2:$B$13,MATCH(D1351,Products!$A$2:$A$13,0))</f>
        <v>FCC</v>
      </c>
      <c r="F1351" s="15" t="n">
        <v>7.1</v>
      </c>
      <c r="G1351" s="16" t="n">
        <f aca="false">IF(A1351="2025",INDEX(Products!$C$2:$C$13,MATCH(D1351,Products!$A$2:$A$13,0)),INDEX(Products!$E$2:$E$13,MATCH(D1351,Products!$A$2:$A$13,0)))</f>
        <v>4360</v>
      </c>
      <c r="H1351" s="13" t="n">
        <f aca="false">IF(A1351="2025",INDEX(Customers!$D$2:$D$41,MATCH(C1351,Customers!$A$2:$A$41,0)),INDEX(Customers!$F$2:$F$41,MATCH(C1351,Customers!$A$2:$A$41,0)))</f>
        <v>0.056</v>
      </c>
      <c r="I1351" s="16" t="n">
        <f aca="false">F1351*G1351</f>
        <v>30956</v>
      </c>
      <c r="J1351" s="16" t="n">
        <f aca="false">I1351*(1-H1351)</f>
        <v>29222.464</v>
      </c>
      <c r="K1351" s="16" t="n">
        <f aca="false">J1351*INDEX(Customers!$G$2:$G$41,MATCH(C1351,Customers!$A$2:$A$41,0))</f>
        <v>876.67392</v>
      </c>
      <c r="L1351" s="16" t="n">
        <f aca="false">F1351*INDEX(Customers!$H$2:$H$41,MATCH(C1351,Customers!$A$2:$A$41,0))</f>
        <v>2911</v>
      </c>
      <c r="M1351" s="16" t="n">
        <f aca="false">J1351*INDEX(Customers!$I$2:$I$41,MATCH(C1351,Customers!$A$2:$A$41,0))/365*Assumptions!$B$6</f>
        <v>192.147708493151</v>
      </c>
      <c r="N1351" s="16" t="n">
        <f aca="false">J1351-K1351-L1351-M1351</f>
        <v>25242.6423715069</v>
      </c>
      <c r="O1351" s="16" t="n">
        <f aca="false">F1351*IF(A1351="2025",INDEX(Products!$D$2:$D$13,MATCH(D1351,Products!$A$2:$A$13,0)),INDEX(Products!$F$2:$F$13,MATCH(D1351,Products!$A$2:$A$13,0)))</f>
        <v>19667</v>
      </c>
      <c r="P1351" s="16" t="n">
        <f aca="false">N1351-O1351</f>
        <v>5575.64237150685</v>
      </c>
    </row>
    <row r="1352" customFormat="false" ht="15" hidden="false" customHeight="false" outlineLevel="0" collapsed="false">
      <c r="A1352" s="2" t="s">
        <v>118</v>
      </c>
      <c r="B1352" s="2" t="n">
        <v>7</v>
      </c>
      <c r="C1352" s="2" t="s">
        <v>83</v>
      </c>
      <c r="D1352" s="2" t="s">
        <v>38</v>
      </c>
      <c r="E1352" s="2" t="str">
        <f aca="false">INDEX(Products!$B$2:$B$13,MATCH(D1352,Products!$A$2:$A$13,0))</f>
        <v>FCC</v>
      </c>
      <c r="F1352" s="15" t="n">
        <v>10.7</v>
      </c>
      <c r="G1352" s="16" t="n">
        <f aca="false">IF(A1352="2025",INDEX(Products!$C$2:$C$13,MATCH(D1352,Products!$A$2:$A$13,0)),INDEX(Products!$E$2:$E$13,MATCH(D1352,Products!$A$2:$A$13,0)))</f>
        <v>4360</v>
      </c>
      <c r="H1352" s="13" t="n">
        <f aca="false">IF(A1352="2025",INDEX(Customers!$D$2:$D$41,MATCH(C1352,Customers!$A$2:$A$41,0)),INDEX(Customers!$F$2:$F$41,MATCH(C1352,Customers!$A$2:$A$41,0)))</f>
        <v>0.056</v>
      </c>
      <c r="I1352" s="16" t="n">
        <f aca="false">F1352*G1352</f>
        <v>46652</v>
      </c>
      <c r="J1352" s="16" t="n">
        <f aca="false">I1352*(1-H1352)</f>
        <v>44039.488</v>
      </c>
      <c r="K1352" s="16" t="n">
        <f aca="false">J1352*INDEX(Customers!$G$2:$G$41,MATCH(C1352,Customers!$A$2:$A$41,0))</f>
        <v>1321.18464</v>
      </c>
      <c r="L1352" s="16" t="n">
        <f aca="false">F1352*INDEX(Customers!$H$2:$H$41,MATCH(C1352,Customers!$A$2:$A$41,0))</f>
        <v>4387</v>
      </c>
      <c r="M1352" s="16" t="n">
        <f aca="false">J1352*INDEX(Customers!$I$2:$I$41,MATCH(C1352,Customers!$A$2:$A$41,0))/365*Assumptions!$B$6</f>
        <v>289.574715616438</v>
      </c>
      <c r="N1352" s="16" t="n">
        <f aca="false">J1352-K1352-L1352-M1352</f>
        <v>38041.7286443836</v>
      </c>
      <c r="O1352" s="16" t="n">
        <f aca="false">F1352*IF(A1352="2025",INDEX(Products!$D$2:$D$13,MATCH(D1352,Products!$A$2:$A$13,0)),INDEX(Products!$F$2:$F$13,MATCH(D1352,Products!$A$2:$A$13,0)))</f>
        <v>29639</v>
      </c>
      <c r="P1352" s="16" t="n">
        <f aca="false">N1352-O1352</f>
        <v>8402.72864438357</v>
      </c>
    </row>
    <row r="1353" customFormat="false" ht="15" hidden="false" customHeight="false" outlineLevel="0" collapsed="false">
      <c r="A1353" s="2" t="s">
        <v>118</v>
      </c>
      <c r="B1353" s="2" t="n">
        <v>8</v>
      </c>
      <c r="C1353" s="2" t="s">
        <v>83</v>
      </c>
      <c r="D1353" s="2" t="s">
        <v>38</v>
      </c>
      <c r="E1353" s="2" t="str">
        <f aca="false">INDEX(Products!$B$2:$B$13,MATCH(D1353,Products!$A$2:$A$13,0))</f>
        <v>FCC</v>
      </c>
      <c r="F1353" s="15" t="n">
        <v>10.5</v>
      </c>
      <c r="G1353" s="16" t="n">
        <f aca="false">IF(A1353="2025",INDEX(Products!$C$2:$C$13,MATCH(D1353,Products!$A$2:$A$13,0)),INDEX(Products!$E$2:$E$13,MATCH(D1353,Products!$A$2:$A$13,0)))</f>
        <v>4360</v>
      </c>
      <c r="H1353" s="13" t="n">
        <f aca="false">IF(A1353="2025",INDEX(Customers!$D$2:$D$41,MATCH(C1353,Customers!$A$2:$A$41,0)),INDEX(Customers!$F$2:$F$41,MATCH(C1353,Customers!$A$2:$A$41,0)))</f>
        <v>0.056</v>
      </c>
      <c r="I1353" s="16" t="n">
        <f aca="false">F1353*G1353</f>
        <v>45780</v>
      </c>
      <c r="J1353" s="16" t="n">
        <f aca="false">I1353*(1-H1353)</f>
        <v>43216.32</v>
      </c>
      <c r="K1353" s="16" t="n">
        <f aca="false">J1353*INDEX(Customers!$G$2:$G$41,MATCH(C1353,Customers!$A$2:$A$41,0))</f>
        <v>1296.4896</v>
      </c>
      <c r="L1353" s="16" t="n">
        <f aca="false">F1353*INDEX(Customers!$H$2:$H$41,MATCH(C1353,Customers!$A$2:$A$41,0))</f>
        <v>4305</v>
      </c>
      <c r="M1353" s="16" t="n">
        <f aca="false">J1353*INDEX(Customers!$I$2:$I$41,MATCH(C1353,Customers!$A$2:$A$41,0))/365*Assumptions!$B$6</f>
        <v>284.162104109589</v>
      </c>
      <c r="N1353" s="16" t="n">
        <f aca="false">J1353-K1353-L1353-M1353</f>
        <v>37330.6682958904</v>
      </c>
      <c r="O1353" s="16" t="n">
        <f aca="false">F1353*IF(A1353="2025",INDEX(Products!$D$2:$D$13,MATCH(D1353,Products!$A$2:$A$13,0)),INDEX(Products!$F$2:$F$13,MATCH(D1353,Products!$A$2:$A$13,0)))</f>
        <v>29085</v>
      </c>
      <c r="P1353" s="16" t="n">
        <f aca="false">N1353-O1353</f>
        <v>8245.66829589041</v>
      </c>
    </row>
    <row r="1354" customFormat="false" ht="15" hidden="false" customHeight="false" outlineLevel="0" collapsed="false">
      <c r="A1354" s="2" t="s">
        <v>118</v>
      </c>
      <c r="B1354" s="2" t="n">
        <v>9</v>
      </c>
      <c r="C1354" s="2" t="s">
        <v>83</v>
      </c>
      <c r="D1354" s="2" t="s">
        <v>38</v>
      </c>
      <c r="E1354" s="2" t="str">
        <f aca="false">INDEX(Products!$B$2:$B$13,MATCH(D1354,Products!$A$2:$A$13,0))</f>
        <v>FCC</v>
      </c>
      <c r="F1354" s="15" t="n">
        <v>6.7</v>
      </c>
      <c r="G1354" s="16" t="n">
        <f aca="false">IF(A1354="2025",INDEX(Products!$C$2:$C$13,MATCH(D1354,Products!$A$2:$A$13,0)),INDEX(Products!$E$2:$E$13,MATCH(D1354,Products!$A$2:$A$13,0)))</f>
        <v>4360</v>
      </c>
      <c r="H1354" s="13" t="n">
        <f aca="false">IF(A1354="2025",INDEX(Customers!$D$2:$D$41,MATCH(C1354,Customers!$A$2:$A$41,0)),INDEX(Customers!$F$2:$F$41,MATCH(C1354,Customers!$A$2:$A$41,0)))</f>
        <v>0.056</v>
      </c>
      <c r="I1354" s="16" t="n">
        <f aca="false">F1354*G1354</f>
        <v>29212</v>
      </c>
      <c r="J1354" s="16" t="n">
        <f aca="false">I1354*(1-H1354)</f>
        <v>27576.128</v>
      </c>
      <c r="K1354" s="16" t="n">
        <f aca="false">J1354*INDEX(Customers!$G$2:$G$41,MATCH(C1354,Customers!$A$2:$A$41,0))</f>
        <v>827.28384</v>
      </c>
      <c r="L1354" s="16" t="n">
        <f aca="false">F1354*INDEX(Customers!$H$2:$H$41,MATCH(C1354,Customers!$A$2:$A$41,0))</f>
        <v>2747</v>
      </c>
      <c r="M1354" s="16" t="n">
        <f aca="false">J1354*INDEX(Customers!$I$2:$I$41,MATCH(C1354,Customers!$A$2:$A$41,0))/365*Assumptions!$B$6</f>
        <v>181.322485479452</v>
      </c>
      <c r="N1354" s="16" t="n">
        <f aca="false">J1354-K1354-L1354-M1354</f>
        <v>23820.5216745205</v>
      </c>
      <c r="O1354" s="16" t="n">
        <f aca="false">F1354*IF(A1354="2025",INDEX(Products!$D$2:$D$13,MATCH(D1354,Products!$A$2:$A$13,0)),INDEX(Products!$F$2:$F$13,MATCH(D1354,Products!$A$2:$A$13,0)))</f>
        <v>18559</v>
      </c>
      <c r="P1354" s="16" t="n">
        <f aca="false">N1354-O1354</f>
        <v>5261.52167452054</v>
      </c>
    </row>
    <row r="1355" customFormat="false" ht="15" hidden="false" customHeight="false" outlineLevel="0" collapsed="false">
      <c r="A1355" s="2" t="s">
        <v>118</v>
      </c>
      <c r="B1355" s="2" t="n">
        <v>10</v>
      </c>
      <c r="C1355" s="2" t="s">
        <v>83</v>
      </c>
      <c r="D1355" s="2" t="s">
        <v>38</v>
      </c>
      <c r="E1355" s="2" t="str">
        <f aca="false">INDEX(Products!$B$2:$B$13,MATCH(D1355,Products!$A$2:$A$13,0))</f>
        <v>FCC</v>
      </c>
      <c r="F1355" s="15" t="n">
        <v>7.8</v>
      </c>
      <c r="G1355" s="16" t="n">
        <f aca="false">IF(A1355="2025",INDEX(Products!$C$2:$C$13,MATCH(D1355,Products!$A$2:$A$13,0)),INDEX(Products!$E$2:$E$13,MATCH(D1355,Products!$A$2:$A$13,0)))</f>
        <v>4360</v>
      </c>
      <c r="H1355" s="13" t="n">
        <f aca="false">IF(A1355="2025",INDEX(Customers!$D$2:$D$41,MATCH(C1355,Customers!$A$2:$A$41,0)),INDEX(Customers!$F$2:$F$41,MATCH(C1355,Customers!$A$2:$A$41,0)))</f>
        <v>0.056</v>
      </c>
      <c r="I1355" s="16" t="n">
        <f aca="false">F1355*G1355</f>
        <v>34008</v>
      </c>
      <c r="J1355" s="16" t="n">
        <f aca="false">I1355*(1-H1355)</f>
        <v>32103.552</v>
      </c>
      <c r="K1355" s="16" t="n">
        <f aca="false">J1355*INDEX(Customers!$G$2:$G$41,MATCH(C1355,Customers!$A$2:$A$41,0))</f>
        <v>963.10656</v>
      </c>
      <c r="L1355" s="16" t="n">
        <f aca="false">F1355*INDEX(Customers!$H$2:$H$41,MATCH(C1355,Customers!$A$2:$A$41,0))</f>
        <v>3198</v>
      </c>
      <c r="M1355" s="16" t="n">
        <f aca="false">J1355*INDEX(Customers!$I$2:$I$41,MATCH(C1355,Customers!$A$2:$A$41,0))/365*Assumptions!$B$6</f>
        <v>211.091848767123</v>
      </c>
      <c r="N1355" s="16" t="n">
        <f aca="false">J1355-K1355-L1355-M1355</f>
        <v>27731.3535912329</v>
      </c>
      <c r="O1355" s="16" t="n">
        <f aca="false">F1355*IF(A1355="2025",INDEX(Products!$D$2:$D$13,MATCH(D1355,Products!$A$2:$A$13,0)),INDEX(Products!$F$2:$F$13,MATCH(D1355,Products!$A$2:$A$13,0)))</f>
        <v>21606</v>
      </c>
      <c r="P1355" s="16" t="n">
        <f aca="false">N1355-O1355</f>
        <v>6125.35359123288</v>
      </c>
    </row>
    <row r="1356" customFormat="false" ht="15" hidden="false" customHeight="false" outlineLevel="0" collapsed="false">
      <c r="A1356" s="2" t="s">
        <v>118</v>
      </c>
      <c r="B1356" s="2" t="n">
        <v>11</v>
      </c>
      <c r="C1356" s="2" t="s">
        <v>83</v>
      </c>
      <c r="D1356" s="2" t="s">
        <v>38</v>
      </c>
      <c r="E1356" s="2" t="str">
        <f aca="false">INDEX(Products!$B$2:$B$13,MATCH(D1356,Products!$A$2:$A$13,0))</f>
        <v>FCC</v>
      </c>
      <c r="F1356" s="15" t="n">
        <v>10.3</v>
      </c>
      <c r="G1356" s="16" t="n">
        <f aca="false">IF(A1356="2025",INDEX(Products!$C$2:$C$13,MATCH(D1356,Products!$A$2:$A$13,0)),INDEX(Products!$E$2:$E$13,MATCH(D1356,Products!$A$2:$A$13,0)))</f>
        <v>4360</v>
      </c>
      <c r="H1356" s="13" t="n">
        <f aca="false">IF(A1356="2025",INDEX(Customers!$D$2:$D$41,MATCH(C1356,Customers!$A$2:$A$41,0)),INDEX(Customers!$F$2:$F$41,MATCH(C1356,Customers!$A$2:$A$41,0)))</f>
        <v>0.056</v>
      </c>
      <c r="I1356" s="16" t="n">
        <f aca="false">F1356*G1356</f>
        <v>44908</v>
      </c>
      <c r="J1356" s="16" t="n">
        <f aca="false">I1356*(1-H1356)</f>
        <v>42393.152</v>
      </c>
      <c r="K1356" s="16" t="n">
        <f aca="false">J1356*INDEX(Customers!$G$2:$G$41,MATCH(C1356,Customers!$A$2:$A$41,0))</f>
        <v>1271.79456</v>
      </c>
      <c r="L1356" s="16" t="n">
        <f aca="false">F1356*INDEX(Customers!$H$2:$H$41,MATCH(C1356,Customers!$A$2:$A$41,0))</f>
        <v>4223</v>
      </c>
      <c r="M1356" s="16" t="n">
        <f aca="false">J1356*INDEX(Customers!$I$2:$I$41,MATCH(C1356,Customers!$A$2:$A$41,0))/365*Assumptions!$B$6</f>
        <v>278.74949260274</v>
      </c>
      <c r="N1356" s="16" t="n">
        <f aca="false">J1356-K1356-L1356-M1356</f>
        <v>36619.6079473973</v>
      </c>
      <c r="O1356" s="16" t="n">
        <f aca="false">F1356*IF(A1356="2025",INDEX(Products!$D$2:$D$13,MATCH(D1356,Products!$A$2:$A$13,0)),INDEX(Products!$F$2:$F$13,MATCH(D1356,Products!$A$2:$A$13,0)))</f>
        <v>28531</v>
      </c>
      <c r="P1356" s="16" t="n">
        <f aca="false">N1356-O1356</f>
        <v>8088.60794739725</v>
      </c>
    </row>
    <row r="1357" customFormat="false" ht="15" hidden="false" customHeight="false" outlineLevel="0" collapsed="false">
      <c r="A1357" s="2" t="s">
        <v>118</v>
      </c>
      <c r="B1357" s="2" t="n">
        <v>12</v>
      </c>
      <c r="C1357" s="2" t="s">
        <v>83</v>
      </c>
      <c r="D1357" s="2" t="s">
        <v>38</v>
      </c>
      <c r="E1357" s="2" t="str">
        <f aca="false">INDEX(Products!$B$2:$B$13,MATCH(D1357,Products!$A$2:$A$13,0))</f>
        <v>FCC</v>
      </c>
      <c r="F1357" s="15" t="n">
        <v>6.2</v>
      </c>
      <c r="G1357" s="16" t="n">
        <f aca="false">IF(A1357="2025",INDEX(Products!$C$2:$C$13,MATCH(D1357,Products!$A$2:$A$13,0)),INDEX(Products!$E$2:$E$13,MATCH(D1357,Products!$A$2:$A$13,0)))</f>
        <v>4360</v>
      </c>
      <c r="H1357" s="13" t="n">
        <f aca="false">IF(A1357="2025",INDEX(Customers!$D$2:$D$41,MATCH(C1357,Customers!$A$2:$A$41,0)),INDEX(Customers!$F$2:$F$41,MATCH(C1357,Customers!$A$2:$A$41,0)))</f>
        <v>0.056</v>
      </c>
      <c r="I1357" s="16" t="n">
        <f aca="false">F1357*G1357</f>
        <v>27032</v>
      </c>
      <c r="J1357" s="16" t="n">
        <f aca="false">I1357*(1-H1357)</f>
        <v>25518.208</v>
      </c>
      <c r="K1357" s="16" t="n">
        <f aca="false">J1357*INDEX(Customers!$G$2:$G$41,MATCH(C1357,Customers!$A$2:$A$41,0))</f>
        <v>765.54624</v>
      </c>
      <c r="L1357" s="16" t="n">
        <f aca="false">F1357*INDEX(Customers!$H$2:$H$41,MATCH(C1357,Customers!$A$2:$A$41,0))</f>
        <v>2542</v>
      </c>
      <c r="M1357" s="16" t="n">
        <f aca="false">J1357*INDEX(Customers!$I$2:$I$41,MATCH(C1357,Customers!$A$2:$A$41,0))/365*Assumptions!$B$6</f>
        <v>167.790956712329</v>
      </c>
      <c r="N1357" s="16" t="n">
        <f aca="false">J1357-K1357-L1357-M1357</f>
        <v>22042.8708032877</v>
      </c>
      <c r="O1357" s="16" t="n">
        <f aca="false">F1357*IF(A1357="2025",INDEX(Products!$D$2:$D$13,MATCH(D1357,Products!$A$2:$A$13,0)),INDEX(Products!$F$2:$F$13,MATCH(D1357,Products!$A$2:$A$13,0)))</f>
        <v>17174</v>
      </c>
      <c r="P1357" s="16" t="n">
        <f aca="false">N1357-O1357</f>
        <v>4868.87080328767</v>
      </c>
    </row>
    <row r="1358" customFormat="false" ht="15" hidden="false" customHeight="false" outlineLevel="0" collapsed="false">
      <c r="A1358" s="2" t="s">
        <v>119</v>
      </c>
      <c r="B1358" s="2" t="n">
        <v>1</v>
      </c>
      <c r="C1358" s="2" t="s">
        <v>83</v>
      </c>
      <c r="D1358" s="2" t="s">
        <v>38</v>
      </c>
      <c r="E1358" s="2" t="str">
        <f aca="false">INDEX(Products!$B$2:$B$13,MATCH(D1358,Products!$A$2:$A$13,0))</f>
        <v>FCC</v>
      </c>
      <c r="F1358" s="15" t="n">
        <v>6.7</v>
      </c>
      <c r="G1358" s="16" t="n">
        <f aca="false">IF(A1358="2025",INDEX(Products!$C$2:$C$13,MATCH(D1358,Products!$A$2:$A$13,0)),INDEX(Products!$E$2:$E$13,MATCH(D1358,Products!$A$2:$A$13,0)))</f>
        <v>4578</v>
      </c>
      <c r="H1358" s="13" t="n">
        <f aca="false">IF(A1358="2025",INDEX(Customers!$D$2:$D$41,MATCH(C1358,Customers!$A$2:$A$41,0)),INDEX(Customers!$F$2:$F$41,MATCH(C1358,Customers!$A$2:$A$41,0)))</f>
        <v>0.056</v>
      </c>
      <c r="I1358" s="16" t="n">
        <f aca="false">F1358*G1358</f>
        <v>30672.6</v>
      </c>
      <c r="J1358" s="16" t="n">
        <f aca="false">I1358*(1-H1358)</f>
        <v>28954.9344</v>
      </c>
      <c r="K1358" s="16" t="n">
        <f aca="false">J1358*INDEX(Customers!$G$2:$G$41,MATCH(C1358,Customers!$A$2:$A$41,0))</f>
        <v>868.648032</v>
      </c>
      <c r="L1358" s="16" t="n">
        <f aca="false">F1358*INDEX(Customers!$H$2:$H$41,MATCH(C1358,Customers!$A$2:$A$41,0))</f>
        <v>2747</v>
      </c>
      <c r="M1358" s="16" t="n">
        <f aca="false">J1358*INDEX(Customers!$I$2:$I$41,MATCH(C1358,Customers!$A$2:$A$41,0))/365*Assumptions!$B$6</f>
        <v>190.388609753425</v>
      </c>
      <c r="N1358" s="16" t="n">
        <f aca="false">J1358-K1358-L1358-M1358</f>
        <v>25148.8977582466</v>
      </c>
      <c r="O1358" s="16" t="n">
        <f aca="false">F1358*IF(A1358="2025",INDEX(Products!$D$2:$D$13,MATCH(D1358,Products!$A$2:$A$13,0)),INDEX(Products!$F$2:$F$13,MATCH(D1358,Products!$A$2:$A$13,0)))</f>
        <v>19115.77</v>
      </c>
      <c r="P1358" s="16" t="n">
        <f aca="false">N1358-O1358</f>
        <v>6033.12775824658</v>
      </c>
    </row>
    <row r="1359" customFormat="false" ht="15" hidden="false" customHeight="false" outlineLevel="0" collapsed="false">
      <c r="A1359" s="2" t="s">
        <v>119</v>
      </c>
      <c r="B1359" s="2" t="n">
        <v>2</v>
      </c>
      <c r="C1359" s="2" t="s">
        <v>83</v>
      </c>
      <c r="D1359" s="2" t="s">
        <v>38</v>
      </c>
      <c r="E1359" s="2" t="str">
        <f aca="false">INDEX(Products!$B$2:$B$13,MATCH(D1359,Products!$A$2:$A$13,0))</f>
        <v>FCC</v>
      </c>
      <c r="F1359" s="15" t="n">
        <v>7.7</v>
      </c>
      <c r="G1359" s="16" t="n">
        <f aca="false">IF(A1359="2025",INDEX(Products!$C$2:$C$13,MATCH(D1359,Products!$A$2:$A$13,0)),INDEX(Products!$E$2:$E$13,MATCH(D1359,Products!$A$2:$A$13,0)))</f>
        <v>4578</v>
      </c>
      <c r="H1359" s="13" t="n">
        <f aca="false">IF(A1359="2025",INDEX(Customers!$D$2:$D$41,MATCH(C1359,Customers!$A$2:$A$41,0)),INDEX(Customers!$F$2:$F$41,MATCH(C1359,Customers!$A$2:$A$41,0)))</f>
        <v>0.056</v>
      </c>
      <c r="I1359" s="16" t="n">
        <f aca="false">F1359*G1359</f>
        <v>35250.6</v>
      </c>
      <c r="J1359" s="16" t="n">
        <f aca="false">I1359*(1-H1359)</f>
        <v>33276.5664</v>
      </c>
      <c r="K1359" s="16" t="n">
        <f aca="false">J1359*INDEX(Customers!$G$2:$G$41,MATCH(C1359,Customers!$A$2:$A$41,0))</f>
        <v>998.296992</v>
      </c>
      <c r="L1359" s="16" t="n">
        <f aca="false">F1359*INDEX(Customers!$H$2:$H$41,MATCH(C1359,Customers!$A$2:$A$41,0))</f>
        <v>3157</v>
      </c>
      <c r="M1359" s="16" t="n">
        <f aca="false">J1359*INDEX(Customers!$I$2:$I$41,MATCH(C1359,Customers!$A$2:$A$41,0))/365*Assumptions!$B$6</f>
        <v>218.804820164384</v>
      </c>
      <c r="N1359" s="16" t="n">
        <f aca="false">J1359-K1359-L1359-M1359</f>
        <v>28902.4645878356</v>
      </c>
      <c r="O1359" s="16" t="n">
        <f aca="false">F1359*IF(A1359="2025",INDEX(Products!$D$2:$D$13,MATCH(D1359,Products!$A$2:$A$13,0)),INDEX(Products!$F$2:$F$13,MATCH(D1359,Products!$A$2:$A$13,0)))</f>
        <v>21968.87</v>
      </c>
      <c r="P1359" s="16" t="n">
        <f aca="false">N1359-O1359</f>
        <v>6933.59458783561</v>
      </c>
    </row>
    <row r="1360" customFormat="false" ht="15" hidden="false" customHeight="false" outlineLevel="0" collapsed="false">
      <c r="A1360" s="2" t="s">
        <v>119</v>
      </c>
      <c r="B1360" s="2" t="n">
        <v>3</v>
      </c>
      <c r="C1360" s="2" t="s">
        <v>83</v>
      </c>
      <c r="D1360" s="2" t="s">
        <v>38</v>
      </c>
      <c r="E1360" s="2" t="str">
        <f aca="false">INDEX(Products!$B$2:$B$13,MATCH(D1360,Products!$A$2:$A$13,0))</f>
        <v>FCC</v>
      </c>
      <c r="F1360" s="15" t="n">
        <v>12</v>
      </c>
      <c r="G1360" s="16" t="n">
        <f aca="false">IF(A1360="2025",INDEX(Products!$C$2:$C$13,MATCH(D1360,Products!$A$2:$A$13,0)),INDEX(Products!$E$2:$E$13,MATCH(D1360,Products!$A$2:$A$13,0)))</f>
        <v>4578</v>
      </c>
      <c r="H1360" s="13" t="n">
        <f aca="false">IF(A1360="2025",INDEX(Customers!$D$2:$D$41,MATCH(C1360,Customers!$A$2:$A$41,0)),INDEX(Customers!$F$2:$F$41,MATCH(C1360,Customers!$A$2:$A$41,0)))</f>
        <v>0.056</v>
      </c>
      <c r="I1360" s="16" t="n">
        <f aca="false">F1360*G1360</f>
        <v>54936</v>
      </c>
      <c r="J1360" s="16" t="n">
        <f aca="false">I1360*(1-H1360)</f>
        <v>51859.584</v>
      </c>
      <c r="K1360" s="16" t="n">
        <f aca="false">J1360*INDEX(Customers!$G$2:$G$41,MATCH(C1360,Customers!$A$2:$A$41,0))</f>
        <v>1555.78752</v>
      </c>
      <c r="L1360" s="16" t="n">
        <f aca="false">F1360*INDEX(Customers!$H$2:$H$41,MATCH(C1360,Customers!$A$2:$A$41,0))</f>
        <v>4920</v>
      </c>
      <c r="M1360" s="16" t="n">
        <f aca="false">J1360*INDEX(Customers!$I$2:$I$41,MATCH(C1360,Customers!$A$2:$A$41,0))/365*Assumptions!$B$6</f>
        <v>340.994524931507</v>
      </c>
      <c r="N1360" s="16" t="n">
        <f aca="false">J1360-K1360-L1360-M1360</f>
        <v>45042.8019550685</v>
      </c>
      <c r="O1360" s="16" t="n">
        <f aca="false">F1360*IF(A1360="2025",INDEX(Products!$D$2:$D$13,MATCH(D1360,Products!$A$2:$A$13,0)),INDEX(Products!$F$2:$F$13,MATCH(D1360,Products!$A$2:$A$13,0)))</f>
        <v>34237.2</v>
      </c>
      <c r="P1360" s="16" t="n">
        <f aca="false">N1360-O1360</f>
        <v>10805.6019550685</v>
      </c>
    </row>
    <row r="1361" customFormat="false" ht="15" hidden="false" customHeight="false" outlineLevel="0" collapsed="false">
      <c r="A1361" s="2" t="s">
        <v>119</v>
      </c>
      <c r="B1361" s="2" t="n">
        <v>4</v>
      </c>
      <c r="C1361" s="2" t="s">
        <v>83</v>
      </c>
      <c r="D1361" s="2" t="s">
        <v>38</v>
      </c>
      <c r="E1361" s="2" t="str">
        <f aca="false">INDEX(Products!$B$2:$B$13,MATCH(D1361,Products!$A$2:$A$13,0))</f>
        <v>FCC</v>
      </c>
      <c r="F1361" s="15" t="n">
        <v>9.4</v>
      </c>
      <c r="G1361" s="16" t="n">
        <f aca="false">IF(A1361="2025",INDEX(Products!$C$2:$C$13,MATCH(D1361,Products!$A$2:$A$13,0)),INDEX(Products!$E$2:$E$13,MATCH(D1361,Products!$A$2:$A$13,0)))</f>
        <v>4578</v>
      </c>
      <c r="H1361" s="13" t="n">
        <f aca="false">IF(A1361="2025",INDEX(Customers!$D$2:$D$41,MATCH(C1361,Customers!$A$2:$A$41,0)),INDEX(Customers!$F$2:$F$41,MATCH(C1361,Customers!$A$2:$A$41,0)))</f>
        <v>0.056</v>
      </c>
      <c r="I1361" s="16" t="n">
        <f aca="false">F1361*G1361</f>
        <v>43033.2</v>
      </c>
      <c r="J1361" s="16" t="n">
        <f aca="false">I1361*(1-H1361)</f>
        <v>40623.3408</v>
      </c>
      <c r="K1361" s="16" t="n">
        <f aca="false">J1361*INDEX(Customers!$G$2:$G$41,MATCH(C1361,Customers!$A$2:$A$41,0))</f>
        <v>1218.700224</v>
      </c>
      <c r="L1361" s="16" t="n">
        <f aca="false">F1361*INDEX(Customers!$H$2:$H$41,MATCH(C1361,Customers!$A$2:$A$41,0))</f>
        <v>3854</v>
      </c>
      <c r="M1361" s="16" t="n">
        <f aca="false">J1361*INDEX(Customers!$I$2:$I$41,MATCH(C1361,Customers!$A$2:$A$41,0))/365*Assumptions!$B$6</f>
        <v>267.112377863014</v>
      </c>
      <c r="N1361" s="16" t="n">
        <f aca="false">J1361-K1361-L1361-M1361</f>
        <v>35283.528198137</v>
      </c>
      <c r="O1361" s="16" t="n">
        <f aca="false">F1361*IF(A1361="2025",INDEX(Products!$D$2:$D$13,MATCH(D1361,Products!$A$2:$A$13,0)),INDEX(Products!$F$2:$F$13,MATCH(D1361,Products!$A$2:$A$13,0)))</f>
        <v>26819.14</v>
      </c>
      <c r="P1361" s="16" t="n">
        <f aca="false">N1361-O1361</f>
        <v>8464.38819813699</v>
      </c>
    </row>
    <row r="1362" customFormat="false" ht="15" hidden="false" customHeight="false" outlineLevel="0" collapsed="false">
      <c r="A1362" s="2" t="s">
        <v>119</v>
      </c>
      <c r="B1362" s="2" t="n">
        <v>5</v>
      </c>
      <c r="C1362" s="2" t="s">
        <v>83</v>
      </c>
      <c r="D1362" s="2" t="s">
        <v>38</v>
      </c>
      <c r="E1362" s="2" t="str">
        <f aca="false">INDEX(Products!$B$2:$B$13,MATCH(D1362,Products!$A$2:$A$13,0))</f>
        <v>FCC</v>
      </c>
      <c r="F1362" s="15" t="n">
        <v>7.7</v>
      </c>
      <c r="G1362" s="16" t="n">
        <f aca="false">IF(A1362="2025",INDEX(Products!$C$2:$C$13,MATCH(D1362,Products!$A$2:$A$13,0)),INDEX(Products!$E$2:$E$13,MATCH(D1362,Products!$A$2:$A$13,0)))</f>
        <v>4578</v>
      </c>
      <c r="H1362" s="13" t="n">
        <f aca="false">IF(A1362="2025",INDEX(Customers!$D$2:$D$41,MATCH(C1362,Customers!$A$2:$A$41,0)),INDEX(Customers!$F$2:$F$41,MATCH(C1362,Customers!$A$2:$A$41,0)))</f>
        <v>0.056</v>
      </c>
      <c r="I1362" s="16" t="n">
        <f aca="false">F1362*G1362</f>
        <v>35250.6</v>
      </c>
      <c r="J1362" s="16" t="n">
        <f aca="false">I1362*(1-H1362)</f>
        <v>33276.5664</v>
      </c>
      <c r="K1362" s="16" t="n">
        <f aca="false">J1362*INDEX(Customers!$G$2:$G$41,MATCH(C1362,Customers!$A$2:$A$41,0))</f>
        <v>998.296992</v>
      </c>
      <c r="L1362" s="16" t="n">
        <f aca="false">F1362*INDEX(Customers!$H$2:$H$41,MATCH(C1362,Customers!$A$2:$A$41,0))</f>
        <v>3157</v>
      </c>
      <c r="M1362" s="16" t="n">
        <f aca="false">J1362*INDEX(Customers!$I$2:$I$41,MATCH(C1362,Customers!$A$2:$A$41,0))/365*Assumptions!$B$6</f>
        <v>218.804820164384</v>
      </c>
      <c r="N1362" s="16" t="n">
        <f aca="false">J1362-K1362-L1362-M1362</f>
        <v>28902.4645878356</v>
      </c>
      <c r="O1362" s="16" t="n">
        <f aca="false">F1362*IF(A1362="2025",INDEX(Products!$D$2:$D$13,MATCH(D1362,Products!$A$2:$A$13,0)),INDEX(Products!$F$2:$F$13,MATCH(D1362,Products!$A$2:$A$13,0)))</f>
        <v>21968.87</v>
      </c>
      <c r="P1362" s="16" t="n">
        <f aca="false">N1362-O1362</f>
        <v>6933.59458783561</v>
      </c>
    </row>
    <row r="1363" customFormat="false" ht="15" hidden="false" customHeight="false" outlineLevel="0" collapsed="false">
      <c r="A1363" s="2" t="s">
        <v>119</v>
      </c>
      <c r="B1363" s="2" t="n">
        <v>6</v>
      </c>
      <c r="C1363" s="2" t="s">
        <v>83</v>
      </c>
      <c r="D1363" s="2" t="s">
        <v>38</v>
      </c>
      <c r="E1363" s="2" t="str">
        <f aca="false">INDEX(Products!$B$2:$B$13,MATCH(D1363,Products!$A$2:$A$13,0))</f>
        <v>FCC</v>
      </c>
      <c r="F1363" s="15" t="n">
        <v>7.9</v>
      </c>
      <c r="G1363" s="16" t="n">
        <f aca="false">IF(A1363="2025",INDEX(Products!$C$2:$C$13,MATCH(D1363,Products!$A$2:$A$13,0)),INDEX(Products!$E$2:$E$13,MATCH(D1363,Products!$A$2:$A$13,0)))</f>
        <v>4578</v>
      </c>
      <c r="H1363" s="13" t="n">
        <f aca="false">IF(A1363="2025",INDEX(Customers!$D$2:$D$41,MATCH(C1363,Customers!$A$2:$A$41,0)),INDEX(Customers!$F$2:$F$41,MATCH(C1363,Customers!$A$2:$A$41,0)))</f>
        <v>0.056</v>
      </c>
      <c r="I1363" s="16" t="n">
        <f aca="false">F1363*G1363</f>
        <v>36166.2</v>
      </c>
      <c r="J1363" s="16" t="n">
        <f aca="false">I1363*(1-H1363)</f>
        <v>34140.8928</v>
      </c>
      <c r="K1363" s="16" t="n">
        <f aca="false">J1363*INDEX(Customers!$G$2:$G$41,MATCH(C1363,Customers!$A$2:$A$41,0))</f>
        <v>1024.226784</v>
      </c>
      <c r="L1363" s="16" t="n">
        <f aca="false">F1363*INDEX(Customers!$H$2:$H$41,MATCH(C1363,Customers!$A$2:$A$41,0))</f>
        <v>3239</v>
      </c>
      <c r="M1363" s="16" t="n">
        <f aca="false">J1363*INDEX(Customers!$I$2:$I$41,MATCH(C1363,Customers!$A$2:$A$41,0))/365*Assumptions!$B$6</f>
        <v>224.488062246575</v>
      </c>
      <c r="N1363" s="16" t="n">
        <f aca="false">J1363-K1363-L1363-M1363</f>
        <v>29653.1779537534</v>
      </c>
      <c r="O1363" s="16" t="n">
        <f aca="false">F1363*IF(A1363="2025",INDEX(Products!$D$2:$D$13,MATCH(D1363,Products!$A$2:$A$13,0)),INDEX(Products!$F$2:$F$13,MATCH(D1363,Products!$A$2:$A$13,0)))</f>
        <v>22539.49</v>
      </c>
      <c r="P1363" s="16" t="n">
        <f aca="false">N1363-O1363</f>
        <v>7113.68795375343</v>
      </c>
    </row>
    <row r="1364" customFormat="false" ht="15" hidden="false" customHeight="false" outlineLevel="0" collapsed="false">
      <c r="A1364" s="2" t="s">
        <v>119</v>
      </c>
      <c r="B1364" s="2" t="n">
        <v>7</v>
      </c>
      <c r="C1364" s="2" t="s">
        <v>83</v>
      </c>
      <c r="D1364" s="2" t="s">
        <v>38</v>
      </c>
      <c r="E1364" s="2" t="str">
        <f aca="false">INDEX(Products!$B$2:$B$13,MATCH(D1364,Products!$A$2:$A$13,0))</f>
        <v>FCC</v>
      </c>
      <c r="F1364" s="15" t="n">
        <v>7.4</v>
      </c>
      <c r="G1364" s="16" t="n">
        <f aca="false">IF(A1364="2025",INDEX(Products!$C$2:$C$13,MATCH(D1364,Products!$A$2:$A$13,0)),INDEX(Products!$E$2:$E$13,MATCH(D1364,Products!$A$2:$A$13,0)))</f>
        <v>4578</v>
      </c>
      <c r="H1364" s="13" t="n">
        <f aca="false">IF(A1364="2025",INDEX(Customers!$D$2:$D$41,MATCH(C1364,Customers!$A$2:$A$41,0)),INDEX(Customers!$F$2:$F$41,MATCH(C1364,Customers!$A$2:$A$41,0)))</f>
        <v>0.056</v>
      </c>
      <c r="I1364" s="16" t="n">
        <f aca="false">F1364*G1364</f>
        <v>33877.2</v>
      </c>
      <c r="J1364" s="16" t="n">
        <f aca="false">I1364*(1-H1364)</f>
        <v>31980.0768</v>
      </c>
      <c r="K1364" s="16" t="n">
        <f aca="false">J1364*INDEX(Customers!$G$2:$G$41,MATCH(C1364,Customers!$A$2:$A$41,0))</f>
        <v>959.402304</v>
      </c>
      <c r="L1364" s="16" t="n">
        <f aca="false">F1364*INDEX(Customers!$H$2:$H$41,MATCH(C1364,Customers!$A$2:$A$41,0))</f>
        <v>3034</v>
      </c>
      <c r="M1364" s="16" t="n">
        <f aca="false">J1364*INDEX(Customers!$I$2:$I$41,MATCH(C1364,Customers!$A$2:$A$41,0))/365*Assumptions!$B$6</f>
        <v>210.279957041096</v>
      </c>
      <c r="N1364" s="16" t="n">
        <f aca="false">J1364-K1364-L1364-M1364</f>
        <v>27776.3945389589</v>
      </c>
      <c r="O1364" s="16" t="n">
        <f aca="false">F1364*IF(A1364="2025",INDEX(Products!$D$2:$D$13,MATCH(D1364,Products!$A$2:$A$13,0)),INDEX(Products!$F$2:$F$13,MATCH(D1364,Products!$A$2:$A$13,0)))</f>
        <v>21112.94</v>
      </c>
      <c r="P1364" s="16" t="n">
        <f aca="false">N1364-O1364</f>
        <v>6663.45453895891</v>
      </c>
    </row>
    <row r="1365" customFormat="false" ht="15" hidden="false" customHeight="false" outlineLevel="0" collapsed="false">
      <c r="A1365" s="2" t="s">
        <v>119</v>
      </c>
      <c r="B1365" s="2" t="n">
        <v>8</v>
      </c>
      <c r="C1365" s="2" t="s">
        <v>83</v>
      </c>
      <c r="D1365" s="2" t="s">
        <v>38</v>
      </c>
      <c r="E1365" s="2" t="str">
        <f aca="false">INDEX(Products!$B$2:$B$13,MATCH(D1365,Products!$A$2:$A$13,0))</f>
        <v>FCC</v>
      </c>
      <c r="F1365" s="15" t="n">
        <v>9.9</v>
      </c>
      <c r="G1365" s="16" t="n">
        <f aca="false">IF(A1365="2025",INDEX(Products!$C$2:$C$13,MATCH(D1365,Products!$A$2:$A$13,0)),INDEX(Products!$E$2:$E$13,MATCH(D1365,Products!$A$2:$A$13,0)))</f>
        <v>4578</v>
      </c>
      <c r="H1365" s="13" t="n">
        <f aca="false">IF(A1365="2025",INDEX(Customers!$D$2:$D$41,MATCH(C1365,Customers!$A$2:$A$41,0)),INDEX(Customers!$F$2:$F$41,MATCH(C1365,Customers!$A$2:$A$41,0)))</f>
        <v>0.056</v>
      </c>
      <c r="I1365" s="16" t="n">
        <f aca="false">F1365*G1365</f>
        <v>45322.2</v>
      </c>
      <c r="J1365" s="16" t="n">
        <f aca="false">I1365*(1-H1365)</f>
        <v>42784.1568</v>
      </c>
      <c r="K1365" s="16" t="n">
        <f aca="false">J1365*INDEX(Customers!$G$2:$G$41,MATCH(C1365,Customers!$A$2:$A$41,0))</f>
        <v>1283.524704</v>
      </c>
      <c r="L1365" s="16" t="n">
        <f aca="false">F1365*INDEX(Customers!$H$2:$H$41,MATCH(C1365,Customers!$A$2:$A$41,0))</f>
        <v>4059</v>
      </c>
      <c r="M1365" s="16" t="n">
        <f aca="false">J1365*INDEX(Customers!$I$2:$I$41,MATCH(C1365,Customers!$A$2:$A$41,0))/365*Assumptions!$B$6</f>
        <v>281.320483068493</v>
      </c>
      <c r="N1365" s="16" t="n">
        <f aca="false">J1365-K1365-L1365-M1365</f>
        <v>37160.3116129315</v>
      </c>
      <c r="O1365" s="16" t="n">
        <f aca="false">F1365*IF(A1365="2025",INDEX(Products!$D$2:$D$13,MATCH(D1365,Products!$A$2:$A$13,0)),INDEX(Products!$F$2:$F$13,MATCH(D1365,Products!$A$2:$A$13,0)))</f>
        <v>28245.69</v>
      </c>
      <c r="P1365" s="16" t="n">
        <f aca="false">N1365-O1365</f>
        <v>8914.62161293151</v>
      </c>
    </row>
    <row r="1366" customFormat="false" ht="15" hidden="false" customHeight="false" outlineLevel="0" collapsed="false">
      <c r="A1366" s="2" t="s">
        <v>119</v>
      </c>
      <c r="B1366" s="2" t="n">
        <v>9</v>
      </c>
      <c r="C1366" s="2" t="s">
        <v>83</v>
      </c>
      <c r="D1366" s="2" t="s">
        <v>38</v>
      </c>
      <c r="E1366" s="2" t="str">
        <f aca="false">INDEX(Products!$B$2:$B$13,MATCH(D1366,Products!$A$2:$A$13,0))</f>
        <v>FCC</v>
      </c>
      <c r="F1366" s="15" t="n">
        <v>7.8</v>
      </c>
      <c r="G1366" s="16" t="n">
        <f aca="false">IF(A1366="2025",INDEX(Products!$C$2:$C$13,MATCH(D1366,Products!$A$2:$A$13,0)),INDEX(Products!$E$2:$E$13,MATCH(D1366,Products!$A$2:$A$13,0)))</f>
        <v>4578</v>
      </c>
      <c r="H1366" s="13" t="n">
        <f aca="false">IF(A1366="2025",INDEX(Customers!$D$2:$D$41,MATCH(C1366,Customers!$A$2:$A$41,0)),INDEX(Customers!$F$2:$F$41,MATCH(C1366,Customers!$A$2:$A$41,0)))</f>
        <v>0.056</v>
      </c>
      <c r="I1366" s="16" t="n">
        <f aca="false">F1366*G1366</f>
        <v>35708.4</v>
      </c>
      <c r="J1366" s="16" t="n">
        <f aca="false">I1366*(1-H1366)</f>
        <v>33708.7296</v>
      </c>
      <c r="K1366" s="16" t="n">
        <f aca="false">J1366*INDEX(Customers!$G$2:$G$41,MATCH(C1366,Customers!$A$2:$A$41,0))</f>
        <v>1011.261888</v>
      </c>
      <c r="L1366" s="16" t="n">
        <f aca="false">F1366*INDEX(Customers!$H$2:$H$41,MATCH(C1366,Customers!$A$2:$A$41,0))</f>
        <v>3198</v>
      </c>
      <c r="M1366" s="16" t="n">
        <f aca="false">J1366*INDEX(Customers!$I$2:$I$41,MATCH(C1366,Customers!$A$2:$A$41,0))/365*Assumptions!$B$6</f>
        <v>221.646441205479</v>
      </c>
      <c r="N1366" s="16" t="n">
        <f aca="false">J1366-K1366-L1366-M1366</f>
        <v>29277.8212707945</v>
      </c>
      <c r="O1366" s="16" t="n">
        <f aca="false">F1366*IF(A1366="2025",INDEX(Products!$D$2:$D$13,MATCH(D1366,Products!$A$2:$A$13,0)),INDEX(Products!$F$2:$F$13,MATCH(D1366,Products!$A$2:$A$13,0)))</f>
        <v>22254.18</v>
      </c>
      <c r="P1366" s="16" t="n">
        <f aca="false">N1366-O1366</f>
        <v>7023.64127079452</v>
      </c>
    </row>
    <row r="1367" customFormat="false" ht="15" hidden="false" customHeight="false" outlineLevel="0" collapsed="false">
      <c r="A1367" s="2" t="s">
        <v>119</v>
      </c>
      <c r="B1367" s="2" t="n">
        <v>10</v>
      </c>
      <c r="C1367" s="2" t="s">
        <v>83</v>
      </c>
      <c r="D1367" s="2" t="s">
        <v>38</v>
      </c>
      <c r="E1367" s="2" t="str">
        <f aca="false">INDEX(Products!$B$2:$B$13,MATCH(D1367,Products!$A$2:$A$13,0))</f>
        <v>FCC</v>
      </c>
      <c r="F1367" s="15" t="n">
        <v>10.2</v>
      </c>
      <c r="G1367" s="16" t="n">
        <f aca="false">IF(A1367="2025",INDEX(Products!$C$2:$C$13,MATCH(D1367,Products!$A$2:$A$13,0)),INDEX(Products!$E$2:$E$13,MATCH(D1367,Products!$A$2:$A$13,0)))</f>
        <v>4578</v>
      </c>
      <c r="H1367" s="13" t="n">
        <f aca="false">IF(A1367="2025",INDEX(Customers!$D$2:$D$41,MATCH(C1367,Customers!$A$2:$A$41,0)),INDEX(Customers!$F$2:$F$41,MATCH(C1367,Customers!$A$2:$A$41,0)))</f>
        <v>0.056</v>
      </c>
      <c r="I1367" s="16" t="n">
        <f aca="false">F1367*G1367</f>
        <v>46695.6</v>
      </c>
      <c r="J1367" s="16" t="n">
        <f aca="false">I1367*(1-H1367)</f>
        <v>44080.6464</v>
      </c>
      <c r="K1367" s="16" t="n">
        <f aca="false">J1367*INDEX(Customers!$G$2:$G$41,MATCH(C1367,Customers!$A$2:$A$41,0))</f>
        <v>1322.419392</v>
      </c>
      <c r="L1367" s="16" t="n">
        <f aca="false">F1367*INDEX(Customers!$H$2:$H$41,MATCH(C1367,Customers!$A$2:$A$41,0))</f>
        <v>4182</v>
      </c>
      <c r="M1367" s="16" t="n">
        <f aca="false">J1367*INDEX(Customers!$I$2:$I$41,MATCH(C1367,Customers!$A$2:$A$41,0))/365*Assumptions!$B$6</f>
        <v>289.845346191781</v>
      </c>
      <c r="N1367" s="16" t="n">
        <f aca="false">J1367-K1367-L1367-M1367</f>
        <v>38286.3816618082</v>
      </c>
      <c r="O1367" s="16" t="n">
        <f aca="false">F1367*IF(A1367="2025",INDEX(Products!$D$2:$D$13,MATCH(D1367,Products!$A$2:$A$13,0)),INDEX(Products!$F$2:$F$13,MATCH(D1367,Products!$A$2:$A$13,0)))</f>
        <v>29101.62</v>
      </c>
      <c r="P1367" s="16" t="n">
        <f aca="false">N1367-O1367</f>
        <v>9184.76166180823</v>
      </c>
    </row>
    <row r="1368" customFormat="false" ht="15" hidden="false" customHeight="false" outlineLevel="0" collapsed="false">
      <c r="A1368" s="2" t="s">
        <v>119</v>
      </c>
      <c r="B1368" s="2" t="n">
        <v>11</v>
      </c>
      <c r="C1368" s="2" t="s">
        <v>83</v>
      </c>
      <c r="D1368" s="2" t="s">
        <v>38</v>
      </c>
      <c r="E1368" s="2" t="str">
        <f aca="false">INDEX(Products!$B$2:$B$13,MATCH(D1368,Products!$A$2:$A$13,0))</f>
        <v>FCC</v>
      </c>
      <c r="F1368" s="15" t="n">
        <v>12.2</v>
      </c>
      <c r="G1368" s="16" t="n">
        <f aca="false">IF(A1368="2025",INDEX(Products!$C$2:$C$13,MATCH(D1368,Products!$A$2:$A$13,0)),INDEX(Products!$E$2:$E$13,MATCH(D1368,Products!$A$2:$A$13,0)))</f>
        <v>4578</v>
      </c>
      <c r="H1368" s="13" t="n">
        <f aca="false">IF(A1368="2025",INDEX(Customers!$D$2:$D$41,MATCH(C1368,Customers!$A$2:$A$41,0)),INDEX(Customers!$F$2:$F$41,MATCH(C1368,Customers!$A$2:$A$41,0)))</f>
        <v>0.056</v>
      </c>
      <c r="I1368" s="16" t="n">
        <f aca="false">F1368*G1368</f>
        <v>55851.6</v>
      </c>
      <c r="J1368" s="16" t="n">
        <f aca="false">I1368*(1-H1368)</f>
        <v>52723.9104</v>
      </c>
      <c r="K1368" s="16" t="n">
        <f aca="false">J1368*INDEX(Customers!$G$2:$G$41,MATCH(C1368,Customers!$A$2:$A$41,0))</f>
        <v>1581.717312</v>
      </c>
      <c r="L1368" s="16" t="n">
        <f aca="false">F1368*INDEX(Customers!$H$2:$H$41,MATCH(C1368,Customers!$A$2:$A$41,0))</f>
        <v>5002</v>
      </c>
      <c r="M1368" s="16" t="n">
        <f aca="false">J1368*INDEX(Customers!$I$2:$I$41,MATCH(C1368,Customers!$A$2:$A$41,0))/365*Assumptions!$B$6</f>
        <v>346.677767013699</v>
      </c>
      <c r="N1368" s="16" t="n">
        <f aca="false">J1368-K1368-L1368-M1368</f>
        <v>45793.5153209863</v>
      </c>
      <c r="O1368" s="16" t="n">
        <f aca="false">F1368*IF(A1368="2025",INDEX(Products!$D$2:$D$13,MATCH(D1368,Products!$A$2:$A$13,0)),INDEX(Products!$F$2:$F$13,MATCH(D1368,Products!$A$2:$A$13,0)))</f>
        <v>34807.82</v>
      </c>
      <c r="P1368" s="16" t="n">
        <f aca="false">N1368-O1368</f>
        <v>10985.6953209863</v>
      </c>
    </row>
    <row r="1369" customFormat="false" ht="15" hidden="false" customHeight="false" outlineLevel="0" collapsed="false">
      <c r="A1369" s="2" t="s">
        <v>119</v>
      </c>
      <c r="B1369" s="2" t="n">
        <v>12</v>
      </c>
      <c r="C1369" s="2" t="s">
        <v>83</v>
      </c>
      <c r="D1369" s="2" t="s">
        <v>38</v>
      </c>
      <c r="E1369" s="2" t="str">
        <f aca="false">INDEX(Products!$B$2:$B$13,MATCH(D1369,Products!$A$2:$A$13,0))</f>
        <v>FCC</v>
      </c>
      <c r="F1369" s="15" t="n">
        <v>10.2</v>
      </c>
      <c r="G1369" s="16" t="n">
        <f aca="false">IF(A1369="2025",INDEX(Products!$C$2:$C$13,MATCH(D1369,Products!$A$2:$A$13,0)),INDEX(Products!$E$2:$E$13,MATCH(D1369,Products!$A$2:$A$13,0)))</f>
        <v>4578</v>
      </c>
      <c r="H1369" s="13" t="n">
        <f aca="false">IF(A1369="2025",INDEX(Customers!$D$2:$D$41,MATCH(C1369,Customers!$A$2:$A$41,0)),INDEX(Customers!$F$2:$F$41,MATCH(C1369,Customers!$A$2:$A$41,0)))</f>
        <v>0.056</v>
      </c>
      <c r="I1369" s="16" t="n">
        <f aca="false">F1369*G1369</f>
        <v>46695.6</v>
      </c>
      <c r="J1369" s="16" t="n">
        <f aca="false">I1369*(1-H1369)</f>
        <v>44080.6464</v>
      </c>
      <c r="K1369" s="16" t="n">
        <f aca="false">J1369*INDEX(Customers!$G$2:$G$41,MATCH(C1369,Customers!$A$2:$A$41,0))</f>
        <v>1322.419392</v>
      </c>
      <c r="L1369" s="16" t="n">
        <f aca="false">F1369*INDEX(Customers!$H$2:$H$41,MATCH(C1369,Customers!$A$2:$A$41,0))</f>
        <v>4182</v>
      </c>
      <c r="M1369" s="16" t="n">
        <f aca="false">J1369*INDEX(Customers!$I$2:$I$41,MATCH(C1369,Customers!$A$2:$A$41,0))/365*Assumptions!$B$6</f>
        <v>289.845346191781</v>
      </c>
      <c r="N1369" s="16" t="n">
        <f aca="false">J1369-K1369-L1369-M1369</f>
        <v>38286.3816618082</v>
      </c>
      <c r="O1369" s="16" t="n">
        <f aca="false">F1369*IF(A1369="2025",INDEX(Products!$D$2:$D$13,MATCH(D1369,Products!$A$2:$A$13,0)),INDEX(Products!$F$2:$F$13,MATCH(D1369,Products!$A$2:$A$13,0)))</f>
        <v>29101.62</v>
      </c>
      <c r="P1369" s="16" t="n">
        <f aca="false">N1369-O1369</f>
        <v>9184.76166180823</v>
      </c>
    </row>
    <row r="1370" customFormat="false" ht="15" hidden="false" customHeight="false" outlineLevel="0" collapsed="false">
      <c r="A1370" s="2" t="s">
        <v>118</v>
      </c>
      <c r="B1370" s="2" t="n">
        <v>1</v>
      </c>
      <c r="C1370" s="2" t="s">
        <v>83</v>
      </c>
      <c r="D1370" s="2" t="s">
        <v>44</v>
      </c>
      <c r="E1370" s="2" t="str">
        <f aca="false">INDEX(Products!$B$2:$B$13,MATCH(D1370,Products!$A$2:$A$13,0))</f>
        <v>Specialty</v>
      </c>
      <c r="F1370" s="15" t="n">
        <v>2.3</v>
      </c>
      <c r="G1370" s="16" t="n">
        <f aca="false">IF(A1370="2025",INDEX(Products!$C$2:$C$13,MATCH(D1370,Products!$A$2:$A$13,0)),INDEX(Products!$E$2:$E$13,MATCH(D1370,Products!$A$2:$A$13,0)))</f>
        <v>28970</v>
      </c>
      <c r="H1370" s="13" t="n">
        <f aca="false">IF(A1370="2025",INDEX(Customers!$D$2:$D$41,MATCH(C1370,Customers!$A$2:$A$41,0)),INDEX(Customers!$F$2:$F$41,MATCH(C1370,Customers!$A$2:$A$41,0)))</f>
        <v>0.056</v>
      </c>
      <c r="I1370" s="16" t="n">
        <f aca="false">F1370*G1370</f>
        <v>66631</v>
      </c>
      <c r="J1370" s="16" t="n">
        <f aca="false">I1370*(1-H1370)</f>
        <v>62899.664</v>
      </c>
      <c r="K1370" s="16" t="n">
        <f aca="false">J1370*INDEX(Customers!$G$2:$G$41,MATCH(C1370,Customers!$A$2:$A$41,0))</f>
        <v>1886.98992</v>
      </c>
      <c r="L1370" s="16" t="n">
        <f aca="false">F1370*INDEX(Customers!$H$2:$H$41,MATCH(C1370,Customers!$A$2:$A$41,0))</f>
        <v>943</v>
      </c>
      <c r="M1370" s="16" t="n">
        <f aca="false">J1370*INDEX(Customers!$I$2:$I$41,MATCH(C1370,Customers!$A$2:$A$41,0))/365*Assumptions!$B$6</f>
        <v>413.586831780822</v>
      </c>
      <c r="N1370" s="16" t="n">
        <f aca="false">J1370-K1370-L1370-M1370</f>
        <v>59656.0872482192</v>
      </c>
      <c r="O1370" s="16" t="n">
        <f aca="false">F1370*IF(A1370="2025",INDEX(Products!$D$2:$D$13,MATCH(D1370,Products!$A$2:$A$13,0)),INDEX(Products!$F$2:$F$13,MATCH(D1370,Products!$A$2:$A$13,0)))</f>
        <v>32913</v>
      </c>
      <c r="P1370" s="16" t="n">
        <f aca="false">N1370-O1370</f>
        <v>26743.0872482192</v>
      </c>
    </row>
    <row r="1371" customFormat="false" ht="15" hidden="false" customHeight="false" outlineLevel="0" collapsed="false">
      <c r="A1371" s="2" t="s">
        <v>118</v>
      </c>
      <c r="B1371" s="2" t="n">
        <v>2</v>
      </c>
      <c r="C1371" s="2" t="s">
        <v>83</v>
      </c>
      <c r="D1371" s="2" t="s">
        <v>44</v>
      </c>
      <c r="E1371" s="2" t="str">
        <f aca="false">INDEX(Products!$B$2:$B$13,MATCH(D1371,Products!$A$2:$A$13,0))</f>
        <v>Specialty</v>
      </c>
      <c r="F1371" s="15" t="n">
        <v>2.2</v>
      </c>
      <c r="G1371" s="16" t="n">
        <f aca="false">IF(A1371="2025",INDEX(Products!$C$2:$C$13,MATCH(D1371,Products!$A$2:$A$13,0)),INDEX(Products!$E$2:$E$13,MATCH(D1371,Products!$A$2:$A$13,0)))</f>
        <v>28970</v>
      </c>
      <c r="H1371" s="13" t="n">
        <f aca="false">IF(A1371="2025",INDEX(Customers!$D$2:$D$41,MATCH(C1371,Customers!$A$2:$A$41,0)),INDEX(Customers!$F$2:$F$41,MATCH(C1371,Customers!$A$2:$A$41,0)))</f>
        <v>0.056</v>
      </c>
      <c r="I1371" s="16" t="n">
        <f aca="false">F1371*G1371</f>
        <v>63734</v>
      </c>
      <c r="J1371" s="16" t="n">
        <f aca="false">I1371*(1-H1371)</f>
        <v>60164.896</v>
      </c>
      <c r="K1371" s="16" t="n">
        <f aca="false">J1371*INDEX(Customers!$G$2:$G$41,MATCH(C1371,Customers!$A$2:$A$41,0))</f>
        <v>1804.94688</v>
      </c>
      <c r="L1371" s="16" t="n">
        <f aca="false">F1371*INDEX(Customers!$H$2:$H$41,MATCH(C1371,Customers!$A$2:$A$41,0))</f>
        <v>902</v>
      </c>
      <c r="M1371" s="16" t="n">
        <f aca="false">J1371*INDEX(Customers!$I$2:$I$41,MATCH(C1371,Customers!$A$2:$A$41,0))/365*Assumptions!$B$6</f>
        <v>395.604795616438</v>
      </c>
      <c r="N1371" s="16" t="n">
        <f aca="false">J1371-K1371-L1371-M1371</f>
        <v>57062.3443243836</v>
      </c>
      <c r="O1371" s="16" t="n">
        <f aca="false">F1371*IF(A1371="2025",INDEX(Products!$D$2:$D$13,MATCH(D1371,Products!$A$2:$A$13,0)),INDEX(Products!$F$2:$F$13,MATCH(D1371,Products!$A$2:$A$13,0)))</f>
        <v>31482</v>
      </c>
      <c r="P1371" s="16" t="n">
        <f aca="false">N1371-O1371</f>
        <v>25580.3443243836</v>
      </c>
    </row>
    <row r="1372" customFormat="false" ht="15" hidden="false" customHeight="false" outlineLevel="0" collapsed="false">
      <c r="A1372" s="2" t="s">
        <v>118</v>
      </c>
      <c r="B1372" s="2" t="n">
        <v>3</v>
      </c>
      <c r="C1372" s="2" t="s">
        <v>83</v>
      </c>
      <c r="D1372" s="2" t="s">
        <v>44</v>
      </c>
      <c r="E1372" s="2" t="str">
        <f aca="false">INDEX(Products!$B$2:$B$13,MATCH(D1372,Products!$A$2:$A$13,0))</f>
        <v>Specialty</v>
      </c>
      <c r="F1372" s="15" t="n">
        <v>2.4</v>
      </c>
      <c r="G1372" s="16" t="n">
        <f aca="false">IF(A1372="2025",INDEX(Products!$C$2:$C$13,MATCH(D1372,Products!$A$2:$A$13,0)),INDEX(Products!$E$2:$E$13,MATCH(D1372,Products!$A$2:$A$13,0)))</f>
        <v>28970</v>
      </c>
      <c r="H1372" s="13" t="n">
        <f aca="false">IF(A1372="2025",INDEX(Customers!$D$2:$D$41,MATCH(C1372,Customers!$A$2:$A$41,0)),INDEX(Customers!$F$2:$F$41,MATCH(C1372,Customers!$A$2:$A$41,0)))</f>
        <v>0.056</v>
      </c>
      <c r="I1372" s="16" t="n">
        <f aca="false">F1372*G1372</f>
        <v>69528</v>
      </c>
      <c r="J1372" s="16" t="n">
        <f aca="false">I1372*(1-H1372)</f>
        <v>65634.432</v>
      </c>
      <c r="K1372" s="16" t="n">
        <f aca="false">J1372*INDEX(Customers!$G$2:$G$41,MATCH(C1372,Customers!$A$2:$A$41,0))</f>
        <v>1969.03296</v>
      </c>
      <c r="L1372" s="16" t="n">
        <f aca="false">F1372*INDEX(Customers!$H$2:$H$41,MATCH(C1372,Customers!$A$2:$A$41,0))</f>
        <v>984</v>
      </c>
      <c r="M1372" s="16" t="n">
        <f aca="false">J1372*INDEX(Customers!$I$2:$I$41,MATCH(C1372,Customers!$A$2:$A$41,0))/365*Assumptions!$B$6</f>
        <v>431.568867945206</v>
      </c>
      <c r="N1372" s="16" t="n">
        <f aca="false">J1372-K1372-L1372-M1372</f>
        <v>62249.8301720548</v>
      </c>
      <c r="O1372" s="16" t="n">
        <f aca="false">F1372*IF(A1372="2025",INDEX(Products!$D$2:$D$13,MATCH(D1372,Products!$A$2:$A$13,0)),INDEX(Products!$F$2:$F$13,MATCH(D1372,Products!$A$2:$A$13,0)))</f>
        <v>34344</v>
      </c>
      <c r="P1372" s="16" t="n">
        <f aca="false">N1372-O1372</f>
        <v>27905.8301720548</v>
      </c>
    </row>
    <row r="1373" customFormat="false" ht="15" hidden="false" customHeight="false" outlineLevel="0" collapsed="false">
      <c r="A1373" s="2" t="s">
        <v>118</v>
      </c>
      <c r="B1373" s="2" t="n">
        <v>4</v>
      </c>
      <c r="C1373" s="2" t="s">
        <v>83</v>
      </c>
      <c r="D1373" s="2" t="s">
        <v>44</v>
      </c>
      <c r="E1373" s="2" t="str">
        <f aca="false">INDEX(Products!$B$2:$B$13,MATCH(D1373,Products!$A$2:$A$13,0))</f>
        <v>Specialty</v>
      </c>
      <c r="F1373" s="15" t="n">
        <v>2.7</v>
      </c>
      <c r="G1373" s="16" t="n">
        <f aca="false">IF(A1373="2025",INDEX(Products!$C$2:$C$13,MATCH(D1373,Products!$A$2:$A$13,0)),INDEX(Products!$E$2:$E$13,MATCH(D1373,Products!$A$2:$A$13,0)))</f>
        <v>28970</v>
      </c>
      <c r="H1373" s="13" t="n">
        <f aca="false">IF(A1373="2025",INDEX(Customers!$D$2:$D$41,MATCH(C1373,Customers!$A$2:$A$41,0)),INDEX(Customers!$F$2:$F$41,MATCH(C1373,Customers!$A$2:$A$41,0)))</f>
        <v>0.056</v>
      </c>
      <c r="I1373" s="16" t="n">
        <f aca="false">F1373*G1373</f>
        <v>78219</v>
      </c>
      <c r="J1373" s="16" t="n">
        <f aca="false">I1373*(1-H1373)</f>
        <v>73838.736</v>
      </c>
      <c r="K1373" s="16" t="n">
        <f aca="false">J1373*INDEX(Customers!$G$2:$G$41,MATCH(C1373,Customers!$A$2:$A$41,0))</f>
        <v>2215.16208</v>
      </c>
      <c r="L1373" s="16" t="n">
        <f aca="false">F1373*INDEX(Customers!$H$2:$H$41,MATCH(C1373,Customers!$A$2:$A$41,0))</f>
        <v>1107</v>
      </c>
      <c r="M1373" s="16" t="n">
        <f aca="false">J1373*INDEX(Customers!$I$2:$I$41,MATCH(C1373,Customers!$A$2:$A$41,0))/365*Assumptions!$B$6</f>
        <v>485.514976438356</v>
      </c>
      <c r="N1373" s="16" t="n">
        <f aca="false">J1373-K1373-L1373-M1373</f>
        <v>70031.0589435616</v>
      </c>
      <c r="O1373" s="16" t="n">
        <f aca="false">F1373*IF(A1373="2025",INDEX(Products!$D$2:$D$13,MATCH(D1373,Products!$A$2:$A$13,0)),INDEX(Products!$F$2:$F$13,MATCH(D1373,Products!$A$2:$A$13,0)))</f>
        <v>38637</v>
      </c>
      <c r="P1373" s="16" t="n">
        <f aca="false">N1373-O1373</f>
        <v>31394.0589435616</v>
      </c>
    </row>
    <row r="1374" customFormat="false" ht="15" hidden="false" customHeight="false" outlineLevel="0" collapsed="false">
      <c r="A1374" s="2" t="s">
        <v>118</v>
      </c>
      <c r="B1374" s="2" t="n">
        <v>5</v>
      </c>
      <c r="C1374" s="2" t="s">
        <v>83</v>
      </c>
      <c r="D1374" s="2" t="s">
        <v>44</v>
      </c>
      <c r="E1374" s="2" t="str">
        <f aca="false">INDEX(Products!$B$2:$B$13,MATCH(D1374,Products!$A$2:$A$13,0))</f>
        <v>Specialty</v>
      </c>
      <c r="F1374" s="15" t="n">
        <v>2.3</v>
      </c>
      <c r="G1374" s="16" t="n">
        <f aca="false">IF(A1374="2025",INDEX(Products!$C$2:$C$13,MATCH(D1374,Products!$A$2:$A$13,0)),INDEX(Products!$E$2:$E$13,MATCH(D1374,Products!$A$2:$A$13,0)))</f>
        <v>28970</v>
      </c>
      <c r="H1374" s="13" t="n">
        <f aca="false">IF(A1374="2025",INDEX(Customers!$D$2:$D$41,MATCH(C1374,Customers!$A$2:$A$41,0)),INDEX(Customers!$F$2:$F$41,MATCH(C1374,Customers!$A$2:$A$41,0)))</f>
        <v>0.056</v>
      </c>
      <c r="I1374" s="16" t="n">
        <f aca="false">F1374*G1374</f>
        <v>66631</v>
      </c>
      <c r="J1374" s="16" t="n">
        <f aca="false">I1374*(1-H1374)</f>
        <v>62899.664</v>
      </c>
      <c r="K1374" s="16" t="n">
        <f aca="false">J1374*INDEX(Customers!$G$2:$G$41,MATCH(C1374,Customers!$A$2:$A$41,0))</f>
        <v>1886.98992</v>
      </c>
      <c r="L1374" s="16" t="n">
        <f aca="false">F1374*INDEX(Customers!$H$2:$H$41,MATCH(C1374,Customers!$A$2:$A$41,0))</f>
        <v>943</v>
      </c>
      <c r="M1374" s="16" t="n">
        <f aca="false">J1374*INDEX(Customers!$I$2:$I$41,MATCH(C1374,Customers!$A$2:$A$41,0))/365*Assumptions!$B$6</f>
        <v>413.586831780822</v>
      </c>
      <c r="N1374" s="16" t="n">
        <f aca="false">J1374-K1374-L1374-M1374</f>
        <v>59656.0872482192</v>
      </c>
      <c r="O1374" s="16" t="n">
        <f aca="false">F1374*IF(A1374="2025",INDEX(Products!$D$2:$D$13,MATCH(D1374,Products!$A$2:$A$13,0)),INDEX(Products!$F$2:$F$13,MATCH(D1374,Products!$A$2:$A$13,0)))</f>
        <v>32913</v>
      </c>
      <c r="P1374" s="16" t="n">
        <f aca="false">N1374-O1374</f>
        <v>26743.0872482192</v>
      </c>
    </row>
    <row r="1375" customFormat="false" ht="15" hidden="false" customHeight="false" outlineLevel="0" collapsed="false">
      <c r="A1375" s="2" t="s">
        <v>118</v>
      </c>
      <c r="B1375" s="2" t="n">
        <v>6</v>
      </c>
      <c r="C1375" s="2" t="s">
        <v>83</v>
      </c>
      <c r="D1375" s="2" t="s">
        <v>44</v>
      </c>
      <c r="E1375" s="2" t="str">
        <f aca="false">INDEX(Products!$B$2:$B$13,MATCH(D1375,Products!$A$2:$A$13,0))</f>
        <v>Specialty</v>
      </c>
      <c r="F1375" s="15" t="n">
        <v>2</v>
      </c>
      <c r="G1375" s="16" t="n">
        <f aca="false">IF(A1375="2025",INDEX(Products!$C$2:$C$13,MATCH(D1375,Products!$A$2:$A$13,0)),INDEX(Products!$E$2:$E$13,MATCH(D1375,Products!$A$2:$A$13,0)))</f>
        <v>28970</v>
      </c>
      <c r="H1375" s="13" t="n">
        <f aca="false">IF(A1375="2025",INDEX(Customers!$D$2:$D$41,MATCH(C1375,Customers!$A$2:$A$41,0)),INDEX(Customers!$F$2:$F$41,MATCH(C1375,Customers!$A$2:$A$41,0)))</f>
        <v>0.056</v>
      </c>
      <c r="I1375" s="16" t="n">
        <f aca="false">F1375*G1375</f>
        <v>57940</v>
      </c>
      <c r="J1375" s="16" t="n">
        <f aca="false">I1375*(1-H1375)</f>
        <v>54695.36</v>
      </c>
      <c r="K1375" s="16" t="n">
        <f aca="false">J1375*INDEX(Customers!$G$2:$G$41,MATCH(C1375,Customers!$A$2:$A$41,0))</f>
        <v>1640.8608</v>
      </c>
      <c r="L1375" s="16" t="n">
        <f aca="false">F1375*INDEX(Customers!$H$2:$H$41,MATCH(C1375,Customers!$A$2:$A$41,0))</f>
        <v>820</v>
      </c>
      <c r="M1375" s="16" t="n">
        <f aca="false">J1375*INDEX(Customers!$I$2:$I$41,MATCH(C1375,Customers!$A$2:$A$41,0))/365*Assumptions!$B$6</f>
        <v>359.640723287671</v>
      </c>
      <c r="N1375" s="16" t="n">
        <f aca="false">J1375-K1375-L1375-M1375</f>
        <v>51874.8584767123</v>
      </c>
      <c r="O1375" s="16" t="n">
        <f aca="false">F1375*IF(A1375="2025",INDEX(Products!$D$2:$D$13,MATCH(D1375,Products!$A$2:$A$13,0)),INDEX(Products!$F$2:$F$13,MATCH(D1375,Products!$A$2:$A$13,0)))</f>
        <v>28620</v>
      </c>
      <c r="P1375" s="16" t="n">
        <f aca="false">N1375-O1375</f>
        <v>23254.8584767123</v>
      </c>
    </row>
    <row r="1376" customFormat="false" ht="15" hidden="false" customHeight="false" outlineLevel="0" collapsed="false">
      <c r="A1376" s="2" t="s">
        <v>118</v>
      </c>
      <c r="B1376" s="2" t="n">
        <v>7</v>
      </c>
      <c r="C1376" s="2" t="s">
        <v>83</v>
      </c>
      <c r="D1376" s="2" t="s">
        <v>44</v>
      </c>
      <c r="E1376" s="2" t="str">
        <f aca="false">INDEX(Products!$B$2:$B$13,MATCH(D1376,Products!$A$2:$A$13,0))</f>
        <v>Specialty</v>
      </c>
      <c r="F1376" s="15" t="n">
        <v>3.3</v>
      </c>
      <c r="G1376" s="16" t="n">
        <f aca="false">IF(A1376="2025",INDEX(Products!$C$2:$C$13,MATCH(D1376,Products!$A$2:$A$13,0)),INDEX(Products!$E$2:$E$13,MATCH(D1376,Products!$A$2:$A$13,0)))</f>
        <v>28970</v>
      </c>
      <c r="H1376" s="13" t="n">
        <f aca="false">IF(A1376="2025",INDEX(Customers!$D$2:$D$41,MATCH(C1376,Customers!$A$2:$A$41,0)),INDEX(Customers!$F$2:$F$41,MATCH(C1376,Customers!$A$2:$A$41,0)))</f>
        <v>0.056</v>
      </c>
      <c r="I1376" s="16" t="n">
        <f aca="false">F1376*G1376</f>
        <v>95601</v>
      </c>
      <c r="J1376" s="16" t="n">
        <f aca="false">I1376*(1-H1376)</f>
        <v>90247.344</v>
      </c>
      <c r="K1376" s="16" t="n">
        <f aca="false">J1376*INDEX(Customers!$G$2:$G$41,MATCH(C1376,Customers!$A$2:$A$41,0))</f>
        <v>2707.42032</v>
      </c>
      <c r="L1376" s="16" t="n">
        <f aca="false">F1376*INDEX(Customers!$H$2:$H$41,MATCH(C1376,Customers!$A$2:$A$41,0))</f>
        <v>1353</v>
      </c>
      <c r="M1376" s="16" t="n">
        <f aca="false">J1376*INDEX(Customers!$I$2:$I$41,MATCH(C1376,Customers!$A$2:$A$41,0))/365*Assumptions!$B$6</f>
        <v>593.407193424658</v>
      </c>
      <c r="N1376" s="16" t="n">
        <f aca="false">J1376-K1376-L1376-M1376</f>
        <v>85593.5164865753</v>
      </c>
      <c r="O1376" s="16" t="n">
        <f aca="false">F1376*IF(A1376="2025",INDEX(Products!$D$2:$D$13,MATCH(D1376,Products!$A$2:$A$13,0)),INDEX(Products!$F$2:$F$13,MATCH(D1376,Products!$A$2:$A$13,0)))</f>
        <v>47223</v>
      </c>
      <c r="P1376" s="16" t="n">
        <f aca="false">N1376-O1376</f>
        <v>38370.5164865753</v>
      </c>
    </row>
    <row r="1377" customFormat="false" ht="15" hidden="false" customHeight="false" outlineLevel="0" collapsed="false">
      <c r="A1377" s="2" t="s">
        <v>118</v>
      </c>
      <c r="B1377" s="2" t="n">
        <v>8</v>
      </c>
      <c r="C1377" s="2" t="s">
        <v>83</v>
      </c>
      <c r="D1377" s="2" t="s">
        <v>44</v>
      </c>
      <c r="E1377" s="2" t="str">
        <f aca="false">INDEX(Products!$B$2:$B$13,MATCH(D1377,Products!$A$2:$A$13,0))</f>
        <v>Specialty</v>
      </c>
      <c r="F1377" s="15" t="n">
        <v>2.9</v>
      </c>
      <c r="G1377" s="16" t="n">
        <f aca="false">IF(A1377="2025",INDEX(Products!$C$2:$C$13,MATCH(D1377,Products!$A$2:$A$13,0)),INDEX(Products!$E$2:$E$13,MATCH(D1377,Products!$A$2:$A$13,0)))</f>
        <v>28970</v>
      </c>
      <c r="H1377" s="13" t="n">
        <f aca="false">IF(A1377="2025",INDEX(Customers!$D$2:$D$41,MATCH(C1377,Customers!$A$2:$A$41,0)),INDEX(Customers!$F$2:$F$41,MATCH(C1377,Customers!$A$2:$A$41,0)))</f>
        <v>0.056</v>
      </c>
      <c r="I1377" s="16" t="n">
        <f aca="false">F1377*G1377</f>
        <v>84013</v>
      </c>
      <c r="J1377" s="16" t="n">
        <f aca="false">I1377*(1-H1377)</f>
        <v>79308.272</v>
      </c>
      <c r="K1377" s="16" t="n">
        <f aca="false">J1377*INDEX(Customers!$G$2:$G$41,MATCH(C1377,Customers!$A$2:$A$41,0))</f>
        <v>2379.24816</v>
      </c>
      <c r="L1377" s="16" t="n">
        <f aca="false">F1377*INDEX(Customers!$H$2:$H$41,MATCH(C1377,Customers!$A$2:$A$41,0))</f>
        <v>1189</v>
      </c>
      <c r="M1377" s="16" t="n">
        <f aca="false">J1377*INDEX(Customers!$I$2:$I$41,MATCH(C1377,Customers!$A$2:$A$41,0))/365*Assumptions!$B$6</f>
        <v>521.479048767123</v>
      </c>
      <c r="N1377" s="16" t="n">
        <f aca="false">J1377-K1377-L1377-M1377</f>
        <v>75218.5447912329</v>
      </c>
      <c r="O1377" s="16" t="n">
        <f aca="false">F1377*IF(A1377="2025",INDEX(Products!$D$2:$D$13,MATCH(D1377,Products!$A$2:$A$13,0)),INDEX(Products!$F$2:$F$13,MATCH(D1377,Products!$A$2:$A$13,0)))</f>
        <v>41499</v>
      </c>
      <c r="P1377" s="16" t="n">
        <f aca="false">N1377-O1377</f>
        <v>33719.5447912329</v>
      </c>
    </row>
    <row r="1378" customFormat="false" ht="15" hidden="false" customHeight="false" outlineLevel="0" collapsed="false">
      <c r="A1378" s="2" t="s">
        <v>118</v>
      </c>
      <c r="B1378" s="2" t="n">
        <v>9</v>
      </c>
      <c r="C1378" s="2" t="s">
        <v>83</v>
      </c>
      <c r="D1378" s="2" t="s">
        <v>44</v>
      </c>
      <c r="E1378" s="2" t="str">
        <f aca="false">INDEX(Products!$B$2:$B$13,MATCH(D1378,Products!$A$2:$A$13,0))</f>
        <v>Specialty</v>
      </c>
      <c r="F1378" s="15" t="n">
        <v>3.2</v>
      </c>
      <c r="G1378" s="16" t="n">
        <f aca="false">IF(A1378="2025",INDEX(Products!$C$2:$C$13,MATCH(D1378,Products!$A$2:$A$13,0)),INDEX(Products!$E$2:$E$13,MATCH(D1378,Products!$A$2:$A$13,0)))</f>
        <v>28970</v>
      </c>
      <c r="H1378" s="13" t="n">
        <f aca="false">IF(A1378="2025",INDEX(Customers!$D$2:$D$41,MATCH(C1378,Customers!$A$2:$A$41,0)),INDEX(Customers!$F$2:$F$41,MATCH(C1378,Customers!$A$2:$A$41,0)))</f>
        <v>0.056</v>
      </c>
      <c r="I1378" s="16" t="n">
        <f aca="false">F1378*G1378</f>
        <v>92704</v>
      </c>
      <c r="J1378" s="16" t="n">
        <f aca="false">I1378*(1-H1378)</f>
        <v>87512.576</v>
      </c>
      <c r="K1378" s="16" t="n">
        <f aca="false">J1378*INDEX(Customers!$G$2:$G$41,MATCH(C1378,Customers!$A$2:$A$41,0))</f>
        <v>2625.37728</v>
      </c>
      <c r="L1378" s="16" t="n">
        <f aca="false">F1378*INDEX(Customers!$H$2:$H$41,MATCH(C1378,Customers!$A$2:$A$41,0))</f>
        <v>1312</v>
      </c>
      <c r="M1378" s="16" t="n">
        <f aca="false">J1378*INDEX(Customers!$I$2:$I$41,MATCH(C1378,Customers!$A$2:$A$41,0))/365*Assumptions!$B$6</f>
        <v>575.425157260274</v>
      </c>
      <c r="N1378" s="16" t="n">
        <f aca="false">J1378-K1378-L1378-M1378</f>
        <v>82999.7735627397</v>
      </c>
      <c r="O1378" s="16" t="n">
        <f aca="false">F1378*IF(A1378="2025",INDEX(Products!$D$2:$D$13,MATCH(D1378,Products!$A$2:$A$13,0)),INDEX(Products!$F$2:$F$13,MATCH(D1378,Products!$A$2:$A$13,0)))</f>
        <v>45792</v>
      </c>
      <c r="P1378" s="16" t="n">
        <f aca="false">N1378-O1378</f>
        <v>37207.7735627397</v>
      </c>
    </row>
    <row r="1379" customFormat="false" ht="15" hidden="false" customHeight="false" outlineLevel="0" collapsed="false">
      <c r="A1379" s="2" t="s">
        <v>118</v>
      </c>
      <c r="B1379" s="2" t="n">
        <v>10</v>
      </c>
      <c r="C1379" s="2" t="s">
        <v>83</v>
      </c>
      <c r="D1379" s="2" t="s">
        <v>44</v>
      </c>
      <c r="E1379" s="2" t="str">
        <f aca="false">INDEX(Products!$B$2:$B$13,MATCH(D1379,Products!$A$2:$A$13,0))</f>
        <v>Specialty</v>
      </c>
      <c r="F1379" s="15" t="n">
        <v>2.6</v>
      </c>
      <c r="G1379" s="16" t="n">
        <f aca="false">IF(A1379="2025",INDEX(Products!$C$2:$C$13,MATCH(D1379,Products!$A$2:$A$13,0)),INDEX(Products!$E$2:$E$13,MATCH(D1379,Products!$A$2:$A$13,0)))</f>
        <v>28970</v>
      </c>
      <c r="H1379" s="13" t="n">
        <f aca="false">IF(A1379="2025",INDEX(Customers!$D$2:$D$41,MATCH(C1379,Customers!$A$2:$A$41,0)),INDEX(Customers!$F$2:$F$41,MATCH(C1379,Customers!$A$2:$A$41,0)))</f>
        <v>0.056</v>
      </c>
      <c r="I1379" s="16" t="n">
        <f aca="false">F1379*G1379</f>
        <v>75322</v>
      </c>
      <c r="J1379" s="16" t="n">
        <f aca="false">I1379*(1-H1379)</f>
        <v>71103.968</v>
      </c>
      <c r="K1379" s="16" t="n">
        <f aca="false">J1379*INDEX(Customers!$G$2:$G$41,MATCH(C1379,Customers!$A$2:$A$41,0))</f>
        <v>2133.11904</v>
      </c>
      <c r="L1379" s="16" t="n">
        <f aca="false">F1379*INDEX(Customers!$H$2:$H$41,MATCH(C1379,Customers!$A$2:$A$41,0))</f>
        <v>1066</v>
      </c>
      <c r="M1379" s="16" t="n">
        <f aca="false">J1379*INDEX(Customers!$I$2:$I$41,MATCH(C1379,Customers!$A$2:$A$41,0))/365*Assumptions!$B$6</f>
        <v>467.532940273973</v>
      </c>
      <c r="N1379" s="16" t="n">
        <f aca="false">J1379-K1379-L1379-M1379</f>
        <v>67437.316019726</v>
      </c>
      <c r="O1379" s="16" t="n">
        <f aca="false">F1379*IF(A1379="2025",INDEX(Products!$D$2:$D$13,MATCH(D1379,Products!$A$2:$A$13,0)),INDEX(Products!$F$2:$F$13,MATCH(D1379,Products!$A$2:$A$13,0)))</f>
        <v>37206</v>
      </c>
      <c r="P1379" s="16" t="n">
        <f aca="false">N1379-O1379</f>
        <v>30231.316019726</v>
      </c>
    </row>
    <row r="1380" customFormat="false" ht="15" hidden="false" customHeight="false" outlineLevel="0" collapsed="false">
      <c r="A1380" s="2" t="s">
        <v>118</v>
      </c>
      <c r="B1380" s="2" t="n">
        <v>11</v>
      </c>
      <c r="C1380" s="2" t="s">
        <v>83</v>
      </c>
      <c r="D1380" s="2" t="s">
        <v>44</v>
      </c>
      <c r="E1380" s="2" t="str">
        <f aca="false">INDEX(Products!$B$2:$B$13,MATCH(D1380,Products!$A$2:$A$13,0))</f>
        <v>Specialty</v>
      </c>
      <c r="F1380" s="15" t="n">
        <v>2.3</v>
      </c>
      <c r="G1380" s="16" t="n">
        <f aca="false">IF(A1380="2025",INDEX(Products!$C$2:$C$13,MATCH(D1380,Products!$A$2:$A$13,0)),INDEX(Products!$E$2:$E$13,MATCH(D1380,Products!$A$2:$A$13,0)))</f>
        <v>28970</v>
      </c>
      <c r="H1380" s="13" t="n">
        <f aca="false">IF(A1380="2025",INDEX(Customers!$D$2:$D$41,MATCH(C1380,Customers!$A$2:$A$41,0)),INDEX(Customers!$F$2:$F$41,MATCH(C1380,Customers!$A$2:$A$41,0)))</f>
        <v>0.056</v>
      </c>
      <c r="I1380" s="16" t="n">
        <f aca="false">F1380*G1380</f>
        <v>66631</v>
      </c>
      <c r="J1380" s="16" t="n">
        <f aca="false">I1380*(1-H1380)</f>
        <v>62899.664</v>
      </c>
      <c r="K1380" s="16" t="n">
        <f aca="false">J1380*INDEX(Customers!$G$2:$G$41,MATCH(C1380,Customers!$A$2:$A$41,0))</f>
        <v>1886.98992</v>
      </c>
      <c r="L1380" s="16" t="n">
        <f aca="false">F1380*INDEX(Customers!$H$2:$H$41,MATCH(C1380,Customers!$A$2:$A$41,0))</f>
        <v>943</v>
      </c>
      <c r="M1380" s="16" t="n">
        <f aca="false">J1380*INDEX(Customers!$I$2:$I$41,MATCH(C1380,Customers!$A$2:$A$41,0))/365*Assumptions!$B$6</f>
        <v>413.586831780822</v>
      </c>
      <c r="N1380" s="16" t="n">
        <f aca="false">J1380-K1380-L1380-M1380</f>
        <v>59656.0872482192</v>
      </c>
      <c r="O1380" s="16" t="n">
        <f aca="false">F1380*IF(A1380="2025",INDEX(Products!$D$2:$D$13,MATCH(D1380,Products!$A$2:$A$13,0)),INDEX(Products!$F$2:$F$13,MATCH(D1380,Products!$A$2:$A$13,0)))</f>
        <v>32913</v>
      </c>
      <c r="P1380" s="16" t="n">
        <f aca="false">N1380-O1380</f>
        <v>26743.0872482192</v>
      </c>
    </row>
    <row r="1381" customFormat="false" ht="15" hidden="false" customHeight="false" outlineLevel="0" collapsed="false">
      <c r="A1381" s="2" t="s">
        <v>118</v>
      </c>
      <c r="B1381" s="2" t="n">
        <v>12</v>
      </c>
      <c r="C1381" s="2" t="s">
        <v>83</v>
      </c>
      <c r="D1381" s="2" t="s">
        <v>44</v>
      </c>
      <c r="E1381" s="2" t="str">
        <f aca="false">INDEX(Products!$B$2:$B$13,MATCH(D1381,Products!$A$2:$A$13,0))</f>
        <v>Specialty</v>
      </c>
      <c r="F1381" s="15" t="n">
        <v>3</v>
      </c>
      <c r="G1381" s="16" t="n">
        <f aca="false">IF(A1381="2025",INDEX(Products!$C$2:$C$13,MATCH(D1381,Products!$A$2:$A$13,0)),INDEX(Products!$E$2:$E$13,MATCH(D1381,Products!$A$2:$A$13,0)))</f>
        <v>28970</v>
      </c>
      <c r="H1381" s="13" t="n">
        <f aca="false">IF(A1381="2025",INDEX(Customers!$D$2:$D$41,MATCH(C1381,Customers!$A$2:$A$41,0)),INDEX(Customers!$F$2:$F$41,MATCH(C1381,Customers!$A$2:$A$41,0)))</f>
        <v>0.056</v>
      </c>
      <c r="I1381" s="16" t="n">
        <f aca="false">F1381*G1381</f>
        <v>86910</v>
      </c>
      <c r="J1381" s="16" t="n">
        <f aca="false">I1381*(1-H1381)</f>
        <v>82043.04</v>
      </c>
      <c r="K1381" s="16" t="n">
        <f aca="false">J1381*INDEX(Customers!$G$2:$G$41,MATCH(C1381,Customers!$A$2:$A$41,0))</f>
        <v>2461.2912</v>
      </c>
      <c r="L1381" s="16" t="n">
        <f aca="false">F1381*INDEX(Customers!$H$2:$H$41,MATCH(C1381,Customers!$A$2:$A$41,0))</f>
        <v>1230</v>
      </c>
      <c r="M1381" s="16" t="n">
        <f aca="false">J1381*INDEX(Customers!$I$2:$I$41,MATCH(C1381,Customers!$A$2:$A$41,0))/365*Assumptions!$B$6</f>
        <v>539.461084931507</v>
      </c>
      <c r="N1381" s="16" t="n">
        <f aca="false">J1381-K1381-L1381-M1381</f>
        <v>77812.2877150685</v>
      </c>
      <c r="O1381" s="16" t="n">
        <f aca="false">F1381*IF(A1381="2025",INDEX(Products!$D$2:$D$13,MATCH(D1381,Products!$A$2:$A$13,0)),INDEX(Products!$F$2:$F$13,MATCH(D1381,Products!$A$2:$A$13,0)))</f>
        <v>42930</v>
      </c>
      <c r="P1381" s="16" t="n">
        <f aca="false">N1381-O1381</f>
        <v>34882.2877150685</v>
      </c>
    </row>
    <row r="1382" customFormat="false" ht="15" hidden="false" customHeight="false" outlineLevel="0" collapsed="false">
      <c r="A1382" s="2" t="s">
        <v>119</v>
      </c>
      <c r="B1382" s="2" t="n">
        <v>1</v>
      </c>
      <c r="C1382" s="2" t="s">
        <v>83</v>
      </c>
      <c r="D1382" s="2" t="s">
        <v>44</v>
      </c>
      <c r="E1382" s="2" t="str">
        <f aca="false">INDEX(Products!$B$2:$B$13,MATCH(D1382,Products!$A$2:$A$13,0))</f>
        <v>Specialty</v>
      </c>
      <c r="F1382" s="15" t="n">
        <v>3.4</v>
      </c>
      <c r="G1382" s="16" t="n">
        <f aca="false">IF(A1382="2025",INDEX(Products!$C$2:$C$13,MATCH(D1382,Products!$A$2:$A$13,0)),INDEX(Products!$E$2:$E$13,MATCH(D1382,Products!$A$2:$A$13,0)))</f>
        <v>30418.5</v>
      </c>
      <c r="H1382" s="13" t="n">
        <f aca="false">IF(A1382="2025",INDEX(Customers!$D$2:$D$41,MATCH(C1382,Customers!$A$2:$A$41,0)),INDEX(Customers!$F$2:$F$41,MATCH(C1382,Customers!$A$2:$A$41,0)))</f>
        <v>0.056</v>
      </c>
      <c r="I1382" s="16" t="n">
        <f aca="false">F1382*G1382</f>
        <v>103422.9</v>
      </c>
      <c r="J1382" s="16" t="n">
        <f aca="false">I1382*(1-H1382)</f>
        <v>97631.2176</v>
      </c>
      <c r="K1382" s="16" t="n">
        <f aca="false">J1382*INDEX(Customers!$G$2:$G$41,MATCH(C1382,Customers!$A$2:$A$41,0))</f>
        <v>2928.936528</v>
      </c>
      <c r="L1382" s="16" t="n">
        <f aca="false">F1382*INDEX(Customers!$H$2:$H$41,MATCH(C1382,Customers!$A$2:$A$41,0))</f>
        <v>1394</v>
      </c>
      <c r="M1382" s="16" t="n">
        <f aca="false">J1382*INDEX(Customers!$I$2:$I$41,MATCH(C1382,Customers!$A$2:$A$41,0))/365*Assumptions!$B$6</f>
        <v>641.958691068493</v>
      </c>
      <c r="N1382" s="16" t="n">
        <f aca="false">J1382-K1382-L1382-M1382</f>
        <v>92666.3223809315</v>
      </c>
      <c r="O1382" s="16" t="n">
        <f aca="false">F1382*IF(A1382="2025",INDEX(Products!$D$2:$D$13,MATCH(D1382,Products!$A$2:$A$13,0)),INDEX(Products!$F$2:$F$13,MATCH(D1382,Products!$A$2:$A$13,0)))</f>
        <v>50113.62</v>
      </c>
      <c r="P1382" s="16" t="n">
        <f aca="false">N1382-O1382</f>
        <v>42552.7023809315</v>
      </c>
    </row>
    <row r="1383" customFormat="false" ht="15" hidden="false" customHeight="false" outlineLevel="0" collapsed="false">
      <c r="A1383" s="2" t="s">
        <v>119</v>
      </c>
      <c r="B1383" s="2" t="n">
        <v>2</v>
      </c>
      <c r="C1383" s="2" t="s">
        <v>83</v>
      </c>
      <c r="D1383" s="2" t="s">
        <v>44</v>
      </c>
      <c r="E1383" s="2" t="str">
        <f aca="false">INDEX(Products!$B$2:$B$13,MATCH(D1383,Products!$A$2:$A$13,0))</f>
        <v>Specialty</v>
      </c>
      <c r="F1383" s="15" t="n">
        <v>3.1</v>
      </c>
      <c r="G1383" s="16" t="n">
        <f aca="false">IF(A1383="2025",INDEX(Products!$C$2:$C$13,MATCH(D1383,Products!$A$2:$A$13,0)),INDEX(Products!$E$2:$E$13,MATCH(D1383,Products!$A$2:$A$13,0)))</f>
        <v>30418.5</v>
      </c>
      <c r="H1383" s="13" t="n">
        <f aca="false">IF(A1383="2025",INDEX(Customers!$D$2:$D$41,MATCH(C1383,Customers!$A$2:$A$41,0)),INDEX(Customers!$F$2:$F$41,MATCH(C1383,Customers!$A$2:$A$41,0)))</f>
        <v>0.056</v>
      </c>
      <c r="I1383" s="16" t="n">
        <f aca="false">F1383*G1383</f>
        <v>94297.35</v>
      </c>
      <c r="J1383" s="16" t="n">
        <f aca="false">I1383*(1-H1383)</f>
        <v>89016.6984</v>
      </c>
      <c r="K1383" s="16" t="n">
        <f aca="false">J1383*INDEX(Customers!$G$2:$G$41,MATCH(C1383,Customers!$A$2:$A$41,0))</f>
        <v>2670.500952</v>
      </c>
      <c r="L1383" s="16" t="n">
        <f aca="false">F1383*INDEX(Customers!$H$2:$H$41,MATCH(C1383,Customers!$A$2:$A$41,0))</f>
        <v>1271</v>
      </c>
      <c r="M1383" s="16" t="n">
        <f aca="false">J1383*INDEX(Customers!$I$2:$I$41,MATCH(C1383,Customers!$A$2:$A$41,0))/365*Assumptions!$B$6</f>
        <v>585.315277150685</v>
      </c>
      <c r="N1383" s="16" t="n">
        <f aca="false">J1383-K1383-L1383-M1383</f>
        <v>84489.8821708493</v>
      </c>
      <c r="O1383" s="16" t="n">
        <f aca="false">F1383*IF(A1383="2025",INDEX(Products!$D$2:$D$13,MATCH(D1383,Products!$A$2:$A$13,0)),INDEX(Products!$F$2:$F$13,MATCH(D1383,Products!$A$2:$A$13,0)))</f>
        <v>45691.83</v>
      </c>
      <c r="P1383" s="16" t="n">
        <f aca="false">N1383-O1383</f>
        <v>38798.0521708493</v>
      </c>
    </row>
    <row r="1384" customFormat="false" ht="15" hidden="false" customHeight="false" outlineLevel="0" collapsed="false">
      <c r="A1384" s="2" t="s">
        <v>119</v>
      </c>
      <c r="B1384" s="2" t="n">
        <v>3</v>
      </c>
      <c r="C1384" s="2" t="s">
        <v>83</v>
      </c>
      <c r="D1384" s="2" t="s">
        <v>44</v>
      </c>
      <c r="E1384" s="2" t="str">
        <f aca="false">INDEX(Products!$B$2:$B$13,MATCH(D1384,Products!$A$2:$A$13,0))</f>
        <v>Specialty</v>
      </c>
      <c r="F1384" s="15" t="n">
        <v>4.3</v>
      </c>
      <c r="G1384" s="16" t="n">
        <f aca="false">IF(A1384="2025",INDEX(Products!$C$2:$C$13,MATCH(D1384,Products!$A$2:$A$13,0)),INDEX(Products!$E$2:$E$13,MATCH(D1384,Products!$A$2:$A$13,0)))</f>
        <v>30418.5</v>
      </c>
      <c r="H1384" s="13" t="n">
        <f aca="false">IF(A1384="2025",INDEX(Customers!$D$2:$D$41,MATCH(C1384,Customers!$A$2:$A$41,0)),INDEX(Customers!$F$2:$F$41,MATCH(C1384,Customers!$A$2:$A$41,0)))</f>
        <v>0.056</v>
      </c>
      <c r="I1384" s="16" t="n">
        <f aca="false">F1384*G1384</f>
        <v>130799.55</v>
      </c>
      <c r="J1384" s="16" t="n">
        <f aca="false">I1384*(1-H1384)</f>
        <v>123474.7752</v>
      </c>
      <c r="K1384" s="16" t="n">
        <f aca="false">J1384*INDEX(Customers!$G$2:$G$41,MATCH(C1384,Customers!$A$2:$A$41,0))</f>
        <v>3704.243256</v>
      </c>
      <c r="L1384" s="16" t="n">
        <f aca="false">F1384*INDEX(Customers!$H$2:$H$41,MATCH(C1384,Customers!$A$2:$A$41,0))</f>
        <v>1763</v>
      </c>
      <c r="M1384" s="16" t="n">
        <f aca="false">J1384*INDEX(Customers!$I$2:$I$41,MATCH(C1384,Customers!$A$2:$A$41,0))/365*Assumptions!$B$6</f>
        <v>811.888932821918</v>
      </c>
      <c r="N1384" s="16" t="n">
        <f aca="false">J1384-K1384-L1384-M1384</f>
        <v>117195.643011178</v>
      </c>
      <c r="O1384" s="16" t="n">
        <f aca="false">F1384*IF(A1384="2025",INDEX(Products!$D$2:$D$13,MATCH(D1384,Products!$A$2:$A$13,0)),INDEX(Products!$F$2:$F$13,MATCH(D1384,Products!$A$2:$A$13,0)))</f>
        <v>63378.99</v>
      </c>
      <c r="P1384" s="16" t="n">
        <f aca="false">N1384-O1384</f>
        <v>53816.6530111781</v>
      </c>
    </row>
    <row r="1385" customFormat="false" ht="15" hidden="false" customHeight="false" outlineLevel="0" collapsed="false">
      <c r="A1385" s="2" t="s">
        <v>119</v>
      </c>
      <c r="B1385" s="2" t="n">
        <v>4</v>
      </c>
      <c r="C1385" s="2" t="s">
        <v>83</v>
      </c>
      <c r="D1385" s="2" t="s">
        <v>44</v>
      </c>
      <c r="E1385" s="2" t="str">
        <f aca="false">INDEX(Products!$B$2:$B$13,MATCH(D1385,Products!$A$2:$A$13,0))</f>
        <v>Specialty</v>
      </c>
      <c r="F1385" s="15" t="n">
        <v>4.5</v>
      </c>
      <c r="G1385" s="16" t="n">
        <f aca="false">IF(A1385="2025",INDEX(Products!$C$2:$C$13,MATCH(D1385,Products!$A$2:$A$13,0)),INDEX(Products!$E$2:$E$13,MATCH(D1385,Products!$A$2:$A$13,0)))</f>
        <v>30418.5</v>
      </c>
      <c r="H1385" s="13" t="n">
        <f aca="false">IF(A1385="2025",INDEX(Customers!$D$2:$D$41,MATCH(C1385,Customers!$A$2:$A$41,0)),INDEX(Customers!$F$2:$F$41,MATCH(C1385,Customers!$A$2:$A$41,0)))</f>
        <v>0.056</v>
      </c>
      <c r="I1385" s="16" t="n">
        <f aca="false">F1385*G1385</f>
        <v>136883.25</v>
      </c>
      <c r="J1385" s="16" t="n">
        <f aca="false">I1385*(1-H1385)</f>
        <v>129217.788</v>
      </c>
      <c r="K1385" s="16" t="n">
        <f aca="false">J1385*INDEX(Customers!$G$2:$G$41,MATCH(C1385,Customers!$A$2:$A$41,0))</f>
        <v>3876.53364</v>
      </c>
      <c r="L1385" s="16" t="n">
        <f aca="false">F1385*INDEX(Customers!$H$2:$H$41,MATCH(C1385,Customers!$A$2:$A$41,0))</f>
        <v>1845</v>
      </c>
      <c r="M1385" s="16" t="n">
        <f aca="false">J1385*INDEX(Customers!$I$2:$I$41,MATCH(C1385,Customers!$A$2:$A$41,0))/365*Assumptions!$B$6</f>
        <v>849.651208767123</v>
      </c>
      <c r="N1385" s="16" t="n">
        <f aca="false">J1385-K1385-L1385-M1385</f>
        <v>122646.603151233</v>
      </c>
      <c r="O1385" s="16" t="n">
        <f aca="false">F1385*IF(A1385="2025",INDEX(Products!$D$2:$D$13,MATCH(D1385,Products!$A$2:$A$13,0)),INDEX(Products!$F$2:$F$13,MATCH(D1385,Products!$A$2:$A$13,0)))</f>
        <v>66326.85</v>
      </c>
      <c r="P1385" s="16" t="n">
        <f aca="false">N1385-O1385</f>
        <v>56319.7531512329</v>
      </c>
    </row>
    <row r="1386" customFormat="false" ht="15" hidden="false" customHeight="false" outlineLevel="0" collapsed="false">
      <c r="A1386" s="2" t="s">
        <v>119</v>
      </c>
      <c r="B1386" s="2" t="n">
        <v>5</v>
      </c>
      <c r="C1386" s="2" t="s">
        <v>83</v>
      </c>
      <c r="D1386" s="2" t="s">
        <v>44</v>
      </c>
      <c r="E1386" s="2" t="str">
        <f aca="false">INDEX(Products!$B$2:$B$13,MATCH(D1386,Products!$A$2:$A$13,0))</f>
        <v>Specialty</v>
      </c>
      <c r="F1386" s="15" t="n">
        <v>4.1</v>
      </c>
      <c r="G1386" s="16" t="n">
        <f aca="false">IF(A1386="2025",INDEX(Products!$C$2:$C$13,MATCH(D1386,Products!$A$2:$A$13,0)),INDEX(Products!$E$2:$E$13,MATCH(D1386,Products!$A$2:$A$13,0)))</f>
        <v>30418.5</v>
      </c>
      <c r="H1386" s="13" t="n">
        <f aca="false">IF(A1386="2025",INDEX(Customers!$D$2:$D$41,MATCH(C1386,Customers!$A$2:$A$41,0)),INDEX(Customers!$F$2:$F$41,MATCH(C1386,Customers!$A$2:$A$41,0)))</f>
        <v>0.056</v>
      </c>
      <c r="I1386" s="16" t="n">
        <f aca="false">F1386*G1386</f>
        <v>124715.85</v>
      </c>
      <c r="J1386" s="16" t="n">
        <f aca="false">I1386*(1-H1386)</f>
        <v>117731.7624</v>
      </c>
      <c r="K1386" s="16" t="n">
        <f aca="false">J1386*INDEX(Customers!$G$2:$G$41,MATCH(C1386,Customers!$A$2:$A$41,0))</f>
        <v>3531.952872</v>
      </c>
      <c r="L1386" s="16" t="n">
        <f aca="false">F1386*INDEX(Customers!$H$2:$H$41,MATCH(C1386,Customers!$A$2:$A$41,0))</f>
        <v>1681</v>
      </c>
      <c r="M1386" s="16" t="n">
        <f aca="false">J1386*INDEX(Customers!$I$2:$I$41,MATCH(C1386,Customers!$A$2:$A$41,0))/365*Assumptions!$B$6</f>
        <v>774.126656876712</v>
      </c>
      <c r="N1386" s="16" t="n">
        <f aca="false">J1386-K1386-L1386-M1386</f>
        <v>111744.682871123</v>
      </c>
      <c r="O1386" s="16" t="n">
        <f aca="false">F1386*IF(A1386="2025",INDEX(Products!$D$2:$D$13,MATCH(D1386,Products!$A$2:$A$13,0)),INDEX(Products!$F$2:$F$13,MATCH(D1386,Products!$A$2:$A$13,0)))</f>
        <v>60431.13</v>
      </c>
      <c r="P1386" s="16" t="n">
        <f aca="false">N1386-O1386</f>
        <v>51313.5528711233</v>
      </c>
    </row>
    <row r="1387" customFormat="false" ht="15" hidden="false" customHeight="false" outlineLevel="0" collapsed="false">
      <c r="A1387" s="2" t="s">
        <v>119</v>
      </c>
      <c r="B1387" s="2" t="n">
        <v>6</v>
      </c>
      <c r="C1387" s="2" t="s">
        <v>83</v>
      </c>
      <c r="D1387" s="2" t="s">
        <v>44</v>
      </c>
      <c r="E1387" s="2" t="str">
        <f aca="false">INDEX(Products!$B$2:$B$13,MATCH(D1387,Products!$A$2:$A$13,0))</f>
        <v>Specialty</v>
      </c>
      <c r="F1387" s="15" t="n">
        <v>4.4</v>
      </c>
      <c r="G1387" s="16" t="n">
        <f aca="false">IF(A1387="2025",INDEX(Products!$C$2:$C$13,MATCH(D1387,Products!$A$2:$A$13,0)),INDEX(Products!$E$2:$E$13,MATCH(D1387,Products!$A$2:$A$13,0)))</f>
        <v>30418.5</v>
      </c>
      <c r="H1387" s="13" t="n">
        <f aca="false">IF(A1387="2025",INDEX(Customers!$D$2:$D$41,MATCH(C1387,Customers!$A$2:$A$41,0)),INDEX(Customers!$F$2:$F$41,MATCH(C1387,Customers!$A$2:$A$41,0)))</f>
        <v>0.056</v>
      </c>
      <c r="I1387" s="16" t="n">
        <f aca="false">F1387*G1387</f>
        <v>133841.4</v>
      </c>
      <c r="J1387" s="16" t="n">
        <f aca="false">I1387*(1-H1387)</f>
        <v>126346.2816</v>
      </c>
      <c r="K1387" s="16" t="n">
        <f aca="false">J1387*INDEX(Customers!$G$2:$G$41,MATCH(C1387,Customers!$A$2:$A$41,0))</f>
        <v>3790.388448</v>
      </c>
      <c r="L1387" s="16" t="n">
        <f aca="false">F1387*INDEX(Customers!$H$2:$H$41,MATCH(C1387,Customers!$A$2:$A$41,0))</f>
        <v>1804</v>
      </c>
      <c r="M1387" s="16" t="n">
        <f aca="false">J1387*INDEX(Customers!$I$2:$I$41,MATCH(C1387,Customers!$A$2:$A$41,0))/365*Assumptions!$B$6</f>
        <v>830.770070794521</v>
      </c>
      <c r="N1387" s="16" t="n">
        <f aca="false">J1387-K1387-L1387-M1387</f>
        <v>119921.123081206</v>
      </c>
      <c r="O1387" s="16" t="n">
        <f aca="false">F1387*IF(A1387="2025",INDEX(Products!$D$2:$D$13,MATCH(D1387,Products!$A$2:$A$13,0)),INDEX(Products!$F$2:$F$13,MATCH(D1387,Products!$A$2:$A$13,0)))</f>
        <v>64852.92</v>
      </c>
      <c r="P1387" s="16" t="n">
        <f aca="false">N1387-O1387</f>
        <v>55068.2030812055</v>
      </c>
    </row>
    <row r="1388" customFormat="false" ht="15" hidden="false" customHeight="false" outlineLevel="0" collapsed="false">
      <c r="A1388" s="2" t="s">
        <v>119</v>
      </c>
      <c r="B1388" s="2" t="n">
        <v>7</v>
      </c>
      <c r="C1388" s="2" t="s">
        <v>83</v>
      </c>
      <c r="D1388" s="2" t="s">
        <v>44</v>
      </c>
      <c r="E1388" s="2" t="str">
        <f aca="false">INDEX(Products!$B$2:$B$13,MATCH(D1388,Products!$A$2:$A$13,0))</f>
        <v>Specialty</v>
      </c>
      <c r="F1388" s="15" t="n">
        <v>3.7</v>
      </c>
      <c r="G1388" s="16" t="n">
        <f aca="false">IF(A1388="2025",INDEX(Products!$C$2:$C$13,MATCH(D1388,Products!$A$2:$A$13,0)),INDEX(Products!$E$2:$E$13,MATCH(D1388,Products!$A$2:$A$13,0)))</f>
        <v>30418.5</v>
      </c>
      <c r="H1388" s="13" t="n">
        <f aca="false">IF(A1388="2025",INDEX(Customers!$D$2:$D$41,MATCH(C1388,Customers!$A$2:$A$41,0)),INDEX(Customers!$F$2:$F$41,MATCH(C1388,Customers!$A$2:$A$41,0)))</f>
        <v>0.056</v>
      </c>
      <c r="I1388" s="16" t="n">
        <f aca="false">F1388*G1388</f>
        <v>112548.45</v>
      </c>
      <c r="J1388" s="16" t="n">
        <f aca="false">I1388*(1-H1388)</f>
        <v>106245.7368</v>
      </c>
      <c r="K1388" s="16" t="n">
        <f aca="false">J1388*INDEX(Customers!$G$2:$G$41,MATCH(C1388,Customers!$A$2:$A$41,0))</f>
        <v>3187.372104</v>
      </c>
      <c r="L1388" s="16" t="n">
        <f aca="false">F1388*INDEX(Customers!$H$2:$H$41,MATCH(C1388,Customers!$A$2:$A$41,0))</f>
        <v>1517</v>
      </c>
      <c r="M1388" s="16" t="n">
        <f aca="false">J1388*INDEX(Customers!$I$2:$I$41,MATCH(C1388,Customers!$A$2:$A$41,0))/365*Assumptions!$B$6</f>
        <v>698.602104986301</v>
      </c>
      <c r="N1388" s="16" t="n">
        <f aca="false">J1388-K1388-L1388-M1388</f>
        <v>100842.762591014</v>
      </c>
      <c r="O1388" s="16" t="n">
        <f aca="false">F1388*IF(A1388="2025",INDEX(Products!$D$2:$D$13,MATCH(D1388,Products!$A$2:$A$13,0)),INDEX(Products!$F$2:$F$13,MATCH(D1388,Products!$A$2:$A$13,0)))</f>
        <v>54535.41</v>
      </c>
      <c r="P1388" s="16" t="n">
        <f aca="false">N1388-O1388</f>
        <v>46307.3525910137</v>
      </c>
    </row>
    <row r="1389" customFormat="false" ht="15" hidden="false" customHeight="false" outlineLevel="0" collapsed="false">
      <c r="A1389" s="2" t="s">
        <v>119</v>
      </c>
      <c r="B1389" s="2" t="n">
        <v>8</v>
      </c>
      <c r="C1389" s="2" t="s">
        <v>83</v>
      </c>
      <c r="D1389" s="2" t="s">
        <v>44</v>
      </c>
      <c r="E1389" s="2" t="str">
        <f aca="false">INDEX(Products!$B$2:$B$13,MATCH(D1389,Products!$A$2:$A$13,0))</f>
        <v>Specialty</v>
      </c>
      <c r="F1389" s="15" t="n">
        <v>3</v>
      </c>
      <c r="G1389" s="16" t="n">
        <f aca="false">IF(A1389="2025",INDEX(Products!$C$2:$C$13,MATCH(D1389,Products!$A$2:$A$13,0)),INDEX(Products!$E$2:$E$13,MATCH(D1389,Products!$A$2:$A$13,0)))</f>
        <v>30418.5</v>
      </c>
      <c r="H1389" s="13" t="n">
        <f aca="false">IF(A1389="2025",INDEX(Customers!$D$2:$D$41,MATCH(C1389,Customers!$A$2:$A$41,0)),INDEX(Customers!$F$2:$F$41,MATCH(C1389,Customers!$A$2:$A$41,0)))</f>
        <v>0.056</v>
      </c>
      <c r="I1389" s="16" t="n">
        <f aca="false">F1389*G1389</f>
        <v>91255.5</v>
      </c>
      <c r="J1389" s="16" t="n">
        <f aca="false">I1389*(1-H1389)</f>
        <v>86145.192</v>
      </c>
      <c r="K1389" s="16" t="n">
        <f aca="false">J1389*INDEX(Customers!$G$2:$G$41,MATCH(C1389,Customers!$A$2:$A$41,0))</f>
        <v>2584.35576</v>
      </c>
      <c r="L1389" s="16" t="n">
        <f aca="false">F1389*INDEX(Customers!$H$2:$H$41,MATCH(C1389,Customers!$A$2:$A$41,0))</f>
        <v>1230</v>
      </c>
      <c r="M1389" s="16" t="n">
        <f aca="false">J1389*INDEX(Customers!$I$2:$I$41,MATCH(C1389,Customers!$A$2:$A$41,0))/365*Assumptions!$B$6</f>
        <v>566.434139178082</v>
      </c>
      <c r="N1389" s="16" t="n">
        <f aca="false">J1389-K1389-L1389-M1389</f>
        <v>81764.4021008219</v>
      </c>
      <c r="O1389" s="16" t="n">
        <f aca="false">F1389*IF(A1389="2025",INDEX(Products!$D$2:$D$13,MATCH(D1389,Products!$A$2:$A$13,0)),INDEX(Products!$F$2:$F$13,MATCH(D1389,Products!$A$2:$A$13,0)))</f>
        <v>44217.9</v>
      </c>
      <c r="P1389" s="16" t="n">
        <f aca="false">N1389-O1389</f>
        <v>37546.5021008219</v>
      </c>
    </row>
    <row r="1390" customFormat="false" ht="15" hidden="false" customHeight="false" outlineLevel="0" collapsed="false">
      <c r="A1390" s="2" t="s">
        <v>119</v>
      </c>
      <c r="B1390" s="2" t="n">
        <v>9</v>
      </c>
      <c r="C1390" s="2" t="s">
        <v>83</v>
      </c>
      <c r="D1390" s="2" t="s">
        <v>44</v>
      </c>
      <c r="E1390" s="2" t="str">
        <f aca="false">INDEX(Products!$B$2:$B$13,MATCH(D1390,Products!$A$2:$A$13,0))</f>
        <v>Specialty</v>
      </c>
      <c r="F1390" s="15" t="n">
        <v>4.3</v>
      </c>
      <c r="G1390" s="16" t="n">
        <f aca="false">IF(A1390="2025",INDEX(Products!$C$2:$C$13,MATCH(D1390,Products!$A$2:$A$13,0)),INDEX(Products!$E$2:$E$13,MATCH(D1390,Products!$A$2:$A$13,0)))</f>
        <v>30418.5</v>
      </c>
      <c r="H1390" s="13" t="n">
        <f aca="false">IF(A1390="2025",INDEX(Customers!$D$2:$D$41,MATCH(C1390,Customers!$A$2:$A$41,0)),INDEX(Customers!$F$2:$F$41,MATCH(C1390,Customers!$A$2:$A$41,0)))</f>
        <v>0.056</v>
      </c>
      <c r="I1390" s="16" t="n">
        <f aca="false">F1390*G1390</f>
        <v>130799.55</v>
      </c>
      <c r="J1390" s="16" t="n">
        <f aca="false">I1390*(1-H1390)</f>
        <v>123474.7752</v>
      </c>
      <c r="K1390" s="16" t="n">
        <f aca="false">J1390*INDEX(Customers!$G$2:$G$41,MATCH(C1390,Customers!$A$2:$A$41,0))</f>
        <v>3704.243256</v>
      </c>
      <c r="L1390" s="16" t="n">
        <f aca="false">F1390*INDEX(Customers!$H$2:$H$41,MATCH(C1390,Customers!$A$2:$A$41,0))</f>
        <v>1763</v>
      </c>
      <c r="M1390" s="16" t="n">
        <f aca="false">J1390*INDEX(Customers!$I$2:$I$41,MATCH(C1390,Customers!$A$2:$A$41,0))/365*Assumptions!$B$6</f>
        <v>811.888932821918</v>
      </c>
      <c r="N1390" s="16" t="n">
        <f aca="false">J1390-K1390-L1390-M1390</f>
        <v>117195.643011178</v>
      </c>
      <c r="O1390" s="16" t="n">
        <f aca="false">F1390*IF(A1390="2025",INDEX(Products!$D$2:$D$13,MATCH(D1390,Products!$A$2:$A$13,0)),INDEX(Products!$F$2:$F$13,MATCH(D1390,Products!$A$2:$A$13,0)))</f>
        <v>63378.99</v>
      </c>
      <c r="P1390" s="16" t="n">
        <f aca="false">N1390-O1390</f>
        <v>53816.6530111781</v>
      </c>
    </row>
    <row r="1391" customFormat="false" ht="15" hidden="false" customHeight="false" outlineLevel="0" collapsed="false">
      <c r="A1391" s="2" t="s">
        <v>119</v>
      </c>
      <c r="B1391" s="2" t="n">
        <v>10</v>
      </c>
      <c r="C1391" s="2" t="s">
        <v>83</v>
      </c>
      <c r="D1391" s="2" t="s">
        <v>44</v>
      </c>
      <c r="E1391" s="2" t="str">
        <f aca="false">INDEX(Products!$B$2:$B$13,MATCH(D1391,Products!$A$2:$A$13,0))</f>
        <v>Specialty</v>
      </c>
      <c r="F1391" s="15" t="n">
        <v>4</v>
      </c>
      <c r="G1391" s="16" t="n">
        <f aca="false">IF(A1391="2025",INDEX(Products!$C$2:$C$13,MATCH(D1391,Products!$A$2:$A$13,0)),INDEX(Products!$E$2:$E$13,MATCH(D1391,Products!$A$2:$A$13,0)))</f>
        <v>30418.5</v>
      </c>
      <c r="H1391" s="13" t="n">
        <f aca="false">IF(A1391="2025",INDEX(Customers!$D$2:$D$41,MATCH(C1391,Customers!$A$2:$A$41,0)),INDEX(Customers!$F$2:$F$41,MATCH(C1391,Customers!$A$2:$A$41,0)))</f>
        <v>0.056</v>
      </c>
      <c r="I1391" s="16" t="n">
        <f aca="false">F1391*G1391</f>
        <v>121674</v>
      </c>
      <c r="J1391" s="16" t="n">
        <f aca="false">I1391*(1-H1391)</f>
        <v>114860.256</v>
      </c>
      <c r="K1391" s="16" t="n">
        <f aca="false">J1391*INDEX(Customers!$G$2:$G$41,MATCH(C1391,Customers!$A$2:$A$41,0))</f>
        <v>3445.80768</v>
      </c>
      <c r="L1391" s="16" t="n">
        <f aca="false">F1391*INDEX(Customers!$H$2:$H$41,MATCH(C1391,Customers!$A$2:$A$41,0))</f>
        <v>1640</v>
      </c>
      <c r="M1391" s="16" t="n">
        <f aca="false">J1391*INDEX(Customers!$I$2:$I$41,MATCH(C1391,Customers!$A$2:$A$41,0))/365*Assumptions!$B$6</f>
        <v>755.24551890411</v>
      </c>
      <c r="N1391" s="16" t="n">
        <f aca="false">J1391-K1391-L1391-M1391</f>
        <v>109019.202801096</v>
      </c>
      <c r="O1391" s="16" t="n">
        <f aca="false">F1391*IF(A1391="2025",INDEX(Products!$D$2:$D$13,MATCH(D1391,Products!$A$2:$A$13,0)),INDEX(Products!$F$2:$F$13,MATCH(D1391,Products!$A$2:$A$13,0)))</f>
        <v>58957.2</v>
      </c>
      <c r="P1391" s="16" t="n">
        <f aca="false">N1391-O1391</f>
        <v>50062.0028010959</v>
      </c>
    </row>
    <row r="1392" customFormat="false" ht="15" hidden="false" customHeight="false" outlineLevel="0" collapsed="false">
      <c r="A1392" s="2" t="s">
        <v>119</v>
      </c>
      <c r="B1392" s="2" t="n">
        <v>11</v>
      </c>
      <c r="C1392" s="2" t="s">
        <v>83</v>
      </c>
      <c r="D1392" s="2" t="s">
        <v>44</v>
      </c>
      <c r="E1392" s="2" t="str">
        <f aca="false">INDEX(Products!$B$2:$B$13,MATCH(D1392,Products!$A$2:$A$13,0))</f>
        <v>Specialty</v>
      </c>
      <c r="F1392" s="15" t="n">
        <v>2.8</v>
      </c>
      <c r="G1392" s="16" t="n">
        <f aca="false">IF(A1392="2025",INDEX(Products!$C$2:$C$13,MATCH(D1392,Products!$A$2:$A$13,0)),INDEX(Products!$E$2:$E$13,MATCH(D1392,Products!$A$2:$A$13,0)))</f>
        <v>30418.5</v>
      </c>
      <c r="H1392" s="13" t="n">
        <f aca="false">IF(A1392="2025",INDEX(Customers!$D$2:$D$41,MATCH(C1392,Customers!$A$2:$A$41,0)),INDEX(Customers!$F$2:$F$41,MATCH(C1392,Customers!$A$2:$A$41,0)))</f>
        <v>0.056</v>
      </c>
      <c r="I1392" s="16" t="n">
        <f aca="false">F1392*G1392</f>
        <v>85171.8</v>
      </c>
      <c r="J1392" s="16" t="n">
        <f aca="false">I1392*(1-H1392)</f>
        <v>80402.1792</v>
      </c>
      <c r="K1392" s="16" t="n">
        <f aca="false">J1392*INDEX(Customers!$G$2:$G$41,MATCH(C1392,Customers!$A$2:$A$41,0))</f>
        <v>2412.065376</v>
      </c>
      <c r="L1392" s="16" t="n">
        <f aca="false">F1392*INDEX(Customers!$H$2:$H$41,MATCH(C1392,Customers!$A$2:$A$41,0))</f>
        <v>1148</v>
      </c>
      <c r="M1392" s="16" t="n">
        <f aca="false">J1392*INDEX(Customers!$I$2:$I$41,MATCH(C1392,Customers!$A$2:$A$41,0))/365*Assumptions!$B$6</f>
        <v>528.671863232877</v>
      </c>
      <c r="N1392" s="16" t="n">
        <f aca="false">J1392-K1392-L1392-M1392</f>
        <v>76313.4419607671</v>
      </c>
      <c r="O1392" s="16" t="n">
        <f aca="false">F1392*IF(A1392="2025",INDEX(Products!$D$2:$D$13,MATCH(D1392,Products!$A$2:$A$13,0)),INDEX(Products!$F$2:$F$13,MATCH(D1392,Products!$A$2:$A$13,0)))</f>
        <v>41270.04</v>
      </c>
      <c r="P1392" s="16" t="n">
        <f aca="false">N1392-O1392</f>
        <v>35043.4019607671</v>
      </c>
    </row>
    <row r="1393" customFormat="false" ht="15" hidden="false" customHeight="false" outlineLevel="0" collapsed="false">
      <c r="A1393" s="2" t="s">
        <v>119</v>
      </c>
      <c r="B1393" s="2" t="n">
        <v>12</v>
      </c>
      <c r="C1393" s="2" t="s">
        <v>83</v>
      </c>
      <c r="D1393" s="2" t="s">
        <v>44</v>
      </c>
      <c r="E1393" s="2" t="str">
        <f aca="false">INDEX(Products!$B$2:$B$13,MATCH(D1393,Products!$A$2:$A$13,0))</f>
        <v>Specialty</v>
      </c>
      <c r="F1393" s="15" t="n">
        <v>4.6</v>
      </c>
      <c r="G1393" s="16" t="n">
        <f aca="false">IF(A1393="2025",INDEX(Products!$C$2:$C$13,MATCH(D1393,Products!$A$2:$A$13,0)),INDEX(Products!$E$2:$E$13,MATCH(D1393,Products!$A$2:$A$13,0)))</f>
        <v>30418.5</v>
      </c>
      <c r="H1393" s="13" t="n">
        <f aca="false">IF(A1393="2025",INDEX(Customers!$D$2:$D$41,MATCH(C1393,Customers!$A$2:$A$41,0)),INDEX(Customers!$F$2:$F$41,MATCH(C1393,Customers!$A$2:$A$41,0)))</f>
        <v>0.056</v>
      </c>
      <c r="I1393" s="16" t="n">
        <f aca="false">F1393*G1393</f>
        <v>139925.1</v>
      </c>
      <c r="J1393" s="16" t="n">
        <f aca="false">I1393*(1-H1393)</f>
        <v>132089.2944</v>
      </c>
      <c r="K1393" s="16" t="n">
        <f aca="false">J1393*INDEX(Customers!$G$2:$G$41,MATCH(C1393,Customers!$A$2:$A$41,0))</f>
        <v>3962.678832</v>
      </c>
      <c r="L1393" s="16" t="n">
        <f aca="false">F1393*INDEX(Customers!$H$2:$H$41,MATCH(C1393,Customers!$A$2:$A$41,0))</f>
        <v>1886</v>
      </c>
      <c r="M1393" s="16" t="n">
        <f aca="false">J1393*INDEX(Customers!$I$2:$I$41,MATCH(C1393,Customers!$A$2:$A$41,0))/365*Assumptions!$B$6</f>
        <v>868.532346739726</v>
      </c>
      <c r="N1393" s="16" t="n">
        <f aca="false">J1393-K1393-L1393-M1393</f>
        <v>125372.08322126</v>
      </c>
      <c r="O1393" s="16" t="n">
        <f aca="false">F1393*IF(A1393="2025",INDEX(Products!$D$2:$D$13,MATCH(D1393,Products!$A$2:$A$13,0)),INDEX(Products!$F$2:$F$13,MATCH(D1393,Products!$A$2:$A$13,0)))</f>
        <v>67800.78</v>
      </c>
      <c r="P1393" s="16" t="n">
        <f aca="false">N1393-O1393</f>
        <v>57571.3032212603</v>
      </c>
    </row>
    <row r="1394" customFormat="false" ht="15" hidden="false" customHeight="false" outlineLevel="0" collapsed="false">
      <c r="A1394" s="2" t="s">
        <v>118</v>
      </c>
      <c r="B1394" s="2" t="n">
        <v>1</v>
      </c>
      <c r="C1394" s="2" t="s">
        <v>84</v>
      </c>
      <c r="D1394" s="2" t="s">
        <v>34</v>
      </c>
      <c r="E1394" s="2" t="str">
        <f aca="false">INDEX(Products!$B$2:$B$13,MATCH(D1394,Products!$A$2:$A$13,0))</f>
        <v>FCC</v>
      </c>
      <c r="F1394" s="15" t="n">
        <v>8.3</v>
      </c>
      <c r="G1394" s="16" t="n">
        <f aca="false">IF(A1394="2025",INDEX(Products!$C$2:$C$13,MATCH(D1394,Products!$A$2:$A$13,0)),INDEX(Products!$E$2:$E$13,MATCH(D1394,Products!$A$2:$A$13,0)))</f>
        <v>3270</v>
      </c>
      <c r="H1394" s="13" t="n">
        <f aca="false">IF(A1394="2025",INDEX(Customers!$D$2:$D$41,MATCH(C1394,Customers!$A$2:$A$41,0)),INDEX(Customers!$F$2:$F$41,MATCH(C1394,Customers!$A$2:$A$41,0)))</f>
        <v>0.036</v>
      </c>
      <c r="I1394" s="16" t="n">
        <f aca="false">F1394*G1394</f>
        <v>27141</v>
      </c>
      <c r="J1394" s="16" t="n">
        <f aca="false">I1394*(1-H1394)</f>
        <v>26163.924</v>
      </c>
      <c r="K1394" s="16" t="n">
        <f aca="false">J1394*INDEX(Customers!$G$2:$G$41,MATCH(C1394,Customers!$A$2:$A$41,0))</f>
        <v>0</v>
      </c>
      <c r="L1394" s="16" t="n">
        <f aca="false">F1394*INDEX(Customers!$H$2:$H$41,MATCH(C1394,Customers!$A$2:$A$41,0))</f>
        <v>2241</v>
      </c>
      <c r="M1394" s="16" t="n">
        <f aca="false">J1394*INDEX(Customers!$I$2:$I$41,MATCH(C1394,Customers!$A$2:$A$41,0))/365*Assumptions!$B$6</f>
        <v>344.073521095891</v>
      </c>
      <c r="N1394" s="16" t="n">
        <f aca="false">J1394-K1394-L1394-M1394</f>
        <v>23578.8504789041</v>
      </c>
      <c r="O1394" s="16" t="n">
        <f aca="false">F1394*IF(A1394="2025",INDEX(Products!$D$2:$D$13,MATCH(D1394,Products!$A$2:$A$13,0)),INDEX(Products!$F$2:$F$13,MATCH(D1394,Products!$A$2:$A$13,0)))</f>
        <v>18177</v>
      </c>
      <c r="P1394" s="16" t="n">
        <f aca="false">N1394-O1394</f>
        <v>5401.85047890411</v>
      </c>
    </row>
    <row r="1395" customFormat="false" ht="15" hidden="false" customHeight="false" outlineLevel="0" collapsed="false">
      <c r="A1395" s="2" t="s">
        <v>118</v>
      </c>
      <c r="B1395" s="2" t="n">
        <v>2</v>
      </c>
      <c r="C1395" s="2" t="s">
        <v>84</v>
      </c>
      <c r="D1395" s="2" t="s">
        <v>34</v>
      </c>
      <c r="E1395" s="2" t="str">
        <f aca="false">INDEX(Products!$B$2:$B$13,MATCH(D1395,Products!$A$2:$A$13,0))</f>
        <v>FCC</v>
      </c>
      <c r="F1395" s="15" t="n">
        <v>8.1</v>
      </c>
      <c r="G1395" s="16" t="n">
        <f aca="false">IF(A1395="2025",INDEX(Products!$C$2:$C$13,MATCH(D1395,Products!$A$2:$A$13,0)),INDEX(Products!$E$2:$E$13,MATCH(D1395,Products!$A$2:$A$13,0)))</f>
        <v>3270</v>
      </c>
      <c r="H1395" s="13" t="n">
        <f aca="false">IF(A1395="2025",INDEX(Customers!$D$2:$D$41,MATCH(C1395,Customers!$A$2:$A$41,0)),INDEX(Customers!$F$2:$F$41,MATCH(C1395,Customers!$A$2:$A$41,0)))</f>
        <v>0.036</v>
      </c>
      <c r="I1395" s="16" t="n">
        <f aca="false">F1395*G1395</f>
        <v>26487</v>
      </c>
      <c r="J1395" s="16" t="n">
        <f aca="false">I1395*(1-H1395)</f>
        <v>25533.468</v>
      </c>
      <c r="K1395" s="16" t="n">
        <f aca="false">J1395*INDEX(Customers!$G$2:$G$41,MATCH(C1395,Customers!$A$2:$A$41,0))</f>
        <v>0</v>
      </c>
      <c r="L1395" s="16" t="n">
        <f aca="false">F1395*INDEX(Customers!$H$2:$H$41,MATCH(C1395,Customers!$A$2:$A$41,0))</f>
        <v>2187</v>
      </c>
      <c r="M1395" s="16" t="n">
        <f aca="false">J1395*INDEX(Customers!$I$2:$I$41,MATCH(C1395,Customers!$A$2:$A$41,0))/365*Assumptions!$B$6</f>
        <v>335.782592876712</v>
      </c>
      <c r="N1395" s="16" t="n">
        <f aca="false">J1395-K1395-L1395-M1395</f>
        <v>23010.6854071233</v>
      </c>
      <c r="O1395" s="16" t="n">
        <f aca="false">F1395*IF(A1395="2025",INDEX(Products!$D$2:$D$13,MATCH(D1395,Products!$A$2:$A$13,0)),INDEX(Products!$F$2:$F$13,MATCH(D1395,Products!$A$2:$A$13,0)))</f>
        <v>17739</v>
      </c>
      <c r="P1395" s="16" t="n">
        <f aca="false">N1395-O1395</f>
        <v>5271.68540712329</v>
      </c>
    </row>
    <row r="1396" customFormat="false" ht="15" hidden="false" customHeight="false" outlineLevel="0" collapsed="false">
      <c r="A1396" s="2" t="s">
        <v>118</v>
      </c>
      <c r="B1396" s="2" t="n">
        <v>3</v>
      </c>
      <c r="C1396" s="2" t="s">
        <v>84</v>
      </c>
      <c r="D1396" s="2" t="s">
        <v>34</v>
      </c>
      <c r="E1396" s="2" t="str">
        <f aca="false">INDEX(Products!$B$2:$B$13,MATCH(D1396,Products!$A$2:$A$13,0))</f>
        <v>FCC</v>
      </c>
      <c r="F1396" s="15" t="n">
        <v>8.6</v>
      </c>
      <c r="G1396" s="16" t="n">
        <f aca="false">IF(A1396="2025",INDEX(Products!$C$2:$C$13,MATCH(D1396,Products!$A$2:$A$13,0)),INDEX(Products!$E$2:$E$13,MATCH(D1396,Products!$A$2:$A$13,0)))</f>
        <v>3270</v>
      </c>
      <c r="H1396" s="13" t="n">
        <f aca="false">IF(A1396="2025",INDEX(Customers!$D$2:$D$41,MATCH(C1396,Customers!$A$2:$A$41,0)),INDEX(Customers!$F$2:$F$41,MATCH(C1396,Customers!$A$2:$A$41,0)))</f>
        <v>0.036</v>
      </c>
      <c r="I1396" s="16" t="n">
        <f aca="false">F1396*G1396</f>
        <v>28122</v>
      </c>
      <c r="J1396" s="16" t="n">
        <f aca="false">I1396*(1-H1396)</f>
        <v>27109.608</v>
      </c>
      <c r="K1396" s="16" t="n">
        <f aca="false">J1396*INDEX(Customers!$G$2:$G$41,MATCH(C1396,Customers!$A$2:$A$41,0))</f>
        <v>0</v>
      </c>
      <c r="L1396" s="16" t="n">
        <f aca="false">F1396*INDEX(Customers!$H$2:$H$41,MATCH(C1396,Customers!$A$2:$A$41,0))</f>
        <v>2322</v>
      </c>
      <c r="M1396" s="16" t="n">
        <f aca="false">J1396*INDEX(Customers!$I$2:$I$41,MATCH(C1396,Customers!$A$2:$A$41,0))/365*Assumptions!$B$6</f>
        <v>356.509913424658</v>
      </c>
      <c r="N1396" s="16" t="n">
        <f aca="false">J1396-K1396-L1396-M1396</f>
        <v>24431.0980865753</v>
      </c>
      <c r="O1396" s="16" t="n">
        <f aca="false">F1396*IF(A1396="2025",INDEX(Products!$D$2:$D$13,MATCH(D1396,Products!$A$2:$A$13,0)),INDEX(Products!$F$2:$F$13,MATCH(D1396,Products!$A$2:$A$13,0)))</f>
        <v>18834</v>
      </c>
      <c r="P1396" s="16" t="n">
        <f aca="false">N1396-O1396</f>
        <v>5597.09808657534</v>
      </c>
    </row>
    <row r="1397" customFormat="false" ht="15" hidden="false" customHeight="false" outlineLevel="0" collapsed="false">
      <c r="A1397" s="2" t="s">
        <v>118</v>
      </c>
      <c r="B1397" s="2" t="n">
        <v>4</v>
      </c>
      <c r="C1397" s="2" t="s">
        <v>84</v>
      </c>
      <c r="D1397" s="2" t="s">
        <v>34</v>
      </c>
      <c r="E1397" s="2" t="str">
        <f aca="false">INDEX(Products!$B$2:$B$13,MATCH(D1397,Products!$A$2:$A$13,0))</f>
        <v>FCC</v>
      </c>
      <c r="F1397" s="15" t="n">
        <v>7.4</v>
      </c>
      <c r="G1397" s="16" t="n">
        <f aca="false">IF(A1397="2025",INDEX(Products!$C$2:$C$13,MATCH(D1397,Products!$A$2:$A$13,0)),INDEX(Products!$E$2:$E$13,MATCH(D1397,Products!$A$2:$A$13,0)))</f>
        <v>3270</v>
      </c>
      <c r="H1397" s="13" t="n">
        <f aca="false">IF(A1397="2025",INDEX(Customers!$D$2:$D$41,MATCH(C1397,Customers!$A$2:$A$41,0)),INDEX(Customers!$F$2:$F$41,MATCH(C1397,Customers!$A$2:$A$41,0)))</f>
        <v>0.036</v>
      </c>
      <c r="I1397" s="16" t="n">
        <f aca="false">F1397*G1397</f>
        <v>24198</v>
      </c>
      <c r="J1397" s="16" t="n">
        <f aca="false">I1397*(1-H1397)</f>
        <v>23326.872</v>
      </c>
      <c r="K1397" s="16" t="n">
        <f aca="false">J1397*INDEX(Customers!$G$2:$G$41,MATCH(C1397,Customers!$A$2:$A$41,0))</f>
        <v>0</v>
      </c>
      <c r="L1397" s="16" t="n">
        <f aca="false">F1397*INDEX(Customers!$H$2:$H$41,MATCH(C1397,Customers!$A$2:$A$41,0))</f>
        <v>1998</v>
      </c>
      <c r="M1397" s="16" t="n">
        <f aca="false">J1397*INDEX(Customers!$I$2:$I$41,MATCH(C1397,Customers!$A$2:$A$41,0))/365*Assumptions!$B$6</f>
        <v>306.764344109589</v>
      </c>
      <c r="N1397" s="16" t="n">
        <f aca="false">J1397-K1397-L1397-M1397</f>
        <v>21022.1076558904</v>
      </c>
      <c r="O1397" s="16" t="n">
        <f aca="false">F1397*IF(A1397="2025",INDEX(Products!$D$2:$D$13,MATCH(D1397,Products!$A$2:$A$13,0)),INDEX(Products!$F$2:$F$13,MATCH(D1397,Products!$A$2:$A$13,0)))</f>
        <v>16206</v>
      </c>
      <c r="P1397" s="16" t="n">
        <f aca="false">N1397-O1397</f>
        <v>4816.10765589041</v>
      </c>
    </row>
    <row r="1398" customFormat="false" ht="15" hidden="false" customHeight="false" outlineLevel="0" collapsed="false">
      <c r="A1398" s="2" t="s">
        <v>118</v>
      </c>
      <c r="B1398" s="2" t="n">
        <v>5</v>
      </c>
      <c r="C1398" s="2" t="s">
        <v>84</v>
      </c>
      <c r="D1398" s="2" t="s">
        <v>34</v>
      </c>
      <c r="E1398" s="2" t="str">
        <f aca="false">INDEX(Products!$B$2:$B$13,MATCH(D1398,Products!$A$2:$A$13,0))</f>
        <v>FCC</v>
      </c>
      <c r="F1398" s="15" t="n">
        <v>6.8</v>
      </c>
      <c r="G1398" s="16" t="n">
        <f aca="false">IF(A1398="2025",INDEX(Products!$C$2:$C$13,MATCH(D1398,Products!$A$2:$A$13,0)),INDEX(Products!$E$2:$E$13,MATCH(D1398,Products!$A$2:$A$13,0)))</f>
        <v>3270</v>
      </c>
      <c r="H1398" s="13" t="n">
        <f aca="false">IF(A1398="2025",INDEX(Customers!$D$2:$D$41,MATCH(C1398,Customers!$A$2:$A$41,0)),INDEX(Customers!$F$2:$F$41,MATCH(C1398,Customers!$A$2:$A$41,0)))</f>
        <v>0.036</v>
      </c>
      <c r="I1398" s="16" t="n">
        <f aca="false">F1398*G1398</f>
        <v>22236</v>
      </c>
      <c r="J1398" s="16" t="n">
        <f aca="false">I1398*(1-H1398)</f>
        <v>21435.504</v>
      </c>
      <c r="K1398" s="16" t="n">
        <f aca="false">J1398*INDEX(Customers!$G$2:$G$41,MATCH(C1398,Customers!$A$2:$A$41,0))</f>
        <v>0</v>
      </c>
      <c r="L1398" s="16" t="n">
        <f aca="false">F1398*INDEX(Customers!$H$2:$H$41,MATCH(C1398,Customers!$A$2:$A$41,0))</f>
        <v>1836</v>
      </c>
      <c r="M1398" s="16" t="n">
        <f aca="false">J1398*INDEX(Customers!$I$2:$I$41,MATCH(C1398,Customers!$A$2:$A$41,0))/365*Assumptions!$B$6</f>
        <v>281.891559452055</v>
      </c>
      <c r="N1398" s="16" t="n">
        <f aca="false">J1398-K1398-L1398-M1398</f>
        <v>19317.6124405479</v>
      </c>
      <c r="O1398" s="16" t="n">
        <f aca="false">F1398*IF(A1398="2025",INDEX(Products!$D$2:$D$13,MATCH(D1398,Products!$A$2:$A$13,0)),INDEX(Products!$F$2:$F$13,MATCH(D1398,Products!$A$2:$A$13,0)))</f>
        <v>14892</v>
      </c>
      <c r="P1398" s="16" t="n">
        <f aca="false">N1398-O1398</f>
        <v>4425.61244054795</v>
      </c>
    </row>
    <row r="1399" customFormat="false" ht="15" hidden="false" customHeight="false" outlineLevel="0" collapsed="false">
      <c r="A1399" s="2" t="s">
        <v>118</v>
      </c>
      <c r="B1399" s="2" t="n">
        <v>6</v>
      </c>
      <c r="C1399" s="2" t="s">
        <v>84</v>
      </c>
      <c r="D1399" s="2" t="s">
        <v>34</v>
      </c>
      <c r="E1399" s="2" t="str">
        <f aca="false">INDEX(Products!$B$2:$B$13,MATCH(D1399,Products!$A$2:$A$13,0))</f>
        <v>FCC</v>
      </c>
      <c r="F1399" s="15" t="n">
        <v>10.8</v>
      </c>
      <c r="G1399" s="16" t="n">
        <f aca="false">IF(A1399="2025",INDEX(Products!$C$2:$C$13,MATCH(D1399,Products!$A$2:$A$13,0)),INDEX(Products!$E$2:$E$13,MATCH(D1399,Products!$A$2:$A$13,0)))</f>
        <v>3270</v>
      </c>
      <c r="H1399" s="13" t="n">
        <f aca="false">IF(A1399="2025",INDEX(Customers!$D$2:$D$41,MATCH(C1399,Customers!$A$2:$A$41,0)),INDEX(Customers!$F$2:$F$41,MATCH(C1399,Customers!$A$2:$A$41,0)))</f>
        <v>0.036</v>
      </c>
      <c r="I1399" s="16" t="n">
        <f aca="false">F1399*G1399</f>
        <v>35316</v>
      </c>
      <c r="J1399" s="16" t="n">
        <f aca="false">I1399*(1-H1399)</f>
        <v>34044.624</v>
      </c>
      <c r="K1399" s="16" t="n">
        <f aca="false">J1399*INDEX(Customers!$G$2:$G$41,MATCH(C1399,Customers!$A$2:$A$41,0))</f>
        <v>0</v>
      </c>
      <c r="L1399" s="16" t="n">
        <f aca="false">F1399*INDEX(Customers!$H$2:$H$41,MATCH(C1399,Customers!$A$2:$A$41,0))</f>
        <v>2916</v>
      </c>
      <c r="M1399" s="16" t="n">
        <f aca="false">J1399*INDEX(Customers!$I$2:$I$41,MATCH(C1399,Customers!$A$2:$A$41,0))/365*Assumptions!$B$6</f>
        <v>447.710123835616</v>
      </c>
      <c r="N1399" s="16" t="n">
        <f aca="false">J1399-K1399-L1399-M1399</f>
        <v>30680.9138761644</v>
      </c>
      <c r="O1399" s="16" t="n">
        <f aca="false">F1399*IF(A1399="2025",INDEX(Products!$D$2:$D$13,MATCH(D1399,Products!$A$2:$A$13,0)),INDEX(Products!$F$2:$F$13,MATCH(D1399,Products!$A$2:$A$13,0)))</f>
        <v>23652</v>
      </c>
      <c r="P1399" s="16" t="n">
        <f aca="false">N1399-O1399</f>
        <v>7028.91387616438</v>
      </c>
    </row>
    <row r="1400" customFormat="false" ht="15" hidden="false" customHeight="false" outlineLevel="0" collapsed="false">
      <c r="A1400" s="2" t="s">
        <v>118</v>
      </c>
      <c r="B1400" s="2" t="n">
        <v>7</v>
      </c>
      <c r="C1400" s="2" t="s">
        <v>84</v>
      </c>
      <c r="D1400" s="2" t="s">
        <v>34</v>
      </c>
      <c r="E1400" s="2" t="str">
        <f aca="false">INDEX(Products!$B$2:$B$13,MATCH(D1400,Products!$A$2:$A$13,0))</f>
        <v>FCC</v>
      </c>
      <c r="F1400" s="15" t="n">
        <v>9.4</v>
      </c>
      <c r="G1400" s="16" t="n">
        <f aca="false">IF(A1400="2025",INDEX(Products!$C$2:$C$13,MATCH(D1400,Products!$A$2:$A$13,0)),INDEX(Products!$E$2:$E$13,MATCH(D1400,Products!$A$2:$A$13,0)))</f>
        <v>3270</v>
      </c>
      <c r="H1400" s="13" t="n">
        <f aca="false">IF(A1400="2025",INDEX(Customers!$D$2:$D$41,MATCH(C1400,Customers!$A$2:$A$41,0)),INDEX(Customers!$F$2:$F$41,MATCH(C1400,Customers!$A$2:$A$41,0)))</f>
        <v>0.036</v>
      </c>
      <c r="I1400" s="16" t="n">
        <f aca="false">F1400*G1400</f>
        <v>30738</v>
      </c>
      <c r="J1400" s="16" t="n">
        <f aca="false">I1400*(1-H1400)</f>
        <v>29631.432</v>
      </c>
      <c r="K1400" s="16" t="n">
        <f aca="false">J1400*INDEX(Customers!$G$2:$G$41,MATCH(C1400,Customers!$A$2:$A$41,0))</f>
        <v>0</v>
      </c>
      <c r="L1400" s="16" t="n">
        <f aca="false">F1400*INDEX(Customers!$H$2:$H$41,MATCH(C1400,Customers!$A$2:$A$41,0))</f>
        <v>2538</v>
      </c>
      <c r="M1400" s="16" t="n">
        <f aca="false">J1400*INDEX(Customers!$I$2:$I$41,MATCH(C1400,Customers!$A$2:$A$41,0))/365*Assumptions!$B$6</f>
        <v>389.67362630137</v>
      </c>
      <c r="N1400" s="16" t="n">
        <f aca="false">J1400-K1400-L1400-M1400</f>
        <v>26703.7583736986</v>
      </c>
      <c r="O1400" s="16" t="n">
        <f aca="false">F1400*IF(A1400="2025",INDEX(Products!$D$2:$D$13,MATCH(D1400,Products!$A$2:$A$13,0)),INDEX(Products!$F$2:$F$13,MATCH(D1400,Products!$A$2:$A$13,0)))</f>
        <v>20586</v>
      </c>
      <c r="P1400" s="16" t="n">
        <f aca="false">N1400-O1400</f>
        <v>6117.75837369863</v>
      </c>
    </row>
    <row r="1401" customFormat="false" ht="15" hidden="false" customHeight="false" outlineLevel="0" collapsed="false">
      <c r="A1401" s="2" t="s">
        <v>118</v>
      </c>
      <c r="B1401" s="2" t="n">
        <v>8</v>
      </c>
      <c r="C1401" s="2" t="s">
        <v>84</v>
      </c>
      <c r="D1401" s="2" t="s">
        <v>34</v>
      </c>
      <c r="E1401" s="2" t="str">
        <f aca="false">INDEX(Products!$B$2:$B$13,MATCH(D1401,Products!$A$2:$A$13,0))</f>
        <v>FCC</v>
      </c>
      <c r="F1401" s="15" t="n">
        <v>11.1</v>
      </c>
      <c r="G1401" s="16" t="n">
        <f aca="false">IF(A1401="2025",INDEX(Products!$C$2:$C$13,MATCH(D1401,Products!$A$2:$A$13,0)),INDEX(Products!$E$2:$E$13,MATCH(D1401,Products!$A$2:$A$13,0)))</f>
        <v>3270</v>
      </c>
      <c r="H1401" s="13" t="n">
        <f aca="false">IF(A1401="2025",INDEX(Customers!$D$2:$D$41,MATCH(C1401,Customers!$A$2:$A$41,0)),INDEX(Customers!$F$2:$F$41,MATCH(C1401,Customers!$A$2:$A$41,0)))</f>
        <v>0.036</v>
      </c>
      <c r="I1401" s="16" t="n">
        <f aca="false">F1401*G1401</f>
        <v>36297</v>
      </c>
      <c r="J1401" s="16" t="n">
        <f aca="false">I1401*(1-H1401)</f>
        <v>34990.308</v>
      </c>
      <c r="K1401" s="16" t="n">
        <f aca="false">J1401*INDEX(Customers!$G$2:$G$41,MATCH(C1401,Customers!$A$2:$A$41,0))</f>
        <v>0</v>
      </c>
      <c r="L1401" s="16" t="n">
        <f aca="false">F1401*INDEX(Customers!$H$2:$H$41,MATCH(C1401,Customers!$A$2:$A$41,0))</f>
        <v>2997</v>
      </c>
      <c r="M1401" s="16" t="n">
        <f aca="false">J1401*INDEX(Customers!$I$2:$I$41,MATCH(C1401,Customers!$A$2:$A$41,0))/365*Assumptions!$B$6</f>
        <v>460.146516164384</v>
      </c>
      <c r="N1401" s="16" t="n">
        <f aca="false">J1401-K1401-L1401-M1401</f>
        <v>31533.1614838356</v>
      </c>
      <c r="O1401" s="16" t="n">
        <f aca="false">F1401*IF(A1401="2025",INDEX(Products!$D$2:$D$13,MATCH(D1401,Products!$A$2:$A$13,0)),INDEX(Products!$F$2:$F$13,MATCH(D1401,Products!$A$2:$A$13,0)))</f>
        <v>24309</v>
      </c>
      <c r="P1401" s="16" t="n">
        <f aca="false">N1401-O1401</f>
        <v>7224.16148383561</v>
      </c>
    </row>
    <row r="1402" customFormat="false" ht="15" hidden="false" customHeight="false" outlineLevel="0" collapsed="false">
      <c r="A1402" s="2" t="s">
        <v>118</v>
      </c>
      <c r="B1402" s="2" t="n">
        <v>9</v>
      </c>
      <c r="C1402" s="2" t="s">
        <v>84</v>
      </c>
      <c r="D1402" s="2" t="s">
        <v>34</v>
      </c>
      <c r="E1402" s="2" t="str">
        <f aca="false">INDEX(Products!$B$2:$B$13,MATCH(D1402,Products!$A$2:$A$13,0))</f>
        <v>FCC</v>
      </c>
      <c r="F1402" s="15" t="n">
        <v>9.6</v>
      </c>
      <c r="G1402" s="16" t="n">
        <f aca="false">IF(A1402="2025",INDEX(Products!$C$2:$C$13,MATCH(D1402,Products!$A$2:$A$13,0)),INDEX(Products!$E$2:$E$13,MATCH(D1402,Products!$A$2:$A$13,0)))</f>
        <v>3270</v>
      </c>
      <c r="H1402" s="13" t="n">
        <f aca="false">IF(A1402="2025",INDEX(Customers!$D$2:$D$41,MATCH(C1402,Customers!$A$2:$A$41,0)),INDEX(Customers!$F$2:$F$41,MATCH(C1402,Customers!$A$2:$A$41,0)))</f>
        <v>0.036</v>
      </c>
      <c r="I1402" s="16" t="n">
        <f aca="false">F1402*G1402</f>
        <v>31392</v>
      </c>
      <c r="J1402" s="16" t="n">
        <f aca="false">I1402*(1-H1402)</f>
        <v>30261.888</v>
      </c>
      <c r="K1402" s="16" t="n">
        <f aca="false">J1402*INDEX(Customers!$G$2:$G$41,MATCH(C1402,Customers!$A$2:$A$41,0))</f>
        <v>0</v>
      </c>
      <c r="L1402" s="16" t="n">
        <f aca="false">F1402*INDEX(Customers!$H$2:$H$41,MATCH(C1402,Customers!$A$2:$A$41,0))</f>
        <v>2592</v>
      </c>
      <c r="M1402" s="16" t="n">
        <f aca="false">J1402*INDEX(Customers!$I$2:$I$41,MATCH(C1402,Customers!$A$2:$A$41,0))/365*Assumptions!$B$6</f>
        <v>397.964554520548</v>
      </c>
      <c r="N1402" s="16" t="n">
        <f aca="false">J1402-K1402-L1402-M1402</f>
        <v>27271.9234454795</v>
      </c>
      <c r="O1402" s="16" t="n">
        <f aca="false">F1402*IF(A1402="2025",INDEX(Products!$D$2:$D$13,MATCH(D1402,Products!$A$2:$A$13,0)),INDEX(Products!$F$2:$F$13,MATCH(D1402,Products!$A$2:$A$13,0)))</f>
        <v>21024</v>
      </c>
      <c r="P1402" s="16" t="n">
        <f aca="false">N1402-O1402</f>
        <v>6247.92344547945</v>
      </c>
    </row>
    <row r="1403" customFormat="false" ht="15" hidden="false" customHeight="false" outlineLevel="0" collapsed="false">
      <c r="A1403" s="2" t="s">
        <v>118</v>
      </c>
      <c r="B1403" s="2" t="n">
        <v>10</v>
      </c>
      <c r="C1403" s="2" t="s">
        <v>84</v>
      </c>
      <c r="D1403" s="2" t="s">
        <v>34</v>
      </c>
      <c r="E1403" s="2" t="str">
        <f aca="false">INDEX(Products!$B$2:$B$13,MATCH(D1403,Products!$A$2:$A$13,0))</f>
        <v>FCC</v>
      </c>
      <c r="F1403" s="15" t="n">
        <v>7.7</v>
      </c>
      <c r="G1403" s="16" t="n">
        <f aca="false">IF(A1403="2025",INDEX(Products!$C$2:$C$13,MATCH(D1403,Products!$A$2:$A$13,0)),INDEX(Products!$E$2:$E$13,MATCH(D1403,Products!$A$2:$A$13,0)))</f>
        <v>3270</v>
      </c>
      <c r="H1403" s="13" t="n">
        <f aca="false">IF(A1403="2025",INDEX(Customers!$D$2:$D$41,MATCH(C1403,Customers!$A$2:$A$41,0)),INDEX(Customers!$F$2:$F$41,MATCH(C1403,Customers!$A$2:$A$41,0)))</f>
        <v>0.036</v>
      </c>
      <c r="I1403" s="16" t="n">
        <f aca="false">F1403*G1403</f>
        <v>25179</v>
      </c>
      <c r="J1403" s="16" t="n">
        <f aca="false">I1403*(1-H1403)</f>
        <v>24272.556</v>
      </c>
      <c r="K1403" s="16" t="n">
        <f aca="false">J1403*INDEX(Customers!$G$2:$G$41,MATCH(C1403,Customers!$A$2:$A$41,0))</f>
        <v>0</v>
      </c>
      <c r="L1403" s="16" t="n">
        <f aca="false">F1403*INDEX(Customers!$H$2:$H$41,MATCH(C1403,Customers!$A$2:$A$41,0))</f>
        <v>2079</v>
      </c>
      <c r="M1403" s="16" t="n">
        <f aca="false">J1403*INDEX(Customers!$I$2:$I$41,MATCH(C1403,Customers!$A$2:$A$41,0))/365*Assumptions!$B$6</f>
        <v>319.200736438356</v>
      </c>
      <c r="N1403" s="16" t="n">
        <f aca="false">J1403-K1403-L1403-M1403</f>
        <v>21874.3552635616</v>
      </c>
      <c r="O1403" s="16" t="n">
        <f aca="false">F1403*IF(A1403="2025",INDEX(Products!$D$2:$D$13,MATCH(D1403,Products!$A$2:$A$13,0)),INDEX(Products!$F$2:$F$13,MATCH(D1403,Products!$A$2:$A$13,0)))</f>
        <v>16863</v>
      </c>
      <c r="P1403" s="16" t="n">
        <f aca="false">N1403-O1403</f>
        <v>5011.35526356164</v>
      </c>
    </row>
    <row r="1404" customFormat="false" ht="15" hidden="false" customHeight="false" outlineLevel="0" collapsed="false">
      <c r="A1404" s="2" t="s">
        <v>118</v>
      </c>
      <c r="B1404" s="2" t="n">
        <v>11</v>
      </c>
      <c r="C1404" s="2" t="s">
        <v>84</v>
      </c>
      <c r="D1404" s="2" t="s">
        <v>34</v>
      </c>
      <c r="E1404" s="2" t="str">
        <f aca="false">INDEX(Products!$B$2:$B$13,MATCH(D1404,Products!$A$2:$A$13,0))</f>
        <v>FCC</v>
      </c>
      <c r="F1404" s="15" t="n">
        <v>10.1</v>
      </c>
      <c r="G1404" s="16" t="n">
        <f aca="false">IF(A1404="2025",INDEX(Products!$C$2:$C$13,MATCH(D1404,Products!$A$2:$A$13,0)),INDEX(Products!$E$2:$E$13,MATCH(D1404,Products!$A$2:$A$13,0)))</f>
        <v>3270</v>
      </c>
      <c r="H1404" s="13" t="n">
        <f aca="false">IF(A1404="2025",INDEX(Customers!$D$2:$D$41,MATCH(C1404,Customers!$A$2:$A$41,0)),INDEX(Customers!$F$2:$F$41,MATCH(C1404,Customers!$A$2:$A$41,0)))</f>
        <v>0.036</v>
      </c>
      <c r="I1404" s="16" t="n">
        <f aca="false">F1404*G1404</f>
        <v>33027</v>
      </c>
      <c r="J1404" s="16" t="n">
        <f aca="false">I1404*(1-H1404)</f>
        <v>31838.028</v>
      </c>
      <c r="K1404" s="16" t="n">
        <f aca="false">J1404*INDEX(Customers!$G$2:$G$41,MATCH(C1404,Customers!$A$2:$A$41,0))</f>
        <v>0</v>
      </c>
      <c r="L1404" s="16" t="n">
        <f aca="false">F1404*INDEX(Customers!$H$2:$H$41,MATCH(C1404,Customers!$A$2:$A$41,0))</f>
        <v>2727</v>
      </c>
      <c r="M1404" s="16" t="n">
        <f aca="false">J1404*INDEX(Customers!$I$2:$I$41,MATCH(C1404,Customers!$A$2:$A$41,0))/365*Assumptions!$B$6</f>
        <v>418.691875068493</v>
      </c>
      <c r="N1404" s="16" t="n">
        <f aca="false">J1404-K1404-L1404-M1404</f>
        <v>28692.3361249315</v>
      </c>
      <c r="O1404" s="16" t="n">
        <f aca="false">F1404*IF(A1404="2025",INDEX(Products!$D$2:$D$13,MATCH(D1404,Products!$A$2:$A$13,0)),INDEX(Products!$F$2:$F$13,MATCH(D1404,Products!$A$2:$A$13,0)))</f>
        <v>22119</v>
      </c>
      <c r="P1404" s="16" t="n">
        <f aca="false">N1404-O1404</f>
        <v>6573.33612493151</v>
      </c>
    </row>
    <row r="1405" customFormat="false" ht="15" hidden="false" customHeight="false" outlineLevel="0" collapsed="false">
      <c r="A1405" s="2" t="s">
        <v>118</v>
      </c>
      <c r="B1405" s="2" t="n">
        <v>12</v>
      </c>
      <c r="C1405" s="2" t="s">
        <v>84</v>
      </c>
      <c r="D1405" s="2" t="s">
        <v>34</v>
      </c>
      <c r="E1405" s="2" t="str">
        <f aca="false">INDEX(Products!$B$2:$B$13,MATCH(D1405,Products!$A$2:$A$13,0))</f>
        <v>FCC</v>
      </c>
      <c r="F1405" s="15" t="n">
        <v>7.2</v>
      </c>
      <c r="G1405" s="16" t="n">
        <f aca="false">IF(A1405="2025",INDEX(Products!$C$2:$C$13,MATCH(D1405,Products!$A$2:$A$13,0)),INDEX(Products!$E$2:$E$13,MATCH(D1405,Products!$A$2:$A$13,0)))</f>
        <v>3270</v>
      </c>
      <c r="H1405" s="13" t="n">
        <f aca="false">IF(A1405="2025",INDEX(Customers!$D$2:$D$41,MATCH(C1405,Customers!$A$2:$A$41,0)),INDEX(Customers!$F$2:$F$41,MATCH(C1405,Customers!$A$2:$A$41,0)))</f>
        <v>0.036</v>
      </c>
      <c r="I1405" s="16" t="n">
        <f aca="false">F1405*G1405</f>
        <v>23544</v>
      </c>
      <c r="J1405" s="16" t="n">
        <f aca="false">I1405*(1-H1405)</f>
        <v>22696.416</v>
      </c>
      <c r="K1405" s="16" t="n">
        <f aca="false">J1405*INDEX(Customers!$G$2:$G$41,MATCH(C1405,Customers!$A$2:$A$41,0))</f>
        <v>0</v>
      </c>
      <c r="L1405" s="16" t="n">
        <f aca="false">F1405*INDEX(Customers!$H$2:$H$41,MATCH(C1405,Customers!$A$2:$A$41,0))</f>
        <v>1944</v>
      </c>
      <c r="M1405" s="16" t="n">
        <f aca="false">J1405*INDEX(Customers!$I$2:$I$41,MATCH(C1405,Customers!$A$2:$A$41,0))/365*Assumptions!$B$6</f>
        <v>298.473415890411</v>
      </c>
      <c r="N1405" s="16" t="n">
        <f aca="false">J1405-K1405-L1405-M1405</f>
        <v>20453.9425841096</v>
      </c>
      <c r="O1405" s="16" t="n">
        <f aca="false">F1405*IF(A1405="2025",INDEX(Products!$D$2:$D$13,MATCH(D1405,Products!$A$2:$A$13,0)),INDEX(Products!$F$2:$F$13,MATCH(D1405,Products!$A$2:$A$13,0)))</f>
        <v>15768</v>
      </c>
      <c r="P1405" s="16" t="n">
        <f aca="false">N1405-O1405</f>
        <v>4685.94258410959</v>
      </c>
    </row>
    <row r="1406" customFormat="false" ht="15" hidden="false" customHeight="false" outlineLevel="0" collapsed="false">
      <c r="A1406" s="2" t="s">
        <v>119</v>
      </c>
      <c r="B1406" s="2" t="n">
        <v>1</v>
      </c>
      <c r="C1406" s="2" t="s">
        <v>84</v>
      </c>
      <c r="D1406" s="2" t="s">
        <v>34</v>
      </c>
      <c r="E1406" s="2" t="str">
        <f aca="false">INDEX(Products!$B$2:$B$13,MATCH(D1406,Products!$A$2:$A$13,0))</f>
        <v>FCC</v>
      </c>
      <c r="F1406" s="15" t="n">
        <v>5.9</v>
      </c>
      <c r="G1406" s="16" t="n">
        <f aca="false">IF(A1406="2025",INDEX(Products!$C$2:$C$13,MATCH(D1406,Products!$A$2:$A$13,0)),INDEX(Products!$E$2:$E$13,MATCH(D1406,Products!$A$2:$A$13,0)))</f>
        <v>3433.5</v>
      </c>
      <c r="H1406" s="13" t="n">
        <f aca="false">IF(A1406="2025",INDEX(Customers!$D$2:$D$41,MATCH(C1406,Customers!$A$2:$A$41,0)),INDEX(Customers!$F$2:$F$41,MATCH(C1406,Customers!$A$2:$A$41,0)))</f>
        <v>0.036</v>
      </c>
      <c r="I1406" s="16" t="n">
        <f aca="false">F1406*G1406</f>
        <v>20257.65</v>
      </c>
      <c r="J1406" s="16" t="n">
        <f aca="false">I1406*(1-H1406)</f>
        <v>19528.3746</v>
      </c>
      <c r="K1406" s="16" t="n">
        <f aca="false">J1406*INDEX(Customers!$G$2:$G$41,MATCH(C1406,Customers!$A$2:$A$41,0))</f>
        <v>0</v>
      </c>
      <c r="L1406" s="16" t="n">
        <f aca="false">F1406*INDEX(Customers!$H$2:$H$41,MATCH(C1406,Customers!$A$2:$A$41,0))</f>
        <v>1593</v>
      </c>
      <c r="M1406" s="16" t="n">
        <f aca="false">J1406*INDEX(Customers!$I$2:$I$41,MATCH(C1406,Customers!$A$2:$A$41,0))/365*Assumptions!$B$6</f>
        <v>256.811501589041</v>
      </c>
      <c r="N1406" s="16" t="n">
        <f aca="false">J1406-K1406-L1406-M1406</f>
        <v>17678.563098411</v>
      </c>
      <c r="O1406" s="16" t="n">
        <f aca="false">F1406*IF(A1406="2025",INDEX(Products!$D$2:$D$13,MATCH(D1406,Products!$A$2:$A$13,0)),INDEX(Products!$F$2:$F$13,MATCH(D1406,Products!$A$2:$A$13,0)))</f>
        <v>13308.63</v>
      </c>
      <c r="P1406" s="16" t="n">
        <f aca="false">N1406-O1406</f>
        <v>4369.93309841096</v>
      </c>
    </row>
    <row r="1407" customFormat="false" ht="15" hidden="false" customHeight="false" outlineLevel="0" collapsed="false">
      <c r="A1407" s="2" t="s">
        <v>119</v>
      </c>
      <c r="B1407" s="2" t="n">
        <v>2</v>
      </c>
      <c r="C1407" s="2" t="s">
        <v>84</v>
      </c>
      <c r="D1407" s="2" t="s">
        <v>34</v>
      </c>
      <c r="E1407" s="2" t="str">
        <f aca="false">INDEX(Products!$B$2:$B$13,MATCH(D1407,Products!$A$2:$A$13,0))</f>
        <v>FCC</v>
      </c>
      <c r="F1407" s="15" t="n">
        <v>4.3</v>
      </c>
      <c r="G1407" s="16" t="n">
        <f aca="false">IF(A1407="2025",INDEX(Products!$C$2:$C$13,MATCH(D1407,Products!$A$2:$A$13,0)),INDEX(Products!$E$2:$E$13,MATCH(D1407,Products!$A$2:$A$13,0)))</f>
        <v>3433.5</v>
      </c>
      <c r="H1407" s="13" t="n">
        <f aca="false">IF(A1407="2025",INDEX(Customers!$D$2:$D$41,MATCH(C1407,Customers!$A$2:$A$41,0)),INDEX(Customers!$F$2:$F$41,MATCH(C1407,Customers!$A$2:$A$41,0)))</f>
        <v>0.036</v>
      </c>
      <c r="I1407" s="16" t="n">
        <f aca="false">F1407*G1407</f>
        <v>14764.05</v>
      </c>
      <c r="J1407" s="16" t="n">
        <f aca="false">I1407*(1-H1407)</f>
        <v>14232.5442</v>
      </c>
      <c r="K1407" s="16" t="n">
        <f aca="false">J1407*INDEX(Customers!$G$2:$G$41,MATCH(C1407,Customers!$A$2:$A$41,0))</f>
        <v>0</v>
      </c>
      <c r="L1407" s="16" t="n">
        <f aca="false">F1407*INDEX(Customers!$H$2:$H$41,MATCH(C1407,Customers!$A$2:$A$41,0))</f>
        <v>1161</v>
      </c>
      <c r="M1407" s="16" t="n">
        <f aca="false">J1407*INDEX(Customers!$I$2:$I$41,MATCH(C1407,Customers!$A$2:$A$41,0))/365*Assumptions!$B$6</f>
        <v>187.167704547945</v>
      </c>
      <c r="N1407" s="16" t="n">
        <f aca="false">J1407-K1407-L1407-M1407</f>
        <v>12884.3764954521</v>
      </c>
      <c r="O1407" s="16" t="n">
        <f aca="false">F1407*IF(A1407="2025",INDEX(Products!$D$2:$D$13,MATCH(D1407,Products!$A$2:$A$13,0)),INDEX(Products!$F$2:$F$13,MATCH(D1407,Products!$A$2:$A$13,0)))</f>
        <v>9699.51</v>
      </c>
      <c r="P1407" s="16" t="n">
        <f aca="false">N1407-O1407</f>
        <v>3184.86649545205</v>
      </c>
    </row>
    <row r="1408" customFormat="false" ht="15" hidden="false" customHeight="false" outlineLevel="0" collapsed="false">
      <c r="A1408" s="2" t="s">
        <v>119</v>
      </c>
      <c r="B1408" s="2" t="n">
        <v>3</v>
      </c>
      <c r="C1408" s="2" t="s">
        <v>84</v>
      </c>
      <c r="D1408" s="2" t="s">
        <v>34</v>
      </c>
      <c r="E1408" s="2" t="str">
        <f aca="false">INDEX(Products!$B$2:$B$13,MATCH(D1408,Products!$A$2:$A$13,0))</f>
        <v>FCC</v>
      </c>
      <c r="F1408" s="15" t="n">
        <v>4.3</v>
      </c>
      <c r="G1408" s="16" t="n">
        <f aca="false">IF(A1408="2025",INDEX(Products!$C$2:$C$13,MATCH(D1408,Products!$A$2:$A$13,0)),INDEX(Products!$E$2:$E$13,MATCH(D1408,Products!$A$2:$A$13,0)))</f>
        <v>3433.5</v>
      </c>
      <c r="H1408" s="13" t="n">
        <f aca="false">IF(A1408="2025",INDEX(Customers!$D$2:$D$41,MATCH(C1408,Customers!$A$2:$A$41,0)),INDEX(Customers!$F$2:$F$41,MATCH(C1408,Customers!$A$2:$A$41,0)))</f>
        <v>0.036</v>
      </c>
      <c r="I1408" s="16" t="n">
        <f aca="false">F1408*G1408</f>
        <v>14764.05</v>
      </c>
      <c r="J1408" s="16" t="n">
        <f aca="false">I1408*(1-H1408)</f>
        <v>14232.5442</v>
      </c>
      <c r="K1408" s="16" t="n">
        <f aca="false">J1408*INDEX(Customers!$G$2:$G$41,MATCH(C1408,Customers!$A$2:$A$41,0))</f>
        <v>0</v>
      </c>
      <c r="L1408" s="16" t="n">
        <f aca="false">F1408*INDEX(Customers!$H$2:$H$41,MATCH(C1408,Customers!$A$2:$A$41,0))</f>
        <v>1161</v>
      </c>
      <c r="M1408" s="16" t="n">
        <f aca="false">J1408*INDEX(Customers!$I$2:$I$41,MATCH(C1408,Customers!$A$2:$A$41,0))/365*Assumptions!$B$6</f>
        <v>187.167704547945</v>
      </c>
      <c r="N1408" s="16" t="n">
        <f aca="false">J1408-K1408-L1408-M1408</f>
        <v>12884.3764954521</v>
      </c>
      <c r="O1408" s="16" t="n">
        <f aca="false">F1408*IF(A1408="2025",INDEX(Products!$D$2:$D$13,MATCH(D1408,Products!$A$2:$A$13,0)),INDEX(Products!$F$2:$F$13,MATCH(D1408,Products!$A$2:$A$13,0)))</f>
        <v>9699.51</v>
      </c>
      <c r="P1408" s="16" t="n">
        <f aca="false">N1408-O1408</f>
        <v>3184.86649545205</v>
      </c>
    </row>
    <row r="1409" customFormat="false" ht="15" hidden="false" customHeight="false" outlineLevel="0" collapsed="false">
      <c r="A1409" s="2" t="s">
        <v>119</v>
      </c>
      <c r="B1409" s="2" t="n">
        <v>4</v>
      </c>
      <c r="C1409" s="2" t="s">
        <v>84</v>
      </c>
      <c r="D1409" s="2" t="s">
        <v>34</v>
      </c>
      <c r="E1409" s="2" t="str">
        <f aca="false">INDEX(Products!$B$2:$B$13,MATCH(D1409,Products!$A$2:$A$13,0))</f>
        <v>FCC</v>
      </c>
      <c r="F1409" s="15" t="n">
        <v>5.1</v>
      </c>
      <c r="G1409" s="16" t="n">
        <f aca="false">IF(A1409="2025",INDEX(Products!$C$2:$C$13,MATCH(D1409,Products!$A$2:$A$13,0)),INDEX(Products!$E$2:$E$13,MATCH(D1409,Products!$A$2:$A$13,0)))</f>
        <v>3433.5</v>
      </c>
      <c r="H1409" s="13" t="n">
        <f aca="false">IF(A1409="2025",INDEX(Customers!$D$2:$D$41,MATCH(C1409,Customers!$A$2:$A$41,0)),INDEX(Customers!$F$2:$F$41,MATCH(C1409,Customers!$A$2:$A$41,0)))</f>
        <v>0.036</v>
      </c>
      <c r="I1409" s="16" t="n">
        <f aca="false">F1409*G1409</f>
        <v>17510.85</v>
      </c>
      <c r="J1409" s="16" t="n">
        <f aca="false">I1409*(1-H1409)</f>
        <v>16880.4594</v>
      </c>
      <c r="K1409" s="16" t="n">
        <f aca="false">J1409*INDEX(Customers!$G$2:$G$41,MATCH(C1409,Customers!$A$2:$A$41,0))</f>
        <v>0</v>
      </c>
      <c r="L1409" s="16" t="n">
        <f aca="false">F1409*INDEX(Customers!$H$2:$H$41,MATCH(C1409,Customers!$A$2:$A$41,0))</f>
        <v>1377</v>
      </c>
      <c r="M1409" s="16" t="n">
        <f aca="false">J1409*INDEX(Customers!$I$2:$I$41,MATCH(C1409,Customers!$A$2:$A$41,0))/365*Assumptions!$B$6</f>
        <v>221.989603068493</v>
      </c>
      <c r="N1409" s="16" t="n">
        <f aca="false">J1409-K1409-L1409-M1409</f>
        <v>15281.4697969315</v>
      </c>
      <c r="O1409" s="16" t="n">
        <f aca="false">F1409*IF(A1409="2025",INDEX(Products!$D$2:$D$13,MATCH(D1409,Products!$A$2:$A$13,0)),INDEX(Products!$F$2:$F$13,MATCH(D1409,Products!$A$2:$A$13,0)))</f>
        <v>11504.07</v>
      </c>
      <c r="P1409" s="16" t="n">
        <f aca="false">N1409-O1409</f>
        <v>3777.39979693151</v>
      </c>
    </row>
    <row r="1410" customFormat="false" ht="15" hidden="false" customHeight="false" outlineLevel="0" collapsed="false">
      <c r="A1410" s="2" t="s">
        <v>119</v>
      </c>
      <c r="B1410" s="2" t="n">
        <v>5</v>
      </c>
      <c r="C1410" s="2" t="s">
        <v>84</v>
      </c>
      <c r="D1410" s="2" t="s">
        <v>34</v>
      </c>
      <c r="E1410" s="2" t="str">
        <f aca="false">INDEX(Products!$B$2:$B$13,MATCH(D1410,Products!$A$2:$A$13,0))</f>
        <v>FCC</v>
      </c>
      <c r="F1410" s="15" t="n">
        <v>4</v>
      </c>
      <c r="G1410" s="16" t="n">
        <f aca="false">IF(A1410="2025",INDEX(Products!$C$2:$C$13,MATCH(D1410,Products!$A$2:$A$13,0)),INDEX(Products!$E$2:$E$13,MATCH(D1410,Products!$A$2:$A$13,0)))</f>
        <v>3433.5</v>
      </c>
      <c r="H1410" s="13" t="n">
        <f aca="false">IF(A1410="2025",INDEX(Customers!$D$2:$D$41,MATCH(C1410,Customers!$A$2:$A$41,0)),INDEX(Customers!$F$2:$F$41,MATCH(C1410,Customers!$A$2:$A$41,0)))</f>
        <v>0.036</v>
      </c>
      <c r="I1410" s="16" t="n">
        <f aca="false">F1410*G1410</f>
        <v>13734</v>
      </c>
      <c r="J1410" s="16" t="n">
        <f aca="false">I1410*(1-H1410)</f>
        <v>13239.576</v>
      </c>
      <c r="K1410" s="16" t="n">
        <f aca="false">J1410*INDEX(Customers!$G$2:$G$41,MATCH(C1410,Customers!$A$2:$A$41,0))</f>
        <v>0</v>
      </c>
      <c r="L1410" s="16" t="n">
        <f aca="false">F1410*INDEX(Customers!$H$2:$H$41,MATCH(C1410,Customers!$A$2:$A$41,0))</f>
        <v>1080</v>
      </c>
      <c r="M1410" s="16" t="n">
        <f aca="false">J1410*INDEX(Customers!$I$2:$I$41,MATCH(C1410,Customers!$A$2:$A$41,0))/365*Assumptions!$B$6</f>
        <v>174.10949260274</v>
      </c>
      <c r="N1410" s="16" t="n">
        <f aca="false">J1410-K1410-L1410-M1410</f>
        <v>11985.4665073973</v>
      </c>
      <c r="O1410" s="16" t="n">
        <f aca="false">F1410*IF(A1410="2025",INDEX(Products!$D$2:$D$13,MATCH(D1410,Products!$A$2:$A$13,0)),INDEX(Products!$F$2:$F$13,MATCH(D1410,Products!$A$2:$A$13,0)))</f>
        <v>9022.8</v>
      </c>
      <c r="P1410" s="16" t="n">
        <f aca="false">N1410-O1410</f>
        <v>2962.66650739726</v>
      </c>
    </row>
    <row r="1411" customFormat="false" ht="15" hidden="false" customHeight="false" outlineLevel="0" collapsed="false">
      <c r="A1411" s="2" t="s">
        <v>119</v>
      </c>
      <c r="B1411" s="2" t="n">
        <v>6</v>
      </c>
      <c r="C1411" s="2" t="s">
        <v>84</v>
      </c>
      <c r="D1411" s="2" t="s">
        <v>34</v>
      </c>
      <c r="E1411" s="2" t="str">
        <f aca="false">INDEX(Products!$B$2:$B$13,MATCH(D1411,Products!$A$2:$A$13,0))</f>
        <v>FCC</v>
      </c>
      <c r="F1411" s="15" t="n">
        <v>4.4</v>
      </c>
      <c r="G1411" s="16" t="n">
        <f aca="false">IF(A1411="2025",INDEX(Products!$C$2:$C$13,MATCH(D1411,Products!$A$2:$A$13,0)),INDEX(Products!$E$2:$E$13,MATCH(D1411,Products!$A$2:$A$13,0)))</f>
        <v>3433.5</v>
      </c>
      <c r="H1411" s="13" t="n">
        <f aca="false">IF(A1411="2025",INDEX(Customers!$D$2:$D$41,MATCH(C1411,Customers!$A$2:$A$41,0)),INDEX(Customers!$F$2:$F$41,MATCH(C1411,Customers!$A$2:$A$41,0)))</f>
        <v>0.036</v>
      </c>
      <c r="I1411" s="16" t="n">
        <f aca="false">F1411*G1411</f>
        <v>15107.4</v>
      </c>
      <c r="J1411" s="16" t="n">
        <f aca="false">I1411*(1-H1411)</f>
        <v>14563.5336</v>
      </c>
      <c r="K1411" s="16" t="n">
        <f aca="false">J1411*INDEX(Customers!$G$2:$G$41,MATCH(C1411,Customers!$A$2:$A$41,0))</f>
        <v>0</v>
      </c>
      <c r="L1411" s="16" t="n">
        <f aca="false">F1411*INDEX(Customers!$H$2:$H$41,MATCH(C1411,Customers!$A$2:$A$41,0))</f>
        <v>1188</v>
      </c>
      <c r="M1411" s="16" t="n">
        <f aca="false">J1411*INDEX(Customers!$I$2:$I$41,MATCH(C1411,Customers!$A$2:$A$41,0))/365*Assumptions!$B$6</f>
        <v>191.520441863014</v>
      </c>
      <c r="N1411" s="16" t="n">
        <f aca="false">J1411-K1411-L1411-M1411</f>
        <v>13184.013158137</v>
      </c>
      <c r="O1411" s="16" t="n">
        <f aca="false">F1411*IF(A1411="2025",INDEX(Products!$D$2:$D$13,MATCH(D1411,Products!$A$2:$A$13,0)),INDEX(Products!$F$2:$F$13,MATCH(D1411,Products!$A$2:$A$13,0)))</f>
        <v>9925.08</v>
      </c>
      <c r="P1411" s="16" t="n">
        <f aca="false">N1411-O1411</f>
        <v>3258.93315813698</v>
      </c>
    </row>
    <row r="1412" customFormat="false" ht="15" hidden="false" customHeight="false" outlineLevel="0" collapsed="false">
      <c r="A1412" s="2" t="s">
        <v>119</v>
      </c>
      <c r="B1412" s="2" t="n">
        <v>7</v>
      </c>
      <c r="C1412" s="2" t="s">
        <v>84</v>
      </c>
      <c r="D1412" s="2" t="s">
        <v>34</v>
      </c>
      <c r="E1412" s="2" t="str">
        <f aca="false">INDEX(Products!$B$2:$B$13,MATCH(D1412,Products!$A$2:$A$13,0))</f>
        <v>FCC</v>
      </c>
      <c r="F1412" s="15" t="n">
        <v>4.2</v>
      </c>
      <c r="G1412" s="16" t="n">
        <f aca="false">IF(A1412="2025",INDEX(Products!$C$2:$C$13,MATCH(D1412,Products!$A$2:$A$13,0)),INDEX(Products!$E$2:$E$13,MATCH(D1412,Products!$A$2:$A$13,0)))</f>
        <v>3433.5</v>
      </c>
      <c r="H1412" s="13" t="n">
        <f aca="false">IF(A1412="2025",INDEX(Customers!$D$2:$D$41,MATCH(C1412,Customers!$A$2:$A$41,0)),INDEX(Customers!$F$2:$F$41,MATCH(C1412,Customers!$A$2:$A$41,0)))</f>
        <v>0.036</v>
      </c>
      <c r="I1412" s="16" t="n">
        <f aca="false">F1412*G1412</f>
        <v>14420.7</v>
      </c>
      <c r="J1412" s="16" t="n">
        <f aca="false">I1412*(1-H1412)</f>
        <v>13901.5548</v>
      </c>
      <c r="K1412" s="16" t="n">
        <f aca="false">J1412*INDEX(Customers!$G$2:$G$41,MATCH(C1412,Customers!$A$2:$A$41,0))</f>
        <v>0</v>
      </c>
      <c r="L1412" s="16" t="n">
        <f aca="false">F1412*INDEX(Customers!$H$2:$H$41,MATCH(C1412,Customers!$A$2:$A$41,0))</f>
        <v>1134</v>
      </c>
      <c r="M1412" s="16" t="n">
        <f aca="false">J1412*INDEX(Customers!$I$2:$I$41,MATCH(C1412,Customers!$A$2:$A$41,0))/365*Assumptions!$B$6</f>
        <v>182.814967232877</v>
      </c>
      <c r="N1412" s="16" t="n">
        <f aca="false">J1412-K1412-L1412-M1412</f>
        <v>12584.7398327671</v>
      </c>
      <c r="O1412" s="16" t="n">
        <f aca="false">F1412*IF(A1412="2025",INDEX(Products!$D$2:$D$13,MATCH(D1412,Products!$A$2:$A$13,0)),INDEX(Products!$F$2:$F$13,MATCH(D1412,Products!$A$2:$A$13,0)))</f>
        <v>9473.94</v>
      </c>
      <c r="P1412" s="16" t="n">
        <f aca="false">N1412-O1412</f>
        <v>3110.79983276712</v>
      </c>
    </row>
    <row r="1413" customFormat="false" ht="15" hidden="false" customHeight="false" outlineLevel="0" collapsed="false">
      <c r="A1413" s="2" t="s">
        <v>119</v>
      </c>
      <c r="B1413" s="2" t="n">
        <v>8</v>
      </c>
      <c r="C1413" s="2" t="s">
        <v>84</v>
      </c>
      <c r="D1413" s="2" t="s">
        <v>34</v>
      </c>
      <c r="E1413" s="2" t="str">
        <f aca="false">INDEX(Products!$B$2:$B$13,MATCH(D1413,Products!$A$2:$A$13,0))</f>
        <v>FCC</v>
      </c>
      <c r="F1413" s="15" t="n">
        <v>3.3</v>
      </c>
      <c r="G1413" s="16" t="n">
        <f aca="false">IF(A1413="2025",INDEX(Products!$C$2:$C$13,MATCH(D1413,Products!$A$2:$A$13,0)),INDEX(Products!$E$2:$E$13,MATCH(D1413,Products!$A$2:$A$13,0)))</f>
        <v>3433.5</v>
      </c>
      <c r="H1413" s="13" t="n">
        <f aca="false">IF(A1413="2025",INDEX(Customers!$D$2:$D$41,MATCH(C1413,Customers!$A$2:$A$41,0)),INDEX(Customers!$F$2:$F$41,MATCH(C1413,Customers!$A$2:$A$41,0)))</f>
        <v>0.036</v>
      </c>
      <c r="I1413" s="16" t="n">
        <f aca="false">F1413*G1413</f>
        <v>11330.55</v>
      </c>
      <c r="J1413" s="16" t="n">
        <f aca="false">I1413*(1-H1413)</f>
        <v>10922.6502</v>
      </c>
      <c r="K1413" s="16" t="n">
        <f aca="false">J1413*INDEX(Customers!$G$2:$G$41,MATCH(C1413,Customers!$A$2:$A$41,0))</f>
        <v>0</v>
      </c>
      <c r="L1413" s="16" t="n">
        <f aca="false">F1413*INDEX(Customers!$H$2:$H$41,MATCH(C1413,Customers!$A$2:$A$41,0))</f>
        <v>891</v>
      </c>
      <c r="M1413" s="16" t="n">
        <f aca="false">J1413*INDEX(Customers!$I$2:$I$41,MATCH(C1413,Customers!$A$2:$A$41,0))/365*Assumptions!$B$6</f>
        <v>143.64033139726</v>
      </c>
      <c r="N1413" s="16" t="n">
        <f aca="false">J1413-K1413-L1413-M1413</f>
        <v>9888.00986860274</v>
      </c>
      <c r="O1413" s="16" t="n">
        <f aca="false">F1413*IF(A1413="2025",INDEX(Products!$D$2:$D$13,MATCH(D1413,Products!$A$2:$A$13,0)),INDEX(Products!$F$2:$F$13,MATCH(D1413,Products!$A$2:$A$13,0)))</f>
        <v>7443.81</v>
      </c>
      <c r="P1413" s="16" t="n">
        <f aca="false">N1413-O1413</f>
        <v>2444.19986860274</v>
      </c>
    </row>
    <row r="1414" customFormat="false" ht="15" hidden="false" customHeight="false" outlineLevel="0" collapsed="false">
      <c r="A1414" s="2" t="s">
        <v>119</v>
      </c>
      <c r="B1414" s="2" t="n">
        <v>9</v>
      </c>
      <c r="C1414" s="2" t="s">
        <v>84</v>
      </c>
      <c r="D1414" s="2" t="s">
        <v>34</v>
      </c>
      <c r="E1414" s="2" t="str">
        <f aca="false">INDEX(Products!$B$2:$B$13,MATCH(D1414,Products!$A$2:$A$13,0))</f>
        <v>FCC</v>
      </c>
      <c r="F1414" s="15" t="n">
        <v>4.8</v>
      </c>
      <c r="G1414" s="16" t="n">
        <f aca="false">IF(A1414="2025",INDEX(Products!$C$2:$C$13,MATCH(D1414,Products!$A$2:$A$13,0)),INDEX(Products!$E$2:$E$13,MATCH(D1414,Products!$A$2:$A$13,0)))</f>
        <v>3433.5</v>
      </c>
      <c r="H1414" s="13" t="n">
        <f aca="false">IF(A1414="2025",INDEX(Customers!$D$2:$D$41,MATCH(C1414,Customers!$A$2:$A$41,0)),INDEX(Customers!$F$2:$F$41,MATCH(C1414,Customers!$A$2:$A$41,0)))</f>
        <v>0.036</v>
      </c>
      <c r="I1414" s="16" t="n">
        <f aca="false">F1414*G1414</f>
        <v>16480.8</v>
      </c>
      <c r="J1414" s="16" t="n">
        <f aca="false">I1414*(1-H1414)</f>
        <v>15887.4912</v>
      </c>
      <c r="K1414" s="16" t="n">
        <f aca="false">J1414*INDEX(Customers!$G$2:$G$41,MATCH(C1414,Customers!$A$2:$A$41,0))</f>
        <v>0</v>
      </c>
      <c r="L1414" s="16" t="n">
        <f aca="false">F1414*INDEX(Customers!$H$2:$H$41,MATCH(C1414,Customers!$A$2:$A$41,0))</f>
        <v>1296</v>
      </c>
      <c r="M1414" s="16" t="n">
        <f aca="false">J1414*INDEX(Customers!$I$2:$I$41,MATCH(C1414,Customers!$A$2:$A$41,0))/365*Assumptions!$B$6</f>
        <v>208.931391123288</v>
      </c>
      <c r="N1414" s="16" t="n">
        <f aca="false">J1414-K1414-L1414-M1414</f>
        <v>14382.5598088767</v>
      </c>
      <c r="O1414" s="16" t="n">
        <f aca="false">F1414*IF(A1414="2025",INDEX(Products!$D$2:$D$13,MATCH(D1414,Products!$A$2:$A$13,0)),INDEX(Products!$F$2:$F$13,MATCH(D1414,Products!$A$2:$A$13,0)))</f>
        <v>10827.36</v>
      </c>
      <c r="P1414" s="16" t="n">
        <f aca="false">N1414-O1414</f>
        <v>3555.19980887671</v>
      </c>
    </row>
    <row r="1415" customFormat="false" ht="15" hidden="false" customHeight="false" outlineLevel="0" collapsed="false">
      <c r="A1415" s="2" t="s">
        <v>119</v>
      </c>
      <c r="B1415" s="2" t="n">
        <v>10</v>
      </c>
      <c r="C1415" s="2" t="s">
        <v>84</v>
      </c>
      <c r="D1415" s="2" t="s">
        <v>34</v>
      </c>
      <c r="E1415" s="2" t="str">
        <f aca="false">INDEX(Products!$B$2:$B$13,MATCH(D1415,Products!$A$2:$A$13,0))</f>
        <v>FCC</v>
      </c>
      <c r="F1415" s="15" t="n">
        <v>4.8</v>
      </c>
      <c r="G1415" s="16" t="n">
        <f aca="false">IF(A1415="2025",INDEX(Products!$C$2:$C$13,MATCH(D1415,Products!$A$2:$A$13,0)),INDEX(Products!$E$2:$E$13,MATCH(D1415,Products!$A$2:$A$13,0)))</f>
        <v>3433.5</v>
      </c>
      <c r="H1415" s="13" t="n">
        <f aca="false">IF(A1415="2025",INDEX(Customers!$D$2:$D$41,MATCH(C1415,Customers!$A$2:$A$41,0)),INDEX(Customers!$F$2:$F$41,MATCH(C1415,Customers!$A$2:$A$41,0)))</f>
        <v>0.036</v>
      </c>
      <c r="I1415" s="16" t="n">
        <f aca="false">F1415*G1415</f>
        <v>16480.8</v>
      </c>
      <c r="J1415" s="16" t="n">
        <f aca="false">I1415*(1-H1415)</f>
        <v>15887.4912</v>
      </c>
      <c r="K1415" s="16" t="n">
        <f aca="false">J1415*INDEX(Customers!$G$2:$G$41,MATCH(C1415,Customers!$A$2:$A$41,0))</f>
        <v>0</v>
      </c>
      <c r="L1415" s="16" t="n">
        <f aca="false">F1415*INDEX(Customers!$H$2:$H$41,MATCH(C1415,Customers!$A$2:$A$41,0))</f>
        <v>1296</v>
      </c>
      <c r="M1415" s="16" t="n">
        <f aca="false">J1415*INDEX(Customers!$I$2:$I$41,MATCH(C1415,Customers!$A$2:$A$41,0))/365*Assumptions!$B$6</f>
        <v>208.931391123288</v>
      </c>
      <c r="N1415" s="16" t="n">
        <f aca="false">J1415-K1415-L1415-M1415</f>
        <v>14382.5598088767</v>
      </c>
      <c r="O1415" s="16" t="n">
        <f aca="false">F1415*IF(A1415="2025",INDEX(Products!$D$2:$D$13,MATCH(D1415,Products!$A$2:$A$13,0)),INDEX(Products!$F$2:$F$13,MATCH(D1415,Products!$A$2:$A$13,0)))</f>
        <v>10827.36</v>
      </c>
      <c r="P1415" s="16" t="n">
        <f aca="false">N1415-O1415</f>
        <v>3555.19980887671</v>
      </c>
    </row>
    <row r="1416" customFormat="false" ht="15" hidden="false" customHeight="false" outlineLevel="0" collapsed="false">
      <c r="A1416" s="2" t="s">
        <v>119</v>
      </c>
      <c r="B1416" s="2" t="n">
        <v>11</v>
      </c>
      <c r="C1416" s="2" t="s">
        <v>84</v>
      </c>
      <c r="D1416" s="2" t="s">
        <v>34</v>
      </c>
      <c r="E1416" s="2" t="str">
        <f aca="false">INDEX(Products!$B$2:$B$13,MATCH(D1416,Products!$A$2:$A$13,0))</f>
        <v>FCC</v>
      </c>
      <c r="F1416" s="15" t="n">
        <v>4.2</v>
      </c>
      <c r="G1416" s="16" t="n">
        <f aca="false">IF(A1416="2025",INDEX(Products!$C$2:$C$13,MATCH(D1416,Products!$A$2:$A$13,0)),INDEX(Products!$E$2:$E$13,MATCH(D1416,Products!$A$2:$A$13,0)))</f>
        <v>3433.5</v>
      </c>
      <c r="H1416" s="13" t="n">
        <f aca="false">IF(A1416="2025",INDEX(Customers!$D$2:$D$41,MATCH(C1416,Customers!$A$2:$A$41,0)),INDEX(Customers!$F$2:$F$41,MATCH(C1416,Customers!$A$2:$A$41,0)))</f>
        <v>0.036</v>
      </c>
      <c r="I1416" s="16" t="n">
        <f aca="false">F1416*G1416</f>
        <v>14420.7</v>
      </c>
      <c r="J1416" s="16" t="n">
        <f aca="false">I1416*(1-H1416)</f>
        <v>13901.5548</v>
      </c>
      <c r="K1416" s="16" t="n">
        <f aca="false">J1416*INDEX(Customers!$G$2:$G$41,MATCH(C1416,Customers!$A$2:$A$41,0))</f>
        <v>0</v>
      </c>
      <c r="L1416" s="16" t="n">
        <f aca="false">F1416*INDEX(Customers!$H$2:$H$41,MATCH(C1416,Customers!$A$2:$A$41,0))</f>
        <v>1134</v>
      </c>
      <c r="M1416" s="16" t="n">
        <f aca="false">J1416*INDEX(Customers!$I$2:$I$41,MATCH(C1416,Customers!$A$2:$A$41,0))/365*Assumptions!$B$6</f>
        <v>182.814967232877</v>
      </c>
      <c r="N1416" s="16" t="n">
        <f aca="false">J1416-K1416-L1416-M1416</f>
        <v>12584.7398327671</v>
      </c>
      <c r="O1416" s="16" t="n">
        <f aca="false">F1416*IF(A1416="2025",INDEX(Products!$D$2:$D$13,MATCH(D1416,Products!$A$2:$A$13,0)),INDEX(Products!$F$2:$F$13,MATCH(D1416,Products!$A$2:$A$13,0)))</f>
        <v>9473.94</v>
      </c>
      <c r="P1416" s="16" t="n">
        <f aca="false">N1416-O1416</f>
        <v>3110.79983276712</v>
      </c>
    </row>
    <row r="1417" customFormat="false" ht="15" hidden="false" customHeight="false" outlineLevel="0" collapsed="false">
      <c r="A1417" s="2" t="s">
        <v>119</v>
      </c>
      <c r="B1417" s="2" t="n">
        <v>12</v>
      </c>
      <c r="C1417" s="2" t="s">
        <v>84</v>
      </c>
      <c r="D1417" s="2" t="s">
        <v>34</v>
      </c>
      <c r="E1417" s="2" t="str">
        <f aca="false">INDEX(Products!$B$2:$B$13,MATCH(D1417,Products!$A$2:$A$13,0))</f>
        <v>FCC</v>
      </c>
      <c r="F1417" s="15" t="n">
        <v>4.2</v>
      </c>
      <c r="G1417" s="16" t="n">
        <f aca="false">IF(A1417="2025",INDEX(Products!$C$2:$C$13,MATCH(D1417,Products!$A$2:$A$13,0)),INDEX(Products!$E$2:$E$13,MATCH(D1417,Products!$A$2:$A$13,0)))</f>
        <v>3433.5</v>
      </c>
      <c r="H1417" s="13" t="n">
        <f aca="false">IF(A1417="2025",INDEX(Customers!$D$2:$D$41,MATCH(C1417,Customers!$A$2:$A$41,0)),INDEX(Customers!$F$2:$F$41,MATCH(C1417,Customers!$A$2:$A$41,0)))</f>
        <v>0.036</v>
      </c>
      <c r="I1417" s="16" t="n">
        <f aca="false">F1417*G1417</f>
        <v>14420.7</v>
      </c>
      <c r="J1417" s="16" t="n">
        <f aca="false">I1417*(1-H1417)</f>
        <v>13901.5548</v>
      </c>
      <c r="K1417" s="16" t="n">
        <f aca="false">J1417*INDEX(Customers!$G$2:$G$41,MATCH(C1417,Customers!$A$2:$A$41,0))</f>
        <v>0</v>
      </c>
      <c r="L1417" s="16" t="n">
        <f aca="false">F1417*INDEX(Customers!$H$2:$H$41,MATCH(C1417,Customers!$A$2:$A$41,0))</f>
        <v>1134</v>
      </c>
      <c r="M1417" s="16" t="n">
        <f aca="false">J1417*INDEX(Customers!$I$2:$I$41,MATCH(C1417,Customers!$A$2:$A$41,0))/365*Assumptions!$B$6</f>
        <v>182.814967232877</v>
      </c>
      <c r="N1417" s="16" t="n">
        <f aca="false">J1417-K1417-L1417-M1417</f>
        <v>12584.7398327671</v>
      </c>
      <c r="O1417" s="16" t="n">
        <f aca="false">F1417*IF(A1417="2025",INDEX(Products!$D$2:$D$13,MATCH(D1417,Products!$A$2:$A$13,0)),INDEX(Products!$F$2:$F$13,MATCH(D1417,Products!$A$2:$A$13,0)))</f>
        <v>9473.94</v>
      </c>
      <c r="P1417" s="16" t="n">
        <f aca="false">N1417-O1417</f>
        <v>3110.79983276712</v>
      </c>
    </row>
    <row r="1418" customFormat="false" ht="15" hidden="false" customHeight="false" outlineLevel="0" collapsed="false">
      <c r="A1418" s="2" t="s">
        <v>118</v>
      </c>
      <c r="B1418" s="2" t="n">
        <v>1</v>
      </c>
      <c r="C1418" s="2" t="s">
        <v>84</v>
      </c>
      <c r="D1418" s="2" t="s">
        <v>37</v>
      </c>
      <c r="E1418" s="2" t="str">
        <f aca="false">INDEX(Products!$B$2:$B$13,MATCH(D1418,Products!$A$2:$A$13,0))</f>
        <v>FCC</v>
      </c>
      <c r="F1418" s="15" t="n">
        <v>5.9</v>
      </c>
      <c r="G1418" s="16" t="n">
        <f aca="false">IF(A1418="2025",INDEX(Products!$C$2:$C$13,MATCH(D1418,Products!$A$2:$A$13,0)),INDEX(Products!$E$2:$E$13,MATCH(D1418,Products!$A$2:$A$13,0)))</f>
        <v>3530</v>
      </c>
      <c r="H1418" s="13" t="n">
        <f aca="false">IF(A1418="2025",INDEX(Customers!$D$2:$D$41,MATCH(C1418,Customers!$A$2:$A$41,0)),INDEX(Customers!$F$2:$F$41,MATCH(C1418,Customers!$A$2:$A$41,0)))</f>
        <v>0.036</v>
      </c>
      <c r="I1418" s="16" t="n">
        <f aca="false">F1418*G1418</f>
        <v>20827</v>
      </c>
      <c r="J1418" s="16" t="n">
        <f aca="false">I1418*(1-H1418)</f>
        <v>20077.228</v>
      </c>
      <c r="K1418" s="16" t="n">
        <f aca="false">J1418*INDEX(Customers!$G$2:$G$41,MATCH(C1418,Customers!$A$2:$A$41,0))</f>
        <v>0</v>
      </c>
      <c r="L1418" s="16" t="n">
        <f aca="false">F1418*INDEX(Customers!$H$2:$H$41,MATCH(C1418,Customers!$A$2:$A$41,0))</f>
        <v>1593</v>
      </c>
      <c r="M1418" s="16" t="n">
        <f aca="false">J1418*INDEX(Customers!$I$2:$I$41,MATCH(C1418,Customers!$A$2:$A$41,0))/365*Assumptions!$B$6</f>
        <v>264.029299726027</v>
      </c>
      <c r="N1418" s="16" t="n">
        <f aca="false">J1418-K1418-L1418-M1418</f>
        <v>18220.198700274</v>
      </c>
      <c r="O1418" s="16" t="n">
        <f aca="false">F1418*IF(A1418="2025",INDEX(Products!$D$2:$D$13,MATCH(D1418,Products!$A$2:$A$13,0)),INDEX(Products!$F$2:$F$13,MATCH(D1418,Products!$A$2:$A$13,0)))</f>
        <v>14219</v>
      </c>
      <c r="P1418" s="16" t="n">
        <f aca="false">N1418-O1418</f>
        <v>4001.19870027397</v>
      </c>
    </row>
    <row r="1419" customFormat="false" ht="15" hidden="false" customHeight="false" outlineLevel="0" collapsed="false">
      <c r="A1419" s="2" t="s">
        <v>118</v>
      </c>
      <c r="B1419" s="2" t="n">
        <v>2</v>
      </c>
      <c r="C1419" s="2" t="s">
        <v>84</v>
      </c>
      <c r="D1419" s="2" t="s">
        <v>37</v>
      </c>
      <c r="E1419" s="2" t="str">
        <f aca="false">INDEX(Products!$B$2:$B$13,MATCH(D1419,Products!$A$2:$A$13,0))</f>
        <v>FCC</v>
      </c>
      <c r="F1419" s="15" t="n">
        <v>7.2</v>
      </c>
      <c r="G1419" s="16" t="n">
        <f aca="false">IF(A1419="2025",INDEX(Products!$C$2:$C$13,MATCH(D1419,Products!$A$2:$A$13,0)),INDEX(Products!$E$2:$E$13,MATCH(D1419,Products!$A$2:$A$13,0)))</f>
        <v>3530</v>
      </c>
      <c r="H1419" s="13" t="n">
        <f aca="false">IF(A1419="2025",INDEX(Customers!$D$2:$D$41,MATCH(C1419,Customers!$A$2:$A$41,0)),INDEX(Customers!$F$2:$F$41,MATCH(C1419,Customers!$A$2:$A$41,0)))</f>
        <v>0.036</v>
      </c>
      <c r="I1419" s="16" t="n">
        <f aca="false">F1419*G1419</f>
        <v>25416</v>
      </c>
      <c r="J1419" s="16" t="n">
        <f aca="false">I1419*(1-H1419)</f>
        <v>24501.024</v>
      </c>
      <c r="K1419" s="16" t="n">
        <f aca="false">J1419*INDEX(Customers!$G$2:$G$41,MATCH(C1419,Customers!$A$2:$A$41,0))</f>
        <v>0</v>
      </c>
      <c r="L1419" s="16" t="n">
        <f aca="false">F1419*INDEX(Customers!$H$2:$H$41,MATCH(C1419,Customers!$A$2:$A$41,0))</f>
        <v>1944</v>
      </c>
      <c r="M1419" s="16" t="n">
        <f aca="false">J1419*INDEX(Customers!$I$2:$I$41,MATCH(C1419,Customers!$A$2:$A$41,0))/365*Assumptions!$B$6</f>
        <v>322.205247123288</v>
      </c>
      <c r="N1419" s="16" t="n">
        <f aca="false">J1419-K1419-L1419-M1419</f>
        <v>22234.8187528767</v>
      </c>
      <c r="O1419" s="16" t="n">
        <f aca="false">F1419*IF(A1419="2025",INDEX(Products!$D$2:$D$13,MATCH(D1419,Products!$A$2:$A$13,0)),INDEX(Products!$F$2:$F$13,MATCH(D1419,Products!$A$2:$A$13,0)))</f>
        <v>17352</v>
      </c>
      <c r="P1419" s="16" t="n">
        <f aca="false">N1419-O1419</f>
        <v>4882.81875287671</v>
      </c>
    </row>
    <row r="1420" customFormat="false" ht="15" hidden="false" customHeight="false" outlineLevel="0" collapsed="false">
      <c r="A1420" s="2" t="s">
        <v>118</v>
      </c>
      <c r="B1420" s="2" t="n">
        <v>3</v>
      </c>
      <c r="C1420" s="2" t="s">
        <v>84</v>
      </c>
      <c r="D1420" s="2" t="s">
        <v>37</v>
      </c>
      <c r="E1420" s="2" t="str">
        <f aca="false">INDEX(Products!$B$2:$B$13,MATCH(D1420,Products!$A$2:$A$13,0))</f>
        <v>FCC</v>
      </c>
      <c r="F1420" s="15" t="n">
        <v>9.3</v>
      </c>
      <c r="G1420" s="16" t="n">
        <f aca="false">IF(A1420="2025",INDEX(Products!$C$2:$C$13,MATCH(D1420,Products!$A$2:$A$13,0)),INDEX(Products!$E$2:$E$13,MATCH(D1420,Products!$A$2:$A$13,0)))</f>
        <v>3530</v>
      </c>
      <c r="H1420" s="13" t="n">
        <f aca="false">IF(A1420="2025",INDEX(Customers!$D$2:$D$41,MATCH(C1420,Customers!$A$2:$A$41,0)),INDEX(Customers!$F$2:$F$41,MATCH(C1420,Customers!$A$2:$A$41,0)))</f>
        <v>0.036</v>
      </c>
      <c r="I1420" s="16" t="n">
        <f aca="false">F1420*G1420</f>
        <v>32829</v>
      </c>
      <c r="J1420" s="16" t="n">
        <f aca="false">I1420*(1-H1420)</f>
        <v>31647.156</v>
      </c>
      <c r="K1420" s="16" t="n">
        <f aca="false">J1420*INDEX(Customers!$G$2:$G$41,MATCH(C1420,Customers!$A$2:$A$41,0))</f>
        <v>0</v>
      </c>
      <c r="L1420" s="16" t="n">
        <f aca="false">F1420*INDEX(Customers!$H$2:$H$41,MATCH(C1420,Customers!$A$2:$A$41,0))</f>
        <v>2511</v>
      </c>
      <c r="M1420" s="16" t="n">
        <f aca="false">J1420*INDEX(Customers!$I$2:$I$41,MATCH(C1420,Customers!$A$2:$A$41,0))/365*Assumptions!$B$6</f>
        <v>416.181777534247</v>
      </c>
      <c r="N1420" s="16" t="n">
        <f aca="false">J1420-K1420-L1420-M1420</f>
        <v>28719.9742224658</v>
      </c>
      <c r="O1420" s="16" t="n">
        <f aca="false">F1420*IF(A1420="2025",INDEX(Products!$D$2:$D$13,MATCH(D1420,Products!$A$2:$A$13,0)),INDEX(Products!$F$2:$F$13,MATCH(D1420,Products!$A$2:$A$13,0)))</f>
        <v>22413</v>
      </c>
      <c r="P1420" s="16" t="n">
        <f aca="false">N1420-O1420</f>
        <v>6306.97422246575</v>
      </c>
    </row>
    <row r="1421" customFormat="false" ht="15" hidden="false" customHeight="false" outlineLevel="0" collapsed="false">
      <c r="A1421" s="2" t="s">
        <v>118</v>
      </c>
      <c r="B1421" s="2" t="n">
        <v>4</v>
      </c>
      <c r="C1421" s="2" t="s">
        <v>84</v>
      </c>
      <c r="D1421" s="2" t="s">
        <v>37</v>
      </c>
      <c r="E1421" s="2" t="str">
        <f aca="false">INDEX(Products!$B$2:$B$13,MATCH(D1421,Products!$A$2:$A$13,0))</f>
        <v>FCC</v>
      </c>
      <c r="F1421" s="15" t="n">
        <v>8.1</v>
      </c>
      <c r="G1421" s="16" t="n">
        <f aca="false">IF(A1421="2025",INDEX(Products!$C$2:$C$13,MATCH(D1421,Products!$A$2:$A$13,0)),INDEX(Products!$E$2:$E$13,MATCH(D1421,Products!$A$2:$A$13,0)))</f>
        <v>3530</v>
      </c>
      <c r="H1421" s="13" t="n">
        <f aca="false">IF(A1421="2025",INDEX(Customers!$D$2:$D$41,MATCH(C1421,Customers!$A$2:$A$41,0)),INDEX(Customers!$F$2:$F$41,MATCH(C1421,Customers!$A$2:$A$41,0)))</f>
        <v>0.036</v>
      </c>
      <c r="I1421" s="16" t="n">
        <f aca="false">F1421*G1421</f>
        <v>28593</v>
      </c>
      <c r="J1421" s="16" t="n">
        <f aca="false">I1421*(1-H1421)</f>
        <v>27563.652</v>
      </c>
      <c r="K1421" s="16" t="n">
        <f aca="false">J1421*INDEX(Customers!$G$2:$G$41,MATCH(C1421,Customers!$A$2:$A$41,0))</f>
        <v>0</v>
      </c>
      <c r="L1421" s="16" t="n">
        <f aca="false">F1421*INDEX(Customers!$H$2:$H$41,MATCH(C1421,Customers!$A$2:$A$41,0))</f>
        <v>2187</v>
      </c>
      <c r="M1421" s="16" t="n">
        <f aca="false">J1421*INDEX(Customers!$I$2:$I$41,MATCH(C1421,Customers!$A$2:$A$41,0))/365*Assumptions!$B$6</f>
        <v>362.480903013699</v>
      </c>
      <c r="N1421" s="16" t="n">
        <f aca="false">J1421-K1421-L1421-M1421</f>
        <v>25014.1710969863</v>
      </c>
      <c r="O1421" s="16" t="n">
        <f aca="false">F1421*IF(A1421="2025",INDEX(Products!$D$2:$D$13,MATCH(D1421,Products!$A$2:$A$13,0)),INDEX(Products!$F$2:$F$13,MATCH(D1421,Products!$A$2:$A$13,0)))</f>
        <v>19521</v>
      </c>
      <c r="P1421" s="16" t="n">
        <f aca="false">N1421-O1421</f>
        <v>5493.1710969863</v>
      </c>
    </row>
    <row r="1422" customFormat="false" ht="15" hidden="false" customHeight="false" outlineLevel="0" collapsed="false">
      <c r="A1422" s="2" t="s">
        <v>118</v>
      </c>
      <c r="B1422" s="2" t="n">
        <v>5</v>
      </c>
      <c r="C1422" s="2" t="s">
        <v>84</v>
      </c>
      <c r="D1422" s="2" t="s">
        <v>37</v>
      </c>
      <c r="E1422" s="2" t="str">
        <f aca="false">INDEX(Products!$B$2:$B$13,MATCH(D1422,Products!$A$2:$A$13,0))</f>
        <v>FCC</v>
      </c>
      <c r="F1422" s="15" t="n">
        <v>6.6</v>
      </c>
      <c r="G1422" s="16" t="n">
        <f aca="false">IF(A1422="2025",INDEX(Products!$C$2:$C$13,MATCH(D1422,Products!$A$2:$A$13,0)),INDEX(Products!$E$2:$E$13,MATCH(D1422,Products!$A$2:$A$13,0)))</f>
        <v>3530</v>
      </c>
      <c r="H1422" s="13" t="n">
        <f aca="false">IF(A1422="2025",INDEX(Customers!$D$2:$D$41,MATCH(C1422,Customers!$A$2:$A$41,0)),INDEX(Customers!$F$2:$F$41,MATCH(C1422,Customers!$A$2:$A$41,0)))</f>
        <v>0.036</v>
      </c>
      <c r="I1422" s="16" t="n">
        <f aca="false">F1422*G1422</f>
        <v>23298</v>
      </c>
      <c r="J1422" s="16" t="n">
        <f aca="false">I1422*(1-H1422)</f>
        <v>22459.272</v>
      </c>
      <c r="K1422" s="16" t="n">
        <f aca="false">J1422*INDEX(Customers!$G$2:$G$41,MATCH(C1422,Customers!$A$2:$A$41,0))</f>
        <v>0</v>
      </c>
      <c r="L1422" s="16" t="n">
        <f aca="false">F1422*INDEX(Customers!$H$2:$H$41,MATCH(C1422,Customers!$A$2:$A$41,0))</f>
        <v>1782</v>
      </c>
      <c r="M1422" s="16" t="n">
        <f aca="false">J1422*INDEX(Customers!$I$2:$I$41,MATCH(C1422,Customers!$A$2:$A$41,0))/365*Assumptions!$B$6</f>
        <v>295.354809863014</v>
      </c>
      <c r="N1422" s="16" t="n">
        <f aca="false">J1422-K1422-L1422-M1422</f>
        <v>20381.917190137</v>
      </c>
      <c r="O1422" s="16" t="n">
        <f aca="false">F1422*IF(A1422="2025",INDEX(Products!$D$2:$D$13,MATCH(D1422,Products!$A$2:$A$13,0)),INDEX(Products!$F$2:$F$13,MATCH(D1422,Products!$A$2:$A$13,0)))</f>
        <v>15906</v>
      </c>
      <c r="P1422" s="16" t="n">
        <f aca="false">N1422-O1422</f>
        <v>4475.91719013699</v>
      </c>
    </row>
    <row r="1423" customFormat="false" ht="15" hidden="false" customHeight="false" outlineLevel="0" collapsed="false">
      <c r="A1423" s="2" t="s">
        <v>118</v>
      </c>
      <c r="B1423" s="2" t="n">
        <v>6</v>
      </c>
      <c r="C1423" s="2" t="s">
        <v>84</v>
      </c>
      <c r="D1423" s="2" t="s">
        <v>37</v>
      </c>
      <c r="E1423" s="2" t="str">
        <f aca="false">INDEX(Products!$B$2:$B$13,MATCH(D1423,Products!$A$2:$A$13,0))</f>
        <v>FCC</v>
      </c>
      <c r="F1423" s="15" t="n">
        <v>6.4</v>
      </c>
      <c r="G1423" s="16" t="n">
        <f aca="false">IF(A1423="2025",INDEX(Products!$C$2:$C$13,MATCH(D1423,Products!$A$2:$A$13,0)),INDEX(Products!$E$2:$E$13,MATCH(D1423,Products!$A$2:$A$13,0)))</f>
        <v>3530</v>
      </c>
      <c r="H1423" s="13" t="n">
        <f aca="false">IF(A1423="2025",INDEX(Customers!$D$2:$D$41,MATCH(C1423,Customers!$A$2:$A$41,0)),INDEX(Customers!$F$2:$F$41,MATCH(C1423,Customers!$A$2:$A$41,0)))</f>
        <v>0.036</v>
      </c>
      <c r="I1423" s="16" t="n">
        <f aca="false">F1423*G1423</f>
        <v>22592</v>
      </c>
      <c r="J1423" s="16" t="n">
        <f aca="false">I1423*(1-H1423)</f>
        <v>21778.688</v>
      </c>
      <c r="K1423" s="16" t="n">
        <f aca="false">J1423*INDEX(Customers!$G$2:$G$41,MATCH(C1423,Customers!$A$2:$A$41,0))</f>
        <v>0</v>
      </c>
      <c r="L1423" s="16" t="n">
        <f aca="false">F1423*INDEX(Customers!$H$2:$H$41,MATCH(C1423,Customers!$A$2:$A$41,0))</f>
        <v>1728</v>
      </c>
      <c r="M1423" s="16" t="n">
        <f aca="false">J1423*INDEX(Customers!$I$2:$I$41,MATCH(C1423,Customers!$A$2:$A$41,0))/365*Assumptions!$B$6</f>
        <v>286.404664109589</v>
      </c>
      <c r="N1423" s="16" t="n">
        <f aca="false">J1423-K1423-L1423-M1423</f>
        <v>19764.2833358904</v>
      </c>
      <c r="O1423" s="16" t="n">
        <f aca="false">F1423*IF(A1423="2025",INDEX(Products!$D$2:$D$13,MATCH(D1423,Products!$A$2:$A$13,0)),INDEX(Products!$F$2:$F$13,MATCH(D1423,Products!$A$2:$A$13,0)))</f>
        <v>15424</v>
      </c>
      <c r="P1423" s="16" t="n">
        <f aca="false">N1423-O1423</f>
        <v>4340.28333589041</v>
      </c>
    </row>
    <row r="1424" customFormat="false" ht="15" hidden="false" customHeight="false" outlineLevel="0" collapsed="false">
      <c r="A1424" s="2" t="s">
        <v>118</v>
      </c>
      <c r="B1424" s="2" t="n">
        <v>7</v>
      </c>
      <c r="C1424" s="2" t="s">
        <v>84</v>
      </c>
      <c r="D1424" s="2" t="s">
        <v>37</v>
      </c>
      <c r="E1424" s="2" t="str">
        <f aca="false">INDEX(Products!$B$2:$B$13,MATCH(D1424,Products!$A$2:$A$13,0))</f>
        <v>FCC</v>
      </c>
      <c r="F1424" s="15" t="n">
        <v>8.1</v>
      </c>
      <c r="G1424" s="16" t="n">
        <f aca="false">IF(A1424="2025",INDEX(Products!$C$2:$C$13,MATCH(D1424,Products!$A$2:$A$13,0)),INDEX(Products!$E$2:$E$13,MATCH(D1424,Products!$A$2:$A$13,0)))</f>
        <v>3530</v>
      </c>
      <c r="H1424" s="13" t="n">
        <f aca="false">IF(A1424="2025",INDEX(Customers!$D$2:$D$41,MATCH(C1424,Customers!$A$2:$A$41,0)),INDEX(Customers!$F$2:$F$41,MATCH(C1424,Customers!$A$2:$A$41,0)))</f>
        <v>0.036</v>
      </c>
      <c r="I1424" s="16" t="n">
        <f aca="false">F1424*G1424</f>
        <v>28593</v>
      </c>
      <c r="J1424" s="16" t="n">
        <f aca="false">I1424*(1-H1424)</f>
        <v>27563.652</v>
      </c>
      <c r="K1424" s="16" t="n">
        <f aca="false">J1424*INDEX(Customers!$G$2:$G$41,MATCH(C1424,Customers!$A$2:$A$41,0))</f>
        <v>0</v>
      </c>
      <c r="L1424" s="16" t="n">
        <f aca="false">F1424*INDEX(Customers!$H$2:$H$41,MATCH(C1424,Customers!$A$2:$A$41,0))</f>
        <v>2187</v>
      </c>
      <c r="M1424" s="16" t="n">
        <f aca="false">J1424*INDEX(Customers!$I$2:$I$41,MATCH(C1424,Customers!$A$2:$A$41,0))/365*Assumptions!$B$6</f>
        <v>362.480903013699</v>
      </c>
      <c r="N1424" s="16" t="n">
        <f aca="false">J1424-K1424-L1424-M1424</f>
        <v>25014.1710969863</v>
      </c>
      <c r="O1424" s="16" t="n">
        <f aca="false">F1424*IF(A1424="2025",INDEX(Products!$D$2:$D$13,MATCH(D1424,Products!$A$2:$A$13,0)),INDEX(Products!$F$2:$F$13,MATCH(D1424,Products!$A$2:$A$13,0)))</f>
        <v>19521</v>
      </c>
      <c r="P1424" s="16" t="n">
        <f aca="false">N1424-O1424</f>
        <v>5493.1710969863</v>
      </c>
    </row>
    <row r="1425" customFormat="false" ht="15" hidden="false" customHeight="false" outlineLevel="0" collapsed="false">
      <c r="A1425" s="2" t="s">
        <v>118</v>
      </c>
      <c r="B1425" s="2" t="n">
        <v>8</v>
      </c>
      <c r="C1425" s="2" t="s">
        <v>84</v>
      </c>
      <c r="D1425" s="2" t="s">
        <v>37</v>
      </c>
      <c r="E1425" s="2" t="str">
        <f aca="false">INDEX(Products!$B$2:$B$13,MATCH(D1425,Products!$A$2:$A$13,0))</f>
        <v>FCC</v>
      </c>
      <c r="F1425" s="15" t="n">
        <v>8</v>
      </c>
      <c r="G1425" s="16" t="n">
        <f aca="false">IF(A1425="2025",INDEX(Products!$C$2:$C$13,MATCH(D1425,Products!$A$2:$A$13,0)),INDEX(Products!$E$2:$E$13,MATCH(D1425,Products!$A$2:$A$13,0)))</f>
        <v>3530</v>
      </c>
      <c r="H1425" s="13" t="n">
        <f aca="false">IF(A1425="2025",INDEX(Customers!$D$2:$D$41,MATCH(C1425,Customers!$A$2:$A$41,0)),INDEX(Customers!$F$2:$F$41,MATCH(C1425,Customers!$A$2:$A$41,0)))</f>
        <v>0.036</v>
      </c>
      <c r="I1425" s="16" t="n">
        <f aca="false">F1425*G1425</f>
        <v>28240</v>
      </c>
      <c r="J1425" s="16" t="n">
        <f aca="false">I1425*(1-H1425)</f>
        <v>27223.36</v>
      </c>
      <c r="K1425" s="16" t="n">
        <f aca="false">J1425*INDEX(Customers!$G$2:$G$41,MATCH(C1425,Customers!$A$2:$A$41,0))</f>
        <v>0</v>
      </c>
      <c r="L1425" s="16" t="n">
        <f aca="false">F1425*INDEX(Customers!$H$2:$H$41,MATCH(C1425,Customers!$A$2:$A$41,0))</f>
        <v>2160</v>
      </c>
      <c r="M1425" s="16" t="n">
        <f aca="false">J1425*INDEX(Customers!$I$2:$I$41,MATCH(C1425,Customers!$A$2:$A$41,0))/365*Assumptions!$B$6</f>
        <v>358.005830136986</v>
      </c>
      <c r="N1425" s="16" t="n">
        <f aca="false">J1425-K1425-L1425-M1425</f>
        <v>24705.354169863</v>
      </c>
      <c r="O1425" s="16" t="n">
        <f aca="false">F1425*IF(A1425="2025",INDEX(Products!$D$2:$D$13,MATCH(D1425,Products!$A$2:$A$13,0)),INDEX(Products!$F$2:$F$13,MATCH(D1425,Products!$A$2:$A$13,0)))</f>
        <v>19280</v>
      </c>
      <c r="P1425" s="16" t="n">
        <f aca="false">N1425-O1425</f>
        <v>5425.35416986301</v>
      </c>
    </row>
    <row r="1426" customFormat="false" ht="15" hidden="false" customHeight="false" outlineLevel="0" collapsed="false">
      <c r="A1426" s="2" t="s">
        <v>118</v>
      </c>
      <c r="B1426" s="2" t="n">
        <v>9</v>
      </c>
      <c r="C1426" s="2" t="s">
        <v>84</v>
      </c>
      <c r="D1426" s="2" t="s">
        <v>37</v>
      </c>
      <c r="E1426" s="2" t="str">
        <f aca="false">INDEX(Products!$B$2:$B$13,MATCH(D1426,Products!$A$2:$A$13,0))</f>
        <v>FCC</v>
      </c>
      <c r="F1426" s="15" t="n">
        <v>8</v>
      </c>
      <c r="G1426" s="16" t="n">
        <f aca="false">IF(A1426="2025",INDEX(Products!$C$2:$C$13,MATCH(D1426,Products!$A$2:$A$13,0)),INDEX(Products!$E$2:$E$13,MATCH(D1426,Products!$A$2:$A$13,0)))</f>
        <v>3530</v>
      </c>
      <c r="H1426" s="13" t="n">
        <f aca="false">IF(A1426="2025",INDEX(Customers!$D$2:$D$41,MATCH(C1426,Customers!$A$2:$A$41,0)),INDEX(Customers!$F$2:$F$41,MATCH(C1426,Customers!$A$2:$A$41,0)))</f>
        <v>0.036</v>
      </c>
      <c r="I1426" s="16" t="n">
        <f aca="false">F1426*G1426</f>
        <v>28240</v>
      </c>
      <c r="J1426" s="16" t="n">
        <f aca="false">I1426*(1-H1426)</f>
        <v>27223.36</v>
      </c>
      <c r="K1426" s="16" t="n">
        <f aca="false">J1426*INDEX(Customers!$G$2:$G$41,MATCH(C1426,Customers!$A$2:$A$41,0))</f>
        <v>0</v>
      </c>
      <c r="L1426" s="16" t="n">
        <f aca="false">F1426*INDEX(Customers!$H$2:$H$41,MATCH(C1426,Customers!$A$2:$A$41,0))</f>
        <v>2160</v>
      </c>
      <c r="M1426" s="16" t="n">
        <f aca="false">J1426*INDEX(Customers!$I$2:$I$41,MATCH(C1426,Customers!$A$2:$A$41,0))/365*Assumptions!$B$6</f>
        <v>358.005830136986</v>
      </c>
      <c r="N1426" s="16" t="n">
        <f aca="false">J1426-K1426-L1426-M1426</f>
        <v>24705.354169863</v>
      </c>
      <c r="O1426" s="16" t="n">
        <f aca="false">F1426*IF(A1426="2025",INDEX(Products!$D$2:$D$13,MATCH(D1426,Products!$A$2:$A$13,0)),INDEX(Products!$F$2:$F$13,MATCH(D1426,Products!$A$2:$A$13,0)))</f>
        <v>19280</v>
      </c>
      <c r="P1426" s="16" t="n">
        <f aca="false">N1426-O1426</f>
        <v>5425.35416986301</v>
      </c>
    </row>
    <row r="1427" customFormat="false" ht="15" hidden="false" customHeight="false" outlineLevel="0" collapsed="false">
      <c r="A1427" s="2" t="s">
        <v>118</v>
      </c>
      <c r="B1427" s="2" t="n">
        <v>10</v>
      </c>
      <c r="C1427" s="2" t="s">
        <v>84</v>
      </c>
      <c r="D1427" s="2" t="s">
        <v>37</v>
      </c>
      <c r="E1427" s="2" t="str">
        <f aca="false">INDEX(Products!$B$2:$B$13,MATCH(D1427,Products!$A$2:$A$13,0))</f>
        <v>FCC</v>
      </c>
      <c r="F1427" s="15" t="n">
        <v>8.6</v>
      </c>
      <c r="G1427" s="16" t="n">
        <f aca="false">IF(A1427="2025",INDEX(Products!$C$2:$C$13,MATCH(D1427,Products!$A$2:$A$13,0)),INDEX(Products!$E$2:$E$13,MATCH(D1427,Products!$A$2:$A$13,0)))</f>
        <v>3530</v>
      </c>
      <c r="H1427" s="13" t="n">
        <f aca="false">IF(A1427="2025",INDEX(Customers!$D$2:$D$41,MATCH(C1427,Customers!$A$2:$A$41,0)),INDEX(Customers!$F$2:$F$41,MATCH(C1427,Customers!$A$2:$A$41,0)))</f>
        <v>0.036</v>
      </c>
      <c r="I1427" s="16" t="n">
        <f aca="false">F1427*G1427</f>
        <v>30358</v>
      </c>
      <c r="J1427" s="16" t="n">
        <f aca="false">I1427*(1-H1427)</f>
        <v>29265.112</v>
      </c>
      <c r="K1427" s="16" t="n">
        <f aca="false">J1427*INDEX(Customers!$G$2:$G$41,MATCH(C1427,Customers!$A$2:$A$41,0))</f>
        <v>0</v>
      </c>
      <c r="L1427" s="16" t="n">
        <f aca="false">F1427*INDEX(Customers!$H$2:$H$41,MATCH(C1427,Customers!$A$2:$A$41,0))</f>
        <v>2322</v>
      </c>
      <c r="M1427" s="16" t="n">
        <f aca="false">J1427*INDEX(Customers!$I$2:$I$41,MATCH(C1427,Customers!$A$2:$A$41,0))/365*Assumptions!$B$6</f>
        <v>384.85626739726</v>
      </c>
      <c r="N1427" s="16" t="n">
        <f aca="false">J1427-K1427-L1427-M1427</f>
        <v>26558.2557326027</v>
      </c>
      <c r="O1427" s="16" t="n">
        <f aca="false">F1427*IF(A1427="2025",INDEX(Products!$D$2:$D$13,MATCH(D1427,Products!$A$2:$A$13,0)),INDEX(Products!$F$2:$F$13,MATCH(D1427,Products!$A$2:$A$13,0)))</f>
        <v>20726</v>
      </c>
      <c r="P1427" s="16" t="n">
        <f aca="false">N1427-O1427</f>
        <v>5832.25573260274</v>
      </c>
    </row>
    <row r="1428" customFormat="false" ht="15" hidden="false" customHeight="false" outlineLevel="0" collapsed="false">
      <c r="A1428" s="2" t="s">
        <v>118</v>
      </c>
      <c r="B1428" s="2" t="n">
        <v>11</v>
      </c>
      <c r="C1428" s="2" t="s">
        <v>84</v>
      </c>
      <c r="D1428" s="2" t="s">
        <v>37</v>
      </c>
      <c r="E1428" s="2" t="str">
        <f aca="false">INDEX(Products!$B$2:$B$13,MATCH(D1428,Products!$A$2:$A$13,0))</f>
        <v>FCC</v>
      </c>
      <c r="F1428" s="15" t="n">
        <v>7.4</v>
      </c>
      <c r="G1428" s="16" t="n">
        <f aca="false">IF(A1428="2025",INDEX(Products!$C$2:$C$13,MATCH(D1428,Products!$A$2:$A$13,0)),INDEX(Products!$E$2:$E$13,MATCH(D1428,Products!$A$2:$A$13,0)))</f>
        <v>3530</v>
      </c>
      <c r="H1428" s="13" t="n">
        <f aca="false">IF(A1428="2025",INDEX(Customers!$D$2:$D$41,MATCH(C1428,Customers!$A$2:$A$41,0)),INDEX(Customers!$F$2:$F$41,MATCH(C1428,Customers!$A$2:$A$41,0)))</f>
        <v>0.036</v>
      </c>
      <c r="I1428" s="16" t="n">
        <f aca="false">F1428*G1428</f>
        <v>26122</v>
      </c>
      <c r="J1428" s="16" t="n">
        <f aca="false">I1428*(1-H1428)</f>
        <v>25181.608</v>
      </c>
      <c r="K1428" s="16" t="n">
        <f aca="false">J1428*INDEX(Customers!$G$2:$G$41,MATCH(C1428,Customers!$A$2:$A$41,0))</f>
        <v>0</v>
      </c>
      <c r="L1428" s="16" t="n">
        <f aca="false">F1428*INDEX(Customers!$H$2:$H$41,MATCH(C1428,Customers!$A$2:$A$41,0))</f>
        <v>1998</v>
      </c>
      <c r="M1428" s="16" t="n">
        <f aca="false">J1428*INDEX(Customers!$I$2:$I$41,MATCH(C1428,Customers!$A$2:$A$41,0))/365*Assumptions!$B$6</f>
        <v>331.155392876712</v>
      </c>
      <c r="N1428" s="16" t="n">
        <f aca="false">J1428-K1428-L1428-M1428</f>
        <v>22852.4526071233</v>
      </c>
      <c r="O1428" s="16" t="n">
        <f aca="false">F1428*IF(A1428="2025",INDEX(Products!$D$2:$D$13,MATCH(D1428,Products!$A$2:$A$13,0)),INDEX(Products!$F$2:$F$13,MATCH(D1428,Products!$A$2:$A$13,0)))</f>
        <v>17834</v>
      </c>
      <c r="P1428" s="16" t="n">
        <f aca="false">N1428-O1428</f>
        <v>5018.45260712329</v>
      </c>
    </row>
    <row r="1429" customFormat="false" ht="15" hidden="false" customHeight="false" outlineLevel="0" collapsed="false">
      <c r="A1429" s="2" t="s">
        <v>118</v>
      </c>
      <c r="B1429" s="2" t="n">
        <v>12</v>
      </c>
      <c r="C1429" s="2" t="s">
        <v>84</v>
      </c>
      <c r="D1429" s="2" t="s">
        <v>37</v>
      </c>
      <c r="E1429" s="2" t="str">
        <f aca="false">INDEX(Products!$B$2:$B$13,MATCH(D1429,Products!$A$2:$A$13,0))</f>
        <v>FCC</v>
      </c>
      <c r="F1429" s="15" t="n">
        <v>7.7</v>
      </c>
      <c r="G1429" s="16" t="n">
        <f aca="false">IF(A1429="2025",INDEX(Products!$C$2:$C$13,MATCH(D1429,Products!$A$2:$A$13,0)),INDEX(Products!$E$2:$E$13,MATCH(D1429,Products!$A$2:$A$13,0)))</f>
        <v>3530</v>
      </c>
      <c r="H1429" s="13" t="n">
        <f aca="false">IF(A1429="2025",INDEX(Customers!$D$2:$D$41,MATCH(C1429,Customers!$A$2:$A$41,0)),INDEX(Customers!$F$2:$F$41,MATCH(C1429,Customers!$A$2:$A$41,0)))</f>
        <v>0.036</v>
      </c>
      <c r="I1429" s="16" t="n">
        <f aca="false">F1429*G1429</f>
        <v>27181</v>
      </c>
      <c r="J1429" s="16" t="n">
        <f aca="false">I1429*(1-H1429)</f>
        <v>26202.484</v>
      </c>
      <c r="K1429" s="16" t="n">
        <f aca="false">J1429*INDEX(Customers!$G$2:$G$41,MATCH(C1429,Customers!$A$2:$A$41,0))</f>
        <v>0</v>
      </c>
      <c r="L1429" s="16" t="n">
        <f aca="false">F1429*INDEX(Customers!$H$2:$H$41,MATCH(C1429,Customers!$A$2:$A$41,0))</f>
        <v>2079</v>
      </c>
      <c r="M1429" s="16" t="n">
        <f aca="false">J1429*INDEX(Customers!$I$2:$I$41,MATCH(C1429,Customers!$A$2:$A$41,0))/365*Assumptions!$B$6</f>
        <v>344.580611506849</v>
      </c>
      <c r="N1429" s="16" t="n">
        <f aca="false">J1429-K1429-L1429-M1429</f>
        <v>23778.9033884932</v>
      </c>
      <c r="O1429" s="16" t="n">
        <f aca="false">F1429*IF(A1429="2025",INDEX(Products!$D$2:$D$13,MATCH(D1429,Products!$A$2:$A$13,0)),INDEX(Products!$F$2:$F$13,MATCH(D1429,Products!$A$2:$A$13,0)))</f>
        <v>18557</v>
      </c>
      <c r="P1429" s="16" t="n">
        <f aca="false">N1429-O1429</f>
        <v>5221.90338849315</v>
      </c>
    </row>
    <row r="1430" customFormat="false" ht="15" hidden="false" customHeight="false" outlineLevel="0" collapsed="false">
      <c r="A1430" s="2" t="s">
        <v>119</v>
      </c>
      <c r="B1430" s="2" t="n">
        <v>1</v>
      </c>
      <c r="C1430" s="2" t="s">
        <v>84</v>
      </c>
      <c r="D1430" s="2" t="s">
        <v>37</v>
      </c>
      <c r="E1430" s="2" t="str">
        <f aca="false">INDEX(Products!$B$2:$B$13,MATCH(D1430,Products!$A$2:$A$13,0))</f>
        <v>FCC</v>
      </c>
      <c r="F1430" s="15" t="n">
        <v>3.9</v>
      </c>
      <c r="G1430" s="16" t="n">
        <f aca="false">IF(A1430="2025",INDEX(Products!$C$2:$C$13,MATCH(D1430,Products!$A$2:$A$13,0)),INDEX(Products!$E$2:$E$13,MATCH(D1430,Products!$A$2:$A$13,0)))</f>
        <v>3706.5</v>
      </c>
      <c r="H1430" s="13" t="n">
        <f aca="false">IF(A1430="2025",INDEX(Customers!$D$2:$D$41,MATCH(C1430,Customers!$A$2:$A$41,0)),INDEX(Customers!$F$2:$F$41,MATCH(C1430,Customers!$A$2:$A$41,0)))</f>
        <v>0.036</v>
      </c>
      <c r="I1430" s="16" t="n">
        <f aca="false">F1430*G1430</f>
        <v>14455.35</v>
      </c>
      <c r="J1430" s="16" t="n">
        <f aca="false">I1430*(1-H1430)</f>
        <v>13934.9574</v>
      </c>
      <c r="K1430" s="16" t="n">
        <f aca="false">J1430*INDEX(Customers!$G$2:$G$41,MATCH(C1430,Customers!$A$2:$A$41,0))</f>
        <v>0</v>
      </c>
      <c r="L1430" s="16" t="n">
        <f aca="false">F1430*INDEX(Customers!$H$2:$H$41,MATCH(C1430,Customers!$A$2:$A$41,0))</f>
        <v>1053</v>
      </c>
      <c r="M1430" s="16" t="n">
        <f aca="false">J1430*INDEX(Customers!$I$2:$I$41,MATCH(C1430,Customers!$A$2:$A$41,0))/365*Assumptions!$B$6</f>
        <v>183.25423430137</v>
      </c>
      <c r="N1430" s="16" t="n">
        <f aca="false">J1430-K1430-L1430-M1430</f>
        <v>12698.7031656986</v>
      </c>
      <c r="O1430" s="16" t="n">
        <f aca="false">F1430*IF(A1430="2025",INDEX(Products!$D$2:$D$13,MATCH(D1430,Products!$A$2:$A$13,0)),INDEX(Products!$F$2:$F$13,MATCH(D1430,Products!$A$2:$A$13,0)))</f>
        <v>9680.97</v>
      </c>
      <c r="P1430" s="16" t="n">
        <f aca="false">N1430-O1430</f>
        <v>3017.73316569863</v>
      </c>
    </row>
    <row r="1431" customFormat="false" ht="15" hidden="false" customHeight="false" outlineLevel="0" collapsed="false">
      <c r="A1431" s="2" t="s">
        <v>119</v>
      </c>
      <c r="B1431" s="2" t="n">
        <v>2</v>
      </c>
      <c r="C1431" s="2" t="s">
        <v>84</v>
      </c>
      <c r="D1431" s="2" t="s">
        <v>37</v>
      </c>
      <c r="E1431" s="2" t="str">
        <f aca="false">INDEX(Products!$B$2:$B$13,MATCH(D1431,Products!$A$2:$A$13,0))</f>
        <v>FCC</v>
      </c>
      <c r="F1431" s="15" t="n">
        <v>4.7</v>
      </c>
      <c r="G1431" s="16" t="n">
        <f aca="false">IF(A1431="2025",INDEX(Products!$C$2:$C$13,MATCH(D1431,Products!$A$2:$A$13,0)),INDEX(Products!$E$2:$E$13,MATCH(D1431,Products!$A$2:$A$13,0)))</f>
        <v>3706.5</v>
      </c>
      <c r="H1431" s="13" t="n">
        <f aca="false">IF(A1431="2025",INDEX(Customers!$D$2:$D$41,MATCH(C1431,Customers!$A$2:$A$41,0)),INDEX(Customers!$F$2:$F$41,MATCH(C1431,Customers!$A$2:$A$41,0)))</f>
        <v>0.036</v>
      </c>
      <c r="I1431" s="16" t="n">
        <f aca="false">F1431*G1431</f>
        <v>17420.55</v>
      </c>
      <c r="J1431" s="16" t="n">
        <f aca="false">I1431*(1-H1431)</f>
        <v>16793.4102</v>
      </c>
      <c r="K1431" s="16" t="n">
        <f aca="false">J1431*INDEX(Customers!$G$2:$G$41,MATCH(C1431,Customers!$A$2:$A$41,0))</f>
        <v>0</v>
      </c>
      <c r="L1431" s="16" t="n">
        <f aca="false">F1431*INDEX(Customers!$H$2:$H$41,MATCH(C1431,Customers!$A$2:$A$41,0))</f>
        <v>1269</v>
      </c>
      <c r="M1431" s="16" t="n">
        <f aca="false">J1431*INDEX(Customers!$I$2:$I$41,MATCH(C1431,Customers!$A$2:$A$41,0))/365*Assumptions!$B$6</f>
        <v>220.844846465753</v>
      </c>
      <c r="N1431" s="16" t="n">
        <f aca="false">J1431-K1431-L1431-M1431</f>
        <v>15303.5653535342</v>
      </c>
      <c r="O1431" s="16" t="n">
        <f aca="false">F1431*IF(A1431="2025",INDEX(Products!$D$2:$D$13,MATCH(D1431,Products!$A$2:$A$13,0)),INDEX(Products!$F$2:$F$13,MATCH(D1431,Products!$A$2:$A$13,0)))</f>
        <v>11666.81</v>
      </c>
      <c r="P1431" s="16" t="n">
        <f aca="false">N1431-O1431</f>
        <v>3636.75535353424</v>
      </c>
    </row>
    <row r="1432" customFormat="false" ht="15" hidden="false" customHeight="false" outlineLevel="0" collapsed="false">
      <c r="A1432" s="2" t="s">
        <v>119</v>
      </c>
      <c r="B1432" s="2" t="n">
        <v>3</v>
      </c>
      <c r="C1432" s="2" t="s">
        <v>84</v>
      </c>
      <c r="D1432" s="2" t="s">
        <v>37</v>
      </c>
      <c r="E1432" s="2" t="str">
        <f aca="false">INDEX(Products!$B$2:$B$13,MATCH(D1432,Products!$A$2:$A$13,0))</f>
        <v>FCC</v>
      </c>
      <c r="F1432" s="15" t="n">
        <v>3.1</v>
      </c>
      <c r="G1432" s="16" t="n">
        <f aca="false">IF(A1432="2025",INDEX(Products!$C$2:$C$13,MATCH(D1432,Products!$A$2:$A$13,0)),INDEX(Products!$E$2:$E$13,MATCH(D1432,Products!$A$2:$A$13,0)))</f>
        <v>3706.5</v>
      </c>
      <c r="H1432" s="13" t="n">
        <f aca="false">IF(A1432="2025",INDEX(Customers!$D$2:$D$41,MATCH(C1432,Customers!$A$2:$A$41,0)),INDEX(Customers!$F$2:$F$41,MATCH(C1432,Customers!$A$2:$A$41,0)))</f>
        <v>0.036</v>
      </c>
      <c r="I1432" s="16" t="n">
        <f aca="false">F1432*G1432</f>
        <v>11490.15</v>
      </c>
      <c r="J1432" s="16" t="n">
        <f aca="false">I1432*(1-H1432)</f>
        <v>11076.5046</v>
      </c>
      <c r="K1432" s="16" t="n">
        <f aca="false">J1432*INDEX(Customers!$G$2:$G$41,MATCH(C1432,Customers!$A$2:$A$41,0))</f>
        <v>0</v>
      </c>
      <c r="L1432" s="16" t="n">
        <f aca="false">F1432*INDEX(Customers!$H$2:$H$41,MATCH(C1432,Customers!$A$2:$A$41,0))</f>
        <v>837</v>
      </c>
      <c r="M1432" s="16" t="n">
        <f aca="false">J1432*INDEX(Customers!$I$2:$I$41,MATCH(C1432,Customers!$A$2:$A$41,0))/365*Assumptions!$B$6</f>
        <v>145.663622136986</v>
      </c>
      <c r="N1432" s="16" t="n">
        <f aca="false">J1432-K1432-L1432-M1432</f>
        <v>10093.840977863</v>
      </c>
      <c r="O1432" s="16" t="n">
        <f aca="false">F1432*IF(A1432="2025",INDEX(Products!$D$2:$D$13,MATCH(D1432,Products!$A$2:$A$13,0)),INDEX(Products!$F$2:$F$13,MATCH(D1432,Products!$A$2:$A$13,0)))</f>
        <v>7695.13</v>
      </c>
      <c r="P1432" s="16" t="n">
        <f aca="false">N1432-O1432</f>
        <v>2398.71097786301</v>
      </c>
    </row>
    <row r="1433" customFormat="false" ht="15" hidden="false" customHeight="false" outlineLevel="0" collapsed="false">
      <c r="A1433" s="2" t="s">
        <v>119</v>
      </c>
      <c r="B1433" s="2" t="n">
        <v>4</v>
      </c>
      <c r="C1433" s="2" t="s">
        <v>84</v>
      </c>
      <c r="D1433" s="2" t="s">
        <v>37</v>
      </c>
      <c r="E1433" s="2" t="str">
        <f aca="false">INDEX(Products!$B$2:$B$13,MATCH(D1433,Products!$A$2:$A$13,0))</f>
        <v>FCC</v>
      </c>
      <c r="F1433" s="15" t="n">
        <v>4.9</v>
      </c>
      <c r="G1433" s="16" t="n">
        <f aca="false">IF(A1433="2025",INDEX(Products!$C$2:$C$13,MATCH(D1433,Products!$A$2:$A$13,0)),INDEX(Products!$E$2:$E$13,MATCH(D1433,Products!$A$2:$A$13,0)))</f>
        <v>3706.5</v>
      </c>
      <c r="H1433" s="13" t="n">
        <f aca="false">IF(A1433="2025",INDEX(Customers!$D$2:$D$41,MATCH(C1433,Customers!$A$2:$A$41,0)),INDEX(Customers!$F$2:$F$41,MATCH(C1433,Customers!$A$2:$A$41,0)))</f>
        <v>0.036</v>
      </c>
      <c r="I1433" s="16" t="n">
        <f aca="false">F1433*G1433</f>
        <v>18161.85</v>
      </c>
      <c r="J1433" s="16" t="n">
        <f aca="false">I1433*(1-H1433)</f>
        <v>17508.0234</v>
      </c>
      <c r="K1433" s="16" t="n">
        <f aca="false">J1433*INDEX(Customers!$G$2:$G$41,MATCH(C1433,Customers!$A$2:$A$41,0))</f>
        <v>0</v>
      </c>
      <c r="L1433" s="16" t="n">
        <f aca="false">F1433*INDEX(Customers!$H$2:$H$41,MATCH(C1433,Customers!$A$2:$A$41,0))</f>
        <v>1323</v>
      </c>
      <c r="M1433" s="16" t="n">
        <f aca="false">J1433*INDEX(Customers!$I$2:$I$41,MATCH(C1433,Customers!$A$2:$A$41,0))/365*Assumptions!$B$6</f>
        <v>230.242499506849</v>
      </c>
      <c r="N1433" s="16" t="n">
        <f aca="false">J1433-K1433-L1433-M1433</f>
        <v>15954.7809004932</v>
      </c>
      <c r="O1433" s="16" t="n">
        <f aca="false">F1433*IF(A1433="2025",INDEX(Products!$D$2:$D$13,MATCH(D1433,Products!$A$2:$A$13,0)),INDEX(Products!$F$2:$F$13,MATCH(D1433,Products!$A$2:$A$13,0)))</f>
        <v>12163.27</v>
      </c>
      <c r="P1433" s="16" t="n">
        <f aca="false">N1433-O1433</f>
        <v>3791.51090049315</v>
      </c>
    </row>
    <row r="1434" customFormat="false" ht="15" hidden="false" customHeight="false" outlineLevel="0" collapsed="false">
      <c r="A1434" s="2" t="s">
        <v>119</v>
      </c>
      <c r="B1434" s="2" t="n">
        <v>5</v>
      </c>
      <c r="C1434" s="2" t="s">
        <v>84</v>
      </c>
      <c r="D1434" s="2" t="s">
        <v>37</v>
      </c>
      <c r="E1434" s="2" t="str">
        <f aca="false">INDEX(Products!$B$2:$B$13,MATCH(D1434,Products!$A$2:$A$13,0))</f>
        <v>FCC</v>
      </c>
      <c r="F1434" s="15" t="n">
        <v>5.2</v>
      </c>
      <c r="G1434" s="16" t="n">
        <f aca="false">IF(A1434="2025",INDEX(Products!$C$2:$C$13,MATCH(D1434,Products!$A$2:$A$13,0)),INDEX(Products!$E$2:$E$13,MATCH(D1434,Products!$A$2:$A$13,0)))</f>
        <v>3706.5</v>
      </c>
      <c r="H1434" s="13" t="n">
        <f aca="false">IF(A1434="2025",INDEX(Customers!$D$2:$D$41,MATCH(C1434,Customers!$A$2:$A$41,0)),INDEX(Customers!$F$2:$F$41,MATCH(C1434,Customers!$A$2:$A$41,0)))</f>
        <v>0.036</v>
      </c>
      <c r="I1434" s="16" t="n">
        <f aca="false">F1434*G1434</f>
        <v>19273.8</v>
      </c>
      <c r="J1434" s="16" t="n">
        <f aca="false">I1434*(1-H1434)</f>
        <v>18579.9432</v>
      </c>
      <c r="K1434" s="16" t="n">
        <f aca="false">J1434*INDEX(Customers!$G$2:$G$41,MATCH(C1434,Customers!$A$2:$A$41,0))</f>
        <v>0</v>
      </c>
      <c r="L1434" s="16" t="n">
        <f aca="false">F1434*INDEX(Customers!$H$2:$H$41,MATCH(C1434,Customers!$A$2:$A$41,0))</f>
        <v>1404</v>
      </c>
      <c r="M1434" s="16" t="n">
        <f aca="false">J1434*INDEX(Customers!$I$2:$I$41,MATCH(C1434,Customers!$A$2:$A$41,0))/365*Assumptions!$B$6</f>
        <v>244.338979068493</v>
      </c>
      <c r="N1434" s="16" t="n">
        <f aca="false">J1434-K1434-L1434-M1434</f>
        <v>16931.6042209315</v>
      </c>
      <c r="O1434" s="16" t="n">
        <f aca="false">F1434*IF(A1434="2025",INDEX(Products!$D$2:$D$13,MATCH(D1434,Products!$A$2:$A$13,0)),INDEX(Products!$F$2:$F$13,MATCH(D1434,Products!$A$2:$A$13,0)))</f>
        <v>12907.96</v>
      </c>
      <c r="P1434" s="16" t="n">
        <f aca="false">N1434-O1434</f>
        <v>4023.6442209315</v>
      </c>
    </row>
    <row r="1435" customFormat="false" ht="15" hidden="false" customHeight="false" outlineLevel="0" collapsed="false">
      <c r="A1435" s="2" t="s">
        <v>119</v>
      </c>
      <c r="B1435" s="2" t="n">
        <v>6</v>
      </c>
      <c r="C1435" s="2" t="s">
        <v>84</v>
      </c>
      <c r="D1435" s="2" t="s">
        <v>37</v>
      </c>
      <c r="E1435" s="2" t="str">
        <f aca="false">INDEX(Products!$B$2:$B$13,MATCH(D1435,Products!$A$2:$A$13,0))</f>
        <v>FCC</v>
      </c>
      <c r="F1435" s="15" t="n">
        <v>4</v>
      </c>
      <c r="G1435" s="16" t="n">
        <f aca="false">IF(A1435="2025",INDEX(Products!$C$2:$C$13,MATCH(D1435,Products!$A$2:$A$13,0)),INDEX(Products!$E$2:$E$13,MATCH(D1435,Products!$A$2:$A$13,0)))</f>
        <v>3706.5</v>
      </c>
      <c r="H1435" s="13" t="n">
        <f aca="false">IF(A1435="2025",INDEX(Customers!$D$2:$D$41,MATCH(C1435,Customers!$A$2:$A$41,0)),INDEX(Customers!$F$2:$F$41,MATCH(C1435,Customers!$A$2:$A$41,0)))</f>
        <v>0.036</v>
      </c>
      <c r="I1435" s="16" t="n">
        <f aca="false">F1435*G1435</f>
        <v>14826</v>
      </c>
      <c r="J1435" s="16" t="n">
        <f aca="false">I1435*(1-H1435)</f>
        <v>14292.264</v>
      </c>
      <c r="K1435" s="16" t="n">
        <f aca="false">J1435*INDEX(Customers!$G$2:$G$41,MATCH(C1435,Customers!$A$2:$A$41,0))</f>
        <v>0</v>
      </c>
      <c r="L1435" s="16" t="n">
        <f aca="false">F1435*INDEX(Customers!$H$2:$H$41,MATCH(C1435,Customers!$A$2:$A$41,0))</f>
        <v>1080</v>
      </c>
      <c r="M1435" s="16" t="n">
        <f aca="false">J1435*INDEX(Customers!$I$2:$I$41,MATCH(C1435,Customers!$A$2:$A$41,0))/365*Assumptions!$B$6</f>
        <v>187.953060821918</v>
      </c>
      <c r="N1435" s="16" t="n">
        <f aca="false">J1435-K1435-L1435-M1435</f>
        <v>13024.3109391781</v>
      </c>
      <c r="O1435" s="16" t="n">
        <f aca="false">F1435*IF(A1435="2025",INDEX(Products!$D$2:$D$13,MATCH(D1435,Products!$A$2:$A$13,0)),INDEX(Products!$F$2:$F$13,MATCH(D1435,Products!$A$2:$A$13,0)))</f>
        <v>9929.2</v>
      </c>
      <c r="P1435" s="16" t="n">
        <f aca="false">N1435-O1435</f>
        <v>3095.11093917808</v>
      </c>
    </row>
    <row r="1436" customFormat="false" ht="15" hidden="false" customHeight="false" outlineLevel="0" collapsed="false">
      <c r="A1436" s="2" t="s">
        <v>119</v>
      </c>
      <c r="B1436" s="2" t="n">
        <v>7</v>
      </c>
      <c r="C1436" s="2" t="s">
        <v>84</v>
      </c>
      <c r="D1436" s="2" t="s">
        <v>37</v>
      </c>
      <c r="E1436" s="2" t="str">
        <f aca="false">INDEX(Products!$B$2:$B$13,MATCH(D1436,Products!$A$2:$A$13,0))</f>
        <v>FCC</v>
      </c>
      <c r="F1436" s="15" t="n">
        <v>3.1</v>
      </c>
      <c r="G1436" s="16" t="n">
        <f aca="false">IF(A1436="2025",INDEX(Products!$C$2:$C$13,MATCH(D1436,Products!$A$2:$A$13,0)),INDEX(Products!$E$2:$E$13,MATCH(D1436,Products!$A$2:$A$13,0)))</f>
        <v>3706.5</v>
      </c>
      <c r="H1436" s="13" t="n">
        <f aca="false">IF(A1436="2025",INDEX(Customers!$D$2:$D$41,MATCH(C1436,Customers!$A$2:$A$41,0)),INDEX(Customers!$F$2:$F$41,MATCH(C1436,Customers!$A$2:$A$41,0)))</f>
        <v>0.036</v>
      </c>
      <c r="I1436" s="16" t="n">
        <f aca="false">F1436*G1436</f>
        <v>11490.15</v>
      </c>
      <c r="J1436" s="16" t="n">
        <f aca="false">I1436*(1-H1436)</f>
        <v>11076.5046</v>
      </c>
      <c r="K1436" s="16" t="n">
        <f aca="false">J1436*INDEX(Customers!$G$2:$G$41,MATCH(C1436,Customers!$A$2:$A$41,0))</f>
        <v>0</v>
      </c>
      <c r="L1436" s="16" t="n">
        <f aca="false">F1436*INDEX(Customers!$H$2:$H$41,MATCH(C1436,Customers!$A$2:$A$41,0))</f>
        <v>837</v>
      </c>
      <c r="M1436" s="16" t="n">
        <f aca="false">J1436*INDEX(Customers!$I$2:$I$41,MATCH(C1436,Customers!$A$2:$A$41,0))/365*Assumptions!$B$6</f>
        <v>145.663622136986</v>
      </c>
      <c r="N1436" s="16" t="n">
        <f aca="false">J1436-K1436-L1436-M1436</f>
        <v>10093.840977863</v>
      </c>
      <c r="O1436" s="16" t="n">
        <f aca="false">F1436*IF(A1436="2025",INDEX(Products!$D$2:$D$13,MATCH(D1436,Products!$A$2:$A$13,0)),INDEX(Products!$F$2:$F$13,MATCH(D1436,Products!$A$2:$A$13,0)))</f>
        <v>7695.13</v>
      </c>
      <c r="P1436" s="16" t="n">
        <f aca="false">N1436-O1436</f>
        <v>2398.71097786301</v>
      </c>
    </row>
    <row r="1437" customFormat="false" ht="15" hidden="false" customHeight="false" outlineLevel="0" collapsed="false">
      <c r="A1437" s="2" t="s">
        <v>119</v>
      </c>
      <c r="B1437" s="2" t="n">
        <v>8</v>
      </c>
      <c r="C1437" s="2" t="s">
        <v>84</v>
      </c>
      <c r="D1437" s="2" t="s">
        <v>37</v>
      </c>
      <c r="E1437" s="2" t="str">
        <f aca="false">INDEX(Products!$B$2:$B$13,MATCH(D1437,Products!$A$2:$A$13,0))</f>
        <v>FCC</v>
      </c>
      <c r="F1437" s="15" t="n">
        <v>4.9</v>
      </c>
      <c r="G1437" s="16" t="n">
        <f aca="false">IF(A1437="2025",INDEX(Products!$C$2:$C$13,MATCH(D1437,Products!$A$2:$A$13,0)),INDEX(Products!$E$2:$E$13,MATCH(D1437,Products!$A$2:$A$13,0)))</f>
        <v>3706.5</v>
      </c>
      <c r="H1437" s="13" t="n">
        <f aca="false">IF(A1437="2025",INDEX(Customers!$D$2:$D$41,MATCH(C1437,Customers!$A$2:$A$41,0)),INDEX(Customers!$F$2:$F$41,MATCH(C1437,Customers!$A$2:$A$41,0)))</f>
        <v>0.036</v>
      </c>
      <c r="I1437" s="16" t="n">
        <f aca="false">F1437*G1437</f>
        <v>18161.85</v>
      </c>
      <c r="J1437" s="16" t="n">
        <f aca="false">I1437*(1-H1437)</f>
        <v>17508.0234</v>
      </c>
      <c r="K1437" s="16" t="n">
        <f aca="false">J1437*INDEX(Customers!$G$2:$G$41,MATCH(C1437,Customers!$A$2:$A$41,0))</f>
        <v>0</v>
      </c>
      <c r="L1437" s="16" t="n">
        <f aca="false">F1437*INDEX(Customers!$H$2:$H$41,MATCH(C1437,Customers!$A$2:$A$41,0))</f>
        <v>1323</v>
      </c>
      <c r="M1437" s="16" t="n">
        <f aca="false">J1437*INDEX(Customers!$I$2:$I$41,MATCH(C1437,Customers!$A$2:$A$41,0))/365*Assumptions!$B$6</f>
        <v>230.242499506849</v>
      </c>
      <c r="N1437" s="16" t="n">
        <f aca="false">J1437-K1437-L1437-M1437</f>
        <v>15954.7809004932</v>
      </c>
      <c r="O1437" s="16" t="n">
        <f aca="false">F1437*IF(A1437="2025",INDEX(Products!$D$2:$D$13,MATCH(D1437,Products!$A$2:$A$13,0)),INDEX(Products!$F$2:$F$13,MATCH(D1437,Products!$A$2:$A$13,0)))</f>
        <v>12163.27</v>
      </c>
      <c r="P1437" s="16" t="n">
        <f aca="false">N1437-O1437</f>
        <v>3791.51090049315</v>
      </c>
    </row>
    <row r="1438" customFormat="false" ht="15" hidden="false" customHeight="false" outlineLevel="0" collapsed="false">
      <c r="A1438" s="2" t="s">
        <v>119</v>
      </c>
      <c r="B1438" s="2" t="n">
        <v>9</v>
      </c>
      <c r="C1438" s="2" t="s">
        <v>84</v>
      </c>
      <c r="D1438" s="2" t="s">
        <v>37</v>
      </c>
      <c r="E1438" s="2" t="str">
        <f aca="false">INDEX(Products!$B$2:$B$13,MATCH(D1438,Products!$A$2:$A$13,0))</f>
        <v>FCC</v>
      </c>
      <c r="F1438" s="15" t="n">
        <v>4.7</v>
      </c>
      <c r="G1438" s="16" t="n">
        <f aca="false">IF(A1438="2025",INDEX(Products!$C$2:$C$13,MATCH(D1438,Products!$A$2:$A$13,0)),INDEX(Products!$E$2:$E$13,MATCH(D1438,Products!$A$2:$A$13,0)))</f>
        <v>3706.5</v>
      </c>
      <c r="H1438" s="13" t="n">
        <f aca="false">IF(A1438="2025",INDEX(Customers!$D$2:$D$41,MATCH(C1438,Customers!$A$2:$A$41,0)),INDEX(Customers!$F$2:$F$41,MATCH(C1438,Customers!$A$2:$A$41,0)))</f>
        <v>0.036</v>
      </c>
      <c r="I1438" s="16" t="n">
        <f aca="false">F1438*G1438</f>
        <v>17420.55</v>
      </c>
      <c r="J1438" s="16" t="n">
        <f aca="false">I1438*(1-H1438)</f>
        <v>16793.4102</v>
      </c>
      <c r="K1438" s="16" t="n">
        <f aca="false">J1438*INDEX(Customers!$G$2:$G$41,MATCH(C1438,Customers!$A$2:$A$41,0))</f>
        <v>0</v>
      </c>
      <c r="L1438" s="16" t="n">
        <f aca="false">F1438*INDEX(Customers!$H$2:$H$41,MATCH(C1438,Customers!$A$2:$A$41,0))</f>
        <v>1269</v>
      </c>
      <c r="M1438" s="16" t="n">
        <f aca="false">J1438*INDEX(Customers!$I$2:$I$41,MATCH(C1438,Customers!$A$2:$A$41,0))/365*Assumptions!$B$6</f>
        <v>220.844846465753</v>
      </c>
      <c r="N1438" s="16" t="n">
        <f aca="false">J1438-K1438-L1438-M1438</f>
        <v>15303.5653535342</v>
      </c>
      <c r="O1438" s="16" t="n">
        <f aca="false">F1438*IF(A1438="2025",INDEX(Products!$D$2:$D$13,MATCH(D1438,Products!$A$2:$A$13,0)),INDEX(Products!$F$2:$F$13,MATCH(D1438,Products!$A$2:$A$13,0)))</f>
        <v>11666.81</v>
      </c>
      <c r="P1438" s="16" t="n">
        <f aca="false">N1438-O1438</f>
        <v>3636.75535353424</v>
      </c>
    </row>
    <row r="1439" customFormat="false" ht="15" hidden="false" customHeight="false" outlineLevel="0" collapsed="false">
      <c r="A1439" s="2" t="s">
        <v>119</v>
      </c>
      <c r="B1439" s="2" t="n">
        <v>10</v>
      </c>
      <c r="C1439" s="2" t="s">
        <v>84</v>
      </c>
      <c r="D1439" s="2" t="s">
        <v>37</v>
      </c>
      <c r="E1439" s="2" t="str">
        <f aca="false">INDEX(Products!$B$2:$B$13,MATCH(D1439,Products!$A$2:$A$13,0))</f>
        <v>FCC</v>
      </c>
      <c r="F1439" s="15" t="n">
        <v>5</v>
      </c>
      <c r="G1439" s="16" t="n">
        <f aca="false">IF(A1439="2025",INDEX(Products!$C$2:$C$13,MATCH(D1439,Products!$A$2:$A$13,0)),INDEX(Products!$E$2:$E$13,MATCH(D1439,Products!$A$2:$A$13,0)))</f>
        <v>3706.5</v>
      </c>
      <c r="H1439" s="13" t="n">
        <f aca="false">IF(A1439="2025",INDEX(Customers!$D$2:$D$41,MATCH(C1439,Customers!$A$2:$A$41,0)),INDEX(Customers!$F$2:$F$41,MATCH(C1439,Customers!$A$2:$A$41,0)))</f>
        <v>0.036</v>
      </c>
      <c r="I1439" s="16" t="n">
        <f aca="false">F1439*G1439</f>
        <v>18532.5</v>
      </c>
      <c r="J1439" s="16" t="n">
        <f aca="false">I1439*(1-H1439)</f>
        <v>17865.33</v>
      </c>
      <c r="K1439" s="16" t="n">
        <f aca="false">J1439*INDEX(Customers!$G$2:$G$41,MATCH(C1439,Customers!$A$2:$A$41,0))</f>
        <v>0</v>
      </c>
      <c r="L1439" s="16" t="n">
        <f aca="false">F1439*INDEX(Customers!$H$2:$H$41,MATCH(C1439,Customers!$A$2:$A$41,0))</f>
        <v>1350</v>
      </c>
      <c r="M1439" s="16" t="n">
        <f aca="false">J1439*INDEX(Customers!$I$2:$I$41,MATCH(C1439,Customers!$A$2:$A$41,0))/365*Assumptions!$B$6</f>
        <v>234.941326027397</v>
      </c>
      <c r="N1439" s="16" t="n">
        <f aca="false">J1439-K1439-L1439-M1439</f>
        <v>16280.3886739726</v>
      </c>
      <c r="O1439" s="16" t="n">
        <f aca="false">F1439*IF(A1439="2025",INDEX(Products!$D$2:$D$13,MATCH(D1439,Products!$A$2:$A$13,0)),INDEX(Products!$F$2:$F$13,MATCH(D1439,Products!$A$2:$A$13,0)))</f>
        <v>12411.5</v>
      </c>
      <c r="P1439" s="16" t="n">
        <f aca="false">N1439-O1439</f>
        <v>3868.8886739726</v>
      </c>
    </row>
    <row r="1440" customFormat="false" ht="15" hidden="false" customHeight="false" outlineLevel="0" collapsed="false">
      <c r="A1440" s="2" t="s">
        <v>119</v>
      </c>
      <c r="B1440" s="2" t="n">
        <v>11</v>
      </c>
      <c r="C1440" s="2" t="s">
        <v>84</v>
      </c>
      <c r="D1440" s="2" t="s">
        <v>37</v>
      </c>
      <c r="E1440" s="2" t="str">
        <f aca="false">INDEX(Products!$B$2:$B$13,MATCH(D1440,Products!$A$2:$A$13,0))</f>
        <v>FCC</v>
      </c>
      <c r="F1440" s="15" t="n">
        <v>3.4</v>
      </c>
      <c r="G1440" s="16" t="n">
        <f aca="false">IF(A1440="2025",INDEX(Products!$C$2:$C$13,MATCH(D1440,Products!$A$2:$A$13,0)),INDEX(Products!$E$2:$E$13,MATCH(D1440,Products!$A$2:$A$13,0)))</f>
        <v>3706.5</v>
      </c>
      <c r="H1440" s="13" t="n">
        <f aca="false">IF(A1440="2025",INDEX(Customers!$D$2:$D$41,MATCH(C1440,Customers!$A$2:$A$41,0)),INDEX(Customers!$F$2:$F$41,MATCH(C1440,Customers!$A$2:$A$41,0)))</f>
        <v>0.036</v>
      </c>
      <c r="I1440" s="16" t="n">
        <f aca="false">F1440*G1440</f>
        <v>12602.1</v>
      </c>
      <c r="J1440" s="16" t="n">
        <f aca="false">I1440*(1-H1440)</f>
        <v>12148.4244</v>
      </c>
      <c r="K1440" s="16" t="n">
        <f aca="false">J1440*INDEX(Customers!$G$2:$G$41,MATCH(C1440,Customers!$A$2:$A$41,0))</f>
        <v>0</v>
      </c>
      <c r="L1440" s="16" t="n">
        <f aca="false">F1440*INDEX(Customers!$H$2:$H$41,MATCH(C1440,Customers!$A$2:$A$41,0))</f>
        <v>918</v>
      </c>
      <c r="M1440" s="16" t="n">
        <f aca="false">J1440*INDEX(Customers!$I$2:$I$41,MATCH(C1440,Customers!$A$2:$A$41,0))/365*Assumptions!$B$6</f>
        <v>159.76010169863</v>
      </c>
      <c r="N1440" s="16" t="n">
        <f aca="false">J1440-K1440-L1440-M1440</f>
        <v>11070.6642983014</v>
      </c>
      <c r="O1440" s="16" t="n">
        <f aca="false">F1440*IF(A1440="2025",INDEX(Products!$D$2:$D$13,MATCH(D1440,Products!$A$2:$A$13,0)),INDEX(Products!$F$2:$F$13,MATCH(D1440,Products!$A$2:$A$13,0)))</f>
        <v>8439.82</v>
      </c>
      <c r="P1440" s="16" t="n">
        <f aca="false">N1440-O1440</f>
        <v>2630.84429830137</v>
      </c>
    </row>
    <row r="1441" customFormat="false" ht="15" hidden="false" customHeight="false" outlineLevel="0" collapsed="false">
      <c r="A1441" s="2" t="s">
        <v>119</v>
      </c>
      <c r="B1441" s="2" t="n">
        <v>12</v>
      </c>
      <c r="C1441" s="2" t="s">
        <v>84</v>
      </c>
      <c r="D1441" s="2" t="s">
        <v>37</v>
      </c>
      <c r="E1441" s="2" t="str">
        <f aca="false">INDEX(Products!$B$2:$B$13,MATCH(D1441,Products!$A$2:$A$13,0))</f>
        <v>FCC</v>
      </c>
      <c r="F1441" s="15" t="n">
        <v>4.6</v>
      </c>
      <c r="G1441" s="16" t="n">
        <f aca="false">IF(A1441="2025",INDEX(Products!$C$2:$C$13,MATCH(D1441,Products!$A$2:$A$13,0)),INDEX(Products!$E$2:$E$13,MATCH(D1441,Products!$A$2:$A$13,0)))</f>
        <v>3706.5</v>
      </c>
      <c r="H1441" s="13" t="n">
        <f aca="false">IF(A1441="2025",INDEX(Customers!$D$2:$D$41,MATCH(C1441,Customers!$A$2:$A$41,0)),INDEX(Customers!$F$2:$F$41,MATCH(C1441,Customers!$A$2:$A$41,0)))</f>
        <v>0.036</v>
      </c>
      <c r="I1441" s="16" t="n">
        <f aca="false">F1441*G1441</f>
        <v>17049.9</v>
      </c>
      <c r="J1441" s="16" t="n">
        <f aca="false">I1441*(1-H1441)</f>
        <v>16436.1036</v>
      </c>
      <c r="K1441" s="16" t="n">
        <f aca="false">J1441*INDEX(Customers!$G$2:$G$41,MATCH(C1441,Customers!$A$2:$A$41,0))</f>
        <v>0</v>
      </c>
      <c r="L1441" s="16" t="n">
        <f aca="false">F1441*INDEX(Customers!$H$2:$H$41,MATCH(C1441,Customers!$A$2:$A$41,0))</f>
        <v>1242</v>
      </c>
      <c r="M1441" s="16" t="n">
        <f aca="false">J1441*INDEX(Customers!$I$2:$I$41,MATCH(C1441,Customers!$A$2:$A$41,0))/365*Assumptions!$B$6</f>
        <v>216.146019945205</v>
      </c>
      <c r="N1441" s="16" t="n">
        <f aca="false">J1441-K1441-L1441-M1441</f>
        <v>14977.9575800548</v>
      </c>
      <c r="O1441" s="16" t="n">
        <f aca="false">F1441*IF(A1441="2025",INDEX(Products!$D$2:$D$13,MATCH(D1441,Products!$A$2:$A$13,0)),INDEX(Products!$F$2:$F$13,MATCH(D1441,Products!$A$2:$A$13,0)))</f>
        <v>11418.58</v>
      </c>
      <c r="P1441" s="16" t="n">
        <f aca="false">N1441-O1441</f>
        <v>3559.37758005479</v>
      </c>
    </row>
    <row r="1442" customFormat="false" ht="15" hidden="false" customHeight="false" outlineLevel="0" collapsed="false">
      <c r="A1442" s="2" t="s">
        <v>118</v>
      </c>
      <c r="B1442" s="2" t="n">
        <v>1</v>
      </c>
      <c r="C1442" s="2" t="s">
        <v>84</v>
      </c>
      <c r="D1442" s="2" t="s">
        <v>42</v>
      </c>
      <c r="E1442" s="2" t="str">
        <f aca="false">INDEX(Products!$B$2:$B$13,MATCH(D1442,Products!$A$2:$A$13,0))</f>
        <v>Hydroprocessing</v>
      </c>
      <c r="F1442" s="15" t="n">
        <v>3.6</v>
      </c>
      <c r="G1442" s="16" t="n">
        <f aca="false">IF(A1442="2025",INDEX(Products!$C$2:$C$13,MATCH(D1442,Products!$A$2:$A$13,0)),INDEX(Products!$E$2:$E$13,MATCH(D1442,Products!$A$2:$A$13,0)))</f>
        <v>12450</v>
      </c>
      <c r="H1442" s="13" t="n">
        <f aca="false">IF(A1442="2025",INDEX(Customers!$D$2:$D$41,MATCH(C1442,Customers!$A$2:$A$41,0)),INDEX(Customers!$F$2:$F$41,MATCH(C1442,Customers!$A$2:$A$41,0)))</f>
        <v>0.036</v>
      </c>
      <c r="I1442" s="16" t="n">
        <f aca="false">F1442*G1442</f>
        <v>44820</v>
      </c>
      <c r="J1442" s="16" t="n">
        <f aca="false">I1442*(1-H1442)</f>
        <v>43206.48</v>
      </c>
      <c r="K1442" s="16" t="n">
        <f aca="false">J1442*INDEX(Customers!$G$2:$G$41,MATCH(C1442,Customers!$A$2:$A$41,0))</f>
        <v>0</v>
      </c>
      <c r="L1442" s="16" t="n">
        <f aca="false">F1442*INDEX(Customers!$H$2:$H$41,MATCH(C1442,Customers!$A$2:$A$41,0))</f>
        <v>972</v>
      </c>
      <c r="M1442" s="16" t="n">
        <f aca="false">J1442*INDEX(Customers!$I$2:$I$41,MATCH(C1442,Customers!$A$2:$A$41,0))/365*Assumptions!$B$6</f>
        <v>568.194805479452</v>
      </c>
      <c r="N1442" s="16" t="n">
        <f aca="false">J1442-K1442-L1442-M1442</f>
        <v>41666.2851945206</v>
      </c>
      <c r="O1442" s="16" t="n">
        <f aca="false">F1442*IF(A1442="2025",INDEX(Products!$D$2:$D$13,MATCH(D1442,Products!$A$2:$A$13,0)),INDEX(Products!$F$2:$F$13,MATCH(D1442,Products!$A$2:$A$13,0)))</f>
        <v>28008</v>
      </c>
      <c r="P1442" s="16" t="n">
        <f aca="false">N1442-O1442</f>
        <v>13658.2851945205</v>
      </c>
    </row>
    <row r="1443" customFormat="false" ht="15" hidden="false" customHeight="false" outlineLevel="0" collapsed="false">
      <c r="A1443" s="2" t="s">
        <v>118</v>
      </c>
      <c r="B1443" s="2" t="n">
        <v>2</v>
      </c>
      <c r="C1443" s="2" t="s">
        <v>84</v>
      </c>
      <c r="D1443" s="2" t="s">
        <v>42</v>
      </c>
      <c r="E1443" s="2" t="str">
        <f aca="false">INDEX(Products!$B$2:$B$13,MATCH(D1443,Products!$A$2:$A$13,0))</f>
        <v>Hydroprocessing</v>
      </c>
      <c r="F1443" s="15" t="n">
        <v>2.8</v>
      </c>
      <c r="G1443" s="16" t="n">
        <f aca="false">IF(A1443="2025",INDEX(Products!$C$2:$C$13,MATCH(D1443,Products!$A$2:$A$13,0)),INDEX(Products!$E$2:$E$13,MATCH(D1443,Products!$A$2:$A$13,0)))</f>
        <v>12450</v>
      </c>
      <c r="H1443" s="13" t="n">
        <f aca="false">IF(A1443="2025",INDEX(Customers!$D$2:$D$41,MATCH(C1443,Customers!$A$2:$A$41,0)),INDEX(Customers!$F$2:$F$41,MATCH(C1443,Customers!$A$2:$A$41,0)))</f>
        <v>0.036</v>
      </c>
      <c r="I1443" s="16" t="n">
        <f aca="false">F1443*G1443</f>
        <v>34860</v>
      </c>
      <c r="J1443" s="16" t="n">
        <f aca="false">I1443*(1-H1443)</f>
        <v>33605.04</v>
      </c>
      <c r="K1443" s="16" t="n">
        <f aca="false">J1443*INDEX(Customers!$G$2:$G$41,MATCH(C1443,Customers!$A$2:$A$41,0))</f>
        <v>0</v>
      </c>
      <c r="L1443" s="16" t="n">
        <f aca="false">F1443*INDEX(Customers!$H$2:$H$41,MATCH(C1443,Customers!$A$2:$A$41,0))</f>
        <v>756</v>
      </c>
      <c r="M1443" s="16" t="n">
        <f aca="false">J1443*INDEX(Customers!$I$2:$I$41,MATCH(C1443,Customers!$A$2:$A$41,0))/365*Assumptions!$B$6</f>
        <v>441.929293150685</v>
      </c>
      <c r="N1443" s="16" t="n">
        <f aca="false">J1443-K1443-L1443-M1443</f>
        <v>32407.1107068493</v>
      </c>
      <c r="O1443" s="16" t="n">
        <f aca="false">F1443*IF(A1443="2025",INDEX(Products!$D$2:$D$13,MATCH(D1443,Products!$A$2:$A$13,0)),INDEX(Products!$F$2:$F$13,MATCH(D1443,Products!$A$2:$A$13,0)))</f>
        <v>21784</v>
      </c>
      <c r="P1443" s="16" t="n">
        <f aca="false">N1443-O1443</f>
        <v>10623.1107068493</v>
      </c>
    </row>
    <row r="1444" customFormat="false" ht="15" hidden="false" customHeight="false" outlineLevel="0" collapsed="false">
      <c r="A1444" s="2" t="s">
        <v>118</v>
      </c>
      <c r="B1444" s="2" t="n">
        <v>3</v>
      </c>
      <c r="C1444" s="2" t="s">
        <v>84</v>
      </c>
      <c r="D1444" s="2" t="s">
        <v>42</v>
      </c>
      <c r="E1444" s="2" t="str">
        <f aca="false">INDEX(Products!$B$2:$B$13,MATCH(D1444,Products!$A$2:$A$13,0))</f>
        <v>Hydroprocessing</v>
      </c>
      <c r="F1444" s="15" t="n">
        <v>4.2</v>
      </c>
      <c r="G1444" s="16" t="n">
        <f aca="false">IF(A1444="2025",INDEX(Products!$C$2:$C$13,MATCH(D1444,Products!$A$2:$A$13,0)),INDEX(Products!$E$2:$E$13,MATCH(D1444,Products!$A$2:$A$13,0)))</f>
        <v>12450</v>
      </c>
      <c r="H1444" s="13" t="n">
        <f aca="false">IF(A1444="2025",INDEX(Customers!$D$2:$D$41,MATCH(C1444,Customers!$A$2:$A$41,0)),INDEX(Customers!$F$2:$F$41,MATCH(C1444,Customers!$A$2:$A$41,0)))</f>
        <v>0.036</v>
      </c>
      <c r="I1444" s="16" t="n">
        <f aca="false">F1444*G1444</f>
        <v>52290</v>
      </c>
      <c r="J1444" s="16" t="n">
        <f aca="false">I1444*(1-H1444)</f>
        <v>50407.56</v>
      </c>
      <c r="K1444" s="16" t="n">
        <f aca="false">J1444*INDEX(Customers!$G$2:$G$41,MATCH(C1444,Customers!$A$2:$A$41,0))</f>
        <v>0</v>
      </c>
      <c r="L1444" s="16" t="n">
        <f aca="false">F1444*INDEX(Customers!$H$2:$H$41,MATCH(C1444,Customers!$A$2:$A$41,0))</f>
        <v>1134</v>
      </c>
      <c r="M1444" s="16" t="n">
        <f aca="false">J1444*INDEX(Customers!$I$2:$I$41,MATCH(C1444,Customers!$A$2:$A$41,0))/365*Assumptions!$B$6</f>
        <v>662.893939726027</v>
      </c>
      <c r="N1444" s="16" t="n">
        <f aca="false">J1444-K1444-L1444-M1444</f>
        <v>48610.666060274</v>
      </c>
      <c r="O1444" s="16" t="n">
        <f aca="false">F1444*IF(A1444="2025",INDEX(Products!$D$2:$D$13,MATCH(D1444,Products!$A$2:$A$13,0)),INDEX(Products!$F$2:$F$13,MATCH(D1444,Products!$A$2:$A$13,0)))</f>
        <v>32676</v>
      </c>
      <c r="P1444" s="16" t="n">
        <f aca="false">N1444-O1444</f>
        <v>15934.666060274</v>
      </c>
    </row>
    <row r="1445" customFormat="false" ht="15" hidden="false" customHeight="false" outlineLevel="0" collapsed="false">
      <c r="A1445" s="2" t="s">
        <v>118</v>
      </c>
      <c r="B1445" s="2" t="n">
        <v>4</v>
      </c>
      <c r="C1445" s="2" t="s">
        <v>84</v>
      </c>
      <c r="D1445" s="2" t="s">
        <v>42</v>
      </c>
      <c r="E1445" s="2" t="str">
        <f aca="false">INDEX(Products!$B$2:$B$13,MATCH(D1445,Products!$A$2:$A$13,0))</f>
        <v>Hydroprocessing</v>
      </c>
      <c r="F1445" s="15" t="n">
        <v>3.9</v>
      </c>
      <c r="G1445" s="16" t="n">
        <f aca="false">IF(A1445="2025",INDEX(Products!$C$2:$C$13,MATCH(D1445,Products!$A$2:$A$13,0)),INDEX(Products!$E$2:$E$13,MATCH(D1445,Products!$A$2:$A$13,0)))</f>
        <v>12450</v>
      </c>
      <c r="H1445" s="13" t="n">
        <f aca="false">IF(A1445="2025",INDEX(Customers!$D$2:$D$41,MATCH(C1445,Customers!$A$2:$A$41,0)),INDEX(Customers!$F$2:$F$41,MATCH(C1445,Customers!$A$2:$A$41,0)))</f>
        <v>0.036</v>
      </c>
      <c r="I1445" s="16" t="n">
        <f aca="false">F1445*G1445</f>
        <v>48555</v>
      </c>
      <c r="J1445" s="16" t="n">
        <f aca="false">I1445*(1-H1445)</f>
        <v>46807.02</v>
      </c>
      <c r="K1445" s="16" t="n">
        <f aca="false">J1445*INDEX(Customers!$G$2:$G$41,MATCH(C1445,Customers!$A$2:$A$41,0))</f>
        <v>0</v>
      </c>
      <c r="L1445" s="16" t="n">
        <f aca="false">F1445*INDEX(Customers!$H$2:$H$41,MATCH(C1445,Customers!$A$2:$A$41,0))</f>
        <v>1053</v>
      </c>
      <c r="M1445" s="16" t="n">
        <f aca="false">J1445*INDEX(Customers!$I$2:$I$41,MATCH(C1445,Customers!$A$2:$A$41,0))/365*Assumptions!$B$6</f>
        <v>615.54437260274</v>
      </c>
      <c r="N1445" s="16" t="n">
        <f aca="false">J1445-K1445-L1445-M1445</f>
        <v>45138.4756273973</v>
      </c>
      <c r="O1445" s="16" t="n">
        <f aca="false">F1445*IF(A1445="2025",INDEX(Products!$D$2:$D$13,MATCH(D1445,Products!$A$2:$A$13,0)),INDEX(Products!$F$2:$F$13,MATCH(D1445,Products!$A$2:$A$13,0)))</f>
        <v>30342</v>
      </c>
      <c r="P1445" s="16" t="n">
        <f aca="false">N1445-O1445</f>
        <v>14796.4756273973</v>
      </c>
    </row>
    <row r="1446" customFormat="false" ht="15" hidden="false" customHeight="false" outlineLevel="0" collapsed="false">
      <c r="A1446" s="2" t="s">
        <v>118</v>
      </c>
      <c r="B1446" s="2" t="n">
        <v>5</v>
      </c>
      <c r="C1446" s="2" t="s">
        <v>84</v>
      </c>
      <c r="D1446" s="2" t="s">
        <v>42</v>
      </c>
      <c r="E1446" s="2" t="str">
        <f aca="false">INDEX(Products!$B$2:$B$13,MATCH(D1446,Products!$A$2:$A$13,0))</f>
        <v>Hydroprocessing</v>
      </c>
      <c r="F1446" s="15" t="n">
        <v>4.5</v>
      </c>
      <c r="G1446" s="16" t="n">
        <f aca="false">IF(A1446="2025",INDEX(Products!$C$2:$C$13,MATCH(D1446,Products!$A$2:$A$13,0)),INDEX(Products!$E$2:$E$13,MATCH(D1446,Products!$A$2:$A$13,0)))</f>
        <v>12450</v>
      </c>
      <c r="H1446" s="13" t="n">
        <f aca="false">IF(A1446="2025",INDEX(Customers!$D$2:$D$41,MATCH(C1446,Customers!$A$2:$A$41,0)),INDEX(Customers!$F$2:$F$41,MATCH(C1446,Customers!$A$2:$A$41,0)))</f>
        <v>0.036</v>
      </c>
      <c r="I1446" s="16" t="n">
        <f aca="false">F1446*G1446</f>
        <v>56025</v>
      </c>
      <c r="J1446" s="16" t="n">
        <f aca="false">I1446*(1-H1446)</f>
        <v>54008.1</v>
      </c>
      <c r="K1446" s="16" t="n">
        <f aca="false">J1446*INDEX(Customers!$G$2:$G$41,MATCH(C1446,Customers!$A$2:$A$41,0))</f>
        <v>0</v>
      </c>
      <c r="L1446" s="16" t="n">
        <f aca="false">F1446*INDEX(Customers!$H$2:$H$41,MATCH(C1446,Customers!$A$2:$A$41,0))</f>
        <v>1215</v>
      </c>
      <c r="M1446" s="16" t="n">
        <f aca="false">J1446*INDEX(Customers!$I$2:$I$41,MATCH(C1446,Customers!$A$2:$A$41,0))/365*Assumptions!$B$6</f>
        <v>710.243506849315</v>
      </c>
      <c r="N1446" s="16" t="n">
        <f aca="false">J1446-K1446-L1446-M1446</f>
        <v>52082.8564931507</v>
      </c>
      <c r="O1446" s="16" t="n">
        <f aca="false">F1446*IF(A1446="2025",INDEX(Products!$D$2:$D$13,MATCH(D1446,Products!$A$2:$A$13,0)),INDEX(Products!$F$2:$F$13,MATCH(D1446,Products!$A$2:$A$13,0)))</f>
        <v>35010</v>
      </c>
      <c r="P1446" s="16" t="n">
        <f aca="false">N1446-O1446</f>
        <v>17072.8564931507</v>
      </c>
    </row>
    <row r="1447" customFormat="false" ht="15" hidden="false" customHeight="false" outlineLevel="0" collapsed="false">
      <c r="A1447" s="2" t="s">
        <v>118</v>
      </c>
      <c r="B1447" s="2" t="n">
        <v>6</v>
      </c>
      <c r="C1447" s="2" t="s">
        <v>84</v>
      </c>
      <c r="D1447" s="2" t="s">
        <v>42</v>
      </c>
      <c r="E1447" s="2" t="str">
        <f aca="false">INDEX(Products!$B$2:$B$13,MATCH(D1447,Products!$A$2:$A$13,0))</f>
        <v>Hydroprocessing</v>
      </c>
      <c r="F1447" s="15" t="n">
        <v>3.5</v>
      </c>
      <c r="G1447" s="16" t="n">
        <f aca="false">IF(A1447="2025",INDEX(Products!$C$2:$C$13,MATCH(D1447,Products!$A$2:$A$13,0)),INDEX(Products!$E$2:$E$13,MATCH(D1447,Products!$A$2:$A$13,0)))</f>
        <v>12450</v>
      </c>
      <c r="H1447" s="13" t="n">
        <f aca="false">IF(A1447="2025",INDEX(Customers!$D$2:$D$41,MATCH(C1447,Customers!$A$2:$A$41,0)),INDEX(Customers!$F$2:$F$41,MATCH(C1447,Customers!$A$2:$A$41,0)))</f>
        <v>0.036</v>
      </c>
      <c r="I1447" s="16" t="n">
        <f aca="false">F1447*G1447</f>
        <v>43575</v>
      </c>
      <c r="J1447" s="16" t="n">
        <f aca="false">I1447*(1-H1447)</f>
        <v>42006.3</v>
      </c>
      <c r="K1447" s="16" t="n">
        <f aca="false">J1447*INDEX(Customers!$G$2:$G$41,MATCH(C1447,Customers!$A$2:$A$41,0))</f>
        <v>0</v>
      </c>
      <c r="L1447" s="16" t="n">
        <f aca="false">F1447*INDEX(Customers!$H$2:$H$41,MATCH(C1447,Customers!$A$2:$A$41,0))</f>
        <v>945</v>
      </c>
      <c r="M1447" s="16" t="n">
        <f aca="false">J1447*INDEX(Customers!$I$2:$I$41,MATCH(C1447,Customers!$A$2:$A$41,0))/365*Assumptions!$B$6</f>
        <v>552.411616438356</v>
      </c>
      <c r="N1447" s="16" t="n">
        <f aca="false">J1447-K1447-L1447-M1447</f>
        <v>40508.8883835616</v>
      </c>
      <c r="O1447" s="16" t="n">
        <f aca="false">F1447*IF(A1447="2025",INDEX(Products!$D$2:$D$13,MATCH(D1447,Products!$A$2:$A$13,0)),INDEX(Products!$F$2:$F$13,MATCH(D1447,Products!$A$2:$A$13,0)))</f>
        <v>27230</v>
      </c>
      <c r="P1447" s="16" t="n">
        <f aca="false">N1447-O1447</f>
        <v>13278.8883835616</v>
      </c>
    </row>
    <row r="1448" customFormat="false" ht="15" hidden="false" customHeight="false" outlineLevel="0" collapsed="false">
      <c r="A1448" s="2" t="s">
        <v>118</v>
      </c>
      <c r="B1448" s="2" t="n">
        <v>7</v>
      </c>
      <c r="C1448" s="2" t="s">
        <v>84</v>
      </c>
      <c r="D1448" s="2" t="s">
        <v>42</v>
      </c>
      <c r="E1448" s="2" t="str">
        <f aca="false">INDEX(Products!$B$2:$B$13,MATCH(D1448,Products!$A$2:$A$13,0))</f>
        <v>Hydroprocessing</v>
      </c>
      <c r="F1448" s="15" t="n">
        <v>3.6</v>
      </c>
      <c r="G1448" s="16" t="n">
        <f aca="false">IF(A1448="2025",INDEX(Products!$C$2:$C$13,MATCH(D1448,Products!$A$2:$A$13,0)),INDEX(Products!$E$2:$E$13,MATCH(D1448,Products!$A$2:$A$13,0)))</f>
        <v>12450</v>
      </c>
      <c r="H1448" s="13" t="n">
        <f aca="false">IF(A1448="2025",INDEX(Customers!$D$2:$D$41,MATCH(C1448,Customers!$A$2:$A$41,0)),INDEX(Customers!$F$2:$F$41,MATCH(C1448,Customers!$A$2:$A$41,0)))</f>
        <v>0.036</v>
      </c>
      <c r="I1448" s="16" t="n">
        <f aca="false">F1448*G1448</f>
        <v>44820</v>
      </c>
      <c r="J1448" s="16" t="n">
        <f aca="false">I1448*(1-H1448)</f>
        <v>43206.48</v>
      </c>
      <c r="K1448" s="16" t="n">
        <f aca="false">J1448*INDEX(Customers!$G$2:$G$41,MATCH(C1448,Customers!$A$2:$A$41,0))</f>
        <v>0</v>
      </c>
      <c r="L1448" s="16" t="n">
        <f aca="false">F1448*INDEX(Customers!$H$2:$H$41,MATCH(C1448,Customers!$A$2:$A$41,0))</f>
        <v>972</v>
      </c>
      <c r="M1448" s="16" t="n">
        <f aca="false">J1448*INDEX(Customers!$I$2:$I$41,MATCH(C1448,Customers!$A$2:$A$41,0))/365*Assumptions!$B$6</f>
        <v>568.194805479452</v>
      </c>
      <c r="N1448" s="16" t="n">
        <f aca="false">J1448-K1448-L1448-M1448</f>
        <v>41666.2851945206</v>
      </c>
      <c r="O1448" s="16" t="n">
        <f aca="false">F1448*IF(A1448="2025",INDEX(Products!$D$2:$D$13,MATCH(D1448,Products!$A$2:$A$13,0)),INDEX(Products!$F$2:$F$13,MATCH(D1448,Products!$A$2:$A$13,0)))</f>
        <v>28008</v>
      </c>
      <c r="P1448" s="16" t="n">
        <f aca="false">N1448-O1448</f>
        <v>13658.2851945205</v>
      </c>
    </row>
    <row r="1449" customFormat="false" ht="15" hidden="false" customHeight="false" outlineLevel="0" collapsed="false">
      <c r="A1449" s="2" t="s">
        <v>118</v>
      </c>
      <c r="B1449" s="2" t="n">
        <v>8</v>
      </c>
      <c r="C1449" s="2" t="s">
        <v>84</v>
      </c>
      <c r="D1449" s="2" t="s">
        <v>42</v>
      </c>
      <c r="E1449" s="2" t="str">
        <f aca="false">INDEX(Products!$B$2:$B$13,MATCH(D1449,Products!$A$2:$A$13,0))</f>
        <v>Hydroprocessing</v>
      </c>
      <c r="F1449" s="15" t="n">
        <v>3.3</v>
      </c>
      <c r="G1449" s="16" t="n">
        <f aca="false">IF(A1449="2025",INDEX(Products!$C$2:$C$13,MATCH(D1449,Products!$A$2:$A$13,0)),INDEX(Products!$E$2:$E$13,MATCH(D1449,Products!$A$2:$A$13,0)))</f>
        <v>12450</v>
      </c>
      <c r="H1449" s="13" t="n">
        <f aca="false">IF(A1449="2025",INDEX(Customers!$D$2:$D$41,MATCH(C1449,Customers!$A$2:$A$41,0)),INDEX(Customers!$F$2:$F$41,MATCH(C1449,Customers!$A$2:$A$41,0)))</f>
        <v>0.036</v>
      </c>
      <c r="I1449" s="16" t="n">
        <f aca="false">F1449*G1449</f>
        <v>41085</v>
      </c>
      <c r="J1449" s="16" t="n">
        <f aca="false">I1449*(1-H1449)</f>
        <v>39605.94</v>
      </c>
      <c r="K1449" s="16" t="n">
        <f aca="false">J1449*INDEX(Customers!$G$2:$G$41,MATCH(C1449,Customers!$A$2:$A$41,0))</f>
        <v>0</v>
      </c>
      <c r="L1449" s="16" t="n">
        <f aca="false">F1449*INDEX(Customers!$H$2:$H$41,MATCH(C1449,Customers!$A$2:$A$41,0))</f>
        <v>891</v>
      </c>
      <c r="M1449" s="16" t="n">
        <f aca="false">J1449*INDEX(Customers!$I$2:$I$41,MATCH(C1449,Customers!$A$2:$A$41,0))/365*Assumptions!$B$6</f>
        <v>520.845238356164</v>
      </c>
      <c r="N1449" s="16" t="n">
        <f aca="false">J1449-K1449-L1449-M1449</f>
        <v>38194.0947616438</v>
      </c>
      <c r="O1449" s="16" t="n">
        <f aca="false">F1449*IF(A1449="2025",INDEX(Products!$D$2:$D$13,MATCH(D1449,Products!$A$2:$A$13,0)),INDEX(Products!$F$2:$F$13,MATCH(D1449,Products!$A$2:$A$13,0)))</f>
        <v>25674</v>
      </c>
      <c r="P1449" s="16" t="n">
        <f aca="false">N1449-O1449</f>
        <v>12520.0947616438</v>
      </c>
    </row>
    <row r="1450" customFormat="false" ht="15" hidden="false" customHeight="false" outlineLevel="0" collapsed="false">
      <c r="A1450" s="2" t="s">
        <v>118</v>
      </c>
      <c r="B1450" s="2" t="n">
        <v>9</v>
      </c>
      <c r="C1450" s="2" t="s">
        <v>84</v>
      </c>
      <c r="D1450" s="2" t="s">
        <v>42</v>
      </c>
      <c r="E1450" s="2" t="str">
        <f aca="false">INDEX(Products!$B$2:$B$13,MATCH(D1450,Products!$A$2:$A$13,0))</f>
        <v>Hydroprocessing</v>
      </c>
      <c r="F1450" s="15" t="n">
        <v>3.8</v>
      </c>
      <c r="G1450" s="16" t="n">
        <f aca="false">IF(A1450="2025",INDEX(Products!$C$2:$C$13,MATCH(D1450,Products!$A$2:$A$13,0)),INDEX(Products!$E$2:$E$13,MATCH(D1450,Products!$A$2:$A$13,0)))</f>
        <v>12450</v>
      </c>
      <c r="H1450" s="13" t="n">
        <f aca="false">IF(A1450="2025",INDEX(Customers!$D$2:$D$41,MATCH(C1450,Customers!$A$2:$A$41,0)),INDEX(Customers!$F$2:$F$41,MATCH(C1450,Customers!$A$2:$A$41,0)))</f>
        <v>0.036</v>
      </c>
      <c r="I1450" s="16" t="n">
        <f aca="false">F1450*G1450</f>
        <v>47310</v>
      </c>
      <c r="J1450" s="16" t="n">
        <f aca="false">I1450*(1-H1450)</f>
        <v>45606.84</v>
      </c>
      <c r="K1450" s="16" t="n">
        <f aca="false">J1450*INDEX(Customers!$G$2:$G$41,MATCH(C1450,Customers!$A$2:$A$41,0))</f>
        <v>0</v>
      </c>
      <c r="L1450" s="16" t="n">
        <f aca="false">F1450*INDEX(Customers!$H$2:$H$41,MATCH(C1450,Customers!$A$2:$A$41,0))</f>
        <v>1026</v>
      </c>
      <c r="M1450" s="16" t="n">
        <f aca="false">J1450*INDEX(Customers!$I$2:$I$41,MATCH(C1450,Customers!$A$2:$A$41,0))/365*Assumptions!$B$6</f>
        <v>599.761183561644</v>
      </c>
      <c r="N1450" s="16" t="n">
        <f aca="false">J1450-K1450-L1450-M1450</f>
        <v>43981.0788164384</v>
      </c>
      <c r="O1450" s="16" t="n">
        <f aca="false">F1450*IF(A1450="2025",INDEX(Products!$D$2:$D$13,MATCH(D1450,Products!$A$2:$A$13,0)),INDEX(Products!$F$2:$F$13,MATCH(D1450,Products!$A$2:$A$13,0)))</f>
        <v>29564</v>
      </c>
      <c r="P1450" s="16" t="n">
        <f aca="false">N1450-O1450</f>
        <v>14417.0788164384</v>
      </c>
    </row>
    <row r="1451" customFormat="false" ht="15" hidden="false" customHeight="false" outlineLevel="0" collapsed="false">
      <c r="A1451" s="2" t="s">
        <v>118</v>
      </c>
      <c r="B1451" s="2" t="n">
        <v>10</v>
      </c>
      <c r="C1451" s="2" t="s">
        <v>84</v>
      </c>
      <c r="D1451" s="2" t="s">
        <v>42</v>
      </c>
      <c r="E1451" s="2" t="str">
        <f aca="false">INDEX(Products!$B$2:$B$13,MATCH(D1451,Products!$A$2:$A$13,0))</f>
        <v>Hydroprocessing</v>
      </c>
      <c r="F1451" s="15" t="n">
        <v>3.8</v>
      </c>
      <c r="G1451" s="16" t="n">
        <f aca="false">IF(A1451="2025",INDEX(Products!$C$2:$C$13,MATCH(D1451,Products!$A$2:$A$13,0)),INDEX(Products!$E$2:$E$13,MATCH(D1451,Products!$A$2:$A$13,0)))</f>
        <v>12450</v>
      </c>
      <c r="H1451" s="13" t="n">
        <f aca="false">IF(A1451="2025",INDEX(Customers!$D$2:$D$41,MATCH(C1451,Customers!$A$2:$A$41,0)),INDEX(Customers!$F$2:$F$41,MATCH(C1451,Customers!$A$2:$A$41,0)))</f>
        <v>0.036</v>
      </c>
      <c r="I1451" s="16" t="n">
        <f aca="false">F1451*G1451</f>
        <v>47310</v>
      </c>
      <c r="J1451" s="16" t="n">
        <f aca="false">I1451*(1-H1451)</f>
        <v>45606.84</v>
      </c>
      <c r="K1451" s="16" t="n">
        <f aca="false">J1451*INDEX(Customers!$G$2:$G$41,MATCH(C1451,Customers!$A$2:$A$41,0))</f>
        <v>0</v>
      </c>
      <c r="L1451" s="16" t="n">
        <f aca="false">F1451*INDEX(Customers!$H$2:$H$41,MATCH(C1451,Customers!$A$2:$A$41,0))</f>
        <v>1026</v>
      </c>
      <c r="M1451" s="16" t="n">
        <f aca="false">J1451*INDEX(Customers!$I$2:$I$41,MATCH(C1451,Customers!$A$2:$A$41,0))/365*Assumptions!$B$6</f>
        <v>599.761183561644</v>
      </c>
      <c r="N1451" s="16" t="n">
        <f aca="false">J1451-K1451-L1451-M1451</f>
        <v>43981.0788164384</v>
      </c>
      <c r="O1451" s="16" t="n">
        <f aca="false">F1451*IF(A1451="2025",INDEX(Products!$D$2:$D$13,MATCH(D1451,Products!$A$2:$A$13,0)),INDEX(Products!$F$2:$F$13,MATCH(D1451,Products!$A$2:$A$13,0)))</f>
        <v>29564</v>
      </c>
      <c r="P1451" s="16" t="n">
        <f aca="false">N1451-O1451</f>
        <v>14417.0788164384</v>
      </c>
    </row>
    <row r="1452" customFormat="false" ht="15" hidden="false" customHeight="false" outlineLevel="0" collapsed="false">
      <c r="A1452" s="2" t="s">
        <v>118</v>
      </c>
      <c r="B1452" s="2" t="n">
        <v>11</v>
      </c>
      <c r="C1452" s="2" t="s">
        <v>84</v>
      </c>
      <c r="D1452" s="2" t="s">
        <v>42</v>
      </c>
      <c r="E1452" s="2" t="str">
        <f aca="false">INDEX(Products!$B$2:$B$13,MATCH(D1452,Products!$A$2:$A$13,0))</f>
        <v>Hydroprocessing</v>
      </c>
      <c r="F1452" s="15" t="n">
        <v>2.9</v>
      </c>
      <c r="G1452" s="16" t="n">
        <f aca="false">IF(A1452="2025",INDEX(Products!$C$2:$C$13,MATCH(D1452,Products!$A$2:$A$13,0)),INDEX(Products!$E$2:$E$13,MATCH(D1452,Products!$A$2:$A$13,0)))</f>
        <v>12450</v>
      </c>
      <c r="H1452" s="13" t="n">
        <f aca="false">IF(A1452="2025",INDEX(Customers!$D$2:$D$41,MATCH(C1452,Customers!$A$2:$A$41,0)),INDEX(Customers!$F$2:$F$41,MATCH(C1452,Customers!$A$2:$A$41,0)))</f>
        <v>0.036</v>
      </c>
      <c r="I1452" s="16" t="n">
        <f aca="false">F1452*G1452</f>
        <v>36105</v>
      </c>
      <c r="J1452" s="16" t="n">
        <f aca="false">I1452*(1-H1452)</f>
        <v>34805.22</v>
      </c>
      <c r="K1452" s="16" t="n">
        <f aca="false">J1452*INDEX(Customers!$G$2:$G$41,MATCH(C1452,Customers!$A$2:$A$41,0))</f>
        <v>0</v>
      </c>
      <c r="L1452" s="16" t="n">
        <f aca="false">F1452*INDEX(Customers!$H$2:$H$41,MATCH(C1452,Customers!$A$2:$A$41,0))</f>
        <v>783</v>
      </c>
      <c r="M1452" s="16" t="n">
        <f aca="false">J1452*INDEX(Customers!$I$2:$I$41,MATCH(C1452,Customers!$A$2:$A$41,0))/365*Assumptions!$B$6</f>
        <v>457.712482191781</v>
      </c>
      <c r="N1452" s="16" t="n">
        <f aca="false">J1452-K1452-L1452-M1452</f>
        <v>33564.5075178082</v>
      </c>
      <c r="O1452" s="16" t="n">
        <f aca="false">F1452*IF(A1452="2025",INDEX(Products!$D$2:$D$13,MATCH(D1452,Products!$A$2:$A$13,0)),INDEX(Products!$F$2:$F$13,MATCH(D1452,Products!$A$2:$A$13,0)))</f>
        <v>22562</v>
      </c>
      <c r="P1452" s="16" t="n">
        <f aca="false">N1452-O1452</f>
        <v>11002.5075178082</v>
      </c>
    </row>
    <row r="1453" customFormat="false" ht="15" hidden="false" customHeight="false" outlineLevel="0" collapsed="false">
      <c r="A1453" s="2" t="s">
        <v>118</v>
      </c>
      <c r="B1453" s="2" t="n">
        <v>12</v>
      </c>
      <c r="C1453" s="2" t="s">
        <v>84</v>
      </c>
      <c r="D1453" s="2" t="s">
        <v>42</v>
      </c>
      <c r="E1453" s="2" t="str">
        <f aca="false">INDEX(Products!$B$2:$B$13,MATCH(D1453,Products!$A$2:$A$13,0))</f>
        <v>Hydroprocessing</v>
      </c>
      <c r="F1453" s="15" t="n">
        <v>4.9</v>
      </c>
      <c r="G1453" s="16" t="n">
        <f aca="false">IF(A1453="2025",INDEX(Products!$C$2:$C$13,MATCH(D1453,Products!$A$2:$A$13,0)),INDEX(Products!$E$2:$E$13,MATCH(D1453,Products!$A$2:$A$13,0)))</f>
        <v>12450</v>
      </c>
      <c r="H1453" s="13" t="n">
        <f aca="false">IF(A1453="2025",INDEX(Customers!$D$2:$D$41,MATCH(C1453,Customers!$A$2:$A$41,0)),INDEX(Customers!$F$2:$F$41,MATCH(C1453,Customers!$A$2:$A$41,0)))</f>
        <v>0.036</v>
      </c>
      <c r="I1453" s="16" t="n">
        <f aca="false">F1453*G1453</f>
        <v>61005</v>
      </c>
      <c r="J1453" s="16" t="n">
        <f aca="false">I1453*(1-H1453)</f>
        <v>58808.82</v>
      </c>
      <c r="K1453" s="16" t="n">
        <f aca="false">J1453*INDEX(Customers!$G$2:$G$41,MATCH(C1453,Customers!$A$2:$A$41,0))</f>
        <v>0</v>
      </c>
      <c r="L1453" s="16" t="n">
        <f aca="false">F1453*INDEX(Customers!$H$2:$H$41,MATCH(C1453,Customers!$A$2:$A$41,0))</f>
        <v>1323</v>
      </c>
      <c r="M1453" s="16" t="n">
        <f aca="false">J1453*INDEX(Customers!$I$2:$I$41,MATCH(C1453,Customers!$A$2:$A$41,0))/365*Assumptions!$B$6</f>
        <v>773.376263013699</v>
      </c>
      <c r="N1453" s="16" t="n">
        <f aca="false">J1453-K1453-L1453-M1453</f>
        <v>56712.4437369863</v>
      </c>
      <c r="O1453" s="16" t="n">
        <f aca="false">F1453*IF(A1453="2025",INDEX(Products!$D$2:$D$13,MATCH(D1453,Products!$A$2:$A$13,0)),INDEX(Products!$F$2:$F$13,MATCH(D1453,Products!$A$2:$A$13,0)))</f>
        <v>38122</v>
      </c>
      <c r="P1453" s="16" t="n">
        <f aca="false">N1453-O1453</f>
        <v>18590.4437369863</v>
      </c>
    </row>
    <row r="1454" customFormat="false" ht="15" hidden="false" customHeight="false" outlineLevel="0" collapsed="false">
      <c r="A1454" s="2" t="s">
        <v>119</v>
      </c>
      <c r="B1454" s="2" t="n">
        <v>1</v>
      </c>
      <c r="C1454" s="2" t="s">
        <v>84</v>
      </c>
      <c r="D1454" s="2" t="s">
        <v>42</v>
      </c>
      <c r="E1454" s="2" t="str">
        <f aca="false">INDEX(Products!$B$2:$B$13,MATCH(D1454,Products!$A$2:$A$13,0))</f>
        <v>Hydroprocessing</v>
      </c>
      <c r="F1454" s="15" t="n">
        <v>2.4</v>
      </c>
      <c r="G1454" s="16" t="n">
        <f aca="false">IF(A1454="2025",INDEX(Products!$C$2:$C$13,MATCH(D1454,Products!$A$2:$A$13,0)),INDEX(Products!$E$2:$E$13,MATCH(D1454,Products!$A$2:$A$13,0)))</f>
        <v>13072.5</v>
      </c>
      <c r="H1454" s="13" t="n">
        <f aca="false">IF(A1454="2025",INDEX(Customers!$D$2:$D$41,MATCH(C1454,Customers!$A$2:$A$41,0)),INDEX(Customers!$F$2:$F$41,MATCH(C1454,Customers!$A$2:$A$41,0)))</f>
        <v>0.036</v>
      </c>
      <c r="I1454" s="16" t="n">
        <f aca="false">F1454*G1454</f>
        <v>31374</v>
      </c>
      <c r="J1454" s="16" t="n">
        <f aca="false">I1454*(1-H1454)</f>
        <v>30244.536</v>
      </c>
      <c r="K1454" s="16" t="n">
        <f aca="false">J1454*INDEX(Customers!$G$2:$G$41,MATCH(C1454,Customers!$A$2:$A$41,0))</f>
        <v>0</v>
      </c>
      <c r="L1454" s="16" t="n">
        <f aca="false">F1454*INDEX(Customers!$H$2:$H$41,MATCH(C1454,Customers!$A$2:$A$41,0))</f>
        <v>648</v>
      </c>
      <c r="M1454" s="16" t="n">
        <f aca="false">J1454*INDEX(Customers!$I$2:$I$41,MATCH(C1454,Customers!$A$2:$A$41,0))/365*Assumptions!$B$6</f>
        <v>397.736363835616</v>
      </c>
      <c r="N1454" s="16" t="n">
        <f aca="false">J1454-K1454-L1454-M1454</f>
        <v>29198.7996361644</v>
      </c>
      <c r="O1454" s="16" t="n">
        <f aca="false">F1454*IF(A1454="2025",INDEX(Products!$D$2:$D$13,MATCH(D1454,Products!$A$2:$A$13,0)),INDEX(Products!$F$2:$F$13,MATCH(D1454,Products!$A$2:$A$13,0)))</f>
        <v>19232.16</v>
      </c>
      <c r="P1454" s="16" t="n">
        <f aca="false">N1454-O1454</f>
        <v>9966.63963616438</v>
      </c>
    </row>
    <row r="1455" customFormat="false" ht="15" hidden="false" customHeight="false" outlineLevel="0" collapsed="false">
      <c r="A1455" s="2" t="s">
        <v>119</v>
      </c>
      <c r="B1455" s="2" t="n">
        <v>2</v>
      </c>
      <c r="C1455" s="2" t="s">
        <v>84</v>
      </c>
      <c r="D1455" s="2" t="s">
        <v>42</v>
      </c>
      <c r="E1455" s="2" t="str">
        <f aca="false">INDEX(Products!$B$2:$B$13,MATCH(D1455,Products!$A$2:$A$13,0))</f>
        <v>Hydroprocessing</v>
      </c>
      <c r="F1455" s="15" t="n">
        <v>2.5</v>
      </c>
      <c r="G1455" s="16" t="n">
        <f aca="false">IF(A1455="2025",INDEX(Products!$C$2:$C$13,MATCH(D1455,Products!$A$2:$A$13,0)),INDEX(Products!$E$2:$E$13,MATCH(D1455,Products!$A$2:$A$13,0)))</f>
        <v>13072.5</v>
      </c>
      <c r="H1455" s="13" t="n">
        <f aca="false">IF(A1455="2025",INDEX(Customers!$D$2:$D$41,MATCH(C1455,Customers!$A$2:$A$41,0)),INDEX(Customers!$F$2:$F$41,MATCH(C1455,Customers!$A$2:$A$41,0)))</f>
        <v>0.036</v>
      </c>
      <c r="I1455" s="16" t="n">
        <f aca="false">F1455*G1455</f>
        <v>32681.25</v>
      </c>
      <c r="J1455" s="16" t="n">
        <f aca="false">I1455*(1-H1455)</f>
        <v>31504.725</v>
      </c>
      <c r="K1455" s="16" t="n">
        <f aca="false">J1455*INDEX(Customers!$G$2:$G$41,MATCH(C1455,Customers!$A$2:$A$41,0))</f>
        <v>0</v>
      </c>
      <c r="L1455" s="16" t="n">
        <f aca="false">F1455*INDEX(Customers!$H$2:$H$41,MATCH(C1455,Customers!$A$2:$A$41,0))</f>
        <v>675</v>
      </c>
      <c r="M1455" s="16" t="n">
        <f aca="false">J1455*INDEX(Customers!$I$2:$I$41,MATCH(C1455,Customers!$A$2:$A$41,0))/365*Assumptions!$B$6</f>
        <v>414.308712328767</v>
      </c>
      <c r="N1455" s="16" t="n">
        <f aca="false">J1455-K1455-L1455-M1455</f>
        <v>30415.4162876712</v>
      </c>
      <c r="O1455" s="16" t="n">
        <f aca="false">F1455*IF(A1455="2025",INDEX(Products!$D$2:$D$13,MATCH(D1455,Products!$A$2:$A$13,0)),INDEX(Products!$F$2:$F$13,MATCH(D1455,Products!$A$2:$A$13,0)))</f>
        <v>20033.5</v>
      </c>
      <c r="P1455" s="16" t="n">
        <f aca="false">N1455-O1455</f>
        <v>10381.9162876712</v>
      </c>
    </row>
    <row r="1456" customFormat="false" ht="15" hidden="false" customHeight="false" outlineLevel="0" collapsed="false">
      <c r="A1456" s="2" t="s">
        <v>119</v>
      </c>
      <c r="B1456" s="2" t="n">
        <v>3</v>
      </c>
      <c r="C1456" s="2" t="s">
        <v>84</v>
      </c>
      <c r="D1456" s="2" t="s">
        <v>42</v>
      </c>
      <c r="E1456" s="2" t="str">
        <f aca="false">INDEX(Products!$B$2:$B$13,MATCH(D1456,Products!$A$2:$A$13,0))</f>
        <v>Hydroprocessing</v>
      </c>
      <c r="F1456" s="15" t="n">
        <v>2</v>
      </c>
      <c r="G1456" s="16" t="n">
        <f aca="false">IF(A1456="2025",INDEX(Products!$C$2:$C$13,MATCH(D1456,Products!$A$2:$A$13,0)),INDEX(Products!$E$2:$E$13,MATCH(D1456,Products!$A$2:$A$13,0)))</f>
        <v>13072.5</v>
      </c>
      <c r="H1456" s="13" t="n">
        <f aca="false">IF(A1456="2025",INDEX(Customers!$D$2:$D$41,MATCH(C1456,Customers!$A$2:$A$41,0)),INDEX(Customers!$F$2:$F$41,MATCH(C1456,Customers!$A$2:$A$41,0)))</f>
        <v>0.036</v>
      </c>
      <c r="I1456" s="16" t="n">
        <f aca="false">F1456*G1456</f>
        <v>26145</v>
      </c>
      <c r="J1456" s="16" t="n">
        <f aca="false">I1456*(1-H1456)</f>
        <v>25203.78</v>
      </c>
      <c r="K1456" s="16" t="n">
        <f aca="false">J1456*INDEX(Customers!$G$2:$G$41,MATCH(C1456,Customers!$A$2:$A$41,0))</f>
        <v>0</v>
      </c>
      <c r="L1456" s="16" t="n">
        <f aca="false">F1456*INDEX(Customers!$H$2:$H$41,MATCH(C1456,Customers!$A$2:$A$41,0))</f>
        <v>540</v>
      </c>
      <c r="M1456" s="16" t="n">
        <f aca="false">J1456*INDEX(Customers!$I$2:$I$41,MATCH(C1456,Customers!$A$2:$A$41,0))/365*Assumptions!$B$6</f>
        <v>331.446969863014</v>
      </c>
      <c r="N1456" s="16" t="n">
        <f aca="false">J1456-K1456-L1456-M1456</f>
        <v>24332.333030137</v>
      </c>
      <c r="O1456" s="16" t="n">
        <f aca="false">F1456*IF(A1456="2025",INDEX(Products!$D$2:$D$13,MATCH(D1456,Products!$A$2:$A$13,0)),INDEX(Products!$F$2:$F$13,MATCH(D1456,Products!$A$2:$A$13,0)))</f>
        <v>16026.8</v>
      </c>
      <c r="P1456" s="16" t="n">
        <f aca="false">N1456-O1456</f>
        <v>8305.53303013699</v>
      </c>
    </row>
    <row r="1457" customFormat="false" ht="15" hidden="false" customHeight="false" outlineLevel="0" collapsed="false">
      <c r="A1457" s="2" t="s">
        <v>119</v>
      </c>
      <c r="B1457" s="2" t="n">
        <v>4</v>
      </c>
      <c r="C1457" s="2" t="s">
        <v>84</v>
      </c>
      <c r="D1457" s="2" t="s">
        <v>42</v>
      </c>
      <c r="E1457" s="2" t="str">
        <f aca="false">INDEX(Products!$B$2:$B$13,MATCH(D1457,Products!$A$2:$A$13,0))</f>
        <v>Hydroprocessing</v>
      </c>
      <c r="F1457" s="15" t="n">
        <v>1.9</v>
      </c>
      <c r="G1457" s="16" t="n">
        <f aca="false">IF(A1457="2025",INDEX(Products!$C$2:$C$13,MATCH(D1457,Products!$A$2:$A$13,0)),INDEX(Products!$E$2:$E$13,MATCH(D1457,Products!$A$2:$A$13,0)))</f>
        <v>13072.5</v>
      </c>
      <c r="H1457" s="13" t="n">
        <f aca="false">IF(A1457="2025",INDEX(Customers!$D$2:$D$41,MATCH(C1457,Customers!$A$2:$A$41,0)),INDEX(Customers!$F$2:$F$41,MATCH(C1457,Customers!$A$2:$A$41,0)))</f>
        <v>0.036</v>
      </c>
      <c r="I1457" s="16" t="n">
        <f aca="false">F1457*G1457</f>
        <v>24837.75</v>
      </c>
      <c r="J1457" s="16" t="n">
        <f aca="false">I1457*(1-H1457)</f>
        <v>23943.591</v>
      </c>
      <c r="K1457" s="16" t="n">
        <f aca="false">J1457*INDEX(Customers!$G$2:$G$41,MATCH(C1457,Customers!$A$2:$A$41,0))</f>
        <v>0</v>
      </c>
      <c r="L1457" s="16" t="n">
        <f aca="false">F1457*INDEX(Customers!$H$2:$H$41,MATCH(C1457,Customers!$A$2:$A$41,0))</f>
        <v>513</v>
      </c>
      <c r="M1457" s="16" t="n">
        <f aca="false">J1457*INDEX(Customers!$I$2:$I$41,MATCH(C1457,Customers!$A$2:$A$41,0))/365*Assumptions!$B$6</f>
        <v>314.874621369863</v>
      </c>
      <c r="N1457" s="16" t="n">
        <f aca="false">J1457-K1457-L1457-M1457</f>
        <v>23115.7163786301</v>
      </c>
      <c r="O1457" s="16" t="n">
        <f aca="false">F1457*IF(A1457="2025",INDEX(Products!$D$2:$D$13,MATCH(D1457,Products!$A$2:$A$13,0)),INDEX(Products!$F$2:$F$13,MATCH(D1457,Products!$A$2:$A$13,0)))</f>
        <v>15225.46</v>
      </c>
      <c r="P1457" s="16" t="n">
        <f aca="false">N1457-O1457</f>
        <v>7890.25637863014</v>
      </c>
    </row>
    <row r="1458" customFormat="false" ht="15" hidden="false" customHeight="false" outlineLevel="0" collapsed="false">
      <c r="A1458" s="2" t="s">
        <v>119</v>
      </c>
      <c r="B1458" s="2" t="n">
        <v>5</v>
      </c>
      <c r="C1458" s="2" t="s">
        <v>84</v>
      </c>
      <c r="D1458" s="2" t="s">
        <v>42</v>
      </c>
      <c r="E1458" s="2" t="str">
        <f aca="false">INDEX(Products!$B$2:$B$13,MATCH(D1458,Products!$A$2:$A$13,0))</f>
        <v>Hydroprocessing</v>
      </c>
      <c r="F1458" s="15" t="n">
        <v>2.3</v>
      </c>
      <c r="G1458" s="16" t="n">
        <f aca="false">IF(A1458="2025",INDEX(Products!$C$2:$C$13,MATCH(D1458,Products!$A$2:$A$13,0)),INDEX(Products!$E$2:$E$13,MATCH(D1458,Products!$A$2:$A$13,0)))</f>
        <v>13072.5</v>
      </c>
      <c r="H1458" s="13" t="n">
        <f aca="false">IF(A1458="2025",INDEX(Customers!$D$2:$D$41,MATCH(C1458,Customers!$A$2:$A$41,0)),INDEX(Customers!$F$2:$F$41,MATCH(C1458,Customers!$A$2:$A$41,0)))</f>
        <v>0.036</v>
      </c>
      <c r="I1458" s="16" t="n">
        <f aca="false">F1458*G1458</f>
        <v>30066.75</v>
      </c>
      <c r="J1458" s="16" t="n">
        <f aca="false">I1458*(1-H1458)</f>
        <v>28984.347</v>
      </c>
      <c r="K1458" s="16" t="n">
        <f aca="false">J1458*INDEX(Customers!$G$2:$G$41,MATCH(C1458,Customers!$A$2:$A$41,0))</f>
        <v>0</v>
      </c>
      <c r="L1458" s="16" t="n">
        <f aca="false">F1458*INDEX(Customers!$H$2:$H$41,MATCH(C1458,Customers!$A$2:$A$41,0))</f>
        <v>621</v>
      </c>
      <c r="M1458" s="16" t="n">
        <f aca="false">J1458*INDEX(Customers!$I$2:$I$41,MATCH(C1458,Customers!$A$2:$A$41,0))/365*Assumptions!$B$6</f>
        <v>381.164015342466</v>
      </c>
      <c r="N1458" s="16" t="n">
        <f aca="false">J1458-K1458-L1458-M1458</f>
        <v>27982.1829846575</v>
      </c>
      <c r="O1458" s="16" t="n">
        <f aca="false">F1458*IF(A1458="2025",INDEX(Products!$D$2:$D$13,MATCH(D1458,Products!$A$2:$A$13,0)),INDEX(Products!$F$2:$F$13,MATCH(D1458,Products!$A$2:$A$13,0)))</f>
        <v>18430.82</v>
      </c>
      <c r="P1458" s="16" t="n">
        <f aca="false">N1458-O1458</f>
        <v>9551.36298465753</v>
      </c>
    </row>
    <row r="1459" customFormat="false" ht="15" hidden="false" customHeight="false" outlineLevel="0" collapsed="false">
      <c r="A1459" s="2" t="s">
        <v>119</v>
      </c>
      <c r="B1459" s="2" t="n">
        <v>6</v>
      </c>
      <c r="C1459" s="2" t="s">
        <v>84</v>
      </c>
      <c r="D1459" s="2" t="s">
        <v>42</v>
      </c>
      <c r="E1459" s="2" t="str">
        <f aca="false">INDEX(Products!$B$2:$B$13,MATCH(D1459,Products!$A$2:$A$13,0))</f>
        <v>Hydroprocessing</v>
      </c>
      <c r="F1459" s="15" t="n">
        <v>2.6</v>
      </c>
      <c r="G1459" s="16" t="n">
        <f aca="false">IF(A1459="2025",INDEX(Products!$C$2:$C$13,MATCH(D1459,Products!$A$2:$A$13,0)),INDEX(Products!$E$2:$E$13,MATCH(D1459,Products!$A$2:$A$13,0)))</f>
        <v>13072.5</v>
      </c>
      <c r="H1459" s="13" t="n">
        <f aca="false">IF(A1459="2025",INDEX(Customers!$D$2:$D$41,MATCH(C1459,Customers!$A$2:$A$41,0)),INDEX(Customers!$F$2:$F$41,MATCH(C1459,Customers!$A$2:$A$41,0)))</f>
        <v>0.036</v>
      </c>
      <c r="I1459" s="16" t="n">
        <f aca="false">F1459*G1459</f>
        <v>33988.5</v>
      </c>
      <c r="J1459" s="16" t="n">
        <f aca="false">I1459*(1-H1459)</f>
        <v>32764.914</v>
      </c>
      <c r="K1459" s="16" t="n">
        <f aca="false">J1459*INDEX(Customers!$G$2:$G$41,MATCH(C1459,Customers!$A$2:$A$41,0))</f>
        <v>0</v>
      </c>
      <c r="L1459" s="16" t="n">
        <f aca="false">F1459*INDEX(Customers!$H$2:$H$41,MATCH(C1459,Customers!$A$2:$A$41,0))</f>
        <v>702</v>
      </c>
      <c r="M1459" s="16" t="n">
        <f aca="false">J1459*INDEX(Customers!$I$2:$I$41,MATCH(C1459,Customers!$A$2:$A$41,0))/365*Assumptions!$B$6</f>
        <v>430.881060821918</v>
      </c>
      <c r="N1459" s="16" t="n">
        <f aca="false">J1459-K1459-L1459-M1459</f>
        <v>31632.0329391781</v>
      </c>
      <c r="O1459" s="16" t="n">
        <f aca="false">F1459*IF(A1459="2025",INDEX(Products!$D$2:$D$13,MATCH(D1459,Products!$A$2:$A$13,0)),INDEX(Products!$F$2:$F$13,MATCH(D1459,Products!$A$2:$A$13,0)))</f>
        <v>20834.84</v>
      </c>
      <c r="P1459" s="16" t="n">
        <f aca="false">N1459-O1459</f>
        <v>10797.1929391781</v>
      </c>
    </row>
    <row r="1460" customFormat="false" ht="15" hidden="false" customHeight="false" outlineLevel="0" collapsed="false">
      <c r="A1460" s="2" t="s">
        <v>119</v>
      </c>
      <c r="B1460" s="2" t="n">
        <v>7</v>
      </c>
      <c r="C1460" s="2" t="s">
        <v>84</v>
      </c>
      <c r="D1460" s="2" t="s">
        <v>42</v>
      </c>
      <c r="E1460" s="2" t="str">
        <f aca="false">INDEX(Products!$B$2:$B$13,MATCH(D1460,Products!$A$2:$A$13,0))</f>
        <v>Hydroprocessing</v>
      </c>
      <c r="F1460" s="15" t="n">
        <v>2.4</v>
      </c>
      <c r="G1460" s="16" t="n">
        <f aca="false">IF(A1460="2025",INDEX(Products!$C$2:$C$13,MATCH(D1460,Products!$A$2:$A$13,0)),INDEX(Products!$E$2:$E$13,MATCH(D1460,Products!$A$2:$A$13,0)))</f>
        <v>13072.5</v>
      </c>
      <c r="H1460" s="13" t="n">
        <f aca="false">IF(A1460="2025",INDEX(Customers!$D$2:$D$41,MATCH(C1460,Customers!$A$2:$A$41,0)),INDEX(Customers!$F$2:$F$41,MATCH(C1460,Customers!$A$2:$A$41,0)))</f>
        <v>0.036</v>
      </c>
      <c r="I1460" s="16" t="n">
        <f aca="false">F1460*G1460</f>
        <v>31374</v>
      </c>
      <c r="J1460" s="16" t="n">
        <f aca="false">I1460*(1-H1460)</f>
        <v>30244.536</v>
      </c>
      <c r="K1460" s="16" t="n">
        <f aca="false">J1460*INDEX(Customers!$G$2:$G$41,MATCH(C1460,Customers!$A$2:$A$41,0))</f>
        <v>0</v>
      </c>
      <c r="L1460" s="16" t="n">
        <f aca="false">F1460*INDEX(Customers!$H$2:$H$41,MATCH(C1460,Customers!$A$2:$A$41,0))</f>
        <v>648</v>
      </c>
      <c r="M1460" s="16" t="n">
        <f aca="false">J1460*INDEX(Customers!$I$2:$I$41,MATCH(C1460,Customers!$A$2:$A$41,0))/365*Assumptions!$B$6</f>
        <v>397.736363835616</v>
      </c>
      <c r="N1460" s="16" t="n">
        <f aca="false">J1460-K1460-L1460-M1460</f>
        <v>29198.7996361644</v>
      </c>
      <c r="O1460" s="16" t="n">
        <f aca="false">F1460*IF(A1460="2025",INDEX(Products!$D$2:$D$13,MATCH(D1460,Products!$A$2:$A$13,0)),INDEX(Products!$F$2:$F$13,MATCH(D1460,Products!$A$2:$A$13,0)))</f>
        <v>19232.16</v>
      </c>
      <c r="P1460" s="16" t="n">
        <f aca="false">N1460-O1460</f>
        <v>9966.63963616438</v>
      </c>
    </row>
    <row r="1461" customFormat="false" ht="15" hidden="false" customHeight="false" outlineLevel="0" collapsed="false">
      <c r="A1461" s="2" t="s">
        <v>119</v>
      </c>
      <c r="B1461" s="2" t="n">
        <v>8</v>
      </c>
      <c r="C1461" s="2" t="s">
        <v>84</v>
      </c>
      <c r="D1461" s="2" t="s">
        <v>42</v>
      </c>
      <c r="E1461" s="2" t="str">
        <f aca="false">INDEX(Products!$B$2:$B$13,MATCH(D1461,Products!$A$2:$A$13,0))</f>
        <v>Hydroprocessing</v>
      </c>
      <c r="F1461" s="15" t="n">
        <v>1.5</v>
      </c>
      <c r="G1461" s="16" t="n">
        <f aca="false">IF(A1461="2025",INDEX(Products!$C$2:$C$13,MATCH(D1461,Products!$A$2:$A$13,0)),INDEX(Products!$E$2:$E$13,MATCH(D1461,Products!$A$2:$A$13,0)))</f>
        <v>13072.5</v>
      </c>
      <c r="H1461" s="13" t="n">
        <f aca="false">IF(A1461="2025",INDEX(Customers!$D$2:$D$41,MATCH(C1461,Customers!$A$2:$A$41,0)),INDEX(Customers!$F$2:$F$41,MATCH(C1461,Customers!$A$2:$A$41,0)))</f>
        <v>0.036</v>
      </c>
      <c r="I1461" s="16" t="n">
        <f aca="false">F1461*G1461</f>
        <v>19608.75</v>
      </c>
      <c r="J1461" s="16" t="n">
        <f aca="false">I1461*(1-H1461)</f>
        <v>18902.835</v>
      </c>
      <c r="K1461" s="16" t="n">
        <f aca="false">J1461*INDEX(Customers!$G$2:$G$41,MATCH(C1461,Customers!$A$2:$A$41,0))</f>
        <v>0</v>
      </c>
      <c r="L1461" s="16" t="n">
        <f aca="false">F1461*INDEX(Customers!$H$2:$H$41,MATCH(C1461,Customers!$A$2:$A$41,0))</f>
        <v>405</v>
      </c>
      <c r="M1461" s="16" t="n">
        <f aca="false">J1461*INDEX(Customers!$I$2:$I$41,MATCH(C1461,Customers!$A$2:$A$41,0))/365*Assumptions!$B$6</f>
        <v>248.58522739726</v>
      </c>
      <c r="N1461" s="16" t="n">
        <f aca="false">J1461-K1461-L1461-M1461</f>
        <v>18249.2497726027</v>
      </c>
      <c r="O1461" s="16" t="n">
        <f aca="false">F1461*IF(A1461="2025",INDEX(Products!$D$2:$D$13,MATCH(D1461,Products!$A$2:$A$13,0)),INDEX(Products!$F$2:$F$13,MATCH(D1461,Products!$A$2:$A$13,0)))</f>
        <v>12020.1</v>
      </c>
      <c r="P1461" s="16" t="n">
        <f aca="false">N1461-O1461</f>
        <v>6229.14977260274</v>
      </c>
    </row>
    <row r="1462" customFormat="false" ht="15" hidden="false" customHeight="false" outlineLevel="0" collapsed="false">
      <c r="A1462" s="2" t="s">
        <v>119</v>
      </c>
      <c r="B1462" s="2" t="n">
        <v>9</v>
      </c>
      <c r="C1462" s="2" t="s">
        <v>84</v>
      </c>
      <c r="D1462" s="2" t="s">
        <v>42</v>
      </c>
      <c r="E1462" s="2" t="str">
        <f aca="false">INDEX(Products!$B$2:$B$13,MATCH(D1462,Products!$A$2:$A$13,0))</f>
        <v>Hydroprocessing</v>
      </c>
      <c r="F1462" s="15" t="n">
        <v>2.4</v>
      </c>
      <c r="G1462" s="16" t="n">
        <f aca="false">IF(A1462="2025",INDEX(Products!$C$2:$C$13,MATCH(D1462,Products!$A$2:$A$13,0)),INDEX(Products!$E$2:$E$13,MATCH(D1462,Products!$A$2:$A$13,0)))</f>
        <v>13072.5</v>
      </c>
      <c r="H1462" s="13" t="n">
        <f aca="false">IF(A1462="2025",INDEX(Customers!$D$2:$D$41,MATCH(C1462,Customers!$A$2:$A$41,0)),INDEX(Customers!$F$2:$F$41,MATCH(C1462,Customers!$A$2:$A$41,0)))</f>
        <v>0.036</v>
      </c>
      <c r="I1462" s="16" t="n">
        <f aca="false">F1462*G1462</f>
        <v>31374</v>
      </c>
      <c r="J1462" s="16" t="n">
        <f aca="false">I1462*(1-H1462)</f>
        <v>30244.536</v>
      </c>
      <c r="K1462" s="16" t="n">
        <f aca="false">J1462*INDEX(Customers!$G$2:$G$41,MATCH(C1462,Customers!$A$2:$A$41,0))</f>
        <v>0</v>
      </c>
      <c r="L1462" s="16" t="n">
        <f aca="false">F1462*INDEX(Customers!$H$2:$H$41,MATCH(C1462,Customers!$A$2:$A$41,0))</f>
        <v>648</v>
      </c>
      <c r="M1462" s="16" t="n">
        <f aca="false">J1462*INDEX(Customers!$I$2:$I$41,MATCH(C1462,Customers!$A$2:$A$41,0))/365*Assumptions!$B$6</f>
        <v>397.736363835616</v>
      </c>
      <c r="N1462" s="16" t="n">
        <f aca="false">J1462-K1462-L1462-M1462</f>
        <v>29198.7996361644</v>
      </c>
      <c r="O1462" s="16" t="n">
        <f aca="false">F1462*IF(A1462="2025",INDEX(Products!$D$2:$D$13,MATCH(D1462,Products!$A$2:$A$13,0)),INDEX(Products!$F$2:$F$13,MATCH(D1462,Products!$A$2:$A$13,0)))</f>
        <v>19232.16</v>
      </c>
      <c r="P1462" s="16" t="n">
        <f aca="false">N1462-O1462</f>
        <v>9966.63963616438</v>
      </c>
    </row>
    <row r="1463" customFormat="false" ht="15" hidden="false" customHeight="false" outlineLevel="0" collapsed="false">
      <c r="A1463" s="2" t="s">
        <v>119</v>
      </c>
      <c r="B1463" s="2" t="n">
        <v>10</v>
      </c>
      <c r="C1463" s="2" t="s">
        <v>84</v>
      </c>
      <c r="D1463" s="2" t="s">
        <v>42</v>
      </c>
      <c r="E1463" s="2" t="str">
        <f aca="false">INDEX(Products!$B$2:$B$13,MATCH(D1463,Products!$A$2:$A$13,0))</f>
        <v>Hydroprocessing</v>
      </c>
      <c r="F1463" s="15" t="n">
        <v>2</v>
      </c>
      <c r="G1463" s="16" t="n">
        <f aca="false">IF(A1463="2025",INDEX(Products!$C$2:$C$13,MATCH(D1463,Products!$A$2:$A$13,0)),INDEX(Products!$E$2:$E$13,MATCH(D1463,Products!$A$2:$A$13,0)))</f>
        <v>13072.5</v>
      </c>
      <c r="H1463" s="13" t="n">
        <f aca="false">IF(A1463="2025",INDEX(Customers!$D$2:$D$41,MATCH(C1463,Customers!$A$2:$A$41,0)),INDEX(Customers!$F$2:$F$41,MATCH(C1463,Customers!$A$2:$A$41,0)))</f>
        <v>0.036</v>
      </c>
      <c r="I1463" s="16" t="n">
        <f aca="false">F1463*G1463</f>
        <v>26145</v>
      </c>
      <c r="J1463" s="16" t="n">
        <f aca="false">I1463*(1-H1463)</f>
        <v>25203.78</v>
      </c>
      <c r="K1463" s="16" t="n">
        <f aca="false">J1463*INDEX(Customers!$G$2:$G$41,MATCH(C1463,Customers!$A$2:$A$41,0))</f>
        <v>0</v>
      </c>
      <c r="L1463" s="16" t="n">
        <f aca="false">F1463*INDEX(Customers!$H$2:$H$41,MATCH(C1463,Customers!$A$2:$A$41,0))</f>
        <v>540</v>
      </c>
      <c r="M1463" s="16" t="n">
        <f aca="false">J1463*INDEX(Customers!$I$2:$I$41,MATCH(C1463,Customers!$A$2:$A$41,0))/365*Assumptions!$B$6</f>
        <v>331.446969863014</v>
      </c>
      <c r="N1463" s="16" t="n">
        <f aca="false">J1463-K1463-L1463-M1463</f>
        <v>24332.333030137</v>
      </c>
      <c r="O1463" s="16" t="n">
        <f aca="false">F1463*IF(A1463="2025",INDEX(Products!$D$2:$D$13,MATCH(D1463,Products!$A$2:$A$13,0)),INDEX(Products!$F$2:$F$13,MATCH(D1463,Products!$A$2:$A$13,0)))</f>
        <v>16026.8</v>
      </c>
      <c r="P1463" s="16" t="n">
        <f aca="false">N1463-O1463</f>
        <v>8305.53303013699</v>
      </c>
    </row>
    <row r="1464" customFormat="false" ht="15" hidden="false" customHeight="false" outlineLevel="0" collapsed="false">
      <c r="A1464" s="2" t="s">
        <v>119</v>
      </c>
      <c r="B1464" s="2" t="n">
        <v>11</v>
      </c>
      <c r="C1464" s="2" t="s">
        <v>84</v>
      </c>
      <c r="D1464" s="2" t="s">
        <v>42</v>
      </c>
      <c r="E1464" s="2" t="str">
        <f aca="false">INDEX(Products!$B$2:$B$13,MATCH(D1464,Products!$A$2:$A$13,0))</f>
        <v>Hydroprocessing</v>
      </c>
      <c r="F1464" s="15" t="n">
        <v>1.4</v>
      </c>
      <c r="G1464" s="16" t="n">
        <f aca="false">IF(A1464="2025",INDEX(Products!$C$2:$C$13,MATCH(D1464,Products!$A$2:$A$13,0)),INDEX(Products!$E$2:$E$13,MATCH(D1464,Products!$A$2:$A$13,0)))</f>
        <v>13072.5</v>
      </c>
      <c r="H1464" s="13" t="n">
        <f aca="false">IF(A1464="2025",INDEX(Customers!$D$2:$D$41,MATCH(C1464,Customers!$A$2:$A$41,0)),INDEX(Customers!$F$2:$F$41,MATCH(C1464,Customers!$A$2:$A$41,0)))</f>
        <v>0.036</v>
      </c>
      <c r="I1464" s="16" t="n">
        <f aca="false">F1464*G1464</f>
        <v>18301.5</v>
      </c>
      <c r="J1464" s="16" t="n">
        <f aca="false">I1464*(1-H1464)</f>
        <v>17642.646</v>
      </c>
      <c r="K1464" s="16" t="n">
        <f aca="false">J1464*INDEX(Customers!$G$2:$G$41,MATCH(C1464,Customers!$A$2:$A$41,0))</f>
        <v>0</v>
      </c>
      <c r="L1464" s="16" t="n">
        <f aca="false">F1464*INDEX(Customers!$H$2:$H$41,MATCH(C1464,Customers!$A$2:$A$41,0))</f>
        <v>378</v>
      </c>
      <c r="M1464" s="16" t="n">
        <f aca="false">J1464*INDEX(Customers!$I$2:$I$41,MATCH(C1464,Customers!$A$2:$A$41,0))/365*Assumptions!$B$6</f>
        <v>232.01287890411</v>
      </c>
      <c r="N1464" s="16" t="n">
        <f aca="false">J1464-K1464-L1464-M1464</f>
        <v>17032.6331210959</v>
      </c>
      <c r="O1464" s="16" t="n">
        <f aca="false">F1464*IF(A1464="2025",INDEX(Products!$D$2:$D$13,MATCH(D1464,Products!$A$2:$A$13,0)),INDEX(Products!$F$2:$F$13,MATCH(D1464,Products!$A$2:$A$13,0)))</f>
        <v>11218.76</v>
      </c>
      <c r="P1464" s="16" t="n">
        <f aca="false">N1464-O1464</f>
        <v>5813.87312109589</v>
      </c>
    </row>
    <row r="1465" customFormat="false" ht="15" hidden="false" customHeight="false" outlineLevel="0" collapsed="false">
      <c r="A1465" s="2" t="s">
        <v>119</v>
      </c>
      <c r="B1465" s="2" t="n">
        <v>12</v>
      </c>
      <c r="C1465" s="2" t="s">
        <v>84</v>
      </c>
      <c r="D1465" s="2" t="s">
        <v>42</v>
      </c>
      <c r="E1465" s="2" t="str">
        <f aca="false">INDEX(Products!$B$2:$B$13,MATCH(D1465,Products!$A$2:$A$13,0))</f>
        <v>Hydroprocessing</v>
      </c>
      <c r="F1465" s="15" t="n">
        <v>1.7</v>
      </c>
      <c r="G1465" s="16" t="n">
        <f aca="false">IF(A1465="2025",INDEX(Products!$C$2:$C$13,MATCH(D1465,Products!$A$2:$A$13,0)),INDEX(Products!$E$2:$E$13,MATCH(D1465,Products!$A$2:$A$13,0)))</f>
        <v>13072.5</v>
      </c>
      <c r="H1465" s="13" t="n">
        <f aca="false">IF(A1465="2025",INDEX(Customers!$D$2:$D$41,MATCH(C1465,Customers!$A$2:$A$41,0)),INDEX(Customers!$F$2:$F$41,MATCH(C1465,Customers!$A$2:$A$41,0)))</f>
        <v>0.036</v>
      </c>
      <c r="I1465" s="16" t="n">
        <f aca="false">F1465*G1465</f>
        <v>22223.25</v>
      </c>
      <c r="J1465" s="16" t="n">
        <f aca="false">I1465*(1-H1465)</f>
        <v>21423.213</v>
      </c>
      <c r="K1465" s="16" t="n">
        <f aca="false">J1465*INDEX(Customers!$G$2:$G$41,MATCH(C1465,Customers!$A$2:$A$41,0))</f>
        <v>0</v>
      </c>
      <c r="L1465" s="16" t="n">
        <f aca="false">F1465*INDEX(Customers!$H$2:$H$41,MATCH(C1465,Customers!$A$2:$A$41,0))</f>
        <v>459</v>
      </c>
      <c r="M1465" s="16" t="n">
        <f aca="false">J1465*INDEX(Customers!$I$2:$I$41,MATCH(C1465,Customers!$A$2:$A$41,0))/365*Assumptions!$B$6</f>
        <v>281.729924383562</v>
      </c>
      <c r="N1465" s="16" t="n">
        <f aca="false">J1465-K1465-L1465-M1465</f>
        <v>20682.4830756164</v>
      </c>
      <c r="O1465" s="16" t="n">
        <f aca="false">F1465*IF(A1465="2025",INDEX(Products!$D$2:$D$13,MATCH(D1465,Products!$A$2:$A$13,0)),INDEX(Products!$F$2:$F$13,MATCH(D1465,Products!$A$2:$A$13,0)))</f>
        <v>13622.78</v>
      </c>
      <c r="P1465" s="16" t="n">
        <f aca="false">N1465-O1465</f>
        <v>7059.70307561644</v>
      </c>
    </row>
    <row r="1466" customFormat="false" ht="15" hidden="false" customHeight="false" outlineLevel="0" collapsed="false">
      <c r="A1466" s="2" t="s">
        <v>118</v>
      </c>
      <c r="B1466" s="2" t="n">
        <v>1</v>
      </c>
      <c r="C1466" s="2" t="s">
        <v>85</v>
      </c>
      <c r="D1466" s="2" t="s">
        <v>47</v>
      </c>
      <c r="E1466" s="2" t="str">
        <f aca="false">INDEX(Products!$B$2:$B$13,MATCH(D1466,Products!$A$2:$A$13,0))</f>
        <v>Specialty</v>
      </c>
      <c r="F1466" s="15" t="n">
        <v>3.1</v>
      </c>
      <c r="G1466" s="16" t="n">
        <f aca="false">IF(A1466="2025",INDEX(Products!$C$2:$C$13,MATCH(D1466,Products!$A$2:$A$13,0)),INDEX(Products!$E$2:$E$13,MATCH(D1466,Products!$A$2:$A$13,0)))</f>
        <v>30520</v>
      </c>
      <c r="H1466" s="13" t="n">
        <f aca="false">IF(A1466="2025",INDEX(Customers!$D$2:$D$41,MATCH(C1466,Customers!$A$2:$A$41,0)),INDEX(Customers!$F$2:$F$41,MATCH(C1466,Customers!$A$2:$A$41,0)))</f>
        <v>0.053</v>
      </c>
      <c r="I1466" s="16" t="n">
        <f aca="false">F1466*G1466</f>
        <v>94612</v>
      </c>
      <c r="J1466" s="16" t="n">
        <f aca="false">I1466*(1-H1466)</f>
        <v>89597.564</v>
      </c>
      <c r="K1466" s="16" t="n">
        <f aca="false">J1466*INDEX(Customers!$G$2:$G$41,MATCH(C1466,Customers!$A$2:$A$41,0))</f>
        <v>0</v>
      </c>
      <c r="L1466" s="16" t="n">
        <f aca="false">F1466*INDEX(Customers!$H$2:$H$41,MATCH(C1466,Customers!$A$2:$A$41,0))</f>
        <v>1023</v>
      </c>
      <c r="M1466" s="16" t="n">
        <f aca="false">J1466*INDEX(Customers!$I$2:$I$41,MATCH(C1466,Customers!$A$2:$A$41,0))/365*Assumptions!$B$6</f>
        <v>1178.26933479452</v>
      </c>
      <c r="N1466" s="16" t="n">
        <f aca="false">J1466-K1466-L1466-M1466</f>
        <v>87396.2946652055</v>
      </c>
      <c r="O1466" s="16" t="n">
        <f aca="false">F1466*IF(A1466="2025",INDEX(Products!$D$2:$D$13,MATCH(D1466,Products!$A$2:$A$13,0)),INDEX(Products!$F$2:$F$13,MATCH(D1466,Products!$A$2:$A$13,0)))</f>
        <v>47864</v>
      </c>
      <c r="P1466" s="16" t="n">
        <f aca="false">N1466-O1466</f>
        <v>39532.2946652055</v>
      </c>
    </row>
    <row r="1467" customFormat="false" ht="15" hidden="false" customHeight="false" outlineLevel="0" collapsed="false">
      <c r="A1467" s="2" t="s">
        <v>118</v>
      </c>
      <c r="B1467" s="2" t="n">
        <v>2</v>
      </c>
      <c r="C1467" s="2" t="s">
        <v>85</v>
      </c>
      <c r="D1467" s="2" t="s">
        <v>47</v>
      </c>
      <c r="E1467" s="2" t="str">
        <f aca="false">INDEX(Products!$B$2:$B$13,MATCH(D1467,Products!$A$2:$A$13,0))</f>
        <v>Specialty</v>
      </c>
      <c r="F1467" s="15" t="n">
        <v>2.6</v>
      </c>
      <c r="G1467" s="16" t="n">
        <f aca="false">IF(A1467="2025",INDEX(Products!$C$2:$C$13,MATCH(D1467,Products!$A$2:$A$13,0)),INDEX(Products!$E$2:$E$13,MATCH(D1467,Products!$A$2:$A$13,0)))</f>
        <v>30520</v>
      </c>
      <c r="H1467" s="13" t="n">
        <f aca="false">IF(A1467="2025",INDEX(Customers!$D$2:$D$41,MATCH(C1467,Customers!$A$2:$A$41,0)),INDEX(Customers!$F$2:$F$41,MATCH(C1467,Customers!$A$2:$A$41,0)))</f>
        <v>0.053</v>
      </c>
      <c r="I1467" s="16" t="n">
        <f aca="false">F1467*G1467</f>
        <v>79352</v>
      </c>
      <c r="J1467" s="16" t="n">
        <f aca="false">I1467*(1-H1467)</f>
        <v>75146.344</v>
      </c>
      <c r="K1467" s="16" t="n">
        <f aca="false">J1467*INDEX(Customers!$G$2:$G$41,MATCH(C1467,Customers!$A$2:$A$41,0))</f>
        <v>0</v>
      </c>
      <c r="L1467" s="16" t="n">
        <f aca="false">F1467*INDEX(Customers!$H$2:$H$41,MATCH(C1467,Customers!$A$2:$A$41,0))</f>
        <v>858</v>
      </c>
      <c r="M1467" s="16" t="n">
        <f aca="false">J1467*INDEX(Customers!$I$2:$I$41,MATCH(C1467,Customers!$A$2:$A$41,0))/365*Assumptions!$B$6</f>
        <v>988.22589369863</v>
      </c>
      <c r="N1467" s="16" t="n">
        <f aca="false">J1467-K1467-L1467-M1467</f>
        <v>73300.1181063014</v>
      </c>
      <c r="O1467" s="16" t="n">
        <f aca="false">F1467*IF(A1467="2025",INDEX(Products!$D$2:$D$13,MATCH(D1467,Products!$A$2:$A$13,0)),INDEX(Products!$F$2:$F$13,MATCH(D1467,Products!$A$2:$A$13,0)))</f>
        <v>40144</v>
      </c>
      <c r="P1467" s="16" t="n">
        <f aca="false">N1467-O1467</f>
        <v>33156.1181063014</v>
      </c>
    </row>
    <row r="1468" customFormat="false" ht="15" hidden="false" customHeight="false" outlineLevel="0" collapsed="false">
      <c r="A1468" s="2" t="s">
        <v>118</v>
      </c>
      <c r="B1468" s="2" t="n">
        <v>3</v>
      </c>
      <c r="C1468" s="2" t="s">
        <v>85</v>
      </c>
      <c r="D1468" s="2" t="s">
        <v>47</v>
      </c>
      <c r="E1468" s="2" t="str">
        <f aca="false">INDEX(Products!$B$2:$B$13,MATCH(D1468,Products!$A$2:$A$13,0))</f>
        <v>Specialty</v>
      </c>
      <c r="F1468" s="15" t="n">
        <v>1.9</v>
      </c>
      <c r="G1468" s="16" t="n">
        <f aca="false">IF(A1468="2025",INDEX(Products!$C$2:$C$13,MATCH(D1468,Products!$A$2:$A$13,0)),INDEX(Products!$E$2:$E$13,MATCH(D1468,Products!$A$2:$A$13,0)))</f>
        <v>30520</v>
      </c>
      <c r="H1468" s="13" t="n">
        <f aca="false">IF(A1468="2025",INDEX(Customers!$D$2:$D$41,MATCH(C1468,Customers!$A$2:$A$41,0)),INDEX(Customers!$F$2:$F$41,MATCH(C1468,Customers!$A$2:$A$41,0)))</f>
        <v>0.053</v>
      </c>
      <c r="I1468" s="16" t="n">
        <f aca="false">F1468*G1468</f>
        <v>57988</v>
      </c>
      <c r="J1468" s="16" t="n">
        <f aca="false">I1468*(1-H1468)</f>
        <v>54914.636</v>
      </c>
      <c r="K1468" s="16" t="n">
        <f aca="false">J1468*INDEX(Customers!$G$2:$G$41,MATCH(C1468,Customers!$A$2:$A$41,0))</f>
        <v>0</v>
      </c>
      <c r="L1468" s="16" t="n">
        <f aca="false">F1468*INDEX(Customers!$H$2:$H$41,MATCH(C1468,Customers!$A$2:$A$41,0))</f>
        <v>627</v>
      </c>
      <c r="M1468" s="16" t="n">
        <f aca="false">J1468*INDEX(Customers!$I$2:$I$41,MATCH(C1468,Customers!$A$2:$A$41,0))/365*Assumptions!$B$6</f>
        <v>722.165076164384</v>
      </c>
      <c r="N1468" s="16" t="n">
        <f aca="false">J1468-K1468-L1468-M1468</f>
        <v>53565.4709238356</v>
      </c>
      <c r="O1468" s="16" t="n">
        <f aca="false">F1468*IF(A1468="2025",INDEX(Products!$D$2:$D$13,MATCH(D1468,Products!$A$2:$A$13,0)),INDEX(Products!$F$2:$F$13,MATCH(D1468,Products!$A$2:$A$13,0)))</f>
        <v>29336</v>
      </c>
      <c r="P1468" s="16" t="n">
        <f aca="false">N1468-O1468</f>
        <v>24229.4709238356</v>
      </c>
    </row>
    <row r="1469" customFormat="false" ht="15" hidden="false" customHeight="false" outlineLevel="0" collapsed="false">
      <c r="A1469" s="2" t="s">
        <v>118</v>
      </c>
      <c r="B1469" s="2" t="n">
        <v>4</v>
      </c>
      <c r="C1469" s="2" t="s">
        <v>85</v>
      </c>
      <c r="D1469" s="2" t="s">
        <v>47</v>
      </c>
      <c r="E1469" s="2" t="str">
        <f aca="false">INDEX(Products!$B$2:$B$13,MATCH(D1469,Products!$A$2:$A$13,0))</f>
        <v>Specialty</v>
      </c>
      <c r="F1469" s="15" t="n">
        <v>2.9</v>
      </c>
      <c r="G1469" s="16" t="n">
        <f aca="false">IF(A1469="2025",INDEX(Products!$C$2:$C$13,MATCH(D1469,Products!$A$2:$A$13,0)),INDEX(Products!$E$2:$E$13,MATCH(D1469,Products!$A$2:$A$13,0)))</f>
        <v>30520</v>
      </c>
      <c r="H1469" s="13" t="n">
        <f aca="false">IF(A1469="2025",INDEX(Customers!$D$2:$D$41,MATCH(C1469,Customers!$A$2:$A$41,0)),INDEX(Customers!$F$2:$F$41,MATCH(C1469,Customers!$A$2:$A$41,0)))</f>
        <v>0.053</v>
      </c>
      <c r="I1469" s="16" t="n">
        <f aca="false">F1469*G1469</f>
        <v>88508</v>
      </c>
      <c r="J1469" s="16" t="n">
        <f aca="false">I1469*(1-H1469)</f>
        <v>83817.076</v>
      </c>
      <c r="K1469" s="16" t="n">
        <f aca="false">J1469*INDEX(Customers!$G$2:$G$41,MATCH(C1469,Customers!$A$2:$A$41,0))</f>
        <v>0</v>
      </c>
      <c r="L1469" s="16" t="n">
        <f aca="false">F1469*INDEX(Customers!$H$2:$H$41,MATCH(C1469,Customers!$A$2:$A$41,0))</f>
        <v>957</v>
      </c>
      <c r="M1469" s="16" t="n">
        <f aca="false">J1469*INDEX(Customers!$I$2:$I$41,MATCH(C1469,Customers!$A$2:$A$41,0))/365*Assumptions!$B$6</f>
        <v>1102.25195835616</v>
      </c>
      <c r="N1469" s="16" t="n">
        <f aca="false">J1469-K1469-L1469-M1469</f>
        <v>81757.8240416438</v>
      </c>
      <c r="O1469" s="16" t="n">
        <f aca="false">F1469*IF(A1469="2025",INDEX(Products!$D$2:$D$13,MATCH(D1469,Products!$A$2:$A$13,0)),INDEX(Products!$F$2:$F$13,MATCH(D1469,Products!$A$2:$A$13,0)))</f>
        <v>44776</v>
      </c>
      <c r="P1469" s="16" t="n">
        <f aca="false">N1469-O1469</f>
        <v>36981.8240416438</v>
      </c>
    </row>
    <row r="1470" customFormat="false" ht="15" hidden="false" customHeight="false" outlineLevel="0" collapsed="false">
      <c r="A1470" s="2" t="s">
        <v>118</v>
      </c>
      <c r="B1470" s="2" t="n">
        <v>5</v>
      </c>
      <c r="C1470" s="2" t="s">
        <v>85</v>
      </c>
      <c r="D1470" s="2" t="s">
        <v>47</v>
      </c>
      <c r="E1470" s="2" t="str">
        <f aca="false">INDEX(Products!$B$2:$B$13,MATCH(D1470,Products!$A$2:$A$13,0))</f>
        <v>Specialty</v>
      </c>
      <c r="F1470" s="15" t="n">
        <v>2.4</v>
      </c>
      <c r="G1470" s="16" t="n">
        <f aca="false">IF(A1470="2025",INDEX(Products!$C$2:$C$13,MATCH(D1470,Products!$A$2:$A$13,0)),INDEX(Products!$E$2:$E$13,MATCH(D1470,Products!$A$2:$A$13,0)))</f>
        <v>30520</v>
      </c>
      <c r="H1470" s="13" t="n">
        <f aca="false">IF(A1470="2025",INDEX(Customers!$D$2:$D$41,MATCH(C1470,Customers!$A$2:$A$41,0)),INDEX(Customers!$F$2:$F$41,MATCH(C1470,Customers!$A$2:$A$41,0)))</f>
        <v>0.053</v>
      </c>
      <c r="I1470" s="16" t="n">
        <f aca="false">F1470*G1470</f>
        <v>73248</v>
      </c>
      <c r="J1470" s="16" t="n">
        <f aca="false">I1470*(1-H1470)</f>
        <v>69365.856</v>
      </c>
      <c r="K1470" s="16" t="n">
        <f aca="false">J1470*INDEX(Customers!$G$2:$G$41,MATCH(C1470,Customers!$A$2:$A$41,0))</f>
        <v>0</v>
      </c>
      <c r="L1470" s="16" t="n">
        <f aca="false">F1470*INDEX(Customers!$H$2:$H$41,MATCH(C1470,Customers!$A$2:$A$41,0))</f>
        <v>792</v>
      </c>
      <c r="M1470" s="16" t="n">
        <f aca="false">J1470*INDEX(Customers!$I$2:$I$41,MATCH(C1470,Customers!$A$2:$A$41,0))/365*Assumptions!$B$6</f>
        <v>912.208517260274</v>
      </c>
      <c r="N1470" s="16" t="n">
        <f aca="false">J1470-K1470-L1470-M1470</f>
        <v>67661.6474827397</v>
      </c>
      <c r="O1470" s="16" t="n">
        <f aca="false">F1470*IF(A1470="2025",INDEX(Products!$D$2:$D$13,MATCH(D1470,Products!$A$2:$A$13,0)),INDEX(Products!$F$2:$F$13,MATCH(D1470,Products!$A$2:$A$13,0)))</f>
        <v>37056</v>
      </c>
      <c r="P1470" s="16" t="n">
        <f aca="false">N1470-O1470</f>
        <v>30605.6474827397</v>
      </c>
    </row>
    <row r="1471" customFormat="false" ht="15" hidden="false" customHeight="false" outlineLevel="0" collapsed="false">
      <c r="A1471" s="2" t="s">
        <v>118</v>
      </c>
      <c r="B1471" s="2" t="n">
        <v>6</v>
      </c>
      <c r="C1471" s="2" t="s">
        <v>85</v>
      </c>
      <c r="D1471" s="2" t="s">
        <v>47</v>
      </c>
      <c r="E1471" s="2" t="str">
        <f aca="false">INDEX(Products!$B$2:$B$13,MATCH(D1471,Products!$A$2:$A$13,0))</f>
        <v>Specialty</v>
      </c>
      <c r="F1471" s="15" t="n">
        <v>2.1</v>
      </c>
      <c r="G1471" s="16" t="n">
        <f aca="false">IF(A1471="2025",INDEX(Products!$C$2:$C$13,MATCH(D1471,Products!$A$2:$A$13,0)),INDEX(Products!$E$2:$E$13,MATCH(D1471,Products!$A$2:$A$13,0)))</f>
        <v>30520</v>
      </c>
      <c r="H1471" s="13" t="n">
        <f aca="false">IF(A1471="2025",INDEX(Customers!$D$2:$D$41,MATCH(C1471,Customers!$A$2:$A$41,0)),INDEX(Customers!$F$2:$F$41,MATCH(C1471,Customers!$A$2:$A$41,0)))</f>
        <v>0.053</v>
      </c>
      <c r="I1471" s="16" t="n">
        <f aca="false">F1471*G1471</f>
        <v>64092</v>
      </c>
      <c r="J1471" s="16" t="n">
        <f aca="false">I1471*(1-H1471)</f>
        <v>60695.124</v>
      </c>
      <c r="K1471" s="16" t="n">
        <f aca="false">J1471*INDEX(Customers!$G$2:$G$41,MATCH(C1471,Customers!$A$2:$A$41,0))</f>
        <v>0</v>
      </c>
      <c r="L1471" s="16" t="n">
        <f aca="false">F1471*INDEX(Customers!$H$2:$H$41,MATCH(C1471,Customers!$A$2:$A$41,0))</f>
        <v>693</v>
      </c>
      <c r="M1471" s="16" t="n">
        <f aca="false">J1471*INDEX(Customers!$I$2:$I$41,MATCH(C1471,Customers!$A$2:$A$41,0))/365*Assumptions!$B$6</f>
        <v>798.18245260274</v>
      </c>
      <c r="N1471" s="16" t="n">
        <f aca="false">J1471-K1471-L1471-M1471</f>
        <v>59203.9415473973</v>
      </c>
      <c r="O1471" s="16" t="n">
        <f aca="false">F1471*IF(A1471="2025",INDEX(Products!$D$2:$D$13,MATCH(D1471,Products!$A$2:$A$13,0)),INDEX(Products!$F$2:$F$13,MATCH(D1471,Products!$A$2:$A$13,0)))</f>
        <v>32424</v>
      </c>
      <c r="P1471" s="16" t="n">
        <f aca="false">N1471-O1471</f>
        <v>26779.9415473973</v>
      </c>
    </row>
    <row r="1472" customFormat="false" ht="15" hidden="false" customHeight="false" outlineLevel="0" collapsed="false">
      <c r="A1472" s="2" t="s">
        <v>118</v>
      </c>
      <c r="B1472" s="2" t="n">
        <v>7</v>
      </c>
      <c r="C1472" s="2" t="s">
        <v>85</v>
      </c>
      <c r="D1472" s="2" t="s">
        <v>47</v>
      </c>
      <c r="E1472" s="2" t="str">
        <f aca="false">INDEX(Products!$B$2:$B$13,MATCH(D1472,Products!$A$2:$A$13,0))</f>
        <v>Specialty</v>
      </c>
      <c r="F1472" s="15" t="n">
        <v>3</v>
      </c>
      <c r="G1472" s="16" t="n">
        <f aca="false">IF(A1472="2025",INDEX(Products!$C$2:$C$13,MATCH(D1472,Products!$A$2:$A$13,0)),INDEX(Products!$E$2:$E$13,MATCH(D1472,Products!$A$2:$A$13,0)))</f>
        <v>30520</v>
      </c>
      <c r="H1472" s="13" t="n">
        <f aca="false">IF(A1472="2025",INDEX(Customers!$D$2:$D$41,MATCH(C1472,Customers!$A$2:$A$41,0)),INDEX(Customers!$F$2:$F$41,MATCH(C1472,Customers!$A$2:$A$41,0)))</f>
        <v>0.053</v>
      </c>
      <c r="I1472" s="16" t="n">
        <f aca="false">F1472*G1472</f>
        <v>91560</v>
      </c>
      <c r="J1472" s="16" t="n">
        <f aca="false">I1472*(1-H1472)</f>
        <v>86707.32</v>
      </c>
      <c r="K1472" s="16" t="n">
        <f aca="false">J1472*INDEX(Customers!$G$2:$G$41,MATCH(C1472,Customers!$A$2:$A$41,0))</f>
        <v>0</v>
      </c>
      <c r="L1472" s="16" t="n">
        <f aca="false">F1472*INDEX(Customers!$H$2:$H$41,MATCH(C1472,Customers!$A$2:$A$41,0))</f>
        <v>990</v>
      </c>
      <c r="M1472" s="16" t="n">
        <f aca="false">J1472*INDEX(Customers!$I$2:$I$41,MATCH(C1472,Customers!$A$2:$A$41,0))/365*Assumptions!$B$6</f>
        <v>1140.26064657534</v>
      </c>
      <c r="N1472" s="16" t="n">
        <f aca="false">J1472-K1472-L1472-M1472</f>
        <v>84577.0593534246</v>
      </c>
      <c r="O1472" s="16" t="n">
        <f aca="false">F1472*IF(A1472="2025",INDEX(Products!$D$2:$D$13,MATCH(D1472,Products!$A$2:$A$13,0)),INDEX(Products!$F$2:$F$13,MATCH(D1472,Products!$A$2:$A$13,0)))</f>
        <v>46320</v>
      </c>
      <c r="P1472" s="16" t="n">
        <f aca="false">N1472-O1472</f>
        <v>38257.0593534246</v>
      </c>
    </row>
    <row r="1473" customFormat="false" ht="15" hidden="false" customHeight="false" outlineLevel="0" collapsed="false">
      <c r="A1473" s="2" t="s">
        <v>118</v>
      </c>
      <c r="B1473" s="2" t="n">
        <v>8</v>
      </c>
      <c r="C1473" s="2" t="s">
        <v>85</v>
      </c>
      <c r="D1473" s="2" t="s">
        <v>47</v>
      </c>
      <c r="E1473" s="2" t="str">
        <f aca="false">INDEX(Products!$B$2:$B$13,MATCH(D1473,Products!$A$2:$A$13,0))</f>
        <v>Specialty</v>
      </c>
      <c r="F1473" s="15" t="n">
        <v>2.9</v>
      </c>
      <c r="G1473" s="16" t="n">
        <f aca="false">IF(A1473="2025",INDEX(Products!$C$2:$C$13,MATCH(D1473,Products!$A$2:$A$13,0)),INDEX(Products!$E$2:$E$13,MATCH(D1473,Products!$A$2:$A$13,0)))</f>
        <v>30520</v>
      </c>
      <c r="H1473" s="13" t="n">
        <f aca="false">IF(A1473="2025",INDEX(Customers!$D$2:$D$41,MATCH(C1473,Customers!$A$2:$A$41,0)),INDEX(Customers!$F$2:$F$41,MATCH(C1473,Customers!$A$2:$A$41,0)))</f>
        <v>0.053</v>
      </c>
      <c r="I1473" s="16" t="n">
        <f aca="false">F1473*G1473</f>
        <v>88508</v>
      </c>
      <c r="J1473" s="16" t="n">
        <f aca="false">I1473*(1-H1473)</f>
        <v>83817.076</v>
      </c>
      <c r="K1473" s="16" t="n">
        <f aca="false">J1473*INDEX(Customers!$G$2:$G$41,MATCH(C1473,Customers!$A$2:$A$41,0))</f>
        <v>0</v>
      </c>
      <c r="L1473" s="16" t="n">
        <f aca="false">F1473*INDEX(Customers!$H$2:$H$41,MATCH(C1473,Customers!$A$2:$A$41,0))</f>
        <v>957</v>
      </c>
      <c r="M1473" s="16" t="n">
        <f aca="false">J1473*INDEX(Customers!$I$2:$I$41,MATCH(C1473,Customers!$A$2:$A$41,0))/365*Assumptions!$B$6</f>
        <v>1102.25195835616</v>
      </c>
      <c r="N1473" s="16" t="n">
        <f aca="false">J1473-K1473-L1473-M1473</f>
        <v>81757.8240416438</v>
      </c>
      <c r="O1473" s="16" t="n">
        <f aca="false">F1473*IF(A1473="2025",INDEX(Products!$D$2:$D$13,MATCH(D1473,Products!$A$2:$A$13,0)),INDEX(Products!$F$2:$F$13,MATCH(D1473,Products!$A$2:$A$13,0)))</f>
        <v>44776</v>
      </c>
      <c r="P1473" s="16" t="n">
        <f aca="false">N1473-O1473</f>
        <v>36981.8240416438</v>
      </c>
    </row>
    <row r="1474" customFormat="false" ht="15" hidden="false" customHeight="false" outlineLevel="0" collapsed="false">
      <c r="A1474" s="2" t="s">
        <v>118</v>
      </c>
      <c r="B1474" s="2" t="n">
        <v>9</v>
      </c>
      <c r="C1474" s="2" t="s">
        <v>85</v>
      </c>
      <c r="D1474" s="2" t="s">
        <v>47</v>
      </c>
      <c r="E1474" s="2" t="str">
        <f aca="false">INDEX(Products!$B$2:$B$13,MATCH(D1474,Products!$A$2:$A$13,0))</f>
        <v>Specialty</v>
      </c>
      <c r="F1474" s="15" t="n">
        <v>2.3</v>
      </c>
      <c r="G1474" s="16" t="n">
        <f aca="false">IF(A1474="2025",INDEX(Products!$C$2:$C$13,MATCH(D1474,Products!$A$2:$A$13,0)),INDEX(Products!$E$2:$E$13,MATCH(D1474,Products!$A$2:$A$13,0)))</f>
        <v>30520</v>
      </c>
      <c r="H1474" s="13" t="n">
        <f aca="false">IF(A1474="2025",INDEX(Customers!$D$2:$D$41,MATCH(C1474,Customers!$A$2:$A$41,0)),INDEX(Customers!$F$2:$F$41,MATCH(C1474,Customers!$A$2:$A$41,0)))</f>
        <v>0.053</v>
      </c>
      <c r="I1474" s="16" t="n">
        <f aca="false">F1474*G1474</f>
        <v>70196</v>
      </c>
      <c r="J1474" s="16" t="n">
        <f aca="false">I1474*(1-H1474)</f>
        <v>66475.612</v>
      </c>
      <c r="K1474" s="16" t="n">
        <f aca="false">J1474*INDEX(Customers!$G$2:$G$41,MATCH(C1474,Customers!$A$2:$A$41,0))</f>
        <v>0</v>
      </c>
      <c r="L1474" s="16" t="n">
        <f aca="false">F1474*INDEX(Customers!$H$2:$H$41,MATCH(C1474,Customers!$A$2:$A$41,0))</f>
        <v>759</v>
      </c>
      <c r="M1474" s="16" t="n">
        <f aca="false">J1474*INDEX(Customers!$I$2:$I$41,MATCH(C1474,Customers!$A$2:$A$41,0))/365*Assumptions!$B$6</f>
        <v>874.199829041096</v>
      </c>
      <c r="N1474" s="16" t="n">
        <f aca="false">J1474-K1474-L1474-M1474</f>
        <v>64842.4121709589</v>
      </c>
      <c r="O1474" s="16" t="n">
        <f aca="false">F1474*IF(A1474="2025",INDEX(Products!$D$2:$D$13,MATCH(D1474,Products!$A$2:$A$13,0)),INDEX(Products!$F$2:$F$13,MATCH(D1474,Products!$A$2:$A$13,0)))</f>
        <v>35512</v>
      </c>
      <c r="P1474" s="16" t="n">
        <f aca="false">N1474-O1474</f>
        <v>29330.4121709589</v>
      </c>
    </row>
    <row r="1475" customFormat="false" ht="15" hidden="false" customHeight="false" outlineLevel="0" collapsed="false">
      <c r="A1475" s="2" t="s">
        <v>118</v>
      </c>
      <c r="B1475" s="2" t="n">
        <v>10</v>
      </c>
      <c r="C1475" s="2" t="s">
        <v>85</v>
      </c>
      <c r="D1475" s="2" t="s">
        <v>47</v>
      </c>
      <c r="E1475" s="2" t="str">
        <f aca="false">INDEX(Products!$B$2:$B$13,MATCH(D1475,Products!$A$2:$A$13,0))</f>
        <v>Specialty</v>
      </c>
      <c r="F1475" s="15" t="n">
        <v>2</v>
      </c>
      <c r="G1475" s="16" t="n">
        <f aca="false">IF(A1475="2025",INDEX(Products!$C$2:$C$13,MATCH(D1475,Products!$A$2:$A$13,0)),INDEX(Products!$E$2:$E$13,MATCH(D1475,Products!$A$2:$A$13,0)))</f>
        <v>30520</v>
      </c>
      <c r="H1475" s="13" t="n">
        <f aca="false">IF(A1475="2025",INDEX(Customers!$D$2:$D$41,MATCH(C1475,Customers!$A$2:$A$41,0)),INDEX(Customers!$F$2:$F$41,MATCH(C1475,Customers!$A$2:$A$41,0)))</f>
        <v>0.053</v>
      </c>
      <c r="I1475" s="16" t="n">
        <f aca="false">F1475*G1475</f>
        <v>61040</v>
      </c>
      <c r="J1475" s="16" t="n">
        <f aca="false">I1475*(1-H1475)</f>
        <v>57804.88</v>
      </c>
      <c r="K1475" s="16" t="n">
        <f aca="false">J1475*INDEX(Customers!$G$2:$G$41,MATCH(C1475,Customers!$A$2:$A$41,0))</f>
        <v>0</v>
      </c>
      <c r="L1475" s="16" t="n">
        <f aca="false">F1475*INDEX(Customers!$H$2:$H$41,MATCH(C1475,Customers!$A$2:$A$41,0))</f>
        <v>660</v>
      </c>
      <c r="M1475" s="16" t="n">
        <f aca="false">J1475*INDEX(Customers!$I$2:$I$41,MATCH(C1475,Customers!$A$2:$A$41,0))/365*Assumptions!$B$6</f>
        <v>760.173764383562</v>
      </c>
      <c r="N1475" s="16" t="n">
        <f aca="false">J1475-K1475-L1475-M1475</f>
        <v>56384.7062356164</v>
      </c>
      <c r="O1475" s="16" t="n">
        <f aca="false">F1475*IF(A1475="2025",INDEX(Products!$D$2:$D$13,MATCH(D1475,Products!$A$2:$A$13,0)),INDEX(Products!$F$2:$F$13,MATCH(D1475,Products!$A$2:$A$13,0)))</f>
        <v>30880</v>
      </c>
      <c r="P1475" s="16" t="n">
        <f aca="false">N1475-O1475</f>
        <v>25504.7062356164</v>
      </c>
    </row>
    <row r="1476" customFormat="false" ht="15" hidden="false" customHeight="false" outlineLevel="0" collapsed="false">
      <c r="A1476" s="2" t="s">
        <v>118</v>
      </c>
      <c r="B1476" s="2" t="n">
        <v>11</v>
      </c>
      <c r="C1476" s="2" t="s">
        <v>85</v>
      </c>
      <c r="D1476" s="2" t="s">
        <v>47</v>
      </c>
      <c r="E1476" s="2" t="str">
        <f aca="false">INDEX(Products!$B$2:$B$13,MATCH(D1476,Products!$A$2:$A$13,0))</f>
        <v>Specialty</v>
      </c>
      <c r="F1476" s="15" t="n">
        <v>3.3</v>
      </c>
      <c r="G1476" s="16" t="n">
        <f aca="false">IF(A1476="2025",INDEX(Products!$C$2:$C$13,MATCH(D1476,Products!$A$2:$A$13,0)),INDEX(Products!$E$2:$E$13,MATCH(D1476,Products!$A$2:$A$13,0)))</f>
        <v>30520</v>
      </c>
      <c r="H1476" s="13" t="n">
        <f aca="false">IF(A1476="2025",INDEX(Customers!$D$2:$D$41,MATCH(C1476,Customers!$A$2:$A$41,0)),INDEX(Customers!$F$2:$F$41,MATCH(C1476,Customers!$A$2:$A$41,0)))</f>
        <v>0.053</v>
      </c>
      <c r="I1476" s="16" t="n">
        <f aca="false">F1476*G1476</f>
        <v>100716</v>
      </c>
      <c r="J1476" s="16" t="n">
        <f aca="false">I1476*(1-H1476)</f>
        <v>95378.052</v>
      </c>
      <c r="K1476" s="16" t="n">
        <f aca="false">J1476*INDEX(Customers!$G$2:$G$41,MATCH(C1476,Customers!$A$2:$A$41,0))</f>
        <v>0</v>
      </c>
      <c r="L1476" s="16" t="n">
        <f aca="false">F1476*INDEX(Customers!$H$2:$H$41,MATCH(C1476,Customers!$A$2:$A$41,0))</f>
        <v>1089</v>
      </c>
      <c r="M1476" s="16" t="n">
        <f aca="false">J1476*INDEX(Customers!$I$2:$I$41,MATCH(C1476,Customers!$A$2:$A$41,0))/365*Assumptions!$B$6</f>
        <v>1254.28671123288</v>
      </c>
      <c r="N1476" s="16" t="n">
        <f aca="false">J1476-K1476-L1476-M1476</f>
        <v>93034.7652887671</v>
      </c>
      <c r="O1476" s="16" t="n">
        <f aca="false">F1476*IF(A1476="2025",INDEX(Products!$D$2:$D$13,MATCH(D1476,Products!$A$2:$A$13,0)),INDEX(Products!$F$2:$F$13,MATCH(D1476,Products!$A$2:$A$13,0)))</f>
        <v>50952</v>
      </c>
      <c r="P1476" s="16" t="n">
        <f aca="false">N1476-O1476</f>
        <v>42082.7652887671</v>
      </c>
    </row>
    <row r="1477" customFormat="false" ht="15" hidden="false" customHeight="false" outlineLevel="0" collapsed="false">
      <c r="A1477" s="2" t="s">
        <v>118</v>
      </c>
      <c r="B1477" s="2" t="n">
        <v>12</v>
      </c>
      <c r="C1477" s="2" t="s">
        <v>85</v>
      </c>
      <c r="D1477" s="2" t="s">
        <v>47</v>
      </c>
      <c r="E1477" s="2" t="str">
        <f aca="false">INDEX(Products!$B$2:$B$13,MATCH(D1477,Products!$A$2:$A$13,0))</f>
        <v>Specialty</v>
      </c>
      <c r="F1477" s="15" t="n">
        <v>3.1</v>
      </c>
      <c r="G1477" s="16" t="n">
        <f aca="false">IF(A1477="2025",INDEX(Products!$C$2:$C$13,MATCH(D1477,Products!$A$2:$A$13,0)),INDEX(Products!$E$2:$E$13,MATCH(D1477,Products!$A$2:$A$13,0)))</f>
        <v>30520</v>
      </c>
      <c r="H1477" s="13" t="n">
        <f aca="false">IF(A1477="2025",INDEX(Customers!$D$2:$D$41,MATCH(C1477,Customers!$A$2:$A$41,0)),INDEX(Customers!$F$2:$F$41,MATCH(C1477,Customers!$A$2:$A$41,0)))</f>
        <v>0.053</v>
      </c>
      <c r="I1477" s="16" t="n">
        <f aca="false">F1477*G1477</f>
        <v>94612</v>
      </c>
      <c r="J1477" s="16" t="n">
        <f aca="false">I1477*(1-H1477)</f>
        <v>89597.564</v>
      </c>
      <c r="K1477" s="16" t="n">
        <f aca="false">J1477*INDEX(Customers!$G$2:$G$41,MATCH(C1477,Customers!$A$2:$A$41,0))</f>
        <v>0</v>
      </c>
      <c r="L1477" s="16" t="n">
        <f aca="false">F1477*INDEX(Customers!$H$2:$H$41,MATCH(C1477,Customers!$A$2:$A$41,0))</f>
        <v>1023</v>
      </c>
      <c r="M1477" s="16" t="n">
        <f aca="false">J1477*INDEX(Customers!$I$2:$I$41,MATCH(C1477,Customers!$A$2:$A$41,0))/365*Assumptions!$B$6</f>
        <v>1178.26933479452</v>
      </c>
      <c r="N1477" s="16" t="n">
        <f aca="false">J1477-K1477-L1477-M1477</f>
        <v>87396.2946652055</v>
      </c>
      <c r="O1477" s="16" t="n">
        <f aca="false">F1477*IF(A1477="2025",INDEX(Products!$D$2:$D$13,MATCH(D1477,Products!$A$2:$A$13,0)),INDEX(Products!$F$2:$F$13,MATCH(D1477,Products!$A$2:$A$13,0)))</f>
        <v>47864</v>
      </c>
      <c r="P1477" s="16" t="n">
        <f aca="false">N1477-O1477</f>
        <v>39532.2946652055</v>
      </c>
    </row>
    <row r="1478" customFormat="false" ht="15" hidden="false" customHeight="false" outlineLevel="0" collapsed="false">
      <c r="A1478" s="2" t="s">
        <v>119</v>
      </c>
      <c r="B1478" s="2" t="n">
        <v>1</v>
      </c>
      <c r="C1478" s="2" t="s">
        <v>85</v>
      </c>
      <c r="D1478" s="2" t="s">
        <v>47</v>
      </c>
      <c r="E1478" s="2" t="str">
        <f aca="false">INDEX(Products!$B$2:$B$13,MATCH(D1478,Products!$A$2:$A$13,0))</f>
        <v>Specialty</v>
      </c>
      <c r="F1478" s="15" t="n">
        <v>2.5</v>
      </c>
      <c r="G1478" s="16" t="n">
        <f aca="false">IF(A1478="2025",INDEX(Products!$C$2:$C$13,MATCH(D1478,Products!$A$2:$A$13,0)),INDEX(Products!$E$2:$E$13,MATCH(D1478,Products!$A$2:$A$13,0)))</f>
        <v>32046</v>
      </c>
      <c r="H1478" s="13" t="n">
        <f aca="false">IF(A1478="2025",INDEX(Customers!$D$2:$D$41,MATCH(C1478,Customers!$A$2:$A$41,0)),INDEX(Customers!$F$2:$F$41,MATCH(C1478,Customers!$A$2:$A$41,0)))</f>
        <v>0.053</v>
      </c>
      <c r="I1478" s="16" t="n">
        <f aca="false">F1478*G1478</f>
        <v>80115</v>
      </c>
      <c r="J1478" s="16" t="n">
        <f aca="false">I1478*(1-H1478)</f>
        <v>75868.905</v>
      </c>
      <c r="K1478" s="16" t="n">
        <f aca="false">J1478*INDEX(Customers!$G$2:$G$41,MATCH(C1478,Customers!$A$2:$A$41,0))</f>
        <v>0</v>
      </c>
      <c r="L1478" s="16" t="n">
        <f aca="false">F1478*INDEX(Customers!$H$2:$H$41,MATCH(C1478,Customers!$A$2:$A$41,0))</f>
        <v>825</v>
      </c>
      <c r="M1478" s="16" t="n">
        <f aca="false">J1478*INDEX(Customers!$I$2:$I$41,MATCH(C1478,Customers!$A$2:$A$41,0))/365*Assumptions!$B$6</f>
        <v>997.728065753425</v>
      </c>
      <c r="N1478" s="16" t="n">
        <f aca="false">J1478-K1478-L1478-M1478</f>
        <v>74046.1769342466</v>
      </c>
      <c r="O1478" s="16" t="n">
        <f aca="false">F1478*IF(A1478="2025",INDEX(Products!$D$2:$D$13,MATCH(D1478,Products!$A$2:$A$13,0)),INDEX(Products!$F$2:$F$13,MATCH(D1478,Products!$A$2:$A$13,0)))</f>
        <v>39758</v>
      </c>
      <c r="P1478" s="16" t="n">
        <f aca="false">N1478-O1478</f>
        <v>34288.1769342466</v>
      </c>
    </row>
    <row r="1479" customFormat="false" ht="15" hidden="false" customHeight="false" outlineLevel="0" collapsed="false">
      <c r="A1479" s="2" t="s">
        <v>119</v>
      </c>
      <c r="B1479" s="2" t="n">
        <v>2</v>
      </c>
      <c r="C1479" s="2" t="s">
        <v>85</v>
      </c>
      <c r="D1479" s="2" t="s">
        <v>47</v>
      </c>
      <c r="E1479" s="2" t="str">
        <f aca="false">INDEX(Products!$B$2:$B$13,MATCH(D1479,Products!$A$2:$A$13,0))</f>
        <v>Specialty</v>
      </c>
      <c r="F1479" s="15" t="n">
        <v>3.7</v>
      </c>
      <c r="G1479" s="16" t="n">
        <f aca="false">IF(A1479="2025",INDEX(Products!$C$2:$C$13,MATCH(D1479,Products!$A$2:$A$13,0)),INDEX(Products!$E$2:$E$13,MATCH(D1479,Products!$A$2:$A$13,0)))</f>
        <v>32046</v>
      </c>
      <c r="H1479" s="13" t="n">
        <f aca="false">IF(A1479="2025",INDEX(Customers!$D$2:$D$41,MATCH(C1479,Customers!$A$2:$A$41,0)),INDEX(Customers!$F$2:$F$41,MATCH(C1479,Customers!$A$2:$A$41,0)))</f>
        <v>0.053</v>
      </c>
      <c r="I1479" s="16" t="n">
        <f aca="false">F1479*G1479</f>
        <v>118570.2</v>
      </c>
      <c r="J1479" s="16" t="n">
        <f aca="false">I1479*(1-H1479)</f>
        <v>112285.9794</v>
      </c>
      <c r="K1479" s="16" t="n">
        <f aca="false">J1479*INDEX(Customers!$G$2:$G$41,MATCH(C1479,Customers!$A$2:$A$41,0))</f>
        <v>0</v>
      </c>
      <c r="L1479" s="16" t="n">
        <f aca="false">F1479*INDEX(Customers!$H$2:$H$41,MATCH(C1479,Customers!$A$2:$A$41,0))</f>
        <v>1221</v>
      </c>
      <c r="M1479" s="16" t="n">
        <f aca="false">J1479*INDEX(Customers!$I$2:$I$41,MATCH(C1479,Customers!$A$2:$A$41,0))/365*Assumptions!$B$6</f>
        <v>1476.63753731507</v>
      </c>
      <c r="N1479" s="16" t="n">
        <f aca="false">J1479-K1479-L1479-M1479</f>
        <v>109588.341862685</v>
      </c>
      <c r="O1479" s="16" t="n">
        <f aca="false">F1479*IF(A1479="2025",INDEX(Products!$D$2:$D$13,MATCH(D1479,Products!$A$2:$A$13,0)),INDEX(Products!$F$2:$F$13,MATCH(D1479,Products!$A$2:$A$13,0)))</f>
        <v>58841.84</v>
      </c>
      <c r="P1479" s="16" t="n">
        <f aca="false">N1479-O1479</f>
        <v>50746.5018626849</v>
      </c>
    </row>
    <row r="1480" customFormat="false" ht="15" hidden="false" customHeight="false" outlineLevel="0" collapsed="false">
      <c r="A1480" s="2" t="s">
        <v>119</v>
      </c>
      <c r="B1480" s="2" t="n">
        <v>3</v>
      </c>
      <c r="C1480" s="2" t="s">
        <v>85</v>
      </c>
      <c r="D1480" s="2" t="s">
        <v>47</v>
      </c>
      <c r="E1480" s="2" t="str">
        <f aca="false">INDEX(Products!$B$2:$B$13,MATCH(D1480,Products!$A$2:$A$13,0))</f>
        <v>Specialty</v>
      </c>
      <c r="F1480" s="15" t="n">
        <v>3</v>
      </c>
      <c r="G1480" s="16" t="n">
        <f aca="false">IF(A1480="2025",INDEX(Products!$C$2:$C$13,MATCH(D1480,Products!$A$2:$A$13,0)),INDEX(Products!$E$2:$E$13,MATCH(D1480,Products!$A$2:$A$13,0)))</f>
        <v>32046</v>
      </c>
      <c r="H1480" s="13" t="n">
        <f aca="false">IF(A1480="2025",INDEX(Customers!$D$2:$D$41,MATCH(C1480,Customers!$A$2:$A$41,0)),INDEX(Customers!$F$2:$F$41,MATCH(C1480,Customers!$A$2:$A$41,0)))</f>
        <v>0.053</v>
      </c>
      <c r="I1480" s="16" t="n">
        <f aca="false">F1480*G1480</f>
        <v>96138</v>
      </c>
      <c r="J1480" s="16" t="n">
        <f aca="false">I1480*(1-H1480)</f>
        <v>91042.686</v>
      </c>
      <c r="K1480" s="16" t="n">
        <f aca="false">J1480*INDEX(Customers!$G$2:$G$41,MATCH(C1480,Customers!$A$2:$A$41,0))</f>
        <v>0</v>
      </c>
      <c r="L1480" s="16" t="n">
        <f aca="false">F1480*INDEX(Customers!$H$2:$H$41,MATCH(C1480,Customers!$A$2:$A$41,0))</f>
        <v>990</v>
      </c>
      <c r="M1480" s="16" t="n">
        <f aca="false">J1480*INDEX(Customers!$I$2:$I$41,MATCH(C1480,Customers!$A$2:$A$41,0))/365*Assumptions!$B$6</f>
        <v>1197.27367890411</v>
      </c>
      <c r="N1480" s="16" t="n">
        <f aca="false">J1480-K1480-L1480-M1480</f>
        <v>88855.4123210959</v>
      </c>
      <c r="O1480" s="16" t="n">
        <f aca="false">F1480*IF(A1480="2025",INDEX(Products!$D$2:$D$13,MATCH(D1480,Products!$A$2:$A$13,0)),INDEX(Products!$F$2:$F$13,MATCH(D1480,Products!$A$2:$A$13,0)))</f>
        <v>47709.6</v>
      </c>
      <c r="P1480" s="16" t="n">
        <f aca="false">N1480-O1480</f>
        <v>41145.8123210959</v>
      </c>
    </row>
    <row r="1481" customFormat="false" ht="15" hidden="false" customHeight="false" outlineLevel="0" collapsed="false">
      <c r="A1481" s="2" t="s">
        <v>119</v>
      </c>
      <c r="B1481" s="2" t="n">
        <v>4</v>
      </c>
      <c r="C1481" s="2" t="s">
        <v>85</v>
      </c>
      <c r="D1481" s="2" t="s">
        <v>47</v>
      </c>
      <c r="E1481" s="2" t="str">
        <f aca="false">INDEX(Products!$B$2:$B$13,MATCH(D1481,Products!$A$2:$A$13,0))</f>
        <v>Specialty</v>
      </c>
      <c r="F1481" s="15" t="n">
        <v>3.7</v>
      </c>
      <c r="G1481" s="16" t="n">
        <f aca="false">IF(A1481="2025",INDEX(Products!$C$2:$C$13,MATCH(D1481,Products!$A$2:$A$13,0)),INDEX(Products!$E$2:$E$13,MATCH(D1481,Products!$A$2:$A$13,0)))</f>
        <v>32046</v>
      </c>
      <c r="H1481" s="13" t="n">
        <f aca="false">IF(A1481="2025",INDEX(Customers!$D$2:$D$41,MATCH(C1481,Customers!$A$2:$A$41,0)),INDEX(Customers!$F$2:$F$41,MATCH(C1481,Customers!$A$2:$A$41,0)))</f>
        <v>0.053</v>
      </c>
      <c r="I1481" s="16" t="n">
        <f aca="false">F1481*G1481</f>
        <v>118570.2</v>
      </c>
      <c r="J1481" s="16" t="n">
        <f aca="false">I1481*(1-H1481)</f>
        <v>112285.9794</v>
      </c>
      <c r="K1481" s="16" t="n">
        <f aca="false">J1481*INDEX(Customers!$G$2:$G$41,MATCH(C1481,Customers!$A$2:$A$41,0))</f>
        <v>0</v>
      </c>
      <c r="L1481" s="16" t="n">
        <f aca="false">F1481*INDEX(Customers!$H$2:$H$41,MATCH(C1481,Customers!$A$2:$A$41,0))</f>
        <v>1221</v>
      </c>
      <c r="M1481" s="16" t="n">
        <f aca="false">J1481*INDEX(Customers!$I$2:$I$41,MATCH(C1481,Customers!$A$2:$A$41,0))/365*Assumptions!$B$6</f>
        <v>1476.63753731507</v>
      </c>
      <c r="N1481" s="16" t="n">
        <f aca="false">J1481-K1481-L1481-M1481</f>
        <v>109588.341862685</v>
      </c>
      <c r="O1481" s="16" t="n">
        <f aca="false">F1481*IF(A1481="2025",INDEX(Products!$D$2:$D$13,MATCH(D1481,Products!$A$2:$A$13,0)),INDEX(Products!$F$2:$F$13,MATCH(D1481,Products!$A$2:$A$13,0)))</f>
        <v>58841.84</v>
      </c>
      <c r="P1481" s="16" t="n">
        <f aca="false">N1481-O1481</f>
        <v>50746.5018626849</v>
      </c>
    </row>
    <row r="1482" customFormat="false" ht="15" hidden="false" customHeight="false" outlineLevel="0" collapsed="false">
      <c r="A1482" s="2" t="s">
        <v>119</v>
      </c>
      <c r="B1482" s="2" t="n">
        <v>5</v>
      </c>
      <c r="C1482" s="2" t="s">
        <v>85</v>
      </c>
      <c r="D1482" s="2" t="s">
        <v>47</v>
      </c>
      <c r="E1482" s="2" t="str">
        <f aca="false">INDEX(Products!$B$2:$B$13,MATCH(D1482,Products!$A$2:$A$13,0))</f>
        <v>Specialty</v>
      </c>
      <c r="F1482" s="15" t="n">
        <v>3.9</v>
      </c>
      <c r="G1482" s="16" t="n">
        <f aca="false">IF(A1482="2025",INDEX(Products!$C$2:$C$13,MATCH(D1482,Products!$A$2:$A$13,0)),INDEX(Products!$E$2:$E$13,MATCH(D1482,Products!$A$2:$A$13,0)))</f>
        <v>32046</v>
      </c>
      <c r="H1482" s="13" t="n">
        <f aca="false">IF(A1482="2025",INDEX(Customers!$D$2:$D$41,MATCH(C1482,Customers!$A$2:$A$41,0)),INDEX(Customers!$F$2:$F$41,MATCH(C1482,Customers!$A$2:$A$41,0)))</f>
        <v>0.053</v>
      </c>
      <c r="I1482" s="16" t="n">
        <f aca="false">F1482*G1482</f>
        <v>124979.4</v>
      </c>
      <c r="J1482" s="16" t="n">
        <f aca="false">I1482*(1-H1482)</f>
        <v>118355.4918</v>
      </c>
      <c r="K1482" s="16" t="n">
        <f aca="false">J1482*INDEX(Customers!$G$2:$G$41,MATCH(C1482,Customers!$A$2:$A$41,0))</f>
        <v>0</v>
      </c>
      <c r="L1482" s="16" t="n">
        <f aca="false">F1482*INDEX(Customers!$H$2:$H$41,MATCH(C1482,Customers!$A$2:$A$41,0))</f>
        <v>1287</v>
      </c>
      <c r="M1482" s="16" t="n">
        <f aca="false">J1482*INDEX(Customers!$I$2:$I$41,MATCH(C1482,Customers!$A$2:$A$41,0))/365*Assumptions!$B$6</f>
        <v>1556.45578257534</v>
      </c>
      <c r="N1482" s="16" t="n">
        <f aca="false">J1482-K1482-L1482-M1482</f>
        <v>115512.036017425</v>
      </c>
      <c r="O1482" s="16" t="n">
        <f aca="false">F1482*IF(A1482="2025",INDEX(Products!$D$2:$D$13,MATCH(D1482,Products!$A$2:$A$13,0)),INDEX(Products!$F$2:$F$13,MATCH(D1482,Products!$A$2:$A$13,0)))</f>
        <v>62022.48</v>
      </c>
      <c r="P1482" s="16" t="n">
        <f aca="false">N1482-O1482</f>
        <v>53489.5560174246</v>
      </c>
    </row>
    <row r="1483" customFormat="false" ht="15" hidden="false" customHeight="false" outlineLevel="0" collapsed="false">
      <c r="A1483" s="2" t="s">
        <v>119</v>
      </c>
      <c r="B1483" s="2" t="n">
        <v>6</v>
      </c>
      <c r="C1483" s="2" t="s">
        <v>85</v>
      </c>
      <c r="D1483" s="2" t="s">
        <v>47</v>
      </c>
      <c r="E1483" s="2" t="str">
        <f aca="false">INDEX(Products!$B$2:$B$13,MATCH(D1483,Products!$A$2:$A$13,0))</f>
        <v>Specialty</v>
      </c>
      <c r="F1483" s="15" t="n">
        <v>2.5</v>
      </c>
      <c r="G1483" s="16" t="n">
        <f aca="false">IF(A1483="2025",INDEX(Products!$C$2:$C$13,MATCH(D1483,Products!$A$2:$A$13,0)),INDEX(Products!$E$2:$E$13,MATCH(D1483,Products!$A$2:$A$13,0)))</f>
        <v>32046</v>
      </c>
      <c r="H1483" s="13" t="n">
        <f aca="false">IF(A1483="2025",INDEX(Customers!$D$2:$D$41,MATCH(C1483,Customers!$A$2:$A$41,0)),INDEX(Customers!$F$2:$F$41,MATCH(C1483,Customers!$A$2:$A$41,0)))</f>
        <v>0.053</v>
      </c>
      <c r="I1483" s="16" t="n">
        <f aca="false">F1483*G1483</f>
        <v>80115</v>
      </c>
      <c r="J1483" s="16" t="n">
        <f aca="false">I1483*(1-H1483)</f>
        <v>75868.905</v>
      </c>
      <c r="K1483" s="16" t="n">
        <f aca="false">J1483*INDEX(Customers!$G$2:$G$41,MATCH(C1483,Customers!$A$2:$A$41,0))</f>
        <v>0</v>
      </c>
      <c r="L1483" s="16" t="n">
        <f aca="false">F1483*INDEX(Customers!$H$2:$H$41,MATCH(C1483,Customers!$A$2:$A$41,0))</f>
        <v>825</v>
      </c>
      <c r="M1483" s="16" t="n">
        <f aca="false">J1483*INDEX(Customers!$I$2:$I$41,MATCH(C1483,Customers!$A$2:$A$41,0))/365*Assumptions!$B$6</f>
        <v>997.728065753425</v>
      </c>
      <c r="N1483" s="16" t="n">
        <f aca="false">J1483-K1483-L1483-M1483</f>
        <v>74046.1769342466</v>
      </c>
      <c r="O1483" s="16" t="n">
        <f aca="false">F1483*IF(A1483="2025",INDEX(Products!$D$2:$D$13,MATCH(D1483,Products!$A$2:$A$13,0)),INDEX(Products!$F$2:$F$13,MATCH(D1483,Products!$A$2:$A$13,0)))</f>
        <v>39758</v>
      </c>
      <c r="P1483" s="16" t="n">
        <f aca="false">N1483-O1483</f>
        <v>34288.1769342466</v>
      </c>
    </row>
    <row r="1484" customFormat="false" ht="15" hidden="false" customHeight="false" outlineLevel="0" collapsed="false">
      <c r="A1484" s="2" t="s">
        <v>119</v>
      </c>
      <c r="B1484" s="2" t="n">
        <v>7</v>
      </c>
      <c r="C1484" s="2" t="s">
        <v>85</v>
      </c>
      <c r="D1484" s="2" t="s">
        <v>47</v>
      </c>
      <c r="E1484" s="2" t="str">
        <f aca="false">INDEX(Products!$B$2:$B$13,MATCH(D1484,Products!$A$2:$A$13,0))</f>
        <v>Specialty</v>
      </c>
      <c r="F1484" s="15" t="n">
        <v>3.2</v>
      </c>
      <c r="G1484" s="16" t="n">
        <f aca="false">IF(A1484="2025",INDEX(Products!$C$2:$C$13,MATCH(D1484,Products!$A$2:$A$13,0)),INDEX(Products!$E$2:$E$13,MATCH(D1484,Products!$A$2:$A$13,0)))</f>
        <v>32046</v>
      </c>
      <c r="H1484" s="13" t="n">
        <f aca="false">IF(A1484="2025",INDEX(Customers!$D$2:$D$41,MATCH(C1484,Customers!$A$2:$A$41,0)),INDEX(Customers!$F$2:$F$41,MATCH(C1484,Customers!$A$2:$A$41,0)))</f>
        <v>0.053</v>
      </c>
      <c r="I1484" s="16" t="n">
        <f aca="false">F1484*G1484</f>
        <v>102547.2</v>
      </c>
      <c r="J1484" s="16" t="n">
        <f aca="false">I1484*(1-H1484)</f>
        <v>97112.1984</v>
      </c>
      <c r="K1484" s="16" t="n">
        <f aca="false">J1484*INDEX(Customers!$G$2:$G$41,MATCH(C1484,Customers!$A$2:$A$41,0))</f>
        <v>0</v>
      </c>
      <c r="L1484" s="16" t="n">
        <f aca="false">F1484*INDEX(Customers!$H$2:$H$41,MATCH(C1484,Customers!$A$2:$A$41,0))</f>
        <v>1056</v>
      </c>
      <c r="M1484" s="16" t="n">
        <f aca="false">J1484*INDEX(Customers!$I$2:$I$41,MATCH(C1484,Customers!$A$2:$A$41,0))/365*Assumptions!$B$6</f>
        <v>1277.09192416438</v>
      </c>
      <c r="N1484" s="16" t="n">
        <f aca="false">J1484-K1484-L1484-M1484</f>
        <v>94779.1064758356</v>
      </c>
      <c r="O1484" s="16" t="n">
        <f aca="false">F1484*IF(A1484="2025",INDEX(Products!$D$2:$D$13,MATCH(D1484,Products!$A$2:$A$13,0)),INDEX(Products!$F$2:$F$13,MATCH(D1484,Products!$A$2:$A$13,0)))</f>
        <v>50890.24</v>
      </c>
      <c r="P1484" s="16" t="n">
        <f aca="false">N1484-O1484</f>
        <v>43888.8664758356</v>
      </c>
    </row>
    <row r="1485" customFormat="false" ht="15" hidden="false" customHeight="false" outlineLevel="0" collapsed="false">
      <c r="A1485" s="2" t="s">
        <v>119</v>
      </c>
      <c r="B1485" s="2" t="n">
        <v>8</v>
      </c>
      <c r="C1485" s="2" t="s">
        <v>85</v>
      </c>
      <c r="D1485" s="2" t="s">
        <v>47</v>
      </c>
      <c r="E1485" s="2" t="str">
        <f aca="false">INDEX(Products!$B$2:$B$13,MATCH(D1485,Products!$A$2:$A$13,0))</f>
        <v>Specialty</v>
      </c>
      <c r="F1485" s="15" t="n">
        <v>3.7</v>
      </c>
      <c r="G1485" s="16" t="n">
        <f aca="false">IF(A1485="2025",INDEX(Products!$C$2:$C$13,MATCH(D1485,Products!$A$2:$A$13,0)),INDEX(Products!$E$2:$E$13,MATCH(D1485,Products!$A$2:$A$13,0)))</f>
        <v>32046</v>
      </c>
      <c r="H1485" s="13" t="n">
        <f aca="false">IF(A1485="2025",INDEX(Customers!$D$2:$D$41,MATCH(C1485,Customers!$A$2:$A$41,0)),INDEX(Customers!$F$2:$F$41,MATCH(C1485,Customers!$A$2:$A$41,0)))</f>
        <v>0.053</v>
      </c>
      <c r="I1485" s="16" t="n">
        <f aca="false">F1485*G1485</f>
        <v>118570.2</v>
      </c>
      <c r="J1485" s="16" t="n">
        <f aca="false">I1485*(1-H1485)</f>
        <v>112285.9794</v>
      </c>
      <c r="K1485" s="16" t="n">
        <f aca="false">J1485*INDEX(Customers!$G$2:$G$41,MATCH(C1485,Customers!$A$2:$A$41,0))</f>
        <v>0</v>
      </c>
      <c r="L1485" s="16" t="n">
        <f aca="false">F1485*INDEX(Customers!$H$2:$H$41,MATCH(C1485,Customers!$A$2:$A$41,0))</f>
        <v>1221</v>
      </c>
      <c r="M1485" s="16" t="n">
        <f aca="false">J1485*INDEX(Customers!$I$2:$I$41,MATCH(C1485,Customers!$A$2:$A$41,0))/365*Assumptions!$B$6</f>
        <v>1476.63753731507</v>
      </c>
      <c r="N1485" s="16" t="n">
        <f aca="false">J1485-K1485-L1485-M1485</f>
        <v>109588.341862685</v>
      </c>
      <c r="O1485" s="16" t="n">
        <f aca="false">F1485*IF(A1485="2025",INDEX(Products!$D$2:$D$13,MATCH(D1485,Products!$A$2:$A$13,0)),INDEX(Products!$F$2:$F$13,MATCH(D1485,Products!$A$2:$A$13,0)))</f>
        <v>58841.84</v>
      </c>
      <c r="P1485" s="16" t="n">
        <f aca="false">N1485-O1485</f>
        <v>50746.5018626849</v>
      </c>
    </row>
    <row r="1486" customFormat="false" ht="15" hidden="false" customHeight="false" outlineLevel="0" collapsed="false">
      <c r="A1486" s="2" t="s">
        <v>119</v>
      </c>
      <c r="B1486" s="2" t="n">
        <v>9</v>
      </c>
      <c r="C1486" s="2" t="s">
        <v>85</v>
      </c>
      <c r="D1486" s="2" t="s">
        <v>47</v>
      </c>
      <c r="E1486" s="2" t="str">
        <f aca="false">INDEX(Products!$B$2:$B$13,MATCH(D1486,Products!$A$2:$A$13,0))</f>
        <v>Specialty</v>
      </c>
      <c r="F1486" s="15" t="n">
        <v>4.1</v>
      </c>
      <c r="G1486" s="16" t="n">
        <f aca="false">IF(A1486="2025",INDEX(Products!$C$2:$C$13,MATCH(D1486,Products!$A$2:$A$13,0)),INDEX(Products!$E$2:$E$13,MATCH(D1486,Products!$A$2:$A$13,0)))</f>
        <v>32046</v>
      </c>
      <c r="H1486" s="13" t="n">
        <f aca="false">IF(A1486="2025",INDEX(Customers!$D$2:$D$41,MATCH(C1486,Customers!$A$2:$A$41,0)),INDEX(Customers!$F$2:$F$41,MATCH(C1486,Customers!$A$2:$A$41,0)))</f>
        <v>0.053</v>
      </c>
      <c r="I1486" s="16" t="n">
        <f aca="false">F1486*G1486</f>
        <v>131388.6</v>
      </c>
      <c r="J1486" s="16" t="n">
        <f aca="false">I1486*(1-H1486)</f>
        <v>124425.0042</v>
      </c>
      <c r="K1486" s="16" t="n">
        <f aca="false">J1486*INDEX(Customers!$G$2:$G$41,MATCH(C1486,Customers!$A$2:$A$41,0))</f>
        <v>0</v>
      </c>
      <c r="L1486" s="16" t="n">
        <f aca="false">F1486*INDEX(Customers!$H$2:$H$41,MATCH(C1486,Customers!$A$2:$A$41,0))</f>
        <v>1353</v>
      </c>
      <c r="M1486" s="16" t="n">
        <f aca="false">J1486*INDEX(Customers!$I$2:$I$41,MATCH(C1486,Customers!$A$2:$A$41,0))/365*Assumptions!$B$6</f>
        <v>1636.27402783562</v>
      </c>
      <c r="N1486" s="16" t="n">
        <f aca="false">J1486-K1486-L1486-M1486</f>
        <v>121435.730172164</v>
      </c>
      <c r="O1486" s="16" t="n">
        <f aca="false">F1486*IF(A1486="2025",INDEX(Products!$D$2:$D$13,MATCH(D1486,Products!$A$2:$A$13,0)),INDEX(Products!$F$2:$F$13,MATCH(D1486,Products!$A$2:$A$13,0)))</f>
        <v>65203.12</v>
      </c>
      <c r="P1486" s="16" t="n">
        <f aca="false">N1486-O1486</f>
        <v>56232.6101721644</v>
      </c>
    </row>
    <row r="1487" customFormat="false" ht="15" hidden="false" customHeight="false" outlineLevel="0" collapsed="false">
      <c r="A1487" s="2" t="s">
        <v>119</v>
      </c>
      <c r="B1487" s="2" t="n">
        <v>10</v>
      </c>
      <c r="C1487" s="2" t="s">
        <v>85</v>
      </c>
      <c r="D1487" s="2" t="s">
        <v>47</v>
      </c>
      <c r="E1487" s="2" t="str">
        <f aca="false">INDEX(Products!$B$2:$B$13,MATCH(D1487,Products!$A$2:$A$13,0))</f>
        <v>Specialty</v>
      </c>
      <c r="F1487" s="15" t="n">
        <v>3.5</v>
      </c>
      <c r="G1487" s="16" t="n">
        <f aca="false">IF(A1487="2025",INDEX(Products!$C$2:$C$13,MATCH(D1487,Products!$A$2:$A$13,0)),INDEX(Products!$E$2:$E$13,MATCH(D1487,Products!$A$2:$A$13,0)))</f>
        <v>32046</v>
      </c>
      <c r="H1487" s="13" t="n">
        <f aca="false">IF(A1487="2025",INDEX(Customers!$D$2:$D$41,MATCH(C1487,Customers!$A$2:$A$41,0)),INDEX(Customers!$F$2:$F$41,MATCH(C1487,Customers!$A$2:$A$41,0)))</f>
        <v>0.053</v>
      </c>
      <c r="I1487" s="16" t="n">
        <f aca="false">F1487*G1487</f>
        <v>112161</v>
      </c>
      <c r="J1487" s="16" t="n">
        <f aca="false">I1487*(1-H1487)</f>
        <v>106216.467</v>
      </c>
      <c r="K1487" s="16" t="n">
        <f aca="false">J1487*INDEX(Customers!$G$2:$G$41,MATCH(C1487,Customers!$A$2:$A$41,0))</f>
        <v>0</v>
      </c>
      <c r="L1487" s="16" t="n">
        <f aca="false">F1487*INDEX(Customers!$H$2:$H$41,MATCH(C1487,Customers!$A$2:$A$41,0))</f>
        <v>1155</v>
      </c>
      <c r="M1487" s="16" t="n">
        <f aca="false">J1487*INDEX(Customers!$I$2:$I$41,MATCH(C1487,Customers!$A$2:$A$41,0))/365*Assumptions!$B$6</f>
        <v>1396.81929205479</v>
      </c>
      <c r="N1487" s="16" t="n">
        <f aca="false">J1487-K1487-L1487-M1487</f>
        <v>103664.647707945</v>
      </c>
      <c r="O1487" s="16" t="n">
        <f aca="false">F1487*IF(A1487="2025",INDEX(Products!$D$2:$D$13,MATCH(D1487,Products!$A$2:$A$13,0)),INDEX(Products!$F$2:$F$13,MATCH(D1487,Products!$A$2:$A$13,0)))</f>
        <v>55661.2</v>
      </c>
      <c r="P1487" s="16" t="n">
        <f aca="false">N1487-O1487</f>
        <v>48003.4477079452</v>
      </c>
    </row>
    <row r="1488" customFormat="false" ht="15" hidden="false" customHeight="false" outlineLevel="0" collapsed="false">
      <c r="A1488" s="2" t="s">
        <v>119</v>
      </c>
      <c r="B1488" s="2" t="n">
        <v>11</v>
      </c>
      <c r="C1488" s="2" t="s">
        <v>85</v>
      </c>
      <c r="D1488" s="2" t="s">
        <v>47</v>
      </c>
      <c r="E1488" s="2" t="str">
        <f aca="false">INDEX(Products!$B$2:$B$13,MATCH(D1488,Products!$A$2:$A$13,0))</f>
        <v>Specialty</v>
      </c>
      <c r="F1488" s="15" t="n">
        <v>3.5</v>
      </c>
      <c r="G1488" s="16" t="n">
        <f aca="false">IF(A1488="2025",INDEX(Products!$C$2:$C$13,MATCH(D1488,Products!$A$2:$A$13,0)),INDEX(Products!$E$2:$E$13,MATCH(D1488,Products!$A$2:$A$13,0)))</f>
        <v>32046</v>
      </c>
      <c r="H1488" s="13" t="n">
        <f aca="false">IF(A1488="2025",INDEX(Customers!$D$2:$D$41,MATCH(C1488,Customers!$A$2:$A$41,0)),INDEX(Customers!$F$2:$F$41,MATCH(C1488,Customers!$A$2:$A$41,0)))</f>
        <v>0.053</v>
      </c>
      <c r="I1488" s="16" t="n">
        <f aca="false">F1488*G1488</f>
        <v>112161</v>
      </c>
      <c r="J1488" s="16" t="n">
        <f aca="false">I1488*(1-H1488)</f>
        <v>106216.467</v>
      </c>
      <c r="K1488" s="16" t="n">
        <f aca="false">J1488*INDEX(Customers!$G$2:$G$41,MATCH(C1488,Customers!$A$2:$A$41,0))</f>
        <v>0</v>
      </c>
      <c r="L1488" s="16" t="n">
        <f aca="false">F1488*INDEX(Customers!$H$2:$H$41,MATCH(C1488,Customers!$A$2:$A$41,0))</f>
        <v>1155</v>
      </c>
      <c r="M1488" s="16" t="n">
        <f aca="false">J1488*INDEX(Customers!$I$2:$I$41,MATCH(C1488,Customers!$A$2:$A$41,0))/365*Assumptions!$B$6</f>
        <v>1396.81929205479</v>
      </c>
      <c r="N1488" s="16" t="n">
        <f aca="false">J1488-K1488-L1488-M1488</f>
        <v>103664.647707945</v>
      </c>
      <c r="O1488" s="16" t="n">
        <f aca="false">F1488*IF(A1488="2025",INDEX(Products!$D$2:$D$13,MATCH(D1488,Products!$A$2:$A$13,0)),INDEX(Products!$F$2:$F$13,MATCH(D1488,Products!$A$2:$A$13,0)))</f>
        <v>55661.2</v>
      </c>
      <c r="P1488" s="16" t="n">
        <f aca="false">N1488-O1488</f>
        <v>48003.4477079452</v>
      </c>
    </row>
    <row r="1489" customFormat="false" ht="15" hidden="false" customHeight="false" outlineLevel="0" collapsed="false">
      <c r="A1489" s="2" t="s">
        <v>119</v>
      </c>
      <c r="B1489" s="2" t="n">
        <v>12</v>
      </c>
      <c r="C1489" s="2" t="s">
        <v>85</v>
      </c>
      <c r="D1489" s="2" t="s">
        <v>47</v>
      </c>
      <c r="E1489" s="2" t="str">
        <f aca="false">INDEX(Products!$B$2:$B$13,MATCH(D1489,Products!$A$2:$A$13,0))</f>
        <v>Specialty</v>
      </c>
      <c r="F1489" s="15" t="n">
        <v>4.1</v>
      </c>
      <c r="G1489" s="16" t="n">
        <f aca="false">IF(A1489="2025",INDEX(Products!$C$2:$C$13,MATCH(D1489,Products!$A$2:$A$13,0)),INDEX(Products!$E$2:$E$13,MATCH(D1489,Products!$A$2:$A$13,0)))</f>
        <v>32046</v>
      </c>
      <c r="H1489" s="13" t="n">
        <f aca="false">IF(A1489="2025",INDEX(Customers!$D$2:$D$41,MATCH(C1489,Customers!$A$2:$A$41,0)),INDEX(Customers!$F$2:$F$41,MATCH(C1489,Customers!$A$2:$A$41,0)))</f>
        <v>0.053</v>
      </c>
      <c r="I1489" s="16" t="n">
        <f aca="false">F1489*G1489</f>
        <v>131388.6</v>
      </c>
      <c r="J1489" s="16" t="n">
        <f aca="false">I1489*(1-H1489)</f>
        <v>124425.0042</v>
      </c>
      <c r="K1489" s="16" t="n">
        <f aca="false">J1489*INDEX(Customers!$G$2:$G$41,MATCH(C1489,Customers!$A$2:$A$41,0))</f>
        <v>0</v>
      </c>
      <c r="L1489" s="16" t="n">
        <f aca="false">F1489*INDEX(Customers!$H$2:$H$41,MATCH(C1489,Customers!$A$2:$A$41,0))</f>
        <v>1353</v>
      </c>
      <c r="M1489" s="16" t="n">
        <f aca="false">J1489*INDEX(Customers!$I$2:$I$41,MATCH(C1489,Customers!$A$2:$A$41,0))/365*Assumptions!$B$6</f>
        <v>1636.27402783562</v>
      </c>
      <c r="N1489" s="16" t="n">
        <f aca="false">J1489-K1489-L1489-M1489</f>
        <v>121435.730172164</v>
      </c>
      <c r="O1489" s="16" t="n">
        <f aca="false">F1489*IF(A1489="2025",INDEX(Products!$D$2:$D$13,MATCH(D1489,Products!$A$2:$A$13,0)),INDEX(Products!$F$2:$F$13,MATCH(D1489,Products!$A$2:$A$13,0)))</f>
        <v>65203.12</v>
      </c>
      <c r="P1489" s="16" t="n">
        <f aca="false">N1489-O1489</f>
        <v>56232.6101721644</v>
      </c>
    </row>
    <row r="1490" customFormat="false" ht="15" hidden="false" customHeight="false" outlineLevel="0" collapsed="false">
      <c r="A1490" s="2" t="s">
        <v>118</v>
      </c>
      <c r="B1490" s="2" t="n">
        <v>1</v>
      </c>
      <c r="C1490" s="2" t="s">
        <v>85</v>
      </c>
      <c r="D1490" s="2" t="s">
        <v>36</v>
      </c>
      <c r="E1490" s="2" t="str">
        <f aca="false">INDEX(Products!$B$2:$B$13,MATCH(D1490,Products!$A$2:$A$13,0))</f>
        <v>FCC</v>
      </c>
      <c r="F1490" s="15" t="n">
        <v>7.5</v>
      </c>
      <c r="G1490" s="16" t="n">
        <f aca="false">IF(A1490="2025",INDEX(Products!$C$2:$C$13,MATCH(D1490,Products!$A$2:$A$13,0)),INDEX(Products!$E$2:$E$13,MATCH(D1490,Products!$A$2:$A$13,0)))</f>
        <v>3700</v>
      </c>
      <c r="H1490" s="13" t="n">
        <f aca="false">IF(A1490="2025",INDEX(Customers!$D$2:$D$41,MATCH(C1490,Customers!$A$2:$A$41,0)),INDEX(Customers!$F$2:$F$41,MATCH(C1490,Customers!$A$2:$A$41,0)))</f>
        <v>0.053</v>
      </c>
      <c r="I1490" s="16" t="n">
        <f aca="false">F1490*G1490</f>
        <v>27750</v>
      </c>
      <c r="J1490" s="16" t="n">
        <f aca="false">I1490*(1-H1490)</f>
        <v>26279.25</v>
      </c>
      <c r="K1490" s="16" t="n">
        <f aca="false">J1490*INDEX(Customers!$G$2:$G$41,MATCH(C1490,Customers!$A$2:$A$41,0))</f>
        <v>0</v>
      </c>
      <c r="L1490" s="16" t="n">
        <f aca="false">F1490*INDEX(Customers!$H$2:$H$41,MATCH(C1490,Customers!$A$2:$A$41,0))</f>
        <v>2475</v>
      </c>
      <c r="M1490" s="16" t="n">
        <f aca="false">J1490*INDEX(Customers!$I$2:$I$41,MATCH(C1490,Customers!$A$2:$A$41,0))/365*Assumptions!$B$6</f>
        <v>345.590136986301</v>
      </c>
      <c r="N1490" s="16" t="n">
        <f aca="false">J1490-K1490-L1490-M1490</f>
        <v>23458.6598630137</v>
      </c>
      <c r="O1490" s="16" t="n">
        <f aca="false">F1490*IF(A1490="2025",INDEX(Products!$D$2:$D$13,MATCH(D1490,Products!$A$2:$A$13,0)),INDEX(Products!$F$2:$F$13,MATCH(D1490,Products!$A$2:$A$13,0)))</f>
        <v>18000</v>
      </c>
      <c r="P1490" s="16" t="n">
        <f aca="false">N1490-O1490</f>
        <v>5458.6598630137</v>
      </c>
    </row>
    <row r="1491" customFormat="false" ht="15" hidden="false" customHeight="false" outlineLevel="0" collapsed="false">
      <c r="A1491" s="2" t="s">
        <v>118</v>
      </c>
      <c r="B1491" s="2" t="n">
        <v>2</v>
      </c>
      <c r="C1491" s="2" t="s">
        <v>85</v>
      </c>
      <c r="D1491" s="2" t="s">
        <v>36</v>
      </c>
      <c r="E1491" s="2" t="str">
        <f aca="false">INDEX(Products!$B$2:$B$13,MATCH(D1491,Products!$A$2:$A$13,0))</f>
        <v>FCC</v>
      </c>
      <c r="F1491" s="15" t="n">
        <v>10.4</v>
      </c>
      <c r="G1491" s="16" t="n">
        <f aca="false">IF(A1491="2025",INDEX(Products!$C$2:$C$13,MATCH(D1491,Products!$A$2:$A$13,0)),INDEX(Products!$E$2:$E$13,MATCH(D1491,Products!$A$2:$A$13,0)))</f>
        <v>3700</v>
      </c>
      <c r="H1491" s="13" t="n">
        <f aca="false">IF(A1491="2025",INDEX(Customers!$D$2:$D$41,MATCH(C1491,Customers!$A$2:$A$41,0)),INDEX(Customers!$F$2:$F$41,MATCH(C1491,Customers!$A$2:$A$41,0)))</f>
        <v>0.053</v>
      </c>
      <c r="I1491" s="16" t="n">
        <f aca="false">F1491*G1491</f>
        <v>38480</v>
      </c>
      <c r="J1491" s="16" t="n">
        <f aca="false">I1491*(1-H1491)</f>
        <v>36440.56</v>
      </c>
      <c r="K1491" s="16" t="n">
        <f aca="false">J1491*INDEX(Customers!$G$2:$G$41,MATCH(C1491,Customers!$A$2:$A$41,0))</f>
        <v>0</v>
      </c>
      <c r="L1491" s="16" t="n">
        <f aca="false">F1491*INDEX(Customers!$H$2:$H$41,MATCH(C1491,Customers!$A$2:$A$41,0))</f>
        <v>3432</v>
      </c>
      <c r="M1491" s="16" t="n">
        <f aca="false">J1491*INDEX(Customers!$I$2:$I$41,MATCH(C1491,Customers!$A$2:$A$41,0))/365*Assumptions!$B$6</f>
        <v>479.218323287671</v>
      </c>
      <c r="N1491" s="16" t="n">
        <f aca="false">J1491-K1491-L1491-M1491</f>
        <v>32529.3416767123</v>
      </c>
      <c r="O1491" s="16" t="n">
        <f aca="false">F1491*IF(A1491="2025",INDEX(Products!$D$2:$D$13,MATCH(D1491,Products!$A$2:$A$13,0)),INDEX(Products!$F$2:$F$13,MATCH(D1491,Products!$A$2:$A$13,0)))</f>
        <v>24960</v>
      </c>
      <c r="P1491" s="16" t="n">
        <f aca="false">N1491-O1491</f>
        <v>7569.34167671233</v>
      </c>
    </row>
    <row r="1492" customFormat="false" ht="15" hidden="false" customHeight="false" outlineLevel="0" collapsed="false">
      <c r="A1492" s="2" t="s">
        <v>118</v>
      </c>
      <c r="B1492" s="2" t="n">
        <v>3</v>
      </c>
      <c r="C1492" s="2" t="s">
        <v>85</v>
      </c>
      <c r="D1492" s="2" t="s">
        <v>36</v>
      </c>
      <c r="E1492" s="2" t="str">
        <f aca="false">INDEX(Products!$B$2:$B$13,MATCH(D1492,Products!$A$2:$A$13,0))</f>
        <v>FCC</v>
      </c>
      <c r="F1492" s="15" t="n">
        <v>10.9</v>
      </c>
      <c r="G1492" s="16" t="n">
        <f aca="false">IF(A1492="2025",INDEX(Products!$C$2:$C$13,MATCH(D1492,Products!$A$2:$A$13,0)),INDEX(Products!$E$2:$E$13,MATCH(D1492,Products!$A$2:$A$13,0)))</f>
        <v>3700</v>
      </c>
      <c r="H1492" s="13" t="n">
        <f aca="false">IF(A1492="2025",INDEX(Customers!$D$2:$D$41,MATCH(C1492,Customers!$A$2:$A$41,0)),INDEX(Customers!$F$2:$F$41,MATCH(C1492,Customers!$A$2:$A$41,0)))</f>
        <v>0.053</v>
      </c>
      <c r="I1492" s="16" t="n">
        <f aca="false">F1492*G1492</f>
        <v>40330</v>
      </c>
      <c r="J1492" s="16" t="n">
        <f aca="false">I1492*(1-H1492)</f>
        <v>38192.51</v>
      </c>
      <c r="K1492" s="16" t="n">
        <f aca="false">J1492*INDEX(Customers!$G$2:$G$41,MATCH(C1492,Customers!$A$2:$A$41,0))</f>
        <v>0</v>
      </c>
      <c r="L1492" s="16" t="n">
        <f aca="false">F1492*INDEX(Customers!$H$2:$H$41,MATCH(C1492,Customers!$A$2:$A$41,0))</f>
        <v>3597</v>
      </c>
      <c r="M1492" s="16" t="n">
        <f aca="false">J1492*INDEX(Customers!$I$2:$I$41,MATCH(C1492,Customers!$A$2:$A$41,0))/365*Assumptions!$B$6</f>
        <v>502.257665753425</v>
      </c>
      <c r="N1492" s="16" t="n">
        <f aca="false">J1492-K1492-L1492-M1492</f>
        <v>34093.2523342466</v>
      </c>
      <c r="O1492" s="16" t="n">
        <f aca="false">F1492*IF(A1492="2025",INDEX(Products!$D$2:$D$13,MATCH(D1492,Products!$A$2:$A$13,0)),INDEX(Products!$F$2:$F$13,MATCH(D1492,Products!$A$2:$A$13,0)))</f>
        <v>26160</v>
      </c>
      <c r="P1492" s="16" t="n">
        <f aca="false">N1492-O1492</f>
        <v>7933.25233424657</v>
      </c>
    </row>
    <row r="1493" customFormat="false" ht="15" hidden="false" customHeight="false" outlineLevel="0" collapsed="false">
      <c r="A1493" s="2" t="s">
        <v>118</v>
      </c>
      <c r="B1493" s="2" t="n">
        <v>4</v>
      </c>
      <c r="C1493" s="2" t="s">
        <v>85</v>
      </c>
      <c r="D1493" s="2" t="s">
        <v>36</v>
      </c>
      <c r="E1493" s="2" t="str">
        <f aca="false">INDEX(Products!$B$2:$B$13,MATCH(D1493,Products!$A$2:$A$13,0))</f>
        <v>FCC</v>
      </c>
      <c r="F1493" s="15" t="n">
        <v>9</v>
      </c>
      <c r="G1493" s="16" t="n">
        <f aca="false">IF(A1493="2025",INDEX(Products!$C$2:$C$13,MATCH(D1493,Products!$A$2:$A$13,0)),INDEX(Products!$E$2:$E$13,MATCH(D1493,Products!$A$2:$A$13,0)))</f>
        <v>3700</v>
      </c>
      <c r="H1493" s="13" t="n">
        <f aca="false">IF(A1493="2025",INDEX(Customers!$D$2:$D$41,MATCH(C1493,Customers!$A$2:$A$41,0)),INDEX(Customers!$F$2:$F$41,MATCH(C1493,Customers!$A$2:$A$41,0)))</f>
        <v>0.053</v>
      </c>
      <c r="I1493" s="16" t="n">
        <f aca="false">F1493*G1493</f>
        <v>33300</v>
      </c>
      <c r="J1493" s="16" t="n">
        <f aca="false">I1493*(1-H1493)</f>
        <v>31535.1</v>
      </c>
      <c r="K1493" s="16" t="n">
        <f aca="false">J1493*INDEX(Customers!$G$2:$G$41,MATCH(C1493,Customers!$A$2:$A$41,0))</f>
        <v>0</v>
      </c>
      <c r="L1493" s="16" t="n">
        <f aca="false">F1493*INDEX(Customers!$H$2:$H$41,MATCH(C1493,Customers!$A$2:$A$41,0))</f>
        <v>2970</v>
      </c>
      <c r="M1493" s="16" t="n">
        <f aca="false">J1493*INDEX(Customers!$I$2:$I$41,MATCH(C1493,Customers!$A$2:$A$41,0))/365*Assumptions!$B$6</f>
        <v>414.708164383562</v>
      </c>
      <c r="N1493" s="16" t="n">
        <f aca="false">J1493-K1493-L1493-M1493</f>
        <v>28150.3918356164</v>
      </c>
      <c r="O1493" s="16" t="n">
        <f aca="false">F1493*IF(A1493="2025",INDEX(Products!$D$2:$D$13,MATCH(D1493,Products!$A$2:$A$13,0)),INDEX(Products!$F$2:$F$13,MATCH(D1493,Products!$A$2:$A$13,0)))</f>
        <v>21600</v>
      </c>
      <c r="P1493" s="16" t="n">
        <f aca="false">N1493-O1493</f>
        <v>6550.39183561644</v>
      </c>
    </row>
    <row r="1494" customFormat="false" ht="15" hidden="false" customHeight="false" outlineLevel="0" collapsed="false">
      <c r="A1494" s="2" t="s">
        <v>118</v>
      </c>
      <c r="B1494" s="2" t="n">
        <v>5</v>
      </c>
      <c r="C1494" s="2" t="s">
        <v>85</v>
      </c>
      <c r="D1494" s="2" t="s">
        <v>36</v>
      </c>
      <c r="E1494" s="2" t="str">
        <f aca="false">INDEX(Products!$B$2:$B$13,MATCH(D1494,Products!$A$2:$A$13,0))</f>
        <v>FCC</v>
      </c>
      <c r="F1494" s="15" t="n">
        <v>10.2</v>
      </c>
      <c r="G1494" s="16" t="n">
        <f aca="false">IF(A1494="2025",INDEX(Products!$C$2:$C$13,MATCH(D1494,Products!$A$2:$A$13,0)),INDEX(Products!$E$2:$E$13,MATCH(D1494,Products!$A$2:$A$13,0)))</f>
        <v>3700</v>
      </c>
      <c r="H1494" s="13" t="n">
        <f aca="false">IF(A1494="2025",INDEX(Customers!$D$2:$D$41,MATCH(C1494,Customers!$A$2:$A$41,0)),INDEX(Customers!$F$2:$F$41,MATCH(C1494,Customers!$A$2:$A$41,0)))</f>
        <v>0.053</v>
      </c>
      <c r="I1494" s="16" t="n">
        <f aca="false">F1494*G1494</f>
        <v>37740</v>
      </c>
      <c r="J1494" s="16" t="n">
        <f aca="false">I1494*(1-H1494)</f>
        <v>35739.78</v>
      </c>
      <c r="K1494" s="16" t="n">
        <f aca="false">J1494*INDEX(Customers!$G$2:$G$41,MATCH(C1494,Customers!$A$2:$A$41,0))</f>
        <v>0</v>
      </c>
      <c r="L1494" s="16" t="n">
        <f aca="false">F1494*INDEX(Customers!$H$2:$H$41,MATCH(C1494,Customers!$A$2:$A$41,0))</f>
        <v>3366</v>
      </c>
      <c r="M1494" s="16" t="n">
        <f aca="false">J1494*INDEX(Customers!$I$2:$I$41,MATCH(C1494,Customers!$A$2:$A$41,0))/365*Assumptions!$B$6</f>
        <v>470.00258630137</v>
      </c>
      <c r="N1494" s="16" t="n">
        <f aca="false">J1494-K1494-L1494-M1494</f>
        <v>31903.7774136986</v>
      </c>
      <c r="O1494" s="16" t="n">
        <f aca="false">F1494*IF(A1494="2025",INDEX(Products!$D$2:$D$13,MATCH(D1494,Products!$A$2:$A$13,0)),INDEX(Products!$F$2:$F$13,MATCH(D1494,Products!$A$2:$A$13,0)))</f>
        <v>24480</v>
      </c>
      <c r="P1494" s="16" t="n">
        <f aca="false">N1494-O1494</f>
        <v>7423.77741369863</v>
      </c>
    </row>
    <row r="1495" customFormat="false" ht="15" hidden="false" customHeight="false" outlineLevel="0" collapsed="false">
      <c r="A1495" s="2" t="s">
        <v>118</v>
      </c>
      <c r="B1495" s="2" t="n">
        <v>6</v>
      </c>
      <c r="C1495" s="2" t="s">
        <v>85</v>
      </c>
      <c r="D1495" s="2" t="s">
        <v>36</v>
      </c>
      <c r="E1495" s="2" t="str">
        <f aca="false">INDEX(Products!$B$2:$B$13,MATCH(D1495,Products!$A$2:$A$13,0))</f>
        <v>FCC</v>
      </c>
      <c r="F1495" s="15" t="n">
        <v>9.4</v>
      </c>
      <c r="G1495" s="16" t="n">
        <f aca="false">IF(A1495="2025",INDEX(Products!$C$2:$C$13,MATCH(D1495,Products!$A$2:$A$13,0)),INDEX(Products!$E$2:$E$13,MATCH(D1495,Products!$A$2:$A$13,0)))</f>
        <v>3700</v>
      </c>
      <c r="H1495" s="13" t="n">
        <f aca="false">IF(A1495="2025",INDEX(Customers!$D$2:$D$41,MATCH(C1495,Customers!$A$2:$A$41,0)),INDEX(Customers!$F$2:$F$41,MATCH(C1495,Customers!$A$2:$A$41,0)))</f>
        <v>0.053</v>
      </c>
      <c r="I1495" s="16" t="n">
        <f aca="false">F1495*G1495</f>
        <v>34780</v>
      </c>
      <c r="J1495" s="16" t="n">
        <f aca="false">I1495*(1-H1495)</f>
        <v>32936.66</v>
      </c>
      <c r="K1495" s="16" t="n">
        <f aca="false">J1495*INDEX(Customers!$G$2:$G$41,MATCH(C1495,Customers!$A$2:$A$41,0))</f>
        <v>0</v>
      </c>
      <c r="L1495" s="16" t="n">
        <f aca="false">F1495*INDEX(Customers!$H$2:$H$41,MATCH(C1495,Customers!$A$2:$A$41,0))</f>
        <v>3102</v>
      </c>
      <c r="M1495" s="16" t="n">
        <f aca="false">J1495*INDEX(Customers!$I$2:$I$41,MATCH(C1495,Customers!$A$2:$A$41,0))/365*Assumptions!$B$6</f>
        <v>433.139638356164</v>
      </c>
      <c r="N1495" s="16" t="n">
        <f aca="false">J1495-K1495-L1495-M1495</f>
        <v>29401.5203616438</v>
      </c>
      <c r="O1495" s="16" t="n">
        <f aca="false">F1495*IF(A1495="2025",INDEX(Products!$D$2:$D$13,MATCH(D1495,Products!$A$2:$A$13,0)),INDEX(Products!$F$2:$F$13,MATCH(D1495,Products!$A$2:$A$13,0)))</f>
        <v>22560</v>
      </c>
      <c r="P1495" s="16" t="n">
        <f aca="false">N1495-O1495</f>
        <v>6841.52036164383</v>
      </c>
    </row>
    <row r="1496" customFormat="false" ht="15" hidden="false" customHeight="false" outlineLevel="0" collapsed="false">
      <c r="A1496" s="2" t="s">
        <v>118</v>
      </c>
      <c r="B1496" s="2" t="n">
        <v>7</v>
      </c>
      <c r="C1496" s="2" t="s">
        <v>85</v>
      </c>
      <c r="D1496" s="2" t="s">
        <v>36</v>
      </c>
      <c r="E1496" s="2" t="str">
        <f aca="false">INDEX(Products!$B$2:$B$13,MATCH(D1496,Products!$A$2:$A$13,0))</f>
        <v>FCC</v>
      </c>
      <c r="F1496" s="15" t="n">
        <v>7.2</v>
      </c>
      <c r="G1496" s="16" t="n">
        <f aca="false">IF(A1496="2025",INDEX(Products!$C$2:$C$13,MATCH(D1496,Products!$A$2:$A$13,0)),INDEX(Products!$E$2:$E$13,MATCH(D1496,Products!$A$2:$A$13,0)))</f>
        <v>3700</v>
      </c>
      <c r="H1496" s="13" t="n">
        <f aca="false">IF(A1496="2025",INDEX(Customers!$D$2:$D$41,MATCH(C1496,Customers!$A$2:$A$41,0)),INDEX(Customers!$F$2:$F$41,MATCH(C1496,Customers!$A$2:$A$41,0)))</f>
        <v>0.053</v>
      </c>
      <c r="I1496" s="16" t="n">
        <f aca="false">F1496*G1496</f>
        <v>26640</v>
      </c>
      <c r="J1496" s="16" t="n">
        <f aca="false">I1496*(1-H1496)</f>
        <v>25228.08</v>
      </c>
      <c r="K1496" s="16" t="n">
        <f aca="false">J1496*INDEX(Customers!$G$2:$G$41,MATCH(C1496,Customers!$A$2:$A$41,0))</f>
        <v>0</v>
      </c>
      <c r="L1496" s="16" t="n">
        <f aca="false">F1496*INDEX(Customers!$H$2:$H$41,MATCH(C1496,Customers!$A$2:$A$41,0))</f>
        <v>2376</v>
      </c>
      <c r="M1496" s="16" t="n">
        <f aca="false">J1496*INDEX(Customers!$I$2:$I$41,MATCH(C1496,Customers!$A$2:$A$41,0))/365*Assumptions!$B$6</f>
        <v>331.766531506849</v>
      </c>
      <c r="N1496" s="16" t="n">
        <f aca="false">J1496-K1496-L1496-M1496</f>
        <v>22520.3134684932</v>
      </c>
      <c r="O1496" s="16" t="n">
        <f aca="false">F1496*IF(A1496="2025",INDEX(Products!$D$2:$D$13,MATCH(D1496,Products!$A$2:$A$13,0)),INDEX(Products!$F$2:$F$13,MATCH(D1496,Products!$A$2:$A$13,0)))</f>
        <v>17280</v>
      </c>
      <c r="P1496" s="16" t="n">
        <f aca="false">N1496-O1496</f>
        <v>5240.31346849315</v>
      </c>
    </row>
    <row r="1497" customFormat="false" ht="15" hidden="false" customHeight="false" outlineLevel="0" collapsed="false">
      <c r="A1497" s="2" t="s">
        <v>118</v>
      </c>
      <c r="B1497" s="2" t="n">
        <v>8</v>
      </c>
      <c r="C1497" s="2" t="s">
        <v>85</v>
      </c>
      <c r="D1497" s="2" t="s">
        <v>36</v>
      </c>
      <c r="E1497" s="2" t="str">
        <f aca="false">INDEX(Products!$B$2:$B$13,MATCH(D1497,Products!$A$2:$A$13,0))</f>
        <v>FCC</v>
      </c>
      <c r="F1497" s="15" t="n">
        <v>9</v>
      </c>
      <c r="G1497" s="16" t="n">
        <f aca="false">IF(A1497="2025",INDEX(Products!$C$2:$C$13,MATCH(D1497,Products!$A$2:$A$13,0)),INDEX(Products!$E$2:$E$13,MATCH(D1497,Products!$A$2:$A$13,0)))</f>
        <v>3700</v>
      </c>
      <c r="H1497" s="13" t="n">
        <f aca="false">IF(A1497="2025",INDEX(Customers!$D$2:$D$41,MATCH(C1497,Customers!$A$2:$A$41,0)),INDEX(Customers!$F$2:$F$41,MATCH(C1497,Customers!$A$2:$A$41,0)))</f>
        <v>0.053</v>
      </c>
      <c r="I1497" s="16" t="n">
        <f aca="false">F1497*G1497</f>
        <v>33300</v>
      </c>
      <c r="J1497" s="16" t="n">
        <f aca="false">I1497*(1-H1497)</f>
        <v>31535.1</v>
      </c>
      <c r="K1497" s="16" t="n">
        <f aca="false">J1497*INDEX(Customers!$G$2:$G$41,MATCH(C1497,Customers!$A$2:$A$41,0))</f>
        <v>0</v>
      </c>
      <c r="L1497" s="16" t="n">
        <f aca="false">F1497*INDEX(Customers!$H$2:$H$41,MATCH(C1497,Customers!$A$2:$A$41,0))</f>
        <v>2970</v>
      </c>
      <c r="M1497" s="16" t="n">
        <f aca="false">J1497*INDEX(Customers!$I$2:$I$41,MATCH(C1497,Customers!$A$2:$A$41,0))/365*Assumptions!$B$6</f>
        <v>414.708164383562</v>
      </c>
      <c r="N1497" s="16" t="n">
        <f aca="false">J1497-K1497-L1497-M1497</f>
        <v>28150.3918356164</v>
      </c>
      <c r="O1497" s="16" t="n">
        <f aca="false">F1497*IF(A1497="2025",INDEX(Products!$D$2:$D$13,MATCH(D1497,Products!$A$2:$A$13,0)),INDEX(Products!$F$2:$F$13,MATCH(D1497,Products!$A$2:$A$13,0)))</f>
        <v>21600</v>
      </c>
      <c r="P1497" s="16" t="n">
        <f aca="false">N1497-O1497</f>
        <v>6550.39183561644</v>
      </c>
    </row>
    <row r="1498" customFormat="false" ht="15" hidden="false" customHeight="false" outlineLevel="0" collapsed="false">
      <c r="A1498" s="2" t="s">
        <v>118</v>
      </c>
      <c r="B1498" s="2" t="n">
        <v>9</v>
      </c>
      <c r="C1498" s="2" t="s">
        <v>85</v>
      </c>
      <c r="D1498" s="2" t="s">
        <v>36</v>
      </c>
      <c r="E1498" s="2" t="str">
        <f aca="false">INDEX(Products!$B$2:$B$13,MATCH(D1498,Products!$A$2:$A$13,0))</f>
        <v>FCC</v>
      </c>
      <c r="F1498" s="15" t="n">
        <v>6.8</v>
      </c>
      <c r="G1498" s="16" t="n">
        <f aca="false">IF(A1498="2025",INDEX(Products!$C$2:$C$13,MATCH(D1498,Products!$A$2:$A$13,0)),INDEX(Products!$E$2:$E$13,MATCH(D1498,Products!$A$2:$A$13,0)))</f>
        <v>3700</v>
      </c>
      <c r="H1498" s="13" t="n">
        <f aca="false">IF(A1498="2025",INDEX(Customers!$D$2:$D$41,MATCH(C1498,Customers!$A$2:$A$41,0)),INDEX(Customers!$F$2:$F$41,MATCH(C1498,Customers!$A$2:$A$41,0)))</f>
        <v>0.053</v>
      </c>
      <c r="I1498" s="16" t="n">
        <f aca="false">F1498*G1498</f>
        <v>25160</v>
      </c>
      <c r="J1498" s="16" t="n">
        <f aca="false">I1498*(1-H1498)</f>
        <v>23826.52</v>
      </c>
      <c r="K1498" s="16" t="n">
        <f aca="false">J1498*INDEX(Customers!$G$2:$G$41,MATCH(C1498,Customers!$A$2:$A$41,0))</f>
        <v>0</v>
      </c>
      <c r="L1498" s="16" t="n">
        <f aca="false">F1498*INDEX(Customers!$H$2:$H$41,MATCH(C1498,Customers!$A$2:$A$41,0))</f>
        <v>2244</v>
      </c>
      <c r="M1498" s="16" t="n">
        <f aca="false">J1498*INDEX(Customers!$I$2:$I$41,MATCH(C1498,Customers!$A$2:$A$41,0))/365*Assumptions!$B$6</f>
        <v>313.335057534247</v>
      </c>
      <c r="N1498" s="16" t="n">
        <f aca="false">J1498-K1498-L1498-M1498</f>
        <v>21269.1849424658</v>
      </c>
      <c r="O1498" s="16" t="n">
        <f aca="false">F1498*IF(A1498="2025",INDEX(Products!$D$2:$D$13,MATCH(D1498,Products!$A$2:$A$13,0)),INDEX(Products!$F$2:$F$13,MATCH(D1498,Products!$A$2:$A$13,0)))</f>
        <v>16320</v>
      </c>
      <c r="P1498" s="16" t="n">
        <f aca="false">N1498-O1498</f>
        <v>4949.18494246575</v>
      </c>
    </row>
    <row r="1499" customFormat="false" ht="15" hidden="false" customHeight="false" outlineLevel="0" collapsed="false">
      <c r="A1499" s="2" t="s">
        <v>118</v>
      </c>
      <c r="B1499" s="2" t="n">
        <v>10</v>
      </c>
      <c r="C1499" s="2" t="s">
        <v>85</v>
      </c>
      <c r="D1499" s="2" t="s">
        <v>36</v>
      </c>
      <c r="E1499" s="2" t="str">
        <f aca="false">INDEX(Products!$B$2:$B$13,MATCH(D1499,Products!$A$2:$A$13,0))</f>
        <v>FCC</v>
      </c>
      <c r="F1499" s="15" t="n">
        <v>11</v>
      </c>
      <c r="G1499" s="16" t="n">
        <f aca="false">IF(A1499="2025",INDEX(Products!$C$2:$C$13,MATCH(D1499,Products!$A$2:$A$13,0)),INDEX(Products!$E$2:$E$13,MATCH(D1499,Products!$A$2:$A$13,0)))</f>
        <v>3700</v>
      </c>
      <c r="H1499" s="13" t="n">
        <f aca="false">IF(A1499="2025",INDEX(Customers!$D$2:$D$41,MATCH(C1499,Customers!$A$2:$A$41,0)),INDEX(Customers!$F$2:$F$41,MATCH(C1499,Customers!$A$2:$A$41,0)))</f>
        <v>0.053</v>
      </c>
      <c r="I1499" s="16" t="n">
        <f aca="false">F1499*G1499</f>
        <v>40700</v>
      </c>
      <c r="J1499" s="16" t="n">
        <f aca="false">I1499*(1-H1499)</f>
        <v>38542.9</v>
      </c>
      <c r="K1499" s="16" t="n">
        <f aca="false">J1499*INDEX(Customers!$G$2:$G$41,MATCH(C1499,Customers!$A$2:$A$41,0))</f>
        <v>0</v>
      </c>
      <c r="L1499" s="16" t="n">
        <f aca="false">F1499*INDEX(Customers!$H$2:$H$41,MATCH(C1499,Customers!$A$2:$A$41,0))</f>
        <v>3630</v>
      </c>
      <c r="M1499" s="16" t="n">
        <f aca="false">J1499*INDEX(Customers!$I$2:$I$41,MATCH(C1499,Customers!$A$2:$A$41,0))/365*Assumptions!$B$6</f>
        <v>506.865534246575</v>
      </c>
      <c r="N1499" s="16" t="n">
        <f aca="false">J1499-K1499-L1499-M1499</f>
        <v>34406.0344657534</v>
      </c>
      <c r="O1499" s="16" t="n">
        <f aca="false">F1499*IF(A1499="2025",INDEX(Products!$D$2:$D$13,MATCH(D1499,Products!$A$2:$A$13,0)),INDEX(Products!$F$2:$F$13,MATCH(D1499,Products!$A$2:$A$13,0)))</f>
        <v>26400</v>
      </c>
      <c r="P1499" s="16" t="n">
        <f aca="false">N1499-O1499</f>
        <v>8006.03446575343</v>
      </c>
    </row>
    <row r="1500" customFormat="false" ht="15" hidden="false" customHeight="false" outlineLevel="0" collapsed="false">
      <c r="A1500" s="2" t="s">
        <v>118</v>
      </c>
      <c r="B1500" s="2" t="n">
        <v>11</v>
      </c>
      <c r="C1500" s="2" t="s">
        <v>85</v>
      </c>
      <c r="D1500" s="2" t="s">
        <v>36</v>
      </c>
      <c r="E1500" s="2" t="str">
        <f aca="false">INDEX(Products!$B$2:$B$13,MATCH(D1500,Products!$A$2:$A$13,0))</f>
        <v>FCC</v>
      </c>
      <c r="F1500" s="15" t="n">
        <v>12</v>
      </c>
      <c r="G1500" s="16" t="n">
        <f aca="false">IF(A1500="2025",INDEX(Products!$C$2:$C$13,MATCH(D1500,Products!$A$2:$A$13,0)),INDEX(Products!$E$2:$E$13,MATCH(D1500,Products!$A$2:$A$13,0)))</f>
        <v>3700</v>
      </c>
      <c r="H1500" s="13" t="n">
        <f aca="false">IF(A1500="2025",INDEX(Customers!$D$2:$D$41,MATCH(C1500,Customers!$A$2:$A$41,0)),INDEX(Customers!$F$2:$F$41,MATCH(C1500,Customers!$A$2:$A$41,0)))</f>
        <v>0.053</v>
      </c>
      <c r="I1500" s="16" t="n">
        <f aca="false">F1500*G1500</f>
        <v>44400</v>
      </c>
      <c r="J1500" s="16" t="n">
        <f aca="false">I1500*(1-H1500)</f>
        <v>42046.8</v>
      </c>
      <c r="K1500" s="16" t="n">
        <f aca="false">J1500*INDEX(Customers!$G$2:$G$41,MATCH(C1500,Customers!$A$2:$A$41,0))</f>
        <v>0</v>
      </c>
      <c r="L1500" s="16" t="n">
        <f aca="false">F1500*INDEX(Customers!$H$2:$H$41,MATCH(C1500,Customers!$A$2:$A$41,0))</f>
        <v>3960</v>
      </c>
      <c r="M1500" s="16" t="n">
        <f aca="false">J1500*INDEX(Customers!$I$2:$I$41,MATCH(C1500,Customers!$A$2:$A$41,0))/365*Assumptions!$B$6</f>
        <v>552.944219178082</v>
      </c>
      <c r="N1500" s="16" t="n">
        <f aca="false">J1500-K1500-L1500-M1500</f>
        <v>37533.8557808219</v>
      </c>
      <c r="O1500" s="16" t="n">
        <f aca="false">F1500*IF(A1500="2025",INDEX(Products!$D$2:$D$13,MATCH(D1500,Products!$A$2:$A$13,0)),INDEX(Products!$F$2:$F$13,MATCH(D1500,Products!$A$2:$A$13,0)))</f>
        <v>28800</v>
      </c>
      <c r="P1500" s="16" t="n">
        <f aca="false">N1500-O1500</f>
        <v>8733.85578082191</v>
      </c>
    </row>
    <row r="1501" customFormat="false" ht="15" hidden="false" customHeight="false" outlineLevel="0" collapsed="false">
      <c r="A1501" s="2" t="s">
        <v>118</v>
      </c>
      <c r="B1501" s="2" t="n">
        <v>12</v>
      </c>
      <c r="C1501" s="2" t="s">
        <v>85</v>
      </c>
      <c r="D1501" s="2" t="s">
        <v>36</v>
      </c>
      <c r="E1501" s="2" t="str">
        <f aca="false">INDEX(Products!$B$2:$B$13,MATCH(D1501,Products!$A$2:$A$13,0))</f>
        <v>FCC</v>
      </c>
      <c r="F1501" s="15" t="n">
        <v>7.8</v>
      </c>
      <c r="G1501" s="16" t="n">
        <f aca="false">IF(A1501="2025",INDEX(Products!$C$2:$C$13,MATCH(D1501,Products!$A$2:$A$13,0)),INDEX(Products!$E$2:$E$13,MATCH(D1501,Products!$A$2:$A$13,0)))</f>
        <v>3700</v>
      </c>
      <c r="H1501" s="13" t="n">
        <f aca="false">IF(A1501="2025",INDEX(Customers!$D$2:$D$41,MATCH(C1501,Customers!$A$2:$A$41,0)),INDEX(Customers!$F$2:$F$41,MATCH(C1501,Customers!$A$2:$A$41,0)))</f>
        <v>0.053</v>
      </c>
      <c r="I1501" s="16" t="n">
        <f aca="false">F1501*G1501</f>
        <v>28860</v>
      </c>
      <c r="J1501" s="16" t="n">
        <f aca="false">I1501*(1-H1501)</f>
        <v>27330.42</v>
      </c>
      <c r="K1501" s="16" t="n">
        <f aca="false">J1501*INDEX(Customers!$G$2:$G$41,MATCH(C1501,Customers!$A$2:$A$41,0))</f>
        <v>0</v>
      </c>
      <c r="L1501" s="16" t="n">
        <f aca="false">F1501*INDEX(Customers!$H$2:$H$41,MATCH(C1501,Customers!$A$2:$A$41,0))</f>
        <v>2574</v>
      </c>
      <c r="M1501" s="16" t="n">
        <f aca="false">J1501*INDEX(Customers!$I$2:$I$41,MATCH(C1501,Customers!$A$2:$A$41,0))/365*Assumptions!$B$6</f>
        <v>359.413742465753</v>
      </c>
      <c r="N1501" s="16" t="n">
        <f aca="false">J1501-K1501-L1501-M1501</f>
        <v>24397.0062575342</v>
      </c>
      <c r="O1501" s="16" t="n">
        <f aca="false">F1501*IF(A1501="2025",INDEX(Products!$D$2:$D$13,MATCH(D1501,Products!$A$2:$A$13,0)),INDEX(Products!$F$2:$F$13,MATCH(D1501,Products!$A$2:$A$13,0)))</f>
        <v>18720</v>
      </c>
      <c r="P1501" s="16" t="n">
        <f aca="false">N1501-O1501</f>
        <v>5677.00625753425</v>
      </c>
    </row>
    <row r="1502" customFormat="false" ht="15" hidden="false" customHeight="false" outlineLevel="0" collapsed="false">
      <c r="A1502" s="2" t="s">
        <v>119</v>
      </c>
      <c r="B1502" s="2" t="n">
        <v>1</v>
      </c>
      <c r="C1502" s="2" t="s">
        <v>85</v>
      </c>
      <c r="D1502" s="2" t="s">
        <v>36</v>
      </c>
      <c r="E1502" s="2" t="str">
        <f aca="false">INDEX(Products!$B$2:$B$13,MATCH(D1502,Products!$A$2:$A$13,0))</f>
        <v>FCC</v>
      </c>
      <c r="F1502" s="15" t="n">
        <v>12.1</v>
      </c>
      <c r="G1502" s="16" t="n">
        <f aca="false">IF(A1502="2025",INDEX(Products!$C$2:$C$13,MATCH(D1502,Products!$A$2:$A$13,0)),INDEX(Products!$E$2:$E$13,MATCH(D1502,Products!$A$2:$A$13,0)))</f>
        <v>3885</v>
      </c>
      <c r="H1502" s="13" t="n">
        <f aca="false">IF(A1502="2025",INDEX(Customers!$D$2:$D$41,MATCH(C1502,Customers!$A$2:$A$41,0)),INDEX(Customers!$F$2:$F$41,MATCH(C1502,Customers!$A$2:$A$41,0)))</f>
        <v>0.053</v>
      </c>
      <c r="I1502" s="16" t="n">
        <f aca="false">F1502*G1502</f>
        <v>47008.5</v>
      </c>
      <c r="J1502" s="16" t="n">
        <f aca="false">I1502*(1-H1502)</f>
        <v>44517.0495</v>
      </c>
      <c r="K1502" s="16" t="n">
        <f aca="false">J1502*INDEX(Customers!$G$2:$G$41,MATCH(C1502,Customers!$A$2:$A$41,0))</f>
        <v>0</v>
      </c>
      <c r="L1502" s="16" t="n">
        <f aca="false">F1502*INDEX(Customers!$H$2:$H$41,MATCH(C1502,Customers!$A$2:$A$41,0))</f>
        <v>3993</v>
      </c>
      <c r="M1502" s="16" t="n">
        <f aca="false">J1502*INDEX(Customers!$I$2:$I$41,MATCH(C1502,Customers!$A$2:$A$41,0))/365*Assumptions!$B$6</f>
        <v>585.429692054795</v>
      </c>
      <c r="N1502" s="16" t="n">
        <f aca="false">J1502-K1502-L1502-M1502</f>
        <v>39938.6198079452</v>
      </c>
      <c r="O1502" s="16" t="n">
        <f aca="false">F1502*IF(A1502="2025",INDEX(Products!$D$2:$D$13,MATCH(D1502,Products!$A$2:$A$13,0)),INDEX(Products!$F$2:$F$13,MATCH(D1502,Products!$A$2:$A$13,0)))</f>
        <v>29911.2</v>
      </c>
      <c r="P1502" s="16" t="n">
        <f aca="false">N1502-O1502</f>
        <v>10027.4198079452</v>
      </c>
    </row>
    <row r="1503" customFormat="false" ht="15" hidden="false" customHeight="false" outlineLevel="0" collapsed="false">
      <c r="A1503" s="2" t="s">
        <v>119</v>
      </c>
      <c r="B1503" s="2" t="n">
        <v>2</v>
      </c>
      <c r="C1503" s="2" t="s">
        <v>85</v>
      </c>
      <c r="D1503" s="2" t="s">
        <v>36</v>
      </c>
      <c r="E1503" s="2" t="str">
        <f aca="false">INDEX(Products!$B$2:$B$13,MATCH(D1503,Products!$A$2:$A$13,0))</f>
        <v>FCC</v>
      </c>
      <c r="F1503" s="15" t="n">
        <v>8.3</v>
      </c>
      <c r="G1503" s="16" t="n">
        <f aca="false">IF(A1503="2025",INDEX(Products!$C$2:$C$13,MATCH(D1503,Products!$A$2:$A$13,0)),INDEX(Products!$E$2:$E$13,MATCH(D1503,Products!$A$2:$A$13,0)))</f>
        <v>3885</v>
      </c>
      <c r="H1503" s="13" t="n">
        <f aca="false">IF(A1503="2025",INDEX(Customers!$D$2:$D$41,MATCH(C1503,Customers!$A$2:$A$41,0)),INDEX(Customers!$F$2:$F$41,MATCH(C1503,Customers!$A$2:$A$41,0)))</f>
        <v>0.053</v>
      </c>
      <c r="I1503" s="16" t="n">
        <f aca="false">F1503*G1503</f>
        <v>32245.5</v>
      </c>
      <c r="J1503" s="16" t="n">
        <f aca="false">I1503*(1-H1503)</f>
        <v>30536.4885</v>
      </c>
      <c r="K1503" s="16" t="n">
        <f aca="false">J1503*INDEX(Customers!$G$2:$G$41,MATCH(C1503,Customers!$A$2:$A$41,0))</f>
        <v>0</v>
      </c>
      <c r="L1503" s="16" t="n">
        <f aca="false">F1503*INDEX(Customers!$H$2:$H$41,MATCH(C1503,Customers!$A$2:$A$41,0))</f>
        <v>2739</v>
      </c>
      <c r="M1503" s="16" t="n">
        <f aca="false">J1503*INDEX(Customers!$I$2:$I$41,MATCH(C1503,Customers!$A$2:$A$41,0))/365*Assumptions!$B$6</f>
        <v>401.575739178082</v>
      </c>
      <c r="N1503" s="16" t="n">
        <f aca="false">J1503-K1503-L1503-M1503</f>
        <v>27395.9127608219</v>
      </c>
      <c r="O1503" s="16" t="n">
        <f aca="false">F1503*IF(A1503="2025",INDEX(Products!$D$2:$D$13,MATCH(D1503,Products!$A$2:$A$13,0)),INDEX(Products!$F$2:$F$13,MATCH(D1503,Products!$A$2:$A$13,0)))</f>
        <v>20517.6</v>
      </c>
      <c r="P1503" s="16" t="n">
        <f aca="false">N1503-O1503</f>
        <v>6878.31276082192</v>
      </c>
    </row>
    <row r="1504" customFormat="false" ht="15" hidden="false" customHeight="false" outlineLevel="0" collapsed="false">
      <c r="A1504" s="2" t="s">
        <v>119</v>
      </c>
      <c r="B1504" s="2" t="n">
        <v>3</v>
      </c>
      <c r="C1504" s="2" t="s">
        <v>85</v>
      </c>
      <c r="D1504" s="2" t="s">
        <v>36</v>
      </c>
      <c r="E1504" s="2" t="str">
        <f aca="false">INDEX(Products!$B$2:$B$13,MATCH(D1504,Products!$A$2:$A$13,0))</f>
        <v>FCC</v>
      </c>
      <c r="F1504" s="15" t="n">
        <v>7</v>
      </c>
      <c r="G1504" s="16" t="n">
        <f aca="false">IF(A1504="2025",INDEX(Products!$C$2:$C$13,MATCH(D1504,Products!$A$2:$A$13,0)),INDEX(Products!$E$2:$E$13,MATCH(D1504,Products!$A$2:$A$13,0)))</f>
        <v>3885</v>
      </c>
      <c r="H1504" s="13" t="n">
        <f aca="false">IF(A1504="2025",INDEX(Customers!$D$2:$D$41,MATCH(C1504,Customers!$A$2:$A$41,0)),INDEX(Customers!$F$2:$F$41,MATCH(C1504,Customers!$A$2:$A$41,0)))</f>
        <v>0.053</v>
      </c>
      <c r="I1504" s="16" t="n">
        <f aca="false">F1504*G1504</f>
        <v>27195</v>
      </c>
      <c r="J1504" s="16" t="n">
        <f aca="false">I1504*(1-H1504)</f>
        <v>25753.665</v>
      </c>
      <c r="K1504" s="16" t="n">
        <f aca="false">J1504*INDEX(Customers!$G$2:$G$41,MATCH(C1504,Customers!$A$2:$A$41,0))</f>
        <v>0</v>
      </c>
      <c r="L1504" s="16" t="n">
        <f aca="false">F1504*INDEX(Customers!$H$2:$H$41,MATCH(C1504,Customers!$A$2:$A$41,0))</f>
        <v>2310</v>
      </c>
      <c r="M1504" s="16" t="n">
        <f aca="false">J1504*INDEX(Customers!$I$2:$I$41,MATCH(C1504,Customers!$A$2:$A$41,0))/365*Assumptions!$B$6</f>
        <v>338.678334246575</v>
      </c>
      <c r="N1504" s="16" t="n">
        <f aca="false">J1504-K1504-L1504-M1504</f>
        <v>23104.9866657534</v>
      </c>
      <c r="O1504" s="16" t="n">
        <f aca="false">F1504*IF(A1504="2025",INDEX(Products!$D$2:$D$13,MATCH(D1504,Products!$A$2:$A$13,0)),INDEX(Products!$F$2:$F$13,MATCH(D1504,Products!$A$2:$A$13,0)))</f>
        <v>17304</v>
      </c>
      <c r="P1504" s="16" t="n">
        <f aca="false">N1504-O1504</f>
        <v>5800.98666575342</v>
      </c>
    </row>
    <row r="1505" customFormat="false" ht="15" hidden="false" customHeight="false" outlineLevel="0" collapsed="false">
      <c r="A1505" s="2" t="s">
        <v>119</v>
      </c>
      <c r="B1505" s="2" t="n">
        <v>4</v>
      </c>
      <c r="C1505" s="2" t="s">
        <v>85</v>
      </c>
      <c r="D1505" s="2" t="s">
        <v>36</v>
      </c>
      <c r="E1505" s="2" t="str">
        <f aca="false">INDEX(Products!$B$2:$B$13,MATCH(D1505,Products!$A$2:$A$13,0))</f>
        <v>FCC</v>
      </c>
      <c r="F1505" s="15" t="n">
        <v>8.8</v>
      </c>
      <c r="G1505" s="16" t="n">
        <f aca="false">IF(A1505="2025",INDEX(Products!$C$2:$C$13,MATCH(D1505,Products!$A$2:$A$13,0)),INDEX(Products!$E$2:$E$13,MATCH(D1505,Products!$A$2:$A$13,0)))</f>
        <v>3885</v>
      </c>
      <c r="H1505" s="13" t="n">
        <f aca="false">IF(A1505="2025",INDEX(Customers!$D$2:$D$41,MATCH(C1505,Customers!$A$2:$A$41,0)),INDEX(Customers!$F$2:$F$41,MATCH(C1505,Customers!$A$2:$A$41,0)))</f>
        <v>0.053</v>
      </c>
      <c r="I1505" s="16" t="n">
        <f aca="false">F1505*G1505</f>
        <v>34188</v>
      </c>
      <c r="J1505" s="16" t="n">
        <f aca="false">I1505*(1-H1505)</f>
        <v>32376.036</v>
      </c>
      <c r="K1505" s="16" t="n">
        <f aca="false">J1505*INDEX(Customers!$G$2:$G$41,MATCH(C1505,Customers!$A$2:$A$41,0))</f>
        <v>0</v>
      </c>
      <c r="L1505" s="16" t="n">
        <f aca="false">F1505*INDEX(Customers!$H$2:$H$41,MATCH(C1505,Customers!$A$2:$A$41,0))</f>
        <v>2904</v>
      </c>
      <c r="M1505" s="16" t="n">
        <f aca="false">J1505*INDEX(Customers!$I$2:$I$41,MATCH(C1505,Customers!$A$2:$A$41,0))/365*Assumptions!$B$6</f>
        <v>425.767048767123</v>
      </c>
      <c r="N1505" s="16" t="n">
        <f aca="false">J1505-K1505-L1505-M1505</f>
        <v>29046.2689512329</v>
      </c>
      <c r="O1505" s="16" t="n">
        <f aca="false">F1505*IF(A1505="2025",INDEX(Products!$D$2:$D$13,MATCH(D1505,Products!$A$2:$A$13,0)),INDEX(Products!$F$2:$F$13,MATCH(D1505,Products!$A$2:$A$13,0)))</f>
        <v>21753.6</v>
      </c>
      <c r="P1505" s="16" t="n">
        <f aca="false">N1505-O1505</f>
        <v>7292.66895123287</v>
      </c>
    </row>
    <row r="1506" customFormat="false" ht="15" hidden="false" customHeight="false" outlineLevel="0" collapsed="false">
      <c r="A1506" s="2" t="s">
        <v>119</v>
      </c>
      <c r="B1506" s="2" t="n">
        <v>5</v>
      </c>
      <c r="C1506" s="2" t="s">
        <v>85</v>
      </c>
      <c r="D1506" s="2" t="s">
        <v>36</v>
      </c>
      <c r="E1506" s="2" t="str">
        <f aca="false">INDEX(Products!$B$2:$B$13,MATCH(D1506,Products!$A$2:$A$13,0))</f>
        <v>FCC</v>
      </c>
      <c r="F1506" s="15" t="n">
        <v>9.5</v>
      </c>
      <c r="G1506" s="16" t="n">
        <f aca="false">IF(A1506="2025",INDEX(Products!$C$2:$C$13,MATCH(D1506,Products!$A$2:$A$13,0)),INDEX(Products!$E$2:$E$13,MATCH(D1506,Products!$A$2:$A$13,0)))</f>
        <v>3885</v>
      </c>
      <c r="H1506" s="13" t="n">
        <f aca="false">IF(A1506="2025",INDEX(Customers!$D$2:$D$41,MATCH(C1506,Customers!$A$2:$A$41,0)),INDEX(Customers!$F$2:$F$41,MATCH(C1506,Customers!$A$2:$A$41,0)))</f>
        <v>0.053</v>
      </c>
      <c r="I1506" s="16" t="n">
        <f aca="false">F1506*G1506</f>
        <v>36907.5</v>
      </c>
      <c r="J1506" s="16" t="n">
        <f aca="false">I1506*(1-H1506)</f>
        <v>34951.4025</v>
      </c>
      <c r="K1506" s="16" t="n">
        <f aca="false">J1506*INDEX(Customers!$G$2:$G$41,MATCH(C1506,Customers!$A$2:$A$41,0))</f>
        <v>0</v>
      </c>
      <c r="L1506" s="16" t="n">
        <f aca="false">F1506*INDEX(Customers!$H$2:$H$41,MATCH(C1506,Customers!$A$2:$A$41,0))</f>
        <v>3135</v>
      </c>
      <c r="M1506" s="16" t="n">
        <f aca="false">J1506*INDEX(Customers!$I$2:$I$41,MATCH(C1506,Customers!$A$2:$A$41,0))/365*Assumptions!$B$6</f>
        <v>459.634882191781</v>
      </c>
      <c r="N1506" s="16" t="n">
        <f aca="false">J1506-K1506-L1506-M1506</f>
        <v>31356.7676178082</v>
      </c>
      <c r="O1506" s="16" t="n">
        <f aca="false">F1506*IF(A1506="2025",INDEX(Products!$D$2:$D$13,MATCH(D1506,Products!$A$2:$A$13,0)),INDEX(Products!$F$2:$F$13,MATCH(D1506,Products!$A$2:$A$13,0)))</f>
        <v>23484</v>
      </c>
      <c r="P1506" s="16" t="n">
        <f aca="false">N1506-O1506</f>
        <v>7872.76761780822</v>
      </c>
    </row>
    <row r="1507" customFormat="false" ht="15" hidden="false" customHeight="false" outlineLevel="0" collapsed="false">
      <c r="A1507" s="2" t="s">
        <v>119</v>
      </c>
      <c r="B1507" s="2" t="n">
        <v>6</v>
      </c>
      <c r="C1507" s="2" t="s">
        <v>85</v>
      </c>
      <c r="D1507" s="2" t="s">
        <v>36</v>
      </c>
      <c r="E1507" s="2" t="str">
        <f aca="false">INDEX(Products!$B$2:$B$13,MATCH(D1507,Products!$A$2:$A$13,0))</f>
        <v>FCC</v>
      </c>
      <c r="F1507" s="15" t="n">
        <v>11.8</v>
      </c>
      <c r="G1507" s="16" t="n">
        <f aca="false">IF(A1507="2025",INDEX(Products!$C$2:$C$13,MATCH(D1507,Products!$A$2:$A$13,0)),INDEX(Products!$E$2:$E$13,MATCH(D1507,Products!$A$2:$A$13,0)))</f>
        <v>3885</v>
      </c>
      <c r="H1507" s="13" t="n">
        <f aca="false">IF(A1507="2025",INDEX(Customers!$D$2:$D$41,MATCH(C1507,Customers!$A$2:$A$41,0)),INDEX(Customers!$F$2:$F$41,MATCH(C1507,Customers!$A$2:$A$41,0)))</f>
        <v>0.053</v>
      </c>
      <c r="I1507" s="16" t="n">
        <f aca="false">F1507*G1507</f>
        <v>45843</v>
      </c>
      <c r="J1507" s="16" t="n">
        <f aca="false">I1507*(1-H1507)</f>
        <v>43413.321</v>
      </c>
      <c r="K1507" s="16" t="n">
        <f aca="false">J1507*INDEX(Customers!$G$2:$G$41,MATCH(C1507,Customers!$A$2:$A$41,0))</f>
        <v>0</v>
      </c>
      <c r="L1507" s="16" t="n">
        <f aca="false">F1507*INDEX(Customers!$H$2:$H$41,MATCH(C1507,Customers!$A$2:$A$41,0))</f>
        <v>3894</v>
      </c>
      <c r="M1507" s="16" t="n">
        <f aca="false">J1507*INDEX(Customers!$I$2:$I$41,MATCH(C1507,Customers!$A$2:$A$41,0))/365*Assumptions!$B$6</f>
        <v>570.91490630137</v>
      </c>
      <c r="N1507" s="16" t="n">
        <f aca="false">J1507-K1507-L1507-M1507</f>
        <v>38948.4060936986</v>
      </c>
      <c r="O1507" s="16" t="n">
        <f aca="false">F1507*IF(A1507="2025",INDEX(Products!$D$2:$D$13,MATCH(D1507,Products!$A$2:$A$13,0)),INDEX(Products!$F$2:$F$13,MATCH(D1507,Products!$A$2:$A$13,0)))</f>
        <v>29169.6</v>
      </c>
      <c r="P1507" s="16" t="n">
        <f aca="false">N1507-O1507</f>
        <v>9778.80609369863</v>
      </c>
    </row>
    <row r="1508" customFormat="false" ht="15" hidden="false" customHeight="false" outlineLevel="0" collapsed="false">
      <c r="A1508" s="2" t="s">
        <v>119</v>
      </c>
      <c r="B1508" s="2" t="n">
        <v>7</v>
      </c>
      <c r="C1508" s="2" t="s">
        <v>85</v>
      </c>
      <c r="D1508" s="2" t="s">
        <v>36</v>
      </c>
      <c r="E1508" s="2" t="str">
        <f aca="false">INDEX(Products!$B$2:$B$13,MATCH(D1508,Products!$A$2:$A$13,0))</f>
        <v>FCC</v>
      </c>
      <c r="F1508" s="15" t="n">
        <v>10.3</v>
      </c>
      <c r="G1508" s="16" t="n">
        <f aca="false">IF(A1508="2025",INDEX(Products!$C$2:$C$13,MATCH(D1508,Products!$A$2:$A$13,0)),INDEX(Products!$E$2:$E$13,MATCH(D1508,Products!$A$2:$A$13,0)))</f>
        <v>3885</v>
      </c>
      <c r="H1508" s="13" t="n">
        <f aca="false">IF(A1508="2025",INDEX(Customers!$D$2:$D$41,MATCH(C1508,Customers!$A$2:$A$41,0)),INDEX(Customers!$F$2:$F$41,MATCH(C1508,Customers!$A$2:$A$41,0)))</f>
        <v>0.053</v>
      </c>
      <c r="I1508" s="16" t="n">
        <f aca="false">F1508*G1508</f>
        <v>40015.5</v>
      </c>
      <c r="J1508" s="16" t="n">
        <f aca="false">I1508*(1-H1508)</f>
        <v>37894.6785</v>
      </c>
      <c r="K1508" s="16" t="n">
        <f aca="false">J1508*INDEX(Customers!$G$2:$G$41,MATCH(C1508,Customers!$A$2:$A$41,0))</f>
        <v>0</v>
      </c>
      <c r="L1508" s="16" t="n">
        <f aca="false">F1508*INDEX(Customers!$H$2:$H$41,MATCH(C1508,Customers!$A$2:$A$41,0))</f>
        <v>3399</v>
      </c>
      <c r="M1508" s="16" t="n">
        <f aca="false">J1508*INDEX(Customers!$I$2:$I$41,MATCH(C1508,Customers!$A$2:$A$41,0))/365*Assumptions!$B$6</f>
        <v>498.340977534247</v>
      </c>
      <c r="N1508" s="16" t="n">
        <f aca="false">J1508-K1508-L1508-M1508</f>
        <v>33997.3375224658</v>
      </c>
      <c r="O1508" s="16" t="n">
        <f aca="false">F1508*IF(A1508="2025",INDEX(Products!$D$2:$D$13,MATCH(D1508,Products!$A$2:$A$13,0)),INDEX(Products!$F$2:$F$13,MATCH(D1508,Products!$A$2:$A$13,0)))</f>
        <v>25461.6</v>
      </c>
      <c r="P1508" s="16" t="n">
        <f aca="false">N1508-O1508</f>
        <v>8535.73752246575</v>
      </c>
    </row>
    <row r="1509" customFormat="false" ht="15" hidden="false" customHeight="false" outlineLevel="0" collapsed="false">
      <c r="A1509" s="2" t="s">
        <v>119</v>
      </c>
      <c r="B1509" s="2" t="n">
        <v>8</v>
      </c>
      <c r="C1509" s="2" t="s">
        <v>85</v>
      </c>
      <c r="D1509" s="2" t="s">
        <v>36</v>
      </c>
      <c r="E1509" s="2" t="str">
        <f aca="false">INDEX(Products!$B$2:$B$13,MATCH(D1509,Products!$A$2:$A$13,0))</f>
        <v>FCC</v>
      </c>
      <c r="F1509" s="15" t="n">
        <v>7.4</v>
      </c>
      <c r="G1509" s="16" t="n">
        <f aca="false">IF(A1509="2025",INDEX(Products!$C$2:$C$13,MATCH(D1509,Products!$A$2:$A$13,0)),INDEX(Products!$E$2:$E$13,MATCH(D1509,Products!$A$2:$A$13,0)))</f>
        <v>3885</v>
      </c>
      <c r="H1509" s="13" t="n">
        <f aca="false">IF(A1509="2025",INDEX(Customers!$D$2:$D$41,MATCH(C1509,Customers!$A$2:$A$41,0)),INDEX(Customers!$F$2:$F$41,MATCH(C1509,Customers!$A$2:$A$41,0)))</f>
        <v>0.053</v>
      </c>
      <c r="I1509" s="16" t="n">
        <f aca="false">F1509*G1509</f>
        <v>28749</v>
      </c>
      <c r="J1509" s="16" t="n">
        <f aca="false">I1509*(1-H1509)</f>
        <v>27225.303</v>
      </c>
      <c r="K1509" s="16" t="n">
        <f aca="false">J1509*INDEX(Customers!$G$2:$G$41,MATCH(C1509,Customers!$A$2:$A$41,0))</f>
        <v>0</v>
      </c>
      <c r="L1509" s="16" t="n">
        <f aca="false">F1509*INDEX(Customers!$H$2:$H$41,MATCH(C1509,Customers!$A$2:$A$41,0))</f>
        <v>2442</v>
      </c>
      <c r="M1509" s="16" t="n">
        <f aca="false">J1509*INDEX(Customers!$I$2:$I$41,MATCH(C1509,Customers!$A$2:$A$41,0))/365*Assumptions!$B$6</f>
        <v>358.031381917808</v>
      </c>
      <c r="N1509" s="16" t="n">
        <f aca="false">J1509-K1509-L1509-M1509</f>
        <v>24425.2716180822</v>
      </c>
      <c r="O1509" s="16" t="n">
        <f aca="false">F1509*IF(A1509="2025",INDEX(Products!$D$2:$D$13,MATCH(D1509,Products!$A$2:$A$13,0)),INDEX(Products!$F$2:$F$13,MATCH(D1509,Products!$A$2:$A$13,0)))</f>
        <v>18292.8</v>
      </c>
      <c r="P1509" s="16" t="n">
        <f aca="false">N1509-O1509</f>
        <v>6132.47161808219</v>
      </c>
    </row>
    <row r="1510" customFormat="false" ht="15" hidden="false" customHeight="false" outlineLevel="0" collapsed="false">
      <c r="A1510" s="2" t="s">
        <v>119</v>
      </c>
      <c r="B1510" s="2" t="n">
        <v>9</v>
      </c>
      <c r="C1510" s="2" t="s">
        <v>85</v>
      </c>
      <c r="D1510" s="2" t="s">
        <v>36</v>
      </c>
      <c r="E1510" s="2" t="str">
        <f aca="false">INDEX(Products!$B$2:$B$13,MATCH(D1510,Products!$A$2:$A$13,0))</f>
        <v>FCC</v>
      </c>
      <c r="F1510" s="15" t="n">
        <v>8.1</v>
      </c>
      <c r="G1510" s="16" t="n">
        <f aca="false">IF(A1510="2025",INDEX(Products!$C$2:$C$13,MATCH(D1510,Products!$A$2:$A$13,0)),INDEX(Products!$E$2:$E$13,MATCH(D1510,Products!$A$2:$A$13,0)))</f>
        <v>3885</v>
      </c>
      <c r="H1510" s="13" t="n">
        <f aca="false">IF(A1510="2025",INDEX(Customers!$D$2:$D$41,MATCH(C1510,Customers!$A$2:$A$41,0)),INDEX(Customers!$F$2:$F$41,MATCH(C1510,Customers!$A$2:$A$41,0)))</f>
        <v>0.053</v>
      </c>
      <c r="I1510" s="16" t="n">
        <f aca="false">F1510*G1510</f>
        <v>31468.5</v>
      </c>
      <c r="J1510" s="16" t="n">
        <f aca="false">I1510*(1-H1510)</f>
        <v>29800.6695</v>
      </c>
      <c r="K1510" s="16" t="n">
        <f aca="false">J1510*INDEX(Customers!$G$2:$G$41,MATCH(C1510,Customers!$A$2:$A$41,0))</f>
        <v>0</v>
      </c>
      <c r="L1510" s="16" t="n">
        <f aca="false">F1510*INDEX(Customers!$H$2:$H$41,MATCH(C1510,Customers!$A$2:$A$41,0))</f>
        <v>2673</v>
      </c>
      <c r="M1510" s="16" t="n">
        <f aca="false">J1510*INDEX(Customers!$I$2:$I$41,MATCH(C1510,Customers!$A$2:$A$41,0))/365*Assumptions!$B$6</f>
        <v>391.899215342466</v>
      </c>
      <c r="N1510" s="16" t="n">
        <f aca="false">J1510-K1510-L1510-M1510</f>
        <v>26735.7702846575</v>
      </c>
      <c r="O1510" s="16" t="n">
        <f aca="false">F1510*IF(A1510="2025",INDEX(Products!$D$2:$D$13,MATCH(D1510,Products!$A$2:$A$13,0)),INDEX(Products!$F$2:$F$13,MATCH(D1510,Products!$A$2:$A$13,0)))</f>
        <v>20023.2</v>
      </c>
      <c r="P1510" s="16" t="n">
        <f aca="false">N1510-O1510</f>
        <v>6712.57028465753</v>
      </c>
    </row>
    <row r="1511" customFormat="false" ht="15" hidden="false" customHeight="false" outlineLevel="0" collapsed="false">
      <c r="A1511" s="2" t="s">
        <v>119</v>
      </c>
      <c r="B1511" s="2" t="n">
        <v>10</v>
      </c>
      <c r="C1511" s="2" t="s">
        <v>85</v>
      </c>
      <c r="D1511" s="2" t="s">
        <v>36</v>
      </c>
      <c r="E1511" s="2" t="str">
        <f aca="false">INDEX(Products!$B$2:$B$13,MATCH(D1511,Products!$A$2:$A$13,0))</f>
        <v>FCC</v>
      </c>
      <c r="F1511" s="15" t="n">
        <v>11.2</v>
      </c>
      <c r="G1511" s="16" t="n">
        <f aca="false">IF(A1511="2025",INDEX(Products!$C$2:$C$13,MATCH(D1511,Products!$A$2:$A$13,0)),INDEX(Products!$E$2:$E$13,MATCH(D1511,Products!$A$2:$A$13,0)))</f>
        <v>3885</v>
      </c>
      <c r="H1511" s="13" t="n">
        <f aca="false">IF(A1511="2025",INDEX(Customers!$D$2:$D$41,MATCH(C1511,Customers!$A$2:$A$41,0)),INDEX(Customers!$F$2:$F$41,MATCH(C1511,Customers!$A$2:$A$41,0)))</f>
        <v>0.053</v>
      </c>
      <c r="I1511" s="16" t="n">
        <f aca="false">F1511*G1511</f>
        <v>43512</v>
      </c>
      <c r="J1511" s="16" t="n">
        <f aca="false">I1511*(1-H1511)</f>
        <v>41205.864</v>
      </c>
      <c r="K1511" s="16" t="n">
        <f aca="false">J1511*INDEX(Customers!$G$2:$G$41,MATCH(C1511,Customers!$A$2:$A$41,0))</f>
        <v>0</v>
      </c>
      <c r="L1511" s="16" t="n">
        <f aca="false">F1511*INDEX(Customers!$H$2:$H$41,MATCH(C1511,Customers!$A$2:$A$41,0))</f>
        <v>3696</v>
      </c>
      <c r="M1511" s="16" t="n">
        <f aca="false">J1511*INDEX(Customers!$I$2:$I$41,MATCH(C1511,Customers!$A$2:$A$41,0))/365*Assumptions!$B$6</f>
        <v>541.885334794521</v>
      </c>
      <c r="N1511" s="16" t="n">
        <f aca="false">J1511-K1511-L1511-M1511</f>
        <v>36967.9786652055</v>
      </c>
      <c r="O1511" s="16" t="n">
        <f aca="false">F1511*IF(A1511="2025",INDEX(Products!$D$2:$D$13,MATCH(D1511,Products!$A$2:$A$13,0)),INDEX(Products!$F$2:$F$13,MATCH(D1511,Products!$A$2:$A$13,0)))</f>
        <v>27686.4</v>
      </c>
      <c r="P1511" s="16" t="n">
        <f aca="false">N1511-O1511</f>
        <v>9281.57866520549</v>
      </c>
    </row>
    <row r="1512" customFormat="false" ht="15" hidden="false" customHeight="false" outlineLevel="0" collapsed="false">
      <c r="A1512" s="2" t="s">
        <v>119</v>
      </c>
      <c r="B1512" s="2" t="n">
        <v>11</v>
      </c>
      <c r="C1512" s="2" t="s">
        <v>85</v>
      </c>
      <c r="D1512" s="2" t="s">
        <v>36</v>
      </c>
      <c r="E1512" s="2" t="str">
        <f aca="false">INDEX(Products!$B$2:$B$13,MATCH(D1512,Products!$A$2:$A$13,0))</f>
        <v>FCC</v>
      </c>
      <c r="F1512" s="15" t="n">
        <v>9.8</v>
      </c>
      <c r="G1512" s="16" t="n">
        <f aca="false">IF(A1512="2025",INDEX(Products!$C$2:$C$13,MATCH(D1512,Products!$A$2:$A$13,0)),INDEX(Products!$E$2:$E$13,MATCH(D1512,Products!$A$2:$A$13,0)))</f>
        <v>3885</v>
      </c>
      <c r="H1512" s="13" t="n">
        <f aca="false">IF(A1512="2025",INDEX(Customers!$D$2:$D$41,MATCH(C1512,Customers!$A$2:$A$41,0)),INDEX(Customers!$F$2:$F$41,MATCH(C1512,Customers!$A$2:$A$41,0)))</f>
        <v>0.053</v>
      </c>
      <c r="I1512" s="16" t="n">
        <f aca="false">F1512*G1512</f>
        <v>38073</v>
      </c>
      <c r="J1512" s="16" t="n">
        <f aca="false">I1512*(1-H1512)</f>
        <v>36055.131</v>
      </c>
      <c r="K1512" s="16" t="n">
        <f aca="false">J1512*INDEX(Customers!$G$2:$G$41,MATCH(C1512,Customers!$A$2:$A$41,0))</f>
        <v>0</v>
      </c>
      <c r="L1512" s="16" t="n">
        <f aca="false">F1512*INDEX(Customers!$H$2:$H$41,MATCH(C1512,Customers!$A$2:$A$41,0))</f>
        <v>3234</v>
      </c>
      <c r="M1512" s="16" t="n">
        <f aca="false">J1512*INDEX(Customers!$I$2:$I$41,MATCH(C1512,Customers!$A$2:$A$41,0))/365*Assumptions!$B$6</f>
        <v>474.149667945205</v>
      </c>
      <c r="N1512" s="16" t="n">
        <f aca="false">J1512-K1512-L1512-M1512</f>
        <v>32346.9813320548</v>
      </c>
      <c r="O1512" s="16" t="n">
        <f aca="false">F1512*IF(A1512="2025",INDEX(Products!$D$2:$D$13,MATCH(D1512,Products!$A$2:$A$13,0)),INDEX(Products!$F$2:$F$13,MATCH(D1512,Products!$A$2:$A$13,0)))</f>
        <v>24225.6</v>
      </c>
      <c r="P1512" s="16" t="n">
        <f aca="false">N1512-O1512</f>
        <v>8121.38133205479</v>
      </c>
    </row>
    <row r="1513" customFormat="false" ht="15" hidden="false" customHeight="false" outlineLevel="0" collapsed="false">
      <c r="A1513" s="2" t="s">
        <v>119</v>
      </c>
      <c r="B1513" s="2" t="n">
        <v>12</v>
      </c>
      <c r="C1513" s="2" t="s">
        <v>85</v>
      </c>
      <c r="D1513" s="2" t="s">
        <v>36</v>
      </c>
      <c r="E1513" s="2" t="str">
        <f aca="false">INDEX(Products!$B$2:$B$13,MATCH(D1513,Products!$A$2:$A$13,0))</f>
        <v>FCC</v>
      </c>
      <c r="F1513" s="15" t="n">
        <v>10.5</v>
      </c>
      <c r="G1513" s="16" t="n">
        <f aca="false">IF(A1513="2025",INDEX(Products!$C$2:$C$13,MATCH(D1513,Products!$A$2:$A$13,0)),INDEX(Products!$E$2:$E$13,MATCH(D1513,Products!$A$2:$A$13,0)))</f>
        <v>3885</v>
      </c>
      <c r="H1513" s="13" t="n">
        <f aca="false">IF(A1513="2025",INDEX(Customers!$D$2:$D$41,MATCH(C1513,Customers!$A$2:$A$41,0)),INDEX(Customers!$F$2:$F$41,MATCH(C1513,Customers!$A$2:$A$41,0)))</f>
        <v>0.053</v>
      </c>
      <c r="I1513" s="16" t="n">
        <f aca="false">F1513*G1513</f>
        <v>40792.5</v>
      </c>
      <c r="J1513" s="16" t="n">
        <f aca="false">I1513*(1-H1513)</f>
        <v>38630.4975</v>
      </c>
      <c r="K1513" s="16" t="n">
        <f aca="false">J1513*INDEX(Customers!$G$2:$G$41,MATCH(C1513,Customers!$A$2:$A$41,0))</f>
        <v>0</v>
      </c>
      <c r="L1513" s="16" t="n">
        <f aca="false">F1513*INDEX(Customers!$H$2:$H$41,MATCH(C1513,Customers!$A$2:$A$41,0))</f>
        <v>3465</v>
      </c>
      <c r="M1513" s="16" t="n">
        <f aca="false">J1513*INDEX(Customers!$I$2:$I$41,MATCH(C1513,Customers!$A$2:$A$41,0))/365*Assumptions!$B$6</f>
        <v>508.017501369863</v>
      </c>
      <c r="N1513" s="16" t="n">
        <f aca="false">J1513-K1513-L1513-M1513</f>
        <v>34657.4799986301</v>
      </c>
      <c r="O1513" s="16" t="n">
        <f aca="false">F1513*IF(A1513="2025",INDEX(Products!$D$2:$D$13,MATCH(D1513,Products!$A$2:$A$13,0)),INDEX(Products!$F$2:$F$13,MATCH(D1513,Products!$A$2:$A$13,0)))</f>
        <v>25956</v>
      </c>
      <c r="P1513" s="16" t="n">
        <f aca="false">N1513-O1513</f>
        <v>8701.47999863014</v>
      </c>
    </row>
    <row r="1514" customFormat="false" ht="15" hidden="false" customHeight="false" outlineLevel="0" collapsed="false">
      <c r="A1514" s="2" t="s">
        <v>118</v>
      </c>
      <c r="B1514" s="2" t="n">
        <v>1</v>
      </c>
      <c r="C1514" s="2" t="s">
        <v>85</v>
      </c>
      <c r="D1514" s="2" t="s">
        <v>48</v>
      </c>
      <c r="E1514" s="2" t="str">
        <f aca="false">INDEX(Products!$B$2:$B$13,MATCH(D1514,Products!$A$2:$A$13,0))</f>
        <v>Specialty</v>
      </c>
      <c r="F1514" s="15" t="n">
        <v>2</v>
      </c>
      <c r="G1514" s="16" t="n">
        <f aca="false">IF(A1514="2025",INDEX(Products!$C$2:$C$13,MATCH(D1514,Products!$A$2:$A$13,0)),INDEX(Products!$E$2:$E$13,MATCH(D1514,Products!$A$2:$A$13,0)))</f>
        <v>33260</v>
      </c>
      <c r="H1514" s="13" t="n">
        <f aca="false">IF(A1514="2025",INDEX(Customers!$D$2:$D$41,MATCH(C1514,Customers!$A$2:$A$41,0)),INDEX(Customers!$F$2:$F$41,MATCH(C1514,Customers!$A$2:$A$41,0)))</f>
        <v>0.053</v>
      </c>
      <c r="I1514" s="16" t="n">
        <f aca="false">F1514*G1514</f>
        <v>66520</v>
      </c>
      <c r="J1514" s="16" t="n">
        <f aca="false">I1514*(1-H1514)</f>
        <v>62994.44</v>
      </c>
      <c r="K1514" s="16" t="n">
        <f aca="false">J1514*INDEX(Customers!$G$2:$G$41,MATCH(C1514,Customers!$A$2:$A$41,0))</f>
        <v>0</v>
      </c>
      <c r="L1514" s="16" t="n">
        <f aca="false">F1514*INDEX(Customers!$H$2:$H$41,MATCH(C1514,Customers!$A$2:$A$41,0))</f>
        <v>660</v>
      </c>
      <c r="M1514" s="16" t="n">
        <f aca="false">J1514*INDEX(Customers!$I$2:$I$41,MATCH(C1514,Customers!$A$2:$A$41,0))/365*Assumptions!$B$6</f>
        <v>828.420032876712</v>
      </c>
      <c r="N1514" s="16" t="n">
        <f aca="false">J1514-K1514-L1514-M1514</f>
        <v>61506.0199671233</v>
      </c>
      <c r="O1514" s="16" t="n">
        <f aca="false">F1514*IF(A1514="2025",INDEX(Products!$D$2:$D$13,MATCH(D1514,Products!$A$2:$A$13,0)),INDEX(Products!$F$2:$F$13,MATCH(D1514,Products!$A$2:$A$13,0)))</f>
        <v>30040</v>
      </c>
      <c r="P1514" s="16" t="n">
        <f aca="false">N1514-O1514</f>
        <v>31466.0199671233</v>
      </c>
    </row>
    <row r="1515" customFormat="false" ht="15" hidden="false" customHeight="false" outlineLevel="0" collapsed="false">
      <c r="A1515" s="2" t="s">
        <v>118</v>
      </c>
      <c r="B1515" s="2" t="n">
        <v>2</v>
      </c>
      <c r="C1515" s="2" t="s">
        <v>85</v>
      </c>
      <c r="D1515" s="2" t="s">
        <v>48</v>
      </c>
      <c r="E1515" s="2" t="str">
        <f aca="false">INDEX(Products!$B$2:$B$13,MATCH(D1515,Products!$A$2:$A$13,0))</f>
        <v>Specialty</v>
      </c>
      <c r="F1515" s="15" t="n">
        <v>2.7</v>
      </c>
      <c r="G1515" s="16" t="n">
        <f aca="false">IF(A1515="2025",INDEX(Products!$C$2:$C$13,MATCH(D1515,Products!$A$2:$A$13,0)),INDEX(Products!$E$2:$E$13,MATCH(D1515,Products!$A$2:$A$13,0)))</f>
        <v>33260</v>
      </c>
      <c r="H1515" s="13" t="n">
        <f aca="false">IF(A1515="2025",INDEX(Customers!$D$2:$D$41,MATCH(C1515,Customers!$A$2:$A$41,0)),INDEX(Customers!$F$2:$F$41,MATCH(C1515,Customers!$A$2:$A$41,0)))</f>
        <v>0.053</v>
      </c>
      <c r="I1515" s="16" t="n">
        <f aca="false">F1515*G1515</f>
        <v>89802</v>
      </c>
      <c r="J1515" s="16" t="n">
        <f aca="false">I1515*(1-H1515)</f>
        <v>85042.494</v>
      </c>
      <c r="K1515" s="16" t="n">
        <f aca="false">J1515*INDEX(Customers!$G$2:$G$41,MATCH(C1515,Customers!$A$2:$A$41,0))</f>
        <v>0</v>
      </c>
      <c r="L1515" s="16" t="n">
        <f aca="false">F1515*INDEX(Customers!$H$2:$H$41,MATCH(C1515,Customers!$A$2:$A$41,0))</f>
        <v>891</v>
      </c>
      <c r="M1515" s="16" t="n">
        <f aca="false">J1515*INDEX(Customers!$I$2:$I$41,MATCH(C1515,Customers!$A$2:$A$41,0))/365*Assumptions!$B$6</f>
        <v>1118.36704438356</v>
      </c>
      <c r="N1515" s="16" t="n">
        <f aca="false">J1515-K1515-L1515-M1515</f>
        <v>83033.1269556164</v>
      </c>
      <c r="O1515" s="16" t="n">
        <f aca="false">F1515*IF(A1515="2025",INDEX(Products!$D$2:$D$13,MATCH(D1515,Products!$A$2:$A$13,0)),INDEX(Products!$F$2:$F$13,MATCH(D1515,Products!$A$2:$A$13,0)))</f>
        <v>40554</v>
      </c>
      <c r="P1515" s="16" t="n">
        <f aca="false">N1515-O1515</f>
        <v>42479.1269556164</v>
      </c>
    </row>
    <row r="1516" customFormat="false" ht="15" hidden="false" customHeight="false" outlineLevel="0" collapsed="false">
      <c r="A1516" s="2" t="s">
        <v>118</v>
      </c>
      <c r="B1516" s="2" t="n">
        <v>3</v>
      </c>
      <c r="C1516" s="2" t="s">
        <v>85</v>
      </c>
      <c r="D1516" s="2" t="s">
        <v>48</v>
      </c>
      <c r="E1516" s="2" t="str">
        <f aca="false">INDEX(Products!$B$2:$B$13,MATCH(D1516,Products!$A$2:$A$13,0))</f>
        <v>Specialty</v>
      </c>
      <c r="F1516" s="15" t="n">
        <v>2.3</v>
      </c>
      <c r="G1516" s="16" t="n">
        <f aca="false">IF(A1516="2025",INDEX(Products!$C$2:$C$13,MATCH(D1516,Products!$A$2:$A$13,0)),INDEX(Products!$E$2:$E$13,MATCH(D1516,Products!$A$2:$A$13,0)))</f>
        <v>33260</v>
      </c>
      <c r="H1516" s="13" t="n">
        <f aca="false">IF(A1516="2025",INDEX(Customers!$D$2:$D$41,MATCH(C1516,Customers!$A$2:$A$41,0)),INDEX(Customers!$F$2:$F$41,MATCH(C1516,Customers!$A$2:$A$41,0)))</f>
        <v>0.053</v>
      </c>
      <c r="I1516" s="16" t="n">
        <f aca="false">F1516*G1516</f>
        <v>76498</v>
      </c>
      <c r="J1516" s="16" t="n">
        <f aca="false">I1516*(1-H1516)</f>
        <v>72443.606</v>
      </c>
      <c r="K1516" s="16" t="n">
        <f aca="false">J1516*INDEX(Customers!$G$2:$G$41,MATCH(C1516,Customers!$A$2:$A$41,0))</f>
        <v>0</v>
      </c>
      <c r="L1516" s="16" t="n">
        <f aca="false">F1516*INDEX(Customers!$H$2:$H$41,MATCH(C1516,Customers!$A$2:$A$41,0))</f>
        <v>759</v>
      </c>
      <c r="M1516" s="16" t="n">
        <f aca="false">J1516*INDEX(Customers!$I$2:$I$41,MATCH(C1516,Customers!$A$2:$A$41,0))/365*Assumptions!$B$6</f>
        <v>952.683037808219</v>
      </c>
      <c r="N1516" s="16" t="n">
        <f aca="false">J1516-K1516-L1516-M1516</f>
        <v>70731.9229621918</v>
      </c>
      <c r="O1516" s="16" t="n">
        <f aca="false">F1516*IF(A1516="2025",INDEX(Products!$D$2:$D$13,MATCH(D1516,Products!$A$2:$A$13,0)),INDEX(Products!$F$2:$F$13,MATCH(D1516,Products!$A$2:$A$13,0)))</f>
        <v>34546</v>
      </c>
      <c r="P1516" s="16" t="n">
        <f aca="false">N1516-O1516</f>
        <v>36185.9229621918</v>
      </c>
    </row>
    <row r="1517" customFormat="false" ht="15" hidden="false" customHeight="false" outlineLevel="0" collapsed="false">
      <c r="A1517" s="2" t="s">
        <v>118</v>
      </c>
      <c r="B1517" s="2" t="n">
        <v>4</v>
      </c>
      <c r="C1517" s="2" t="s">
        <v>85</v>
      </c>
      <c r="D1517" s="2" t="s">
        <v>48</v>
      </c>
      <c r="E1517" s="2" t="str">
        <f aca="false">INDEX(Products!$B$2:$B$13,MATCH(D1517,Products!$A$2:$A$13,0))</f>
        <v>Specialty</v>
      </c>
      <c r="F1517" s="15" t="n">
        <v>1.9</v>
      </c>
      <c r="G1517" s="16" t="n">
        <f aca="false">IF(A1517="2025",INDEX(Products!$C$2:$C$13,MATCH(D1517,Products!$A$2:$A$13,0)),INDEX(Products!$E$2:$E$13,MATCH(D1517,Products!$A$2:$A$13,0)))</f>
        <v>33260</v>
      </c>
      <c r="H1517" s="13" t="n">
        <f aca="false">IF(A1517="2025",INDEX(Customers!$D$2:$D$41,MATCH(C1517,Customers!$A$2:$A$41,0)),INDEX(Customers!$F$2:$F$41,MATCH(C1517,Customers!$A$2:$A$41,0)))</f>
        <v>0.053</v>
      </c>
      <c r="I1517" s="16" t="n">
        <f aca="false">F1517*G1517</f>
        <v>63194</v>
      </c>
      <c r="J1517" s="16" t="n">
        <f aca="false">I1517*(1-H1517)</f>
        <v>59844.718</v>
      </c>
      <c r="K1517" s="16" t="n">
        <f aca="false">J1517*INDEX(Customers!$G$2:$G$41,MATCH(C1517,Customers!$A$2:$A$41,0))</f>
        <v>0</v>
      </c>
      <c r="L1517" s="16" t="n">
        <f aca="false">F1517*INDEX(Customers!$H$2:$H$41,MATCH(C1517,Customers!$A$2:$A$41,0))</f>
        <v>627</v>
      </c>
      <c r="M1517" s="16" t="n">
        <f aca="false">J1517*INDEX(Customers!$I$2:$I$41,MATCH(C1517,Customers!$A$2:$A$41,0))/365*Assumptions!$B$6</f>
        <v>786.999031232877</v>
      </c>
      <c r="N1517" s="16" t="n">
        <f aca="false">J1517-K1517-L1517-M1517</f>
        <v>58430.7189687671</v>
      </c>
      <c r="O1517" s="16" t="n">
        <f aca="false">F1517*IF(A1517="2025",INDEX(Products!$D$2:$D$13,MATCH(D1517,Products!$A$2:$A$13,0)),INDEX(Products!$F$2:$F$13,MATCH(D1517,Products!$A$2:$A$13,0)))</f>
        <v>28538</v>
      </c>
      <c r="P1517" s="16" t="n">
        <f aca="false">N1517-O1517</f>
        <v>29892.7189687671</v>
      </c>
    </row>
    <row r="1518" customFormat="false" ht="15" hidden="false" customHeight="false" outlineLevel="0" collapsed="false">
      <c r="A1518" s="2" t="s">
        <v>118</v>
      </c>
      <c r="B1518" s="2" t="n">
        <v>5</v>
      </c>
      <c r="C1518" s="2" t="s">
        <v>85</v>
      </c>
      <c r="D1518" s="2" t="s">
        <v>48</v>
      </c>
      <c r="E1518" s="2" t="str">
        <f aca="false">INDEX(Products!$B$2:$B$13,MATCH(D1518,Products!$A$2:$A$13,0))</f>
        <v>Specialty</v>
      </c>
      <c r="F1518" s="15" t="n">
        <v>2.4</v>
      </c>
      <c r="G1518" s="16" t="n">
        <f aca="false">IF(A1518="2025",INDEX(Products!$C$2:$C$13,MATCH(D1518,Products!$A$2:$A$13,0)),INDEX(Products!$E$2:$E$13,MATCH(D1518,Products!$A$2:$A$13,0)))</f>
        <v>33260</v>
      </c>
      <c r="H1518" s="13" t="n">
        <f aca="false">IF(A1518="2025",INDEX(Customers!$D$2:$D$41,MATCH(C1518,Customers!$A$2:$A$41,0)),INDEX(Customers!$F$2:$F$41,MATCH(C1518,Customers!$A$2:$A$41,0)))</f>
        <v>0.053</v>
      </c>
      <c r="I1518" s="16" t="n">
        <f aca="false">F1518*G1518</f>
        <v>79824</v>
      </c>
      <c r="J1518" s="16" t="n">
        <f aca="false">I1518*(1-H1518)</f>
        <v>75593.328</v>
      </c>
      <c r="K1518" s="16" t="n">
        <f aca="false">J1518*INDEX(Customers!$G$2:$G$41,MATCH(C1518,Customers!$A$2:$A$41,0))</f>
        <v>0</v>
      </c>
      <c r="L1518" s="16" t="n">
        <f aca="false">F1518*INDEX(Customers!$H$2:$H$41,MATCH(C1518,Customers!$A$2:$A$41,0))</f>
        <v>792</v>
      </c>
      <c r="M1518" s="16" t="n">
        <f aca="false">J1518*INDEX(Customers!$I$2:$I$41,MATCH(C1518,Customers!$A$2:$A$41,0))/365*Assumptions!$B$6</f>
        <v>994.104039452055</v>
      </c>
      <c r="N1518" s="16" t="n">
        <f aca="false">J1518-K1518-L1518-M1518</f>
        <v>73807.2239605479</v>
      </c>
      <c r="O1518" s="16" t="n">
        <f aca="false">F1518*IF(A1518="2025",INDEX(Products!$D$2:$D$13,MATCH(D1518,Products!$A$2:$A$13,0)),INDEX(Products!$F$2:$F$13,MATCH(D1518,Products!$A$2:$A$13,0)))</f>
        <v>36048</v>
      </c>
      <c r="P1518" s="16" t="n">
        <f aca="false">N1518-O1518</f>
        <v>37759.2239605479</v>
      </c>
    </row>
    <row r="1519" customFormat="false" ht="15" hidden="false" customHeight="false" outlineLevel="0" collapsed="false">
      <c r="A1519" s="2" t="s">
        <v>118</v>
      </c>
      <c r="B1519" s="2" t="n">
        <v>6</v>
      </c>
      <c r="C1519" s="2" t="s">
        <v>85</v>
      </c>
      <c r="D1519" s="2" t="s">
        <v>48</v>
      </c>
      <c r="E1519" s="2" t="str">
        <f aca="false">INDEX(Products!$B$2:$B$13,MATCH(D1519,Products!$A$2:$A$13,0))</f>
        <v>Specialty</v>
      </c>
      <c r="F1519" s="15" t="n">
        <v>2.7</v>
      </c>
      <c r="G1519" s="16" t="n">
        <f aca="false">IF(A1519="2025",INDEX(Products!$C$2:$C$13,MATCH(D1519,Products!$A$2:$A$13,0)),INDEX(Products!$E$2:$E$13,MATCH(D1519,Products!$A$2:$A$13,0)))</f>
        <v>33260</v>
      </c>
      <c r="H1519" s="13" t="n">
        <f aca="false">IF(A1519="2025",INDEX(Customers!$D$2:$D$41,MATCH(C1519,Customers!$A$2:$A$41,0)),INDEX(Customers!$F$2:$F$41,MATCH(C1519,Customers!$A$2:$A$41,0)))</f>
        <v>0.053</v>
      </c>
      <c r="I1519" s="16" t="n">
        <f aca="false">F1519*G1519</f>
        <v>89802</v>
      </c>
      <c r="J1519" s="16" t="n">
        <f aca="false">I1519*(1-H1519)</f>
        <v>85042.494</v>
      </c>
      <c r="K1519" s="16" t="n">
        <f aca="false">J1519*INDEX(Customers!$G$2:$G$41,MATCH(C1519,Customers!$A$2:$A$41,0))</f>
        <v>0</v>
      </c>
      <c r="L1519" s="16" t="n">
        <f aca="false">F1519*INDEX(Customers!$H$2:$H$41,MATCH(C1519,Customers!$A$2:$A$41,0))</f>
        <v>891</v>
      </c>
      <c r="M1519" s="16" t="n">
        <f aca="false">J1519*INDEX(Customers!$I$2:$I$41,MATCH(C1519,Customers!$A$2:$A$41,0))/365*Assumptions!$B$6</f>
        <v>1118.36704438356</v>
      </c>
      <c r="N1519" s="16" t="n">
        <f aca="false">J1519-K1519-L1519-M1519</f>
        <v>83033.1269556164</v>
      </c>
      <c r="O1519" s="16" t="n">
        <f aca="false">F1519*IF(A1519="2025",INDEX(Products!$D$2:$D$13,MATCH(D1519,Products!$A$2:$A$13,0)),INDEX(Products!$F$2:$F$13,MATCH(D1519,Products!$A$2:$A$13,0)))</f>
        <v>40554</v>
      </c>
      <c r="P1519" s="16" t="n">
        <f aca="false">N1519-O1519</f>
        <v>42479.1269556164</v>
      </c>
    </row>
    <row r="1520" customFormat="false" ht="15" hidden="false" customHeight="false" outlineLevel="0" collapsed="false">
      <c r="A1520" s="2" t="s">
        <v>118</v>
      </c>
      <c r="B1520" s="2" t="n">
        <v>7</v>
      </c>
      <c r="C1520" s="2" t="s">
        <v>85</v>
      </c>
      <c r="D1520" s="2" t="s">
        <v>48</v>
      </c>
      <c r="E1520" s="2" t="str">
        <f aca="false">INDEX(Products!$B$2:$B$13,MATCH(D1520,Products!$A$2:$A$13,0))</f>
        <v>Specialty</v>
      </c>
      <c r="F1520" s="15" t="n">
        <v>2.7</v>
      </c>
      <c r="G1520" s="16" t="n">
        <f aca="false">IF(A1520="2025",INDEX(Products!$C$2:$C$13,MATCH(D1520,Products!$A$2:$A$13,0)),INDEX(Products!$E$2:$E$13,MATCH(D1520,Products!$A$2:$A$13,0)))</f>
        <v>33260</v>
      </c>
      <c r="H1520" s="13" t="n">
        <f aca="false">IF(A1520="2025",INDEX(Customers!$D$2:$D$41,MATCH(C1520,Customers!$A$2:$A$41,0)),INDEX(Customers!$F$2:$F$41,MATCH(C1520,Customers!$A$2:$A$41,0)))</f>
        <v>0.053</v>
      </c>
      <c r="I1520" s="16" t="n">
        <f aca="false">F1520*G1520</f>
        <v>89802</v>
      </c>
      <c r="J1520" s="16" t="n">
        <f aca="false">I1520*(1-H1520)</f>
        <v>85042.494</v>
      </c>
      <c r="K1520" s="16" t="n">
        <f aca="false">J1520*INDEX(Customers!$G$2:$G$41,MATCH(C1520,Customers!$A$2:$A$41,0))</f>
        <v>0</v>
      </c>
      <c r="L1520" s="16" t="n">
        <f aca="false">F1520*INDEX(Customers!$H$2:$H$41,MATCH(C1520,Customers!$A$2:$A$41,0))</f>
        <v>891</v>
      </c>
      <c r="M1520" s="16" t="n">
        <f aca="false">J1520*INDEX(Customers!$I$2:$I$41,MATCH(C1520,Customers!$A$2:$A$41,0))/365*Assumptions!$B$6</f>
        <v>1118.36704438356</v>
      </c>
      <c r="N1520" s="16" t="n">
        <f aca="false">J1520-K1520-L1520-M1520</f>
        <v>83033.1269556164</v>
      </c>
      <c r="O1520" s="16" t="n">
        <f aca="false">F1520*IF(A1520="2025",INDEX(Products!$D$2:$D$13,MATCH(D1520,Products!$A$2:$A$13,0)),INDEX(Products!$F$2:$F$13,MATCH(D1520,Products!$A$2:$A$13,0)))</f>
        <v>40554</v>
      </c>
      <c r="P1520" s="16" t="n">
        <f aca="false">N1520-O1520</f>
        <v>42479.1269556164</v>
      </c>
    </row>
    <row r="1521" customFormat="false" ht="15" hidden="false" customHeight="false" outlineLevel="0" collapsed="false">
      <c r="A1521" s="2" t="s">
        <v>118</v>
      </c>
      <c r="B1521" s="2" t="n">
        <v>8</v>
      </c>
      <c r="C1521" s="2" t="s">
        <v>85</v>
      </c>
      <c r="D1521" s="2" t="s">
        <v>48</v>
      </c>
      <c r="E1521" s="2" t="str">
        <f aca="false">INDEX(Products!$B$2:$B$13,MATCH(D1521,Products!$A$2:$A$13,0))</f>
        <v>Specialty</v>
      </c>
      <c r="F1521" s="15" t="n">
        <v>2.3</v>
      </c>
      <c r="G1521" s="16" t="n">
        <f aca="false">IF(A1521="2025",INDEX(Products!$C$2:$C$13,MATCH(D1521,Products!$A$2:$A$13,0)),INDEX(Products!$E$2:$E$13,MATCH(D1521,Products!$A$2:$A$13,0)))</f>
        <v>33260</v>
      </c>
      <c r="H1521" s="13" t="n">
        <f aca="false">IF(A1521="2025",INDEX(Customers!$D$2:$D$41,MATCH(C1521,Customers!$A$2:$A$41,0)),INDEX(Customers!$F$2:$F$41,MATCH(C1521,Customers!$A$2:$A$41,0)))</f>
        <v>0.053</v>
      </c>
      <c r="I1521" s="16" t="n">
        <f aca="false">F1521*G1521</f>
        <v>76498</v>
      </c>
      <c r="J1521" s="16" t="n">
        <f aca="false">I1521*(1-H1521)</f>
        <v>72443.606</v>
      </c>
      <c r="K1521" s="16" t="n">
        <f aca="false">J1521*INDEX(Customers!$G$2:$G$41,MATCH(C1521,Customers!$A$2:$A$41,0))</f>
        <v>0</v>
      </c>
      <c r="L1521" s="16" t="n">
        <f aca="false">F1521*INDEX(Customers!$H$2:$H$41,MATCH(C1521,Customers!$A$2:$A$41,0))</f>
        <v>759</v>
      </c>
      <c r="M1521" s="16" t="n">
        <f aca="false">J1521*INDEX(Customers!$I$2:$I$41,MATCH(C1521,Customers!$A$2:$A$41,0))/365*Assumptions!$B$6</f>
        <v>952.683037808219</v>
      </c>
      <c r="N1521" s="16" t="n">
        <f aca="false">J1521-K1521-L1521-M1521</f>
        <v>70731.9229621918</v>
      </c>
      <c r="O1521" s="16" t="n">
        <f aca="false">F1521*IF(A1521="2025",INDEX(Products!$D$2:$D$13,MATCH(D1521,Products!$A$2:$A$13,0)),INDEX(Products!$F$2:$F$13,MATCH(D1521,Products!$A$2:$A$13,0)))</f>
        <v>34546</v>
      </c>
      <c r="P1521" s="16" t="n">
        <f aca="false">N1521-O1521</f>
        <v>36185.9229621918</v>
      </c>
    </row>
    <row r="1522" customFormat="false" ht="15" hidden="false" customHeight="false" outlineLevel="0" collapsed="false">
      <c r="A1522" s="2" t="s">
        <v>118</v>
      </c>
      <c r="B1522" s="2" t="n">
        <v>9</v>
      </c>
      <c r="C1522" s="2" t="s">
        <v>85</v>
      </c>
      <c r="D1522" s="2" t="s">
        <v>48</v>
      </c>
      <c r="E1522" s="2" t="str">
        <f aca="false">INDEX(Products!$B$2:$B$13,MATCH(D1522,Products!$A$2:$A$13,0))</f>
        <v>Specialty</v>
      </c>
      <c r="F1522" s="15" t="n">
        <v>2.5</v>
      </c>
      <c r="G1522" s="16" t="n">
        <f aca="false">IF(A1522="2025",INDEX(Products!$C$2:$C$13,MATCH(D1522,Products!$A$2:$A$13,0)),INDEX(Products!$E$2:$E$13,MATCH(D1522,Products!$A$2:$A$13,0)))</f>
        <v>33260</v>
      </c>
      <c r="H1522" s="13" t="n">
        <f aca="false">IF(A1522="2025",INDEX(Customers!$D$2:$D$41,MATCH(C1522,Customers!$A$2:$A$41,0)),INDEX(Customers!$F$2:$F$41,MATCH(C1522,Customers!$A$2:$A$41,0)))</f>
        <v>0.053</v>
      </c>
      <c r="I1522" s="16" t="n">
        <f aca="false">F1522*G1522</f>
        <v>83150</v>
      </c>
      <c r="J1522" s="16" t="n">
        <f aca="false">I1522*(1-H1522)</f>
        <v>78743.05</v>
      </c>
      <c r="K1522" s="16" t="n">
        <f aca="false">J1522*INDEX(Customers!$G$2:$G$41,MATCH(C1522,Customers!$A$2:$A$41,0))</f>
        <v>0</v>
      </c>
      <c r="L1522" s="16" t="n">
        <f aca="false">F1522*INDEX(Customers!$H$2:$H$41,MATCH(C1522,Customers!$A$2:$A$41,0))</f>
        <v>825</v>
      </c>
      <c r="M1522" s="16" t="n">
        <f aca="false">J1522*INDEX(Customers!$I$2:$I$41,MATCH(C1522,Customers!$A$2:$A$41,0))/365*Assumptions!$B$6</f>
        <v>1035.52504109589</v>
      </c>
      <c r="N1522" s="16" t="n">
        <f aca="false">J1522-K1522-L1522-M1522</f>
        <v>76882.5249589041</v>
      </c>
      <c r="O1522" s="16" t="n">
        <f aca="false">F1522*IF(A1522="2025",INDEX(Products!$D$2:$D$13,MATCH(D1522,Products!$A$2:$A$13,0)),INDEX(Products!$F$2:$F$13,MATCH(D1522,Products!$A$2:$A$13,0)))</f>
        <v>37550</v>
      </c>
      <c r="P1522" s="16" t="n">
        <f aca="false">N1522-O1522</f>
        <v>39332.5249589041</v>
      </c>
    </row>
    <row r="1523" customFormat="false" ht="15" hidden="false" customHeight="false" outlineLevel="0" collapsed="false">
      <c r="A1523" s="2" t="s">
        <v>118</v>
      </c>
      <c r="B1523" s="2" t="n">
        <v>10</v>
      </c>
      <c r="C1523" s="2" t="s">
        <v>85</v>
      </c>
      <c r="D1523" s="2" t="s">
        <v>48</v>
      </c>
      <c r="E1523" s="2" t="str">
        <f aca="false">INDEX(Products!$B$2:$B$13,MATCH(D1523,Products!$A$2:$A$13,0))</f>
        <v>Specialty</v>
      </c>
      <c r="F1523" s="15" t="n">
        <v>2.3</v>
      </c>
      <c r="G1523" s="16" t="n">
        <f aca="false">IF(A1523="2025",INDEX(Products!$C$2:$C$13,MATCH(D1523,Products!$A$2:$A$13,0)),INDEX(Products!$E$2:$E$13,MATCH(D1523,Products!$A$2:$A$13,0)))</f>
        <v>33260</v>
      </c>
      <c r="H1523" s="13" t="n">
        <f aca="false">IF(A1523="2025",INDEX(Customers!$D$2:$D$41,MATCH(C1523,Customers!$A$2:$A$41,0)),INDEX(Customers!$F$2:$F$41,MATCH(C1523,Customers!$A$2:$A$41,0)))</f>
        <v>0.053</v>
      </c>
      <c r="I1523" s="16" t="n">
        <f aca="false">F1523*G1523</f>
        <v>76498</v>
      </c>
      <c r="J1523" s="16" t="n">
        <f aca="false">I1523*(1-H1523)</f>
        <v>72443.606</v>
      </c>
      <c r="K1523" s="16" t="n">
        <f aca="false">J1523*INDEX(Customers!$G$2:$G$41,MATCH(C1523,Customers!$A$2:$A$41,0))</f>
        <v>0</v>
      </c>
      <c r="L1523" s="16" t="n">
        <f aca="false">F1523*INDEX(Customers!$H$2:$H$41,MATCH(C1523,Customers!$A$2:$A$41,0))</f>
        <v>759</v>
      </c>
      <c r="M1523" s="16" t="n">
        <f aca="false">J1523*INDEX(Customers!$I$2:$I$41,MATCH(C1523,Customers!$A$2:$A$41,0))/365*Assumptions!$B$6</f>
        <v>952.683037808219</v>
      </c>
      <c r="N1523" s="16" t="n">
        <f aca="false">J1523-K1523-L1523-M1523</f>
        <v>70731.9229621918</v>
      </c>
      <c r="O1523" s="16" t="n">
        <f aca="false">F1523*IF(A1523="2025",INDEX(Products!$D$2:$D$13,MATCH(D1523,Products!$A$2:$A$13,0)),INDEX(Products!$F$2:$F$13,MATCH(D1523,Products!$A$2:$A$13,0)))</f>
        <v>34546</v>
      </c>
      <c r="P1523" s="16" t="n">
        <f aca="false">N1523-O1523</f>
        <v>36185.9229621918</v>
      </c>
    </row>
    <row r="1524" customFormat="false" ht="15" hidden="false" customHeight="false" outlineLevel="0" collapsed="false">
      <c r="A1524" s="2" t="s">
        <v>118</v>
      </c>
      <c r="B1524" s="2" t="n">
        <v>11</v>
      </c>
      <c r="C1524" s="2" t="s">
        <v>85</v>
      </c>
      <c r="D1524" s="2" t="s">
        <v>48</v>
      </c>
      <c r="E1524" s="2" t="str">
        <f aca="false">INDEX(Products!$B$2:$B$13,MATCH(D1524,Products!$A$2:$A$13,0))</f>
        <v>Specialty</v>
      </c>
      <c r="F1524" s="15" t="n">
        <v>2.6</v>
      </c>
      <c r="G1524" s="16" t="n">
        <f aca="false">IF(A1524="2025",INDEX(Products!$C$2:$C$13,MATCH(D1524,Products!$A$2:$A$13,0)),INDEX(Products!$E$2:$E$13,MATCH(D1524,Products!$A$2:$A$13,0)))</f>
        <v>33260</v>
      </c>
      <c r="H1524" s="13" t="n">
        <f aca="false">IF(A1524="2025",INDEX(Customers!$D$2:$D$41,MATCH(C1524,Customers!$A$2:$A$41,0)),INDEX(Customers!$F$2:$F$41,MATCH(C1524,Customers!$A$2:$A$41,0)))</f>
        <v>0.053</v>
      </c>
      <c r="I1524" s="16" t="n">
        <f aca="false">F1524*G1524</f>
        <v>86476</v>
      </c>
      <c r="J1524" s="16" t="n">
        <f aca="false">I1524*(1-H1524)</f>
        <v>81892.772</v>
      </c>
      <c r="K1524" s="16" t="n">
        <f aca="false">J1524*INDEX(Customers!$G$2:$G$41,MATCH(C1524,Customers!$A$2:$A$41,0))</f>
        <v>0</v>
      </c>
      <c r="L1524" s="16" t="n">
        <f aca="false">F1524*INDEX(Customers!$H$2:$H$41,MATCH(C1524,Customers!$A$2:$A$41,0))</f>
        <v>858</v>
      </c>
      <c r="M1524" s="16" t="n">
        <f aca="false">J1524*INDEX(Customers!$I$2:$I$41,MATCH(C1524,Customers!$A$2:$A$41,0))/365*Assumptions!$B$6</f>
        <v>1076.94604273973</v>
      </c>
      <c r="N1524" s="16" t="n">
        <f aca="false">J1524-K1524-L1524-M1524</f>
        <v>79957.8259572603</v>
      </c>
      <c r="O1524" s="16" t="n">
        <f aca="false">F1524*IF(A1524="2025",INDEX(Products!$D$2:$D$13,MATCH(D1524,Products!$A$2:$A$13,0)),INDEX(Products!$F$2:$F$13,MATCH(D1524,Products!$A$2:$A$13,0)))</f>
        <v>39052</v>
      </c>
      <c r="P1524" s="16" t="n">
        <f aca="false">N1524-O1524</f>
        <v>40905.8259572603</v>
      </c>
    </row>
    <row r="1525" customFormat="false" ht="15" hidden="false" customHeight="false" outlineLevel="0" collapsed="false">
      <c r="A1525" s="2" t="s">
        <v>118</v>
      </c>
      <c r="B1525" s="2" t="n">
        <v>12</v>
      </c>
      <c r="C1525" s="2" t="s">
        <v>85</v>
      </c>
      <c r="D1525" s="2" t="s">
        <v>48</v>
      </c>
      <c r="E1525" s="2" t="str">
        <f aca="false">INDEX(Products!$B$2:$B$13,MATCH(D1525,Products!$A$2:$A$13,0))</f>
        <v>Specialty</v>
      </c>
      <c r="F1525" s="15" t="n">
        <v>3</v>
      </c>
      <c r="G1525" s="16" t="n">
        <f aca="false">IF(A1525="2025",INDEX(Products!$C$2:$C$13,MATCH(D1525,Products!$A$2:$A$13,0)),INDEX(Products!$E$2:$E$13,MATCH(D1525,Products!$A$2:$A$13,0)))</f>
        <v>33260</v>
      </c>
      <c r="H1525" s="13" t="n">
        <f aca="false">IF(A1525="2025",INDEX(Customers!$D$2:$D$41,MATCH(C1525,Customers!$A$2:$A$41,0)),INDEX(Customers!$F$2:$F$41,MATCH(C1525,Customers!$A$2:$A$41,0)))</f>
        <v>0.053</v>
      </c>
      <c r="I1525" s="16" t="n">
        <f aca="false">F1525*G1525</f>
        <v>99780</v>
      </c>
      <c r="J1525" s="16" t="n">
        <f aca="false">I1525*(1-H1525)</f>
        <v>94491.66</v>
      </c>
      <c r="K1525" s="16" t="n">
        <f aca="false">J1525*INDEX(Customers!$G$2:$G$41,MATCH(C1525,Customers!$A$2:$A$41,0))</f>
        <v>0</v>
      </c>
      <c r="L1525" s="16" t="n">
        <f aca="false">F1525*INDEX(Customers!$H$2:$H$41,MATCH(C1525,Customers!$A$2:$A$41,0))</f>
        <v>990</v>
      </c>
      <c r="M1525" s="16" t="n">
        <f aca="false">J1525*INDEX(Customers!$I$2:$I$41,MATCH(C1525,Customers!$A$2:$A$41,0))/365*Assumptions!$B$6</f>
        <v>1242.63004931507</v>
      </c>
      <c r="N1525" s="16" t="n">
        <f aca="false">J1525-K1525-L1525-M1525</f>
        <v>92259.0299506849</v>
      </c>
      <c r="O1525" s="16" t="n">
        <f aca="false">F1525*IF(A1525="2025",INDEX(Products!$D$2:$D$13,MATCH(D1525,Products!$A$2:$A$13,0)),INDEX(Products!$F$2:$F$13,MATCH(D1525,Products!$A$2:$A$13,0)))</f>
        <v>45060</v>
      </c>
      <c r="P1525" s="16" t="n">
        <f aca="false">N1525-O1525</f>
        <v>47199.0299506849</v>
      </c>
    </row>
    <row r="1526" customFormat="false" ht="15" hidden="false" customHeight="false" outlineLevel="0" collapsed="false">
      <c r="A1526" s="2" t="s">
        <v>119</v>
      </c>
      <c r="B1526" s="2" t="n">
        <v>1</v>
      </c>
      <c r="C1526" s="2" t="s">
        <v>85</v>
      </c>
      <c r="D1526" s="2" t="s">
        <v>48</v>
      </c>
      <c r="E1526" s="2" t="str">
        <f aca="false">INDEX(Products!$B$2:$B$13,MATCH(D1526,Products!$A$2:$A$13,0))</f>
        <v>Specialty</v>
      </c>
      <c r="F1526" s="15" t="n">
        <v>3.3</v>
      </c>
      <c r="G1526" s="16" t="n">
        <f aca="false">IF(A1526="2025",INDEX(Products!$C$2:$C$13,MATCH(D1526,Products!$A$2:$A$13,0)),INDEX(Products!$E$2:$E$13,MATCH(D1526,Products!$A$2:$A$13,0)))</f>
        <v>34923</v>
      </c>
      <c r="H1526" s="13" t="n">
        <f aca="false">IF(A1526="2025",INDEX(Customers!$D$2:$D$41,MATCH(C1526,Customers!$A$2:$A$41,0)),INDEX(Customers!$F$2:$F$41,MATCH(C1526,Customers!$A$2:$A$41,0)))</f>
        <v>0.053</v>
      </c>
      <c r="I1526" s="16" t="n">
        <f aca="false">F1526*G1526</f>
        <v>115245.9</v>
      </c>
      <c r="J1526" s="16" t="n">
        <f aca="false">I1526*(1-H1526)</f>
        <v>109137.8673</v>
      </c>
      <c r="K1526" s="16" t="n">
        <f aca="false">J1526*INDEX(Customers!$G$2:$G$41,MATCH(C1526,Customers!$A$2:$A$41,0))</f>
        <v>0</v>
      </c>
      <c r="L1526" s="16" t="n">
        <f aca="false">F1526*INDEX(Customers!$H$2:$H$41,MATCH(C1526,Customers!$A$2:$A$41,0))</f>
        <v>1089</v>
      </c>
      <c r="M1526" s="16" t="n">
        <f aca="false">J1526*INDEX(Customers!$I$2:$I$41,MATCH(C1526,Customers!$A$2:$A$41,0))/365*Assumptions!$B$6</f>
        <v>1435.2377069589</v>
      </c>
      <c r="N1526" s="16" t="n">
        <f aca="false">J1526-K1526-L1526-M1526</f>
        <v>106613.629593041</v>
      </c>
      <c r="O1526" s="16" t="n">
        <f aca="false">F1526*IF(A1526="2025",INDEX(Products!$D$2:$D$13,MATCH(D1526,Products!$A$2:$A$13,0)),INDEX(Products!$F$2:$F$13,MATCH(D1526,Products!$A$2:$A$13,0)))</f>
        <v>51052.98</v>
      </c>
      <c r="P1526" s="16" t="n">
        <f aca="false">N1526-O1526</f>
        <v>55560.6495930411</v>
      </c>
    </row>
    <row r="1527" customFormat="false" ht="15" hidden="false" customHeight="false" outlineLevel="0" collapsed="false">
      <c r="A1527" s="2" t="s">
        <v>119</v>
      </c>
      <c r="B1527" s="2" t="n">
        <v>2</v>
      </c>
      <c r="C1527" s="2" t="s">
        <v>85</v>
      </c>
      <c r="D1527" s="2" t="s">
        <v>48</v>
      </c>
      <c r="E1527" s="2" t="str">
        <f aca="false">INDEX(Products!$B$2:$B$13,MATCH(D1527,Products!$A$2:$A$13,0))</f>
        <v>Specialty</v>
      </c>
      <c r="F1527" s="15" t="n">
        <v>2.9</v>
      </c>
      <c r="G1527" s="16" t="n">
        <f aca="false">IF(A1527="2025",INDEX(Products!$C$2:$C$13,MATCH(D1527,Products!$A$2:$A$13,0)),INDEX(Products!$E$2:$E$13,MATCH(D1527,Products!$A$2:$A$13,0)))</f>
        <v>34923</v>
      </c>
      <c r="H1527" s="13" t="n">
        <f aca="false">IF(A1527="2025",INDEX(Customers!$D$2:$D$41,MATCH(C1527,Customers!$A$2:$A$41,0)),INDEX(Customers!$F$2:$F$41,MATCH(C1527,Customers!$A$2:$A$41,0)))</f>
        <v>0.053</v>
      </c>
      <c r="I1527" s="16" t="n">
        <f aca="false">F1527*G1527</f>
        <v>101276.7</v>
      </c>
      <c r="J1527" s="16" t="n">
        <f aca="false">I1527*(1-H1527)</f>
        <v>95909.0349</v>
      </c>
      <c r="K1527" s="16" t="n">
        <f aca="false">J1527*INDEX(Customers!$G$2:$G$41,MATCH(C1527,Customers!$A$2:$A$41,0))</f>
        <v>0</v>
      </c>
      <c r="L1527" s="16" t="n">
        <f aca="false">F1527*INDEX(Customers!$H$2:$H$41,MATCH(C1527,Customers!$A$2:$A$41,0))</f>
        <v>957</v>
      </c>
      <c r="M1527" s="16" t="n">
        <f aca="false">J1527*INDEX(Customers!$I$2:$I$41,MATCH(C1527,Customers!$A$2:$A$41,0))/365*Assumptions!$B$6</f>
        <v>1261.26950005479</v>
      </c>
      <c r="N1527" s="16" t="n">
        <f aca="false">J1527-K1527-L1527-M1527</f>
        <v>93690.7653999452</v>
      </c>
      <c r="O1527" s="16" t="n">
        <f aca="false">F1527*IF(A1527="2025",INDEX(Products!$D$2:$D$13,MATCH(D1527,Products!$A$2:$A$13,0)),INDEX(Products!$F$2:$F$13,MATCH(D1527,Products!$A$2:$A$13,0)))</f>
        <v>44864.74</v>
      </c>
      <c r="P1527" s="16" t="n">
        <f aca="false">N1527-O1527</f>
        <v>48826.0253999452</v>
      </c>
    </row>
    <row r="1528" customFormat="false" ht="15" hidden="false" customHeight="false" outlineLevel="0" collapsed="false">
      <c r="A1528" s="2" t="s">
        <v>119</v>
      </c>
      <c r="B1528" s="2" t="n">
        <v>3</v>
      </c>
      <c r="C1528" s="2" t="s">
        <v>85</v>
      </c>
      <c r="D1528" s="2" t="s">
        <v>48</v>
      </c>
      <c r="E1528" s="2" t="str">
        <f aca="false">INDEX(Products!$B$2:$B$13,MATCH(D1528,Products!$A$2:$A$13,0))</f>
        <v>Specialty</v>
      </c>
      <c r="F1528" s="15" t="n">
        <v>2.5</v>
      </c>
      <c r="G1528" s="16" t="n">
        <f aca="false">IF(A1528="2025",INDEX(Products!$C$2:$C$13,MATCH(D1528,Products!$A$2:$A$13,0)),INDEX(Products!$E$2:$E$13,MATCH(D1528,Products!$A$2:$A$13,0)))</f>
        <v>34923</v>
      </c>
      <c r="H1528" s="13" t="n">
        <f aca="false">IF(A1528="2025",INDEX(Customers!$D$2:$D$41,MATCH(C1528,Customers!$A$2:$A$41,0)),INDEX(Customers!$F$2:$F$41,MATCH(C1528,Customers!$A$2:$A$41,0)))</f>
        <v>0.053</v>
      </c>
      <c r="I1528" s="16" t="n">
        <f aca="false">F1528*G1528</f>
        <v>87307.5</v>
      </c>
      <c r="J1528" s="16" t="n">
        <f aca="false">I1528*(1-H1528)</f>
        <v>82680.2025</v>
      </c>
      <c r="K1528" s="16" t="n">
        <f aca="false">J1528*INDEX(Customers!$G$2:$G$41,MATCH(C1528,Customers!$A$2:$A$41,0))</f>
        <v>0</v>
      </c>
      <c r="L1528" s="16" t="n">
        <f aca="false">F1528*INDEX(Customers!$H$2:$H$41,MATCH(C1528,Customers!$A$2:$A$41,0))</f>
        <v>825</v>
      </c>
      <c r="M1528" s="16" t="n">
        <f aca="false">J1528*INDEX(Customers!$I$2:$I$41,MATCH(C1528,Customers!$A$2:$A$41,0))/365*Assumptions!$B$6</f>
        <v>1087.30129315069</v>
      </c>
      <c r="N1528" s="16" t="n">
        <f aca="false">J1528-K1528-L1528-M1528</f>
        <v>80767.9012068493</v>
      </c>
      <c r="O1528" s="16" t="n">
        <f aca="false">F1528*IF(A1528="2025",INDEX(Products!$D$2:$D$13,MATCH(D1528,Products!$A$2:$A$13,0)),INDEX(Products!$F$2:$F$13,MATCH(D1528,Products!$A$2:$A$13,0)))</f>
        <v>38676.5</v>
      </c>
      <c r="P1528" s="16" t="n">
        <f aca="false">N1528-O1528</f>
        <v>42091.4012068493</v>
      </c>
    </row>
    <row r="1529" customFormat="false" ht="15" hidden="false" customHeight="false" outlineLevel="0" collapsed="false">
      <c r="A1529" s="2" t="s">
        <v>119</v>
      </c>
      <c r="B1529" s="2" t="n">
        <v>4</v>
      </c>
      <c r="C1529" s="2" t="s">
        <v>85</v>
      </c>
      <c r="D1529" s="2" t="s">
        <v>48</v>
      </c>
      <c r="E1529" s="2" t="str">
        <f aca="false">INDEX(Products!$B$2:$B$13,MATCH(D1529,Products!$A$2:$A$13,0))</f>
        <v>Specialty</v>
      </c>
      <c r="F1529" s="15" t="n">
        <v>2.5</v>
      </c>
      <c r="G1529" s="16" t="n">
        <f aca="false">IF(A1529="2025",INDEX(Products!$C$2:$C$13,MATCH(D1529,Products!$A$2:$A$13,0)),INDEX(Products!$E$2:$E$13,MATCH(D1529,Products!$A$2:$A$13,0)))</f>
        <v>34923</v>
      </c>
      <c r="H1529" s="13" t="n">
        <f aca="false">IF(A1529="2025",INDEX(Customers!$D$2:$D$41,MATCH(C1529,Customers!$A$2:$A$41,0)),INDEX(Customers!$F$2:$F$41,MATCH(C1529,Customers!$A$2:$A$41,0)))</f>
        <v>0.053</v>
      </c>
      <c r="I1529" s="16" t="n">
        <f aca="false">F1529*G1529</f>
        <v>87307.5</v>
      </c>
      <c r="J1529" s="16" t="n">
        <f aca="false">I1529*(1-H1529)</f>
        <v>82680.2025</v>
      </c>
      <c r="K1529" s="16" t="n">
        <f aca="false">J1529*INDEX(Customers!$G$2:$G$41,MATCH(C1529,Customers!$A$2:$A$41,0))</f>
        <v>0</v>
      </c>
      <c r="L1529" s="16" t="n">
        <f aca="false">F1529*INDEX(Customers!$H$2:$H$41,MATCH(C1529,Customers!$A$2:$A$41,0))</f>
        <v>825</v>
      </c>
      <c r="M1529" s="16" t="n">
        <f aca="false">J1529*INDEX(Customers!$I$2:$I$41,MATCH(C1529,Customers!$A$2:$A$41,0))/365*Assumptions!$B$6</f>
        <v>1087.30129315069</v>
      </c>
      <c r="N1529" s="16" t="n">
        <f aca="false">J1529-K1529-L1529-M1529</f>
        <v>80767.9012068493</v>
      </c>
      <c r="O1529" s="16" t="n">
        <f aca="false">F1529*IF(A1529="2025",INDEX(Products!$D$2:$D$13,MATCH(D1529,Products!$A$2:$A$13,0)),INDEX(Products!$F$2:$F$13,MATCH(D1529,Products!$A$2:$A$13,0)))</f>
        <v>38676.5</v>
      </c>
      <c r="P1529" s="16" t="n">
        <f aca="false">N1529-O1529</f>
        <v>42091.4012068493</v>
      </c>
    </row>
    <row r="1530" customFormat="false" ht="15" hidden="false" customHeight="false" outlineLevel="0" collapsed="false">
      <c r="A1530" s="2" t="s">
        <v>119</v>
      </c>
      <c r="B1530" s="2" t="n">
        <v>5</v>
      </c>
      <c r="C1530" s="2" t="s">
        <v>85</v>
      </c>
      <c r="D1530" s="2" t="s">
        <v>48</v>
      </c>
      <c r="E1530" s="2" t="str">
        <f aca="false">INDEX(Products!$B$2:$B$13,MATCH(D1530,Products!$A$2:$A$13,0))</f>
        <v>Specialty</v>
      </c>
      <c r="F1530" s="15" t="n">
        <v>3.5</v>
      </c>
      <c r="G1530" s="16" t="n">
        <f aca="false">IF(A1530="2025",INDEX(Products!$C$2:$C$13,MATCH(D1530,Products!$A$2:$A$13,0)),INDEX(Products!$E$2:$E$13,MATCH(D1530,Products!$A$2:$A$13,0)))</f>
        <v>34923</v>
      </c>
      <c r="H1530" s="13" t="n">
        <f aca="false">IF(A1530="2025",INDEX(Customers!$D$2:$D$41,MATCH(C1530,Customers!$A$2:$A$41,0)),INDEX(Customers!$F$2:$F$41,MATCH(C1530,Customers!$A$2:$A$41,0)))</f>
        <v>0.053</v>
      </c>
      <c r="I1530" s="16" t="n">
        <f aca="false">F1530*G1530</f>
        <v>122230.5</v>
      </c>
      <c r="J1530" s="16" t="n">
        <f aca="false">I1530*(1-H1530)</f>
        <v>115752.2835</v>
      </c>
      <c r="K1530" s="16" t="n">
        <f aca="false">J1530*INDEX(Customers!$G$2:$G$41,MATCH(C1530,Customers!$A$2:$A$41,0))</f>
        <v>0</v>
      </c>
      <c r="L1530" s="16" t="n">
        <f aca="false">F1530*INDEX(Customers!$H$2:$H$41,MATCH(C1530,Customers!$A$2:$A$41,0))</f>
        <v>1155</v>
      </c>
      <c r="M1530" s="16" t="n">
        <f aca="false">J1530*INDEX(Customers!$I$2:$I$41,MATCH(C1530,Customers!$A$2:$A$41,0))/365*Assumptions!$B$6</f>
        <v>1522.22181041096</v>
      </c>
      <c r="N1530" s="16" t="n">
        <f aca="false">J1530-K1530-L1530-M1530</f>
        <v>113075.061689589</v>
      </c>
      <c r="O1530" s="16" t="n">
        <f aca="false">F1530*IF(A1530="2025",INDEX(Products!$D$2:$D$13,MATCH(D1530,Products!$A$2:$A$13,0)),INDEX(Products!$F$2:$F$13,MATCH(D1530,Products!$A$2:$A$13,0)))</f>
        <v>54147.1</v>
      </c>
      <c r="P1530" s="16" t="n">
        <f aca="false">N1530-O1530</f>
        <v>58927.961689589</v>
      </c>
    </row>
    <row r="1531" customFormat="false" ht="15" hidden="false" customHeight="false" outlineLevel="0" collapsed="false">
      <c r="A1531" s="2" t="s">
        <v>119</v>
      </c>
      <c r="B1531" s="2" t="n">
        <v>6</v>
      </c>
      <c r="C1531" s="2" t="s">
        <v>85</v>
      </c>
      <c r="D1531" s="2" t="s">
        <v>48</v>
      </c>
      <c r="E1531" s="2" t="str">
        <f aca="false">INDEX(Products!$B$2:$B$13,MATCH(D1531,Products!$A$2:$A$13,0))</f>
        <v>Specialty</v>
      </c>
      <c r="F1531" s="15" t="n">
        <v>2.7</v>
      </c>
      <c r="G1531" s="16" t="n">
        <f aca="false">IF(A1531="2025",INDEX(Products!$C$2:$C$13,MATCH(D1531,Products!$A$2:$A$13,0)),INDEX(Products!$E$2:$E$13,MATCH(D1531,Products!$A$2:$A$13,0)))</f>
        <v>34923</v>
      </c>
      <c r="H1531" s="13" t="n">
        <f aca="false">IF(A1531="2025",INDEX(Customers!$D$2:$D$41,MATCH(C1531,Customers!$A$2:$A$41,0)),INDEX(Customers!$F$2:$F$41,MATCH(C1531,Customers!$A$2:$A$41,0)))</f>
        <v>0.053</v>
      </c>
      <c r="I1531" s="16" t="n">
        <f aca="false">F1531*G1531</f>
        <v>94292.1</v>
      </c>
      <c r="J1531" s="16" t="n">
        <f aca="false">I1531*(1-H1531)</f>
        <v>89294.6187</v>
      </c>
      <c r="K1531" s="16" t="n">
        <f aca="false">J1531*INDEX(Customers!$G$2:$G$41,MATCH(C1531,Customers!$A$2:$A$41,0))</f>
        <v>0</v>
      </c>
      <c r="L1531" s="16" t="n">
        <f aca="false">F1531*INDEX(Customers!$H$2:$H$41,MATCH(C1531,Customers!$A$2:$A$41,0))</f>
        <v>891</v>
      </c>
      <c r="M1531" s="16" t="n">
        <f aca="false">J1531*INDEX(Customers!$I$2:$I$41,MATCH(C1531,Customers!$A$2:$A$41,0))/365*Assumptions!$B$6</f>
        <v>1174.28539660274</v>
      </c>
      <c r="N1531" s="16" t="n">
        <f aca="false">J1531-K1531-L1531-M1531</f>
        <v>87229.3333033973</v>
      </c>
      <c r="O1531" s="16" t="n">
        <f aca="false">F1531*IF(A1531="2025",INDEX(Products!$D$2:$D$13,MATCH(D1531,Products!$A$2:$A$13,0)),INDEX(Products!$F$2:$F$13,MATCH(D1531,Products!$A$2:$A$13,0)))</f>
        <v>41770.62</v>
      </c>
      <c r="P1531" s="16" t="n">
        <f aca="false">N1531-O1531</f>
        <v>45458.7133033973</v>
      </c>
    </row>
    <row r="1532" customFormat="false" ht="15" hidden="false" customHeight="false" outlineLevel="0" collapsed="false">
      <c r="A1532" s="2" t="s">
        <v>119</v>
      </c>
      <c r="B1532" s="2" t="n">
        <v>7</v>
      </c>
      <c r="C1532" s="2" t="s">
        <v>85</v>
      </c>
      <c r="D1532" s="2" t="s">
        <v>48</v>
      </c>
      <c r="E1532" s="2" t="str">
        <f aca="false">INDEX(Products!$B$2:$B$13,MATCH(D1532,Products!$A$2:$A$13,0))</f>
        <v>Specialty</v>
      </c>
      <c r="F1532" s="15" t="n">
        <v>3.4</v>
      </c>
      <c r="G1532" s="16" t="n">
        <f aca="false">IF(A1532="2025",INDEX(Products!$C$2:$C$13,MATCH(D1532,Products!$A$2:$A$13,0)),INDEX(Products!$E$2:$E$13,MATCH(D1532,Products!$A$2:$A$13,0)))</f>
        <v>34923</v>
      </c>
      <c r="H1532" s="13" t="n">
        <f aca="false">IF(A1532="2025",INDEX(Customers!$D$2:$D$41,MATCH(C1532,Customers!$A$2:$A$41,0)),INDEX(Customers!$F$2:$F$41,MATCH(C1532,Customers!$A$2:$A$41,0)))</f>
        <v>0.053</v>
      </c>
      <c r="I1532" s="16" t="n">
        <f aca="false">F1532*G1532</f>
        <v>118738.2</v>
      </c>
      <c r="J1532" s="16" t="n">
        <f aca="false">I1532*(1-H1532)</f>
        <v>112445.0754</v>
      </c>
      <c r="K1532" s="16" t="n">
        <f aca="false">J1532*INDEX(Customers!$G$2:$G$41,MATCH(C1532,Customers!$A$2:$A$41,0))</f>
        <v>0</v>
      </c>
      <c r="L1532" s="16" t="n">
        <f aca="false">F1532*INDEX(Customers!$H$2:$H$41,MATCH(C1532,Customers!$A$2:$A$41,0))</f>
        <v>1122</v>
      </c>
      <c r="M1532" s="16" t="n">
        <f aca="false">J1532*INDEX(Customers!$I$2:$I$41,MATCH(C1532,Customers!$A$2:$A$41,0))/365*Assumptions!$B$6</f>
        <v>1478.72975868493</v>
      </c>
      <c r="N1532" s="16" t="n">
        <f aca="false">J1532-K1532-L1532-M1532</f>
        <v>109844.345641315</v>
      </c>
      <c r="O1532" s="16" t="n">
        <f aca="false">F1532*IF(A1532="2025",INDEX(Products!$D$2:$D$13,MATCH(D1532,Products!$A$2:$A$13,0)),INDEX(Products!$F$2:$F$13,MATCH(D1532,Products!$A$2:$A$13,0)))</f>
        <v>52600.04</v>
      </c>
      <c r="P1532" s="16" t="n">
        <f aca="false">N1532-O1532</f>
        <v>57244.3056413151</v>
      </c>
    </row>
    <row r="1533" customFormat="false" ht="15" hidden="false" customHeight="false" outlineLevel="0" collapsed="false">
      <c r="A1533" s="2" t="s">
        <v>119</v>
      </c>
      <c r="B1533" s="2" t="n">
        <v>8</v>
      </c>
      <c r="C1533" s="2" t="s">
        <v>85</v>
      </c>
      <c r="D1533" s="2" t="s">
        <v>48</v>
      </c>
      <c r="E1533" s="2" t="str">
        <f aca="false">INDEX(Products!$B$2:$B$13,MATCH(D1533,Products!$A$2:$A$13,0))</f>
        <v>Specialty</v>
      </c>
      <c r="F1533" s="15" t="n">
        <v>2.4</v>
      </c>
      <c r="G1533" s="16" t="n">
        <f aca="false">IF(A1533="2025",INDEX(Products!$C$2:$C$13,MATCH(D1533,Products!$A$2:$A$13,0)),INDEX(Products!$E$2:$E$13,MATCH(D1533,Products!$A$2:$A$13,0)))</f>
        <v>34923</v>
      </c>
      <c r="H1533" s="13" t="n">
        <f aca="false">IF(A1533="2025",INDEX(Customers!$D$2:$D$41,MATCH(C1533,Customers!$A$2:$A$41,0)),INDEX(Customers!$F$2:$F$41,MATCH(C1533,Customers!$A$2:$A$41,0)))</f>
        <v>0.053</v>
      </c>
      <c r="I1533" s="16" t="n">
        <f aca="false">F1533*G1533</f>
        <v>83815.2</v>
      </c>
      <c r="J1533" s="16" t="n">
        <f aca="false">I1533*(1-H1533)</f>
        <v>79372.9944</v>
      </c>
      <c r="K1533" s="16" t="n">
        <f aca="false">J1533*INDEX(Customers!$G$2:$G$41,MATCH(C1533,Customers!$A$2:$A$41,0))</f>
        <v>0</v>
      </c>
      <c r="L1533" s="16" t="n">
        <f aca="false">F1533*INDEX(Customers!$H$2:$H$41,MATCH(C1533,Customers!$A$2:$A$41,0))</f>
        <v>792</v>
      </c>
      <c r="M1533" s="16" t="n">
        <f aca="false">J1533*INDEX(Customers!$I$2:$I$41,MATCH(C1533,Customers!$A$2:$A$41,0))/365*Assumptions!$B$6</f>
        <v>1043.80924142466</v>
      </c>
      <c r="N1533" s="16" t="n">
        <f aca="false">J1533-K1533-L1533-M1533</f>
        <v>77537.1851585753</v>
      </c>
      <c r="O1533" s="16" t="n">
        <f aca="false">F1533*IF(A1533="2025",INDEX(Products!$D$2:$D$13,MATCH(D1533,Products!$A$2:$A$13,0)),INDEX(Products!$F$2:$F$13,MATCH(D1533,Products!$A$2:$A$13,0)))</f>
        <v>37129.44</v>
      </c>
      <c r="P1533" s="16" t="n">
        <f aca="false">N1533-O1533</f>
        <v>40407.7451585753</v>
      </c>
    </row>
    <row r="1534" customFormat="false" ht="15" hidden="false" customHeight="false" outlineLevel="0" collapsed="false">
      <c r="A1534" s="2" t="s">
        <v>119</v>
      </c>
      <c r="B1534" s="2" t="n">
        <v>9</v>
      </c>
      <c r="C1534" s="2" t="s">
        <v>85</v>
      </c>
      <c r="D1534" s="2" t="s">
        <v>48</v>
      </c>
      <c r="E1534" s="2" t="str">
        <f aca="false">INDEX(Products!$B$2:$B$13,MATCH(D1534,Products!$A$2:$A$13,0))</f>
        <v>Specialty</v>
      </c>
      <c r="F1534" s="15" t="n">
        <v>2.4</v>
      </c>
      <c r="G1534" s="16" t="n">
        <f aca="false">IF(A1534="2025",INDEX(Products!$C$2:$C$13,MATCH(D1534,Products!$A$2:$A$13,0)),INDEX(Products!$E$2:$E$13,MATCH(D1534,Products!$A$2:$A$13,0)))</f>
        <v>34923</v>
      </c>
      <c r="H1534" s="13" t="n">
        <f aca="false">IF(A1534="2025",INDEX(Customers!$D$2:$D$41,MATCH(C1534,Customers!$A$2:$A$41,0)),INDEX(Customers!$F$2:$F$41,MATCH(C1534,Customers!$A$2:$A$41,0)))</f>
        <v>0.053</v>
      </c>
      <c r="I1534" s="16" t="n">
        <f aca="false">F1534*G1534</f>
        <v>83815.2</v>
      </c>
      <c r="J1534" s="16" t="n">
        <f aca="false">I1534*(1-H1534)</f>
        <v>79372.9944</v>
      </c>
      <c r="K1534" s="16" t="n">
        <f aca="false">J1534*INDEX(Customers!$G$2:$G$41,MATCH(C1534,Customers!$A$2:$A$41,0))</f>
        <v>0</v>
      </c>
      <c r="L1534" s="16" t="n">
        <f aca="false">F1534*INDEX(Customers!$H$2:$H$41,MATCH(C1534,Customers!$A$2:$A$41,0))</f>
        <v>792</v>
      </c>
      <c r="M1534" s="16" t="n">
        <f aca="false">J1534*INDEX(Customers!$I$2:$I$41,MATCH(C1534,Customers!$A$2:$A$41,0))/365*Assumptions!$B$6</f>
        <v>1043.80924142466</v>
      </c>
      <c r="N1534" s="16" t="n">
        <f aca="false">J1534-K1534-L1534-M1534</f>
        <v>77537.1851585753</v>
      </c>
      <c r="O1534" s="16" t="n">
        <f aca="false">F1534*IF(A1534="2025",INDEX(Products!$D$2:$D$13,MATCH(D1534,Products!$A$2:$A$13,0)),INDEX(Products!$F$2:$F$13,MATCH(D1534,Products!$A$2:$A$13,0)))</f>
        <v>37129.44</v>
      </c>
      <c r="P1534" s="16" t="n">
        <f aca="false">N1534-O1534</f>
        <v>40407.7451585753</v>
      </c>
    </row>
    <row r="1535" customFormat="false" ht="15" hidden="false" customHeight="false" outlineLevel="0" collapsed="false">
      <c r="A1535" s="2" t="s">
        <v>119</v>
      </c>
      <c r="B1535" s="2" t="n">
        <v>10</v>
      </c>
      <c r="C1535" s="2" t="s">
        <v>85</v>
      </c>
      <c r="D1535" s="2" t="s">
        <v>48</v>
      </c>
      <c r="E1535" s="2" t="str">
        <f aca="false">INDEX(Products!$B$2:$B$13,MATCH(D1535,Products!$A$2:$A$13,0))</f>
        <v>Specialty</v>
      </c>
      <c r="F1535" s="15" t="n">
        <v>3.7</v>
      </c>
      <c r="G1535" s="16" t="n">
        <f aca="false">IF(A1535="2025",INDEX(Products!$C$2:$C$13,MATCH(D1535,Products!$A$2:$A$13,0)),INDEX(Products!$E$2:$E$13,MATCH(D1535,Products!$A$2:$A$13,0)))</f>
        <v>34923</v>
      </c>
      <c r="H1535" s="13" t="n">
        <f aca="false">IF(A1535="2025",INDEX(Customers!$D$2:$D$41,MATCH(C1535,Customers!$A$2:$A$41,0)),INDEX(Customers!$F$2:$F$41,MATCH(C1535,Customers!$A$2:$A$41,0)))</f>
        <v>0.053</v>
      </c>
      <c r="I1535" s="16" t="n">
        <f aca="false">F1535*G1535</f>
        <v>129215.1</v>
      </c>
      <c r="J1535" s="16" t="n">
        <f aca="false">I1535*(1-H1535)</f>
        <v>122366.6997</v>
      </c>
      <c r="K1535" s="16" t="n">
        <f aca="false">J1535*INDEX(Customers!$G$2:$G$41,MATCH(C1535,Customers!$A$2:$A$41,0))</f>
        <v>0</v>
      </c>
      <c r="L1535" s="16" t="n">
        <f aca="false">F1535*INDEX(Customers!$H$2:$H$41,MATCH(C1535,Customers!$A$2:$A$41,0))</f>
        <v>1221</v>
      </c>
      <c r="M1535" s="16" t="n">
        <f aca="false">J1535*INDEX(Customers!$I$2:$I$41,MATCH(C1535,Customers!$A$2:$A$41,0))/365*Assumptions!$B$6</f>
        <v>1609.20591386301</v>
      </c>
      <c r="N1535" s="16" t="n">
        <f aca="false">J1535-K1535-L1535-M1535</f>
        <v>119536.493786137</v>
      </c>
      <c r="O1535" s="16" t="n">
        <f aca="false">F1535*IF(A1535="2025",INDEX(Products!$D$2:$D$13,MATCH(D1535,Products!$A$2:$A$13,0)),INDEX(Products!$F$2:$F$13,MATCH(D1535,Products!$A$2:$A$13,0)))</f>
        <v>57241.22</v>
      </c>
      <c r="P1535" s="16" t="n">
        <f aca="false">N1535-O1535</f>
        <v>62295.273786137</v>
      </c>
    </row>
    <row r="1536" customFormat="false" ht="15" hidden="false" customHeight="false" outlineLevel="0" collapsed="false">
      <c r="A1536" s="2" t="s">
        <v>119</v>
      </c>
      <c r="B1536" s="2" t="n">
        <v>11</v>
      </c>
      <c r="C1536" s="2" t="s">
        <v>85</v>
      </c>
      <c r="D1536" s="2" t="s">
        <v>48</v>
      </c>
      <c r="E1536" s="2" t="str">
        <f aca="false">INDEX(Products!$B$2:$B$13,MATCH(D1536,Products!$A$2:$A$13,0))</f>
        <v>Specialty</v>
      </c>
      <c r="F1536" s="15" t="n">
        <v>3.3</v>
      </c>
      <c r="G1536" s="16" t="n">
        <f aca="false">IF(A1536="2025",INDEX(Products!$C$2:$C$13,MATCH(D1536,Products!$A$2:$A$13,0)),INDEX(Products!$E$2:$E$13,MATCH(D1536,Products!$A$2:$A$13,0)))</f>
        <v>34923</v>
      </c>
      <c r="H1536" s="13" t="n">
        <f aca="false">IF(A1536="2025",INDEX(Customers!$D$2:$D$41,MATCH(C1536,Customers!$A$2:$A$41,0)),INDEX(Customers!$F$2:$F$41,MATCH(C1536,Customers!$A$2:$A$41,0)))</f>
        <v>0.053</v>
      </c>
      <c r="I1536" s="16" t="n">
        <f aca="false">F1536*G1536</f>
        <v>115245.9</v>
      </c>
      <c r="J1536" s="16" t="n">
        <f aca="false">I1536*(1-H1536)</f>
        <v>109137.8673</v>
      </c>
      <c r="K1536" s="16" t="n">
        <f aca="false">J1536*INDEX(Customers!$G$2:$G$41,MATCH(C1536,Customers!$A$2:$A$41,0))</f>
        <v>0</v>
      </c>
      <c r="L1536" s="16" t="n">
        <f aca="false">F1536*INDEX(Customers!$H$2:$H$41,MATCH(C1536,Customers!$A$2:$A$41,0))</f>
        <v>1089</v>
      </c>
      <c r="M1536" s="16" t="n">
        <f aca="false">J1536*INDEX(Customers!$I$2:$I$41,MATCH(C1536,Customers!$A$2:$A$41,0))/365*Assumptions!$B$6</f>
        <v>1435.2377069589</v>
      </c>
      <c r="N1536" s="16" t="n">
        <f aca="false">J1536-K1536-L1536-M1536</f>
        <v>106613.629593041</v>
      </c>
      <c r="O1536" s="16" t="n">
        <f aca="false">F1536*IF(A1536="2025",INDEX(Products!$D$2:$D$13,MATCH(D1536,Products!$A$2:$A$13,0)),INDEX(Products!$F$2:$F$13,MATCH(D1536,Products!$A$2:$A$13,0)))</f>
        <v>51052.98</v>
      </c>
      <c r="P1536" s="16" t="n">
        <f aca="false">N1536-O1536</f>
        <v>55560.6495930411</v>
      </c>
    </row>
    <row r="1537" customFormat="false" ht="15" hidden="false" customHeight="false" outlineLevel="0" collapsed="false">
      <c r="A1537" s="2" t="s">
        <v>119</v>
      </c>
      <c r="B1537" s="2" t="n">
        <v>12</v>
      </c>
      <c r="C1537" s="2" t="s">
        <v>85</v>
      </c>
      <c r="D1537" s="2" t="s">
        <v>48</v>
      </c>
      <c r="E1537" s="2" t="str">
        <f aca="false">INDEX(Products!$B$2:$B$13,MATCH(D1537,Products!$A$2:$A$13,0))</f>
        <v>Specialty</v>
      </c>
      <c r="F1537" s="15" t="n">
        <v>2.4</v>
      </c>
      <c r="G1537" s="16" t="n">
        <f aca="false">IF(A1537="2025",INDEX(Products!$C$2:$C$13,MATCH(D1537,Products!$A$2:$A$13,0)),INDEX(Products!$E$2:$E$13,MATCH(D1537,Products!$A$2:$A$13,0)))</f>
        <v>34923</v>
      </c>
      <c r="H1537" s="13" t="n">
        <f aca="false">IF(A1537="2025",INDEX(Customers!$D$2:$D$41,MATCH(C1537,Customers!$A$2:$A$41,0)),INDEX(Customers!$F$2:$F$41,MATCH(C1537,Customers!$A$2:$A$41,0)))</f>
        <v>0.053</v>
      </c>
      <c r="I1537" s="16" t="n">
        <f aca="false">F1537*G1537</f>
        <v>83815.2</v>
      </c>
      <c r="J1537" s="16" t="n">
        <f aca="false">I1537*(1-H1537)</f>
        <v>79372.9944</v>
      </c>
      <c r="K1537" s="16" t="n">
        <f aca="false">J1537*INDEX(Customers!$G$2:$G$41,MATCH(C1537,Customers!$A$2:$A$41,0))</f>
        <v>0</v>
      </c>
      <c r="L1537" s="16" t="n">
        <f aca="false">F1537*INDEX(Customers!$H$2:$H$41,MATCH(C1537,Customers!$A$2:$A$41,0))</f>
        <v>792</v>
      </c>
      <c r="M1537" s="16" t="n">
        <f aca="false">J1537*INDEX(Customers!$I$2:$I$41,MATCH(C1537,Customers!$A$2:$A$41,0))/365*Assumptions!$B$6</f>
        <v>1043.80924142466</v>
      </c>
      <c r="N1537" s="16" t="n">
        <f aca="false">J1537-K1537-L1537-M1537</f>
        <v>77537.1851585753</v>
      </c>
      <c r="O1537" s="16" t="n">
        <f aca="false">F1537*IF(A1537="2025",INDEX(Products!$D$2:$D$13,MATCH(D1537,Products!$A$2:$A$13,0)),INDEX(Products!$F$2:$F$13,MATCH(D1537,Products!$A$2:$A$13,0)))</f>
        <v>37129.44</v>
      </c>
      <c r="P1537" s="16" t="n">
        <f aca="false">N1537-O1537</f>
        <v>40407.7451585753</v>
      </c>
    </row>
    <row r="1538" customFormat="false" ht="15" hidden="false" customHeight="false" outlineLevel="0" collapsed="false">
      <c r="A1538" s="2" t="s">
        <v>118</v>
      </c>
      <c r="B1538" s="2" t="n">
        <v>1</v>
      </c>
      <c r="C1538" s="2" t="s">
        <v>85</v>
      </c>
      <c r="D1538" s="2" t="s">
        <v>44</v>
      </c>
      <c r="E1538" s="2" t="str">
        <f aca="false">INDEX(Products!$B$2:$B$13,MATCH(D1538,Products!$A$2:$A$13,0))</f>
        <v>Specialty</v>
      </c>
      <c r="F1538" s="15" t="n">
        <v>3.5</v>
      </c>
      <c r="G1538" s="16" t="n">
        <f aca="false">IF(A1538="2025",INDEX(Products!$C$2:$C$13,MATCH(D1538,Products!$A$2:$A$13,0)),INDEX(Products!$E$2:$E$13,MATCH(D1538,Products!$A$2:$A$13,0)))</f>
        <v>28970</v>
      </c>
      <c r="H1538" s="13" t="n">
        <f aca="false">IF(A1538="2025",INDEX(Customers!$D$2:$D$41,MATCH(C1538,Customers!$A$2:$A$41,0)),INDEX(Customers!$F$2:$F$41,MATCH(C1538,Customers!$A$2:$A$41,0)))</f>
        <v>0.053</v>
      </c>
      <c r="I1538" s="16" t="n">
        <f aca="false">F1538*G1538</f>
        <v>101395</v>
      </c>
      <c r="J1538" s="16" t="n">
        <f aca="false">I1538*(1-H1538)</f>
        <v>96021.065</v>
      </c>
      <c r="K1538" s="16" t="n">
        <f aca="false">J1538*INDEX(Customers!$G$2:$G$41,MATCH(C1538,Customers!$A$2:$A$41,0))</f>
        <v>0</v>
      </c>
      <c r="L1538" s="16" t="n">
        <f aca="false">F1538*INDEX(Customers!$H$2:$H$41,MATCH(C1538,Customers!$A$2:$A$41,0))</f>
        <v>1155</v>
      </c>
      <c r="M1538" s="16" t="n">
        <f aca="false">J1538*INDEX(Customers!$I$2:$I$41,MATCH(C1538,Customers!$A$2:$A$41,0))/365*Assumptions!$B$6</f>
        <v>1262.74277260274</v>
      </c>
      <c r="N1538" s="16" t="n">
        <f aca="false">J1538-K1538-L1538-M1538</f>
        <v>93603.3222273973</v>
      </c>
      <c r="O1538" s="16" t="n">
        <f aca="false">F1538*IF(A1538="2025",INDEX(Products!$D$2:$D$13,MATCH(D1538,Products!$A$2:$A$13,0)),INDEX(Products!$F$2:$F$13,MATCH(D1538,Products!$A$2:$A$13,0)))</f>
        <v>50085</v>
      </c>
      <c r="P1538" s="16" t="n">
        <f aca="false">N1538-O1538</f>
        <v>43518.3222273973</v>
      </c>
    </row>
    <row r="1539" customFormat="false" ht="15" hidden="false" customHeight="false" outlineLevel="0" collapsed="false">
      <c r="A1539" s="2" t="s">
        <v>118</v>
      </c>
      <c r="B1539" s="2" t="n">
        <v>2</v>
      </c>
      <c r="C1539" s="2" t="s">
        <v>85</v>
      </c>
      <c r="D1539" s="2" t="s">
        <v>44</v>
      </c>
      <c r="E1539" s="2" t="str">
        <f aca="false">INDEX(Products!$B$2:$B$13,MATCH(D1539,Products!$A$2:$A$13,0))</f>
        <v>Specialty</v>
      </c>
      <c r="F1539" s="15" t="n">
        <v>3.4</v>
      </c>
      <c r="G1539" s="16" t="n">
        <f aca="false">IF(A1539="2025",INDEX(Products!$C$2:$C$13,MATCH(D1539,Products!$A$2:$A$13,0)),INDEX(Products!$E$2:$E$13,MATCH(D1539,Products!$A$2:$A$13,0)))</f>
        <v>28970</v>
      </c>
      <c r="H1539" s="13" t="n">
        <f aca="false">IF(A1539="2025",INDEX(Customers!$D$2:$D$41,MATCH(C1539,Customers!$A$2:$A$41,0)),INDEX(Customers!$F$2:$F$41,MATCH(C1539,Customers!$A$2:$A$41,0)))</f>
        <v>0.053</v>
      </c>
      <c r="I1539" s="16" t="n">
        <f aca="false">F1539*G1539</f>
        <v>98498</v>
      </c>
      <c r="J1539" s="16" t="n">
        <f aca="false">I1539*(1-H1539)</f>
        <v>93277.606</v>
      </c>
      <c r="K1539" s="16" t="n">
        <f aca="false">J1539*INDEX(Customers!$G$2:$G$41,MATCH(C1539,Customers!$A$2:$A$41,0))</f>
        <v>0</v>
      </c>
      <c r="L1539" s="16" t="n">
        <f aca="false">F1539*INDEX(Customers!$H$2:$H$41,MATCH(C1539,Customers!$A$2:$A$41,0))</f>
        <v>1122</v>
      </c>
      <c r="M1539" s="16" t="n">
        <f aca="false">J1539*INDEX(Customers!$I$2:$I$41,MATCH(C1539,Customers!$A$2:$A$41,0))/365*Assumptions!$B$6</f>
        <v>1226.66440767123</v>
      </c>
      <c r="N1539" s="16" t="n">
        <f aca="false">J1539-K1539-L1539-M1539</f>
        <v>90928.9415923288</v>
      </c>
      <c r="O1539" s="16" t="n">
        <f aca="false">F1539*IF(A1539="2025",INDEX(Products!$D$2:$D$13,MATCH(D1539,Products!$A$2:$A$13,0)),INDEX(Products!$F$2:$F$13,MATCH(D1539,Products!$A$2:$A$13,0)))</f>
        <v>48654</v>
      </c>
      <c r="P1539" s="16" t="n">
        <f aca="false">N1539-O1539</f>
        <v>42274.9415923288</v>
      </c>
    </row>
    <row r="1540" customFormat="false" ht="15" hidden="false" customHeight="false" outlineLevel="0" collapsed="false">
      <c r="A1540" s="2" t="s">
        <v>118</v>
      </c>
      <c r="B1540" s="2" t="n">
        <v>3</v>
      </c>
      <c r="C1540" s="2" t="s">
        <v>85</v>
      </c>
      <c r="D1540" s="2" t="s">
        <v>44</v>
      </c>
      <c r="E1540" s="2" t="str">
        <f aca="false">INDEX(Products!$B$2:$B$13,MATCH(D1540,Products!$A$2:$A$13,0))</f>
        <v>Specialty</v>
      </c>
      <c r="F1540" s="15" t="n">
        <v>2.9</v>
      </c>
      <c r="G1540" s="16" t="n">
        <f aca="false">IF(A1540="2025",INDEX(Products!$C$2:$C$13,MATCH(D1540,Products!$A$2:$A$13,0)),INDEX(Products!$E$2:$E$13,MATCH(D1540,Products!$A$2:$A$13,0)))</f>
        <v>28970</v>
      </c>
      <c r="H1540" s="13" t="n">
        <f aca="false">IF(A1540="2025",INDEX(Customers!$D$2:$D$41,MATCH(C1540,Customers!$A$2:$A$41,0)),INDEX(Customers!$F$2:$F$41,MATCH(C1540,Customers!$A$2:$A$41,0)))</f>
        <v>0.053</v>
      </c>
      <c r="I1540" s="16" t="n">
        <f aca="false">F1540*G1540</f>
        <v>84013</v>
      </c>
      <c r="J1540" s="16" t="n">
        <f aca="false">I1540*(1-H1540)</f>
        <v>79560.311</v>
      </c>
      <c r="K1540" s="16" t="n">
        <f aca="false">J1540*INDEX(Customers!$G$2:$G$41,MATCH(C1540,Customers!$A$2:$A$41,0))</f>
        <v>0</v>
      </c>
      <c r="L1540" s="16" t="n">
        <f aca="false">F1540*INDEX(Customers!$H$2:$H$41,MATCH(C1540,Customers!$A$2:$A$41,0))</f>
        <v>957</v>
      </c>
      <c r="M1540" s="16" t="n">
        <f aca="false">J1540*INDEX(Customers!$I$2:$I$41,MATCH(C1540,Customers!$A$2:$A$41,0))/365*Assumptions!$B$6</f>
        <v>1046.2725830137</v>
      </c>
      <c r="N1540" s="16" t="n">
        <f aca="false">J1540-K1540-L1540-M1540</f>
        <v>77557.0384169863</v>
      </c>
      <c r="O1540" s="16" t="n">
        <f aca="false">F1540*IF(A1540="2025",INDEX(Products!$D$2:$D$13,MATCH(D1540,Products!$A$2:$A$13,0)),INDEX(Products!$F$2:$F$13,MATCH(D1540,Products!$A$2:$A$13,0)))</f>
        <v>41499</v>
      </c>
      <c r="P1540" s="16" t="n">
        <f aca="false">N1540-O1540</f>
        <v>36058.0384169863</v>
      </c>
    </row>
    <row r="1541" customFormat="false" ht="15" hidden="false" customHeight="false" outlineLevel="0" collapsed="false">
      <c r="A1541" s="2" t="s">
        <v>118</v>
      </c>
      <c r="B1541" s="2" t="n">
        <v>4</v>
      </c>
      <c r="C1541" s="2" t="s">
        <v>85</v>
      </c>
      <c r="D1541" s="2" t="s">
        <v>44</v>
      </c>
      <c r="E1541" s="2" t="str">
        <f aca="false">INDEX(Products!$B$2:$B$13,MATCH(D1541,Products!$A$2:$A$13,0))</f>
        <v>Specialty</v>
      </c>
      <c r="F1541" s="15" t="n">
        <v>2.6</v>
      </c>
      <c r="G1541" s="16" t="n">
        <f aca="false">IF(A1541="2025",INDEX(Products!$C$2:$C$13,MATCH(D1541,Products!$A$2:$A$13,0)),INDEX(Products!$E$2:$E$13,MATCH(D1541,Products!$A$2:$A$13,0)))</f>
        <v>28970</v>
      </c>
      <c r="H1541" s="13" t="n">
        <f aca="false">IF(A1541="2025",INDEX(Customers!$D$2:$D$41,MATCH(C1541,Customers!$A$2:$A$41,0)),INDEX(Customers!$F$2:$F$41,MATCH(C1541,Customers!$A$2:$A$41,0)))</f>
        <v>0.053</v>
      </c>
      <c r="I1541" s="16" t="n">
        <f aca="false">F1541*G1541</f>
        <v>75322</v>
      </c>
      <c r="J1541" s="16" t="n">
        <f aca="false">I1541*(1-H1541)</f>
        <v>71329.934</v>
      </c>
      <c r="K1541" s="16" t="n">
        <f aca="false">J1541*INDEX(Customers!$G$2:$G$41,MATCH(C1541,Customers!$A$2:$A$41,0))</f>
        <v>0</v>
      </c>
      <c r="L1541" s="16" t="n">
        <f aca="false">F1541*INDEX(Customers!$H$2:$H$41,MATCH(C1541,Customers!$A$2:$A$41,0))</f>
        <v>858</v>
      </c>
      <c r="M1541" s="16" t="n">
        <f aca="false">J1541*INDEX(Customers!$I$2:$I$41,MATCH(C1541,Customers!$A$2:$A$41,0))/365*Assumptions!$B$6</f>
        <v>938.037488219178</v>
      </c>
      <c r="N1541" s="16" t="n">
        <f aca="false">J1541-K1541-L1541-M1541</f>
        <v>69533.8965117808</v>
      </c>
      <c r="O1541" s="16" t="n">
        <f aca="false">F1541*IF(A1541="2025",INDEX(Products!$D$2:$D$13,MATCH(D1541,Products!$A$2:$A$13,0)),INDEX(Products!$F$2:$F$13,MATCH(D1541,Products!$A$2:$A$13,0)))</f>
        <v>37206</v>
      </c>
      <c r="P1541" s="16" t="n">
        <f aca="false">N1541-O1541</f>
        <v>32327.8965117808</v>
      </c>
    </row>
    <row r="1542" customFormat="false" ht="15" hidden="false" customHeight="false" outlineLevel="0" collapsed="false">
      <c r="A1542" s="2" t="s">
        <v>118</v>
      </c>
      <c r="B1542" s="2" t="n">
        <v>5</v>
      </c>
      <c r="C1542" s="2" t="s">
        <v>85</v>
      </c>
      <c r="D1542" s="2" t="s">
        <v>44</v>
      </c>
      <c r="E1542" s="2" t="str">
        <f aca="false">INDEX(Products!$B$2:$B$13,MATCH(D1542,Products!$A$2:$A$13,0))</f>
        <v>Specialty</v>
      </c>
      <c r="F1542" s="15" t="n">
        <v>2.4</v>
      </c>
      <c r="G1542" s="16" t="n">
        <f aca="false">IF(A1542="2025",INDEX(Products!$C$2:$C$13,MATCH(D1542,Products!$A$2:$A$13,0)),INDEX(Products!$E$2:$E$13,MATCH(D1542,Products!$A$2:$A$13,0)))</f>
        <v>28970</v>
      </c>
      <c r="H1542" s="13" t="n">
        <f aca="false">IF(A1542="2025",INDEX(Customers!$D$2:$D$41,MATCH(C1542,Customers!$A$2:$A$41,0)),INDEX(Customers!$F$2:$F$41,MATCH(C1542,Customers!$A$2:$A$41,0)))</f>
        <v>0.053</v>
      </c>
      <c r="I1542" s="16" t="n">
        <f aca="false">F1542*G1542</f>
        <v>69528</v>
      </c>
      <c r="J1542" s="16" t="n">
        <f aca="false">I1542*(1-H1542)</f>
        <v>65843.016</v>
      </c>
      <c r="K1542" s="16" t="n">
        <f aca="false">J1542*INDEX(Customers!$G$2:$G$41,MATCH(C1542,Customers!$A$2:$A$41,0))</f>
        <v>0</v>
      </c>
      <c r="L1542" s="16" t="n">
        <f aca="false">F1542*INDEX(Customers!$H$2:$H$41,MATCH(C1542,Customers!$A$2:$A$41,0))</f>
        <v>792</v>
      </c>
      <c r="M1542" s="16" t="n">
        <f aca="false">J1542*INDEX(Customers!$I$2:$I$41,MATCH(C1542,Customers!$A$2:$A$41,0))/365*Assumptions!$B$6</f>
        <v>865.880758356165</v>
      </c>
      <c r="N1542" s="16" t="n">
        <f aca="false">J1542-K1542-L1542-M1542</f>
        <v>64185.1352416438</v>
      </c>
      <c r="O1542" s="16" t="n">
        <f aca="false">F1542*IF(A1542="2025",INDEX(Products!$D$2:$D$13,MATCH(D1542,Products!$A$2:$A$13,0)),INDEX(Products!$F$2:$F$13,MATCH(D1542,Products!$A$2:$A$13,0)))</f>
        <v>34344</v>
      </c>
      <c r="P1542" s="16" t="n">
        <f aca="false">N1542-O1542</f>
        <v>29841.1352416438</v>
      </c>
    </row>
    <row r="1543" customFormat="false" ht="15" hidden="false" customHeight="false" outlineLevel="0" collapsed="false">
      <c r="A1543" s="2" t="s">
        <v>118</v>
      </c>
      <c r="B1543" s="2" t="n">
        <v>6</v>
      </c>
      <c r="C1543" s="2" t="s">
        <v>85</v>
      </c>
      <c r="D1543" s="2" t="s">
        <v>44</v>
      </c>
      <c r="E1543" s="2" t="str">
        <f aca="false">INDEX(Products!$B$2:$B$13,MATCH(D1543,Products!$A$2:$A$13,0))</f>
        <v>Specialty</v>
      </c>
      <c r="F1543" s="15" t="n">
        <v>2.6</v>
      </c>
      <c r="G1543" s="16" t="n">
        <f aca="false">IF(A1543="2025",INDEX(Products!$C$2:$C$13,MATCH(D1543,Products!$A$2:$A$13,0)),INDEX(Products!$E$2:$E$13,MATCH(D1543,Products!$A$2:$A$13,0)))</f>
        <v>28970</v>
      </c>
      <c r="H1543" s="13" t="n">
        <f aca="false">IF(A1543="2025",INDEX(Customers!$D$2:$D$41,MATCH(C1543,Customers!$A$2:$A$41,0)),INDEX(Customers!$F$2:$F$41,MATCH(C1543,Customers!$A$2:$A$41,0)))</f>
        <v>0.053</v>
      </c>
      <c r="I1543" s="16" t="n">
        <f aca="false">F1543*G1543</f>
        <v>75322</v>
      </c>
      <c r="J1543" s="16" t="n">
        <f aca="false">I1543*(1-H1543)</f>
        <v>71329.934</v>
      </c>
      <c r="K1543" s="16" t="n">
        <f aca="false">J1543*INDEX(Customers!$G$2:$G$41,MATCH(C1543,Customers!$A$2:$A$41,0))</f>
        <v>0</v>
      </c>
      <c r="L1543" s="16" t="n">
        <f aca="false">F1543*INDEX(Customers!$H$2:$H$41,MATCH(C1543,Customers!$A$2:$A$41,0))</f>
        <v>858</v>
      </c>
      <c r="M1543" s="16" t="n">
        <f aca="false">J1543*INDEX(Customers!$I$2:$I$41,MATCH(C1543,Customers!$A$2:$A$41,0))/365*Assumptions!$B$6</f>
        <v>938.037488219178</v>
      </c>
      <c r="N1543" s="16" t="n">
        <f aca="false">J1543-K1543-L1543-M1543</f>
        <v>69533.8965117808</v>
      </c>
      <c r="O1543" s="16" t="n">
        <f aca="false">F1543*IF(A1543="2025",INDEX(Products!$D$2:$D$13,MATCH(D1543,Products!$A$2:$A$13,0)),INDEX(Products!$F$2:$F$13,MATCH(D1543,Products!$A$2:$A$13,0)))</f>
        <v>37206</v>
      </c>
      <c r="P1543" s="16" t="n">
        <f aca="false">N1543-O1543</f>
        <v>32327.8965117808</v>
      </c>
    </row>
    <row r="1544" customFormat="false" ht="15" hidden="false" customHeight="false" outlineLevel="0" collapsed="false">
      <c r="A1544" s="2" t="s">
        <v>118</v>
      </c>
      <c r="B1544" s="2" t="n">
        <v>7</v>
      </c>
      <c r="C1544" s="2" t="s">
        <v>85</v>
      </c>
      <c r="D1544" s="2" t="s">
        <v>44</v>
      </c>
      <c r="E1544" s="2" t="str">
        <f aca="false">INDEX(Products!$B$2:$B$13,MATCH(D1544,Products!$A$2:$A$13,0))</f>
        <v>Specialty</v>
      </c>
      <c r="F1544" s="15" t="n">
        <v>3.2</v>
      </c>
      <c r="G1544" s="16" t="n">
        <f aca="false">IF(A1544="2025",INDEX(Products!$C$2:$C$13,MATCH(D1544,Products!$A$2:$A$13,0)),INDEX(Products!$E$2:$E$13,MATCH(D1544,Products!$A$2:$A$13,0)))</f>
        <v>28970</v>
      </c>
      <c r="H1544" s="13" t="n">
        <f aca="false">IF(A1544="2025",INDEX(Customers!$D$2:$D$41,MATCH(C1544,Customers!$A$2:$A$41,0)),INDEX(Customers!$F$2:$F$41,MATCH(C1544,Customers!$A$2:$A$41,0)))</f>
        <v>0.053</v>
      </c>
      <c r="I1544" s="16" t="n">
        <f aca="false">F1544*G1544</f>
        <v>92704</v>
      </c>
      <c r="J1544" s="16" t="n">
        <f aca="false">I1544*(1-H1544)</f>
        <v>87790.688</v>
      </c>
      <c r="K1544" s="16" t="n">
        <f aca="false">J1544*INDEX(Customers!$G$2:$G$41,MATCH(C1544,Customers!$A$2:$A$41,0))</f>
        <v>0</v>
      </c>
      <c r="L1544" s="16" t="n">
        <f aca="false">F1544*INDEX(Customers!$H$2:$H$41,MATCH(C1544,Customers!$A$2:$A$41,0))</f>
        <v>1056</v>
      </c>
      <c r="M1544" s="16" t="n">
        <f aca="false">J1544*INDEX(Customers!$I$2:$I$41,MATCH(C1544,Customers!$A$2:$A$41,0))/365*Assumptions!$B$6</f>
        <v>1154.50767780822</v>
      </c>
      <c r="N1544" s="16" t="n">
        <f aca="false">J1544-K1544-L1544-M1544</f>
        <v>85580.1803221918</v>
      </c>
      <c r="O1544" s="16" t="n">
        <f aca="false">F1544*IF(A1544="2025",INDEX(Products!$D$2:$D$13,MATCH(D1544,Products!$A$2:$A$13,0)),INDEX(Products!$F$2:$F$13,MATCH(D1544,Products!$A$2:$A$13,0)))</f>
        <v>45792</v>
      </c>
      <c r="P1544" s="16" t="n">
        <f aca="false">N1544-O1544</f>
        <v>39788.1803221918</v>
      </c>
    </row>
    <row r="1545" customFormat="false" ht="15" hidden="false" customHeight="false" outlineLevel="0" collapsed="false">
      <c r="A1545" s="2" t="s">
        <v>118</v>
      </c>
      <c r="B1545" s="2" t="n">
        <v>8</v>
      </c>
      <c r="C1545" s="2" t="s">
        <v>85</v>
      </c>
      <c r="D1545" s="2" t="s">
        <v>44</v>
      </c>
      <c r="E1545" s="2" t="str">
        <f aca="false">INDEX(Products!$B$2:$B$13,MATCH(D1545,Products!$A$2:$A$13,0))</f>
        <v>Specialty</v>
      </c>
      <c r="F1545" s="15" t="n">
        <v>2.3</v>
      </c>
      <c r="G1545" s="16" t="n">
        <f aca="false">IF(A1545="2025",INDEX(Products!$C$2:$C$13,MATCH(D1545,Products!$A$2:$A$13,0)),INDEX(Products!$E$2:$E$13,MATCH(D1545,Products!$A$2:$A$13,0)))</f>
        <v>28970</v>
      </c>
      <c r="H1545" s="13" t="n">
        <f aca="false">IF(A1545="2025",INDEX(Customers!$D$2:$D$41,MATCH(C1545,Customers!$A$2:$A$41,0)),INDEX(Customers!$F$2:$F$41,MATCH(C1545,Customers!$A$2:$A$41,0)))</f>
        <v>0.053</v>
      </c>
      <c r="I1545" s="16" t="n">
        <f aca="false">F1545*G1545</f>
        <v>66631</v>
      </c>
      <c r="J1545" s="16" t="n">
        <f aca="false">I1545*(1-H1545)</f>
        <v>63099.557</v>
      </c>
      <c r="K1545" s="16" t="n">
        <f aca="false">J1545*INDEX(Customers!$G$2:$G$41,MATCH(C1545,Customers!$A$2:$A$41,0))</f>
        <v>0</v>
      </c>
      <c r="L1545" s="16" t="n">
        <f aca="false">F1545*INDEX(Customers!$H$2:$H$41,MATCH(C1545,Customers!$A$2:$A$41,0))</f>
        <v>759</v>
      </c>
      <c r="M1545" s="16" t="n">
        <f aca="false">J1545*INDEX(Customers!$I$2:$I$41,MATCH(C1545,Customers!$A$2:$A$41,0))/365*Assumptions!$B$6</f>
        <v>829.802393424657</v>
      </c>
      <c r="N1545" s="16" t="n">
        <f aca="false">J1545-K1545-L1545-M1545</f>
        <v>61510.7546065753</v>
      </c>
      <c r="O1545" s="16" t="n">
        <f aca="false">F1545*IF(A1545="2025",INDEX(Products!$D$2:$D$13,MATCH(D1545,Products!$A$2:$A$13,0)),INDEX(Products!$F$2:$F$13,MATCH(D1545,Products!$A$2:$A$13,0)))</f>
        <v>32913</v>
      </c>
      <c r="P1545" s="16" t="n">
        <f aca="false">N1545-O1545</f>
        <v>28597.7546065753</v>
      </c>
    </row>
    <row r="1546" customFormat="false" ht="15" hidden="false" customHeight="false" outlineLevel="0" collapsed="false">
      <c r="A1546" s="2" t="s">
        <v>118</v>
      </c>
      <c r="B1546" s="2" t="n">
        <v>9</v>
      </c>
      <c r="C1546" s="2" t="s">
        <v>85</v>
      </c>
      <c r="D1546" s="2" t="s">
        <v>44</v>
      </c>
      <c r="E1546" s="2" t="str">
        <f aca="false">INDEX(Products!$B$2:$B$13,MATCH(D1546,Products!$A$2:$A$13,0))</f>
        <v>Specialty</v>
      </c>
      <c r="F1546" s="15" t="n">
        <v>3.3</v>
      </c>
      <c r="G1546" s="16" t="n">
        <f aca="false">IF(A1546="2025",INDEX(Products!$C$2:$C$13,MATCH(D1546,Products!$A$2:$A$13,0)),INDEX(Products!$E$2:$E$13,MATCH(D1546,Products!$A$2:$A$13,0)))</f>
        <v>28970</v>
      </c>
      <c r="H1546" s="13" t="n">
        <f aca="false">IF(A1546="2025",INDEX(Customers!$D$2:$D$41,MATCH(C1546,Customers!$A$2:$A$41,0)),INDEX(Customers!$F$2:$F$41,MATCH(C1546,Customers!$A$2:$A$41,0)))</f>
        <v>0.053</v>
      </c>
      <c r="I1546" s="16" t="n">
        <f aca="false">F1546*G1546</f>
        <v>95601</v>
      </c>
      <c r="J1546" s="16" t="n">
        <f aca="false">I1546*(1-H1546)</f>
        <v>90534.147</v>
      </c>
      <c r="K1546" s="16" t="n">
        <f aca="false">J1546*INDEX(Customers!$G$2:$G$41,MATCH(C1546,Customers!$A$2:$A$41,0))</f>
        <v>0</v>
      </c>
      <c r="L1546" s="16" t="n">
        <f aca="false">F1546*INDEX(Customers!$H$2:$H$41,MATCH(C1546,Customers!$A$2:$A$41,0))</f>
        <v>1089</v>
      </c>
      <c r="M1546" s="16" t="n">
        <f aca="false">J1546*INDEX(Customers!$I$2:$I$41,MATCH(C1546,Customers!$A$2:$A$41,0))/365*Assumptions!$B$6</f>
        <v>1190.58604273973</v>
      </c>
      <c r="N1546" s="16" t="n">
        <f aca="false">J1546-K1546-L1546-M1546</f>
        <v>88254.5609572603</v>
      </c>
      <c r="O1546" s="16" t="n">
        <f aca="false">F1546*IF(A1546="2025",INDEX(Products!$D$2:$D$13,MATCH(D1546,Products!$A$2:$A$13,0)),INDEX(Products!$F$2:$F$13,MATCH(D1546,Products!$A$2:$A$13,0)))</f>
        <v>47223</v>
      </c>
      <c r="P1546" s="16" t="n">
        <f aca="false">N1546-O1546</f>
        <v>41031.5609572603</v>
      </c>
    </row>
    <row r="1547" customFormat="false" ht="15" hidden="false" customHeight="false" outlineLevel="0" collapsed="false">
      <c r="A1547" s="2" t="s">
        <v>118</v>
      </c>
      <c r="B1547" s="2" t="n">
        <v>10</v>
      </c>
      <c r="C1547" s="2" t="s">
        <v>85</v>
      </c>
      <c r="D1547" s="2" t="s">
        <v>44</v>
      </c>
      <c r="E1547" s="2" t="str">
        <f aca="false">INDEX(Products!$B$2:$B$13,MATCH(D1547,Products!$A$2:$A$13,0))</f>
        <v>Specialty</v>
      </c>
      <c r="F1547" s="15" t="n">
        <v>3.6</v>
      </c>
      <c r="G1547" s="16" t="n">
        <f aca="false">IF(A1547="2025",INDEX(Products!$C$2:$C$13,MATCH(D1547,Products!$A$2:$A$13,0)),INDEX(Products!$E$2:$E$13,MATCH(D1547,Products!$A$2:$A$13,0)))</f>
        <v>28970</v>
      </c>
      <c r="H1547" s="13" t="n">
        <f aca="false">IF(A1547="2025",INDEX(Customers!$D$2:$D$41,MATCH(C1547,Customers!$A$2:$A$41,0)),INDEX(Customers!$F$2:$F$41,MATCH(C1547,Customers!$A$2:$A$41,0)))</f>
        <v>0.053</v>
      </c>
      <c r="I1547" s="16" t="n">
        <f aca="false">F1547*G1547</f>
        <v>104292</v>
      </c>
      <c r="J1547" s="16" t="n">
        <f aca="false">I1547*(1-H1547)</f>
        <v>98764.524</v>
      </c>
      <c r="K1547" s="16" t="n">
        <f aca="false">J1547*INDEX(Customers!$G$2:$G$41,MATCH(C1547,Customers!$A$2:$A$41,0))</f>
        <v>0</v>
      </c>
      <c r="L1547" s="16" t="n">
        <f aca="false">F1547*INDEX(Customers!$H$2:$H$41,MATCH(C1547,Customers!$A$2:$A$41,0))</f>
        <v>1188</v>
      </c>
      <c r="M1547" s="16" t="n">
        <f aca="false">J1547*INDEX(Customers!$I$2:$I$41,MATCH(C1547,Customers!$A$2:$A$41,0))/365*Assumptions!$B$6</f>
        <v>1298.82113753425</v>
      </c>
      <c r="N1547" s="16" t="n">
        <f aca="false">J1547-K1547-L1547-M1547</f>
        <v>96277.7028624657</v>
      </c>
      <c r="O1547" s="16" t="n">
        <f aca="false">F1547*IF(A1547="2025",INDEX(Products!$D$2:$D$13,MATCH(D1547,Products!$A$2:$A$13,0)),INDEX(Products!$F$2:$F$13,MATCH(D1547,Products!$A$2:$A$13,0)))</f>
        <v>51516</v>
      </c>
      <c r="P1547" s="16" t="n">
        <f aca="false">N1547-O1547</f>
        <v>44761.7028624657</v>
      </c>
    </row>
    <row r="1548" customFormat="false" ht="15" hidden="false" customHeight="false" outlineLevel="0" collapsed="false">
      <c r="A1548" s="2" t="s">
        <v>118</v>
      </c>
      <c r="B1548" s="2" t="n">
        <v>11</v>
      </c>
      <c r="C1548" s="2" t="s">
        <v>85</v>
      </c>
      <c r="D1548" s="2" t="s">
        <v>44</v>
      </c>
      <c r="E1548" s="2" t="str">
        <f aca="false">INDEX(Products!$B$2:$B$13,MATCH(D1548,Products!$A$2:$A$13,0))</f>
        <v>Specialty</v>
      </c>
      <c r="F1548" s="15" t="n">
        <v>3.2</v>
      </c>
      <c r="G1548" s="16" t="n">
        <f aca="false">IF(A1548="2025",INDEX(Products!$C$2:$C$13,MATCH(D1548,Products!$A$2:$A$13,0)),INDEX(Products!$E$2:$E$13,MATCH(D1548,Products!$A$2:$A$13,0)))</f>
        <v>28970</v>
      </c>
      <c r="H1548" s="13" t="n">
        <f aca="false">IF(A1548="2025",INDEX(Customers!$D$2:$D$41,MATCH(C1548,Customers!$A$2:$A$41,0)),INDEX(Customers!$F$2:$F$41,MATCH(C1548,Customers!$A$2:$A$41,0)))</f>
        <v>0.053</v>
      </c>
      <c r="I1548" s="16" t="n">
        <f aca="false">F1548*G1548</f>
        <v>92704</v>
      </c>
      <c r="J1548" s="16" t="n">
        <f aca="false">I1548*(1-H1548)</f>
        <v>87790.688</v>
      </c>
      <c r="K1548" s="16" t="n">
        <f aca="false">J1548*INDEX(Customers!$G$2:$G$41,MATCH(C1548,Customers!$A$2:$A$41,0))</f>
        <v>0</v>
      </c>
      <c r="L1548" s="16" t="n">
        <f aca="false">F1548*INDEX(Customers!$H$2:$H$41,MATCH(C1548,Customers!$A$2:$A$41,0))</f>
        <v>1056</v>
      </c>
      <c r="M1548" s="16" t="n">
        <f aca="false">J1548*INDEX(Customers!$I$2:$I$41,MATCH(C1548,Customers!$A$2:$A$41,0))/365*Assumptions!$B$6</f>
        <v>1154.50767780822</v>
      </c>
      <c r="N1548" s="16" t="n">
        <f aca="false">J1548-K1548-L1548-M1548</f>
        <v>85580.1803221918</v>
      </c>
      <c r="O1548" s="16" t="n">
        <f aca="false">F1548*IF(A1548="2025",INDEX(Products!$D$2:$D$13,MATCH(D1548,Products!$A$2:$A$13,0)),INDEX(Products!$F$2:$F$13,MATCH(D1548,Products!$A$2:$A$13,0)))</f>
        <v>45792</v>
      </c>
      <c r="P1548" s="16" t="n">
        <f aca="false">N1548-O1548</f>
        <v>39788.1803221918</v>
      </c>
    </row>
    <row r="1549" customFormat="false" ht="15" hidden="false" customHeight="false" outlineLevel="0" collapsed="false">
      <c r="A1549" s="2" t="s">
        <v>118</v>
      </c>
      <c r="B1549" s="2" t="n">
        <v>12</v>
      </c>
      <c r="C1549" s="2" t="s">
        <v>85</v>
      </c>
      <c r="D1549" s="2" t="s">
        <v>44</v>
      </c>
      <c r="E1549" s="2" t="str">
        <f aca="false">INDEX(Products!$B$2:$B$13,MATCH(D1549,Products!$A$2:$A$13,0))</f>
        <v>Specialty</v>
      </c>
      <c r="F1549" s="15" t="n">
        <v>2.1</v>
      </c>
      <c r="G1549" s="16" t="n">
        <f aca="false">IF(A1549="2025",INDEX(Products!$C$2:$C$13,MATCH(D1549,Products!$A$2:$A$13,0)),INDEX(Products!$E$2:$E$13,MATCH(D1549,Products!$A$2:$A$13,0)))</f>
        <v>28970</v>
      </c>
      <c r="H1549" s="13" t="n">
        <f aca="false">IF(A1549="2025",INDEX(Customers!$D$2:$D$41,MATCH(C1549,Customers!$A$2:$A$41,0)),INDEX(Customers!$F$2:$F$41,MATCH(C1549,Customers!$A$2:$A$41,0)))</f>
        <v>0.053</v>
      </c>
      <c r="I1549" s="16" t="n">
        <f aca="false">F1549*G1549</f>
        <v>60837</v>
      </c>
      <c r="J1549" s="16" t="n">
        <f aca="false">I1549*(1-H1549)</f>
        <v>57612.639</v>
      </c>
      <c r="K1549" s="16" t="n">
        <f aca="false">J1549*INDEX(Customers!$G$2:$G$41,MATCH(C1549,Customers!$A$2:$A$41,0))</f>
        <v>0</v>
      </c>
      <c r="L1549" s="16" t="n">
        <f aca="false">F1549*INDEX(Customers!$H$2:$H$41,MATCH(C1549,Customers!$A$2:$A$41,0))</f>
        <v>693</v>
      </c>
      <c r="M1549" s="16" t="n">
        <f aca="false">J1549*INDEX(Customers!$I$2:$I$41,MATCH(C1549,Customers!$A$2:$A$41,0))/365*Assumptions!$B$6</f>
        <v>757.645663561644</v>
      </c>
      <c r="N1549" s="16" t="n">
        <f aca="false">J1549-K1549-L1549-M1549</f>
        <v>56161.9933364384</v>
      </c>
      <c r="O1549" s="16" t="n">
        <f aca="false">F1549*IF(A1549="2025",INDEX(Products!$D$2:$D$13,MATCH(D1549,Products!$A$2:$A$13,0)),INDEX(Products!$F$2:$F$13,MATCH(D1549,Products!$A$2:$A$13,0)))</f>
        <v>30051</v>
      </c>
      <c r="P1549" s="16" t="n">
        <f aca="false">N1549-O1549</f>
        <v>26110.9933364384</v>
      </c>
    </row>
    <row r="1550" customFormat="false" ht="15" hidden="false" customHeight="false" outlineLevel="0" collapsed="false">
      <c r="A1550" s="2" t="s">
        <v>119</v>
      </c>
      <c r="B1550" s="2" t="n">
        <v>1</v>
      </c>
      <c r="C1550" s="2" t="s">
        <v>85</v>
      </c>
      <c r="D1550" s="2" t="s">
        <v>44</v>
      </c>
      <c r="E1550" s="2" t="str">
        <f aca="false">INDEX(Products!$B$2:$B$13,MATCH(D1550,Products!$A$2:$A$13,0))</f>
        <v>Specialty</v>
      </c>
      <c r="F1550" s="15" t="n">
        <v>2.8</v>
      </c>
      <c r="G1550" s="16" t="n">
        <f aca="false">IF(A1550="2025",INDEX(Products!$C$2:$C$13,MATCH(D1550,Products!$A$2:$A$13,0)),INDEX(Products!$E$2:$E$13,MATCH(D1550,Products!$A$2:$A$13,0)))</f>
        <v>30418.5</v>
      </c>
      <c r="H1550" s="13" t="n">
        <f aca="false">IF(A1550="2025",INDEX(Customers!$D$2:$D$41,MATCH(C1550,Customers!$A$2:$A$41,0)),INDEX(Customers!$F$2:$F$41,MATCH(C1550,Customers!$A$2:$A$41,0)))</f>
        <v>0.053</v>
      </c>
      <c r="I1550" s="16" t="n">
        <f aca="false">F1550*G1550</f>
        <v>85171.8</v>
      </c>
      <c r="J1550" s="16" t="n">
        <f aca="false">I1550*(1-H1550)</f>
        <v>80657.6946</v>
      </c>
      <c r="K1550" s="16" t="n">
        <f aca="false">J1550*INDEX(Customers!$G$2:$G$41,MATCH(C1550,Customers!$A$2:$A$41,0))</f>
        <v>0</v>
      </c>
      <c r="L1550" s="16" t="n">
        <f aca="false">F1550*INDEX(Customers!$H$2:$H$41,MATCH(C1550,Customers!$A$2:$A$41,0))</f>
        <v>924</v>
      </c>
      <c r="M1550" s="16" t="n">
        <f aca="false">J1550*INDEX(Customers!$I$2:$I$41,MATCH(C1550,Customers!$A$2:$A$41,0))/365*Assumptions!$B$6</f>
        <v>1060.7039289863</v>
      </c>
      <c r="N1550" s="16" t="n">
        <f aca="false">J1550-K1550-L1550-M1550</f>
        <v>78672.9906710137</v>
      </c>
      <c r="O1550" s="16" t="n">
        <f aca="false">F1550*IF(A1550="2025",INDEX(Products!$D$2:$D$13,MATCH(D1550,Products!$A$2:$A$13,0)),INDEX(Products!$F$2:$F$13,MATCH(D1550,Products!$A$2:$A$13,0)))</f>
        <v>41270.04</v>
      </c>
      <c r="P1550" s="16" t="n">
        <f aca="false">N1550-O1550</f>
        <v>37402.9506710137</v>
      </c>
    </row>
    <row r="1551" customFormat="false" ht="15" hidden="false" customHeight="false" outlineLevel="0" collapsed="false">
      <c r="A1551" s="2" t="s">
        <v>119</v>
      </c>
      <c r="B1551" s="2" t="n">
        <v>2</v>
      </c>
      <c r="C1551" s="2" t="s">
        <v>85</v>
      </c>
      <c r="D1551" s="2" t="s">
        <v>44</v>
      </c>
      <c r="E1551" s="2" t="str">
        <f aca="false">INDEX(Products!$B$2:$B$13,MATCH(D1551,Products!$A$2:$A$13,0))</f>
        <v>Specialty</v>
      </c>
      <c r="F1551" s="15" t="n">
        <v>2.5</v>
      </c>
      <c r="G1551" s="16" t="n">
        <f aca="false">IF(A1551="2025",INDEX(Products!$C$2:$C$13,MATCH(D1551,Products!$A$2:$A$13,0)),INDEX(Products!$E$2:$E$13,MATCH(D1551,Products!$A$2:$A$13,0)))</f>
        <v>30418.5</v>
      </c>
      <c r="H1551" s="13" t="n">
        <f aca="false">IF(A1551="2025",INDEX(Customers!$D$2:$D$41,MATCH(C1551,Customers!$A$2:$A$41,0)),INDEX(Customers!$F$2:$F$41,MATCH(C1551,Customers!$A$2:$A$41,0)))</f>
        <v>0.053</v>
      </c>
      <c r="I1551" s="16" t="n">
        <f aca="false">F1551*G1551</f>
        <v>76046.25</v>
      </c>
      <c r="J1551" s="16" t="n">
        <f aca="false">I1551*(1-H1551)</f>
        <v>72015.79875</v>
      </c>
      <c r="K1551" s="16" t="n">
        <f aca="false">J1551*INDEX(Customers!$G$2:$G$41,MATCH(C1551,Customers!$A$2:$A$41,0))</f>
        <v>0</v>
      </c>
      <c r="L1551" s="16" t="n">
        <f aca="false">F1551*INDEX(Customers!$H$2:$H$41,MATCH(C1551,Customers!$A$2:$A$41,0))</f>
        <v>825</v>
      </c>
      <c r="M1551" s="16" t="n">
        <f aca="false">J1551*INDEX(Customers!$I$2:$I$41,MATCH(C1551,Customers!$A$2:$A$41,0))/365*Assumptions!$B$6</f>
        <v>947.057079452055</v>
      </c>
      <c r="N1551" s="16" t="n">
        <f aca="false">J1551-K1551-L1551-M1551</f>
        <v>70243.7416705479</v>
      </c>
      <c r="O1551" s="16" t="n">
        <f aca="false">F1551*IF(A1551="2025",INDEX(Products!$D$2:$D$13,MATCH(D1551,Products!$A$2:$A$13,0)),INDEX(Products!$F$2:$F$13,MATCH(D1551,Products!$A$2:$A$13,0)))</f>
        <v>36848.25</v>
      </c>
      <c r="P1551" s="16" t="n">
        <f aca="false">N1551-O1551</f>
        <v>33395.4916705479</v>
      </c>
    </row>
    <row r="1552" customFormat="false" ht="15" hidden="false" customHeight="false" outlineLevel="0" collapsed="false">
      <c r="A1552" s="2" t="s">
        <v>119</v>
      </c>
      <c r="B1552" s="2" t="n">
        <v>3</v>
      </c>
      <c r="C1552" s="2" t="s">
        <v>85</v>
      </c>
      <c r="D1552" s="2" t="s">
        <v>44</v>
      </c>
      <c r="E1552" s="2" t="str">
        <f aca="false">INDEX(Products!$B$2:$B$13,MATCH(D1552,Products!$A$2:$A$13,0))</f>
        <v>Specialty</v>
      </c>
      <c r="F1552" s="15" t="n">
        <v>3.5</v>
      </c>
      <c r="G1552" s="16" t="n">
        <f aca="false">IF(A1552="2025",INDEX(Products!$C$2:$C$13,MATCH(D1552,Products!$A$2:$A$13,0)),INDEX(Products!$E$2:$E$13,MATCH(D1552,Products!$A$2:$A$13,0)))</f>
        <v>30418.5</v>
      </c>
      <c r="H1552" s="13" t="n">
        <f aca="false">IF(A1552="2025",INDEX(Customers!$D$2:$D$41,MATCH(C1552,Customers!$A$2:$A$41,0)),INDEX(Customers!$F$2:$F$41,MATCH(C1552,Customers!$A$2:$A$41,0)))</f>
        <v>0.053</v>
      </c>
      <c r="I1552" s="16" t="n">
        <f aca="false">F1552*G1552</f>
        <v>106464.75</v>
      </c>
      <c r="J1552" s="16" t="n">
        <f aca="false">I1552*(1-H1552)</f>
        <v>100822.11825</v>
      </c>
      <c r="K1552" s="16" t="n">
        <f aca="false">J1552*INDEX(Customers!$G$2:$G$41,MATCH(C1552,Customers!$A$2:$A$41,0))</f>
        <v>0</v>
      </c>
      <c r="L1552" s="16" t="n">
        <f aca="false">F1552*INDEX(Customers!$H$2:$H$41,MATCH(C1552,Customers!$A$2:$A$41,0))</f>
        <v>1155</v>
      </c>
      <c r="M1552" s="16" t="n">
        <f aca="false">J1552*INDEX(Customers!$I$2:$I$41,MATCH(C1552,Customers!$A$2:$A$41,0))/365*Assumptions!$B$6</f>
        <v>1325.87991123288</v>
      </c>
      <c r="N1552" s="16" t="n">
        <f aca="false">J1552-K1552-L1552-M1552</f>
        <v>98341.2383387671</v>
      </c>
      <c r="O1552" s="16" t="n">
        <f aca="false">F1552*IF(A1552="2025",INDEX(Products!$D$2:$D$13,MATCH(D1552,Products!$A$2:$A$13,0)),INDEX(Products!$F$2:$F$13,MATCH(D1552,Products!$A$2:$A$13,0)))</f>
        <v>51587.55</v>
      </c>
      <c r="P1552" s="16" t="n">
        <f aca="false">N1552-O1552</f>
        <v>46753.6883387671</v>
      </c>
    </row>
    <row r="1553" customFormat="false" ht="15" hidden="false" customHeight="false" outlineLevel="0" collapsed="false">
      <c r="A1553" s="2" t="s">
        <v>119</v>
      </c>
      <c r="B1553" s="2" t="n">
        <v>4</v>
      </c>
      <c r="C1553" s="2" t="s">
        <v>85</v>
      </c>
      <c r="D1553" s="2" t="s">
        <v>44</v>
      </c>
      <c r="E1553" s="2" t="str">
        <f aca="false">INDEX(Products!$B$2:$B$13,MATCH(D1553,Products!$A$2:$A$13,0))</f>
        <v>Specialty</v>
      </c>
      <c r="F1553" s="15" t="n">
        <v>2.8</v>
      </c>
      <c r="G1553" s="16" t="n">
        <f aca="false">IF(A1553="2025",INDEX(Products!$C$2:$C$13,MATCH(D1553,Products!$A$2:$A$13,0)),INDEX(Products!$E$2:$E$13,MATCH(D1553,Products!$A$2:$A$13,0)))</f>
        <v>30418.5</v>
      </c>
      <c r="H1553" s="13" t="n">
        <f aca="false">IF(A1553="2025",INDEX(Customers!$D$2:$D$41,MATCH(C1553,Customers!$A$2:$A$41,0)),INDEX(Customers!$F$2:$F$41,MATCH(C1553,Customers!$A$2:$A$41,0)))</f>
        <v>0.053</v>
      </c>
      <c r="I1553" s="16" t="n">
        <f aca="false">F1553*G1553</f>
        <v>85171.8</v>
      </c>
      <c r="J1553" s="16" t="n">
        <f aca="false">I1553*(1-H1553)</f>
        <v>80657.6946</v>
      </c>
      <c r="K1553" s="16" t="n">
        <f aca="false">J1553*INDEX(Customers!$G$2:$G$41,MATCH(C1553,Customers!$A$2:$A$41,0))</f>
        <v>0</v>
      </c>
      <c r="L1553" s="16" t="n">
        <f aca="false">F1553*INDEX(Customers!$H$2:$H$41,MATCH(C1553,Customers!$A$2:$A$41,0))</f>
        <v>924</v>
      </c>
      <c r="M1553" s="16" t="n">
        <f aca="false">J1553*INDEX(Customers!$I$2:$I$41,MATCH(C1553,Customers!$A$2:$A$41,0))/365*Assumptions!$B$6</f>
        <v>1060.7039289863</v>
      </c>
      <c r="N1553" s="16" t="n">
        <f aca="false">J1553-K1553-L1553-M1553</f>
        <v>78672.9906710137</v>
      </c>
      <c r="O1553" s="16" t="n">
        <f aca="false">F1553*IF(A1553="2025",INDEX(Products!$D$2:$D$13,MATCH(D1553,Products!$A$2:$A$13,0)),INDEX(Products!$F$2:$F$13,MATCH(D1553,Products!$A$2:$A$13,0)))</f>
        <v>41270.04</v>
      </c>
      <c r="P1553" s="16" t="n">
        <f aca="false">N1553-O1553</f>
        <v>37402.9506710137</v>
      </c>
    </row>
    <row r="1554" customFormat="false" ht="15" hidden="false" customHeight="false" outlineLevel="0" collapsed="false">
      <c r="A1554" s="2" t="s">
        <v>119</v>
      </c>
      <c r="B1554" s="2" t="n">
        <v>5</v>
      </c>
      <c r="C1554" s="2" t="s">
        <v>85</v>
      </c>
      <c r="D1554" s="2" t="s">
        <v>44</v>
      </c>
      <c r="E1554" s="2" t="str">
        <f aca="false">INDEX(Products!$B$2:$B$13,MATCH(D1554,Products!$A$2:$A$13,0))</f>
        <v>Specialty</v>
      </c>
      <c r="F1554" s="15" t="n">
        <v>2.9</v>
      </c>
      <c r="G1554" s="16" t="n">
        <f aca="false">IF(A1554="2025",INDEX(Products!$C$2:$C$13,MATCH(D1554,Products!$A$2:$A$13,0)),INDEX(Products!$E$2:$E$13,MATCH(D1554,Products!$A$2:$A$13,0)))</f>
        <v>30418.5</v>
      </c>
      <c r="H1554" s="13" t="n">
        <f aca="false">IF(A1554="2025",INDEX(Customers!$D$2:$D$41,MATCH(C1554,Customers!$A$2:$A$41,0)),INDEX(Customers!$F$2:$F$41,MATCH(C1554,Customers!$A$2:$A$41,0)))</f>
        <v>0.053</v>
      </c>
      <c r="I1554" s="16" t="n">
        <f aca="false">F1554*G1554</f>
        <v>88213.65</v>
      </c>
      <c r="J1554" s="16" t="n">
        <f aca="false">I1554*(1-H1554)</f>
        <v>83538.32655</v>
      </c>
      <c r="K1554" s="16" t="n">
        <f aca="false">J1554*INDEX(Customers!$G$2:$G$41,MATCH(C1554,Customers!$A$2:$A$41,0))</f>
        <v>0</v>
      </c>
      <c r="L1554" s="16" t="n">
        <f aca="false">F1554*INDEX(Customers!$H$2:$H$41,MATCH(C1554,Customers!$A$2:$A$41,0))</f>
        <v>957</v>
      </c>
      <c r="M1554" s="16" t="n">
        <f aca="false">J1554*INDEX(Customers!$I$2:$I$41,MATCH(C1554,Customers!$A$2:$A$41,0))/365*Assumptions!$B$6</f>
        <v>1098.58621216438</v>
      </c>
      <c r="N1554" s="16" t="n">
        <f aca="false">J1554-K1554-L1554-M1554</f>
        <v>81482.7403378356</v>
      </c>
      <c r="O1554" s="16" t="n">
        <f aca="false">F1554*IF(A1554="2025",INDEX(Products!$D$2:$D$13,MATCH(D1554,Products!$A$2:$A$13,0)),INDEX(Products!$F$2:$F$13,MATCH(D1554,Products!$A$2:$A$13,0)))</f>
        <v>42743.97</v>
      </c>
      <c r="P1554" s="16" t="n">
        <f aca="false">N1554-O1554</f>
        <v>38738.7703378356</v>
      </c>
    </row>
    <row r="1555" customFormat="false" ht="15" hidden="false" customHeight="false" outlineLevel="0" collapsed="false">
      <c r="A1555" s="2" t="s">
        <v>119</v>
      </c>
      <c r="B1555" s="2" t="n">
        <v>6</v>
      </c>
      <c r="C1555" s="2" t="s">
        <v>85</v>
      </c>
      <c r="D1555" s="2" t="s">
        <v>44</v>
      </c>
      <c r="E1555" s="2" t="str">
        <f aca="false">INDEX(Products!$B$2:$B$13,MATCH(D1555,Products!$A$2:$A$13,0))</f>
        <v>Specialty</v>
      </c>
      <c r="F1555" s="15" t="n">
        <v>2.4</v>
      </c>
      <c r="G1555" s="16" t="n">
        <f aca="false">IF(A1555="2025",INDEX(Products!$C$2:$C$13,MATCH(D1555,Products!$A$2:$A$13,0)),INDEX(Products!$E$2:$E$13,MATCH(D1555,Products!$A$2:$A$13,0)))</f>
        <v>30418.5</v>
      </c>
      <c r="H1555" s="13" t="n">
        <f aca="false">IF(A1555="2025",INDEX(Customers!$D$2:$D$41,MATCH(C1555,Customers!$A$2:$A$41,0)),INDEX(Customers!$F$2:$F$41,MATCH(C1555,Customers!$A$2:$A$41,0)))</f>
        <v>0.053</v>
      </c>
      <c r="I1555" s="16" t="n">
        <f aca="false">F1555*G1555</f>
        <v>73004.4</v>
      </c>
      <c r="J1555" s="16" t="n">
        <f aca="false">I1555*(1-H1555)</f>
        <v>69135.1668</v>
      </c>
      <c r="K1555" s="16" t="n">
        <f aca="false">J1555*INDEX(Customers!$G$2:$G$41,MATCH(C1555,Customers!$A$2:$A$41,0))</f>
        <v>0</v>
      </c>
      <c r="L1555" s="16" t="n">
        <f aca="false">F1555*INDEX(Customers!$H$2:$H$41,MATCH(C1555,Customers!$A$2:$A$41,0))</f>
        <v>792</v>
      </c>
      <c r="M1555" s="16" t="n">
        <f aca="false">J1555*INDEX(Customers!$I$2:$I$41,MATCH(C1555,Customers!$A$2:$A$41,0))/365*Assumptions!$B$6</f>
        <v>909.174796273972</v>
      </c>
      <c r="N1555" s="16" t="n">
        <f aca="false">J1555-K1555-L1555-M1555</f>
        <v>67433.992003726</v>
      </c>
      <c r="O1555" s="16" t="n">
        <f aca="false">F1555*IF(A1555="2025",INDEX(Products!$D$2:$D$13,MATCH(D1555,Products!$A$2:$A$13,0)),INDEX(Products!$F$2:$F$13,MATCH(D1555,Products!$A$2:$A$13,0)))</f>
        <v>35374.32</v>
      </c>
      <c r="P1555" s="16" t="n">
        <f aca="false">N1555-O1555</f>
        <v>32059.672003726</v>
      </c>
    </row>
    <row r="1556" customFormat="false" ht="15" hidden="false" customHeight="false" outlineLevel="0" collapsed="false">
      <c r="A1556" s="2" t="s">
        <v>119</v>
      </c>
      <c r="B1556" s="2" t="n">
        <v>7</v>
      </c>
      <c r="C1556" s="2" t="s">
        <v>85</v>
      </c>
      <c r="D1556" s="2" t="s">
        <v>44</v>
      </c>
      <c r="E1556" s="2" t="str">
        <f aca="false">INDEX(Products!$B$2:$B$13,MATCH(D1556,Products!$A$2:$A$13,0))</f>
        <v>Specialty</v>
      </c>
      <c r="F1556" s="15" t="n">
        <v>3.6</v>
      </c>
      <c r="G1556" s="16" t="n">
        <f aca="false">IF(A1556="2025",INDEX(Products!$C$2:$C$13,MATCH(D1556,Products!$A$2:$A$13,0)),INDEX(Products!$E$2:$E$13,MATCH(D1556,Products!$A$2:$A$13,0)))</f>
        <v>30418.5</v>
      </c>
      <c r="H1556" s="13" t="n">
        <f aca="false">IF(A1556="2025",INDEX(Customers!$D$2:$D$41,MATCH(C1556,Customers!$A$2:$A$41,0)),INDEX(Customers!$F$2:$F$41,MATCH(C1556,Customers!$A$2:$A$41,0)))</f>
        <v>0.053</v>
      </c>
      <c r="I1556" s="16" t="n">
        <f aca="false">F1556*G1556</f>
        <v>109506.6</v>
      </c>
      <c r="J1556" s="16" t="n">
        <f aca="false">I1556*(1-H1556)</f>
        <v>103702.7502</v>
      </c>
      <c r="K1556" s="16" t="n">
        <f aca="false">J1556*INDEX(Customers!$G$2:$G$41,MATCH(C1556,Customers!$A$2:$A$41,0))</f>
        <v>0</v>
      </c>
      <c r="L1556" s="16" t="n">
        <f aca="false">F1556*INDEX(Customers!$H$2:$H$41,MATCH(C1556,Customers!$A$2:$A$41,0))</f>
        <v>1188</v>
      </c>
      <c r="M1556" s="16" t="n">
        <f aca="false">J1556*INDEX(Customers!$I$2:$I$41,MATCH(C1556,Customers!$A$2:$A$41,0))/365*Assumptions!$B$6</f>
        <v>1363.76219441096</v>
      </c>
      <c r="N1556" s="16" t="n">
        <f aca="false">J1556-K1556-L1556-M1556</f>
        <v>101150.988005589</v>
      </c>
      <c r="O1556" s="16" t="n">
        <f aca="false">F1556*IF(A1556="2025",INDEX(Products!$D$2:$D$13,MATCH(D1556,Products!$A$2:$A$13,0)),INDEX(Products!$F$2:$F$13,MATCH(D1556,Products!$A$2:$A$13,0)))</f>
        <v>53061.48</v>
      </c>
      <c r="P1556" s="16" t="n">
        <f aca="false">N1556-O1556</f>
        <v>48089.508005589</v>
      </c>
    </row>
    <row r="1557" customFormat="false" ht="15" hidden="false" customHeight="false" outlineLevel="0" collapsed="false">
      <c r="A1557" s="2" t="s">
        <v>119</v>
      </c>
      <c r="B1557" s="2" t="n">
        <v>8</v>
      </c>
      <c r="C1557" s="2" t="s">
        <v>85</v>
      </c>
      <c r="D1557" s="2" t="s">
        <v>44</v>
      </c>
      <c r="E1557" s="2" t="str">
        <f aca="false">INDEX(Products!$B$2:$B$13,MATCH(D1557,Products!$A$2:$A$13,0))</f>
        <v>Specialty</v>
      </c>
      <c r="F1557" s="15" t="n">
        <v>3.7</v>
      </c>
      <c r="G1557" s="16" t="n">
        <f aca="false">IF(A1557="2025",INDEX(Products!$C$2:$C$13,MATCH(D1557,Products!$A$2:$A$13,0)),INDEX(Products!$E$2:$E$13,MATCH(D1557,Products!$A$2:$A$13,0)))</f>
        <v>30418.5</v>
      </c>
      <c r="H1557" s="13" t="n">
        <f aca="false">IF(A1557="2025",INDEX(Customers!$D$2:$D$41,MATCH(C1557,Customers!$A$2:$A$41,0)),INDEX(Customers!$F$2:$F$41,MATCH(C1557,Customers!$A$2:$A$41,0)))</f>
        <v>0.053</v>
      </c>
      <c r="I1557" s="16" t="n">
        <f aca="false">F1557*G1557</f>
        <v>112548.45</v>
      </c>
      <c r="J1557" s="16" t="n">
        <f aca="false">I1557*(1-H1557)</f>
        <v>106583.38215</v>
      </c>
      <c r="K1557" s="16" t="n">
        <f aca="false">J1557*INDEX(Customers!$G$2:$G$41,MATCH(C1557,Customers!$A$2:$A$41,0))</f>
        <v>0</v>
      </c>
      <c r="L1557" s="16" t="n">
        <f aca="false">F1557*INDEX(Customers!$H$2:$H$41,MATCH(C1557,Customers!$A$2:$A$41,0))</f>
        <v>1221</v>
      </c>
      <c r="M1557" s="16" t="n">
        <f aca="false">J1557*INDEX(Customers!$I$2:$I$41,MATCH(C1557,Customers!$A$2:$A$41,0))/365*Assumptions!$B$6</f>
        <v>1401.64447758904</v>
      </c>
      <c r="N1557" s="16" t="n">
        <f aca="false">J1557-K1557-L1557-M1557</f>
        <v>103960.737672411</v>
      </c>
      <c r="O1557" s="16" t="n">
        <f aca="false">F1557*IF(A1557="2025",INDEX(Products!$D$2:$D$13,MATCH(D1557,Products!$A$2:$A$13,0)),INDEX(Products!$F$2:$F$13,MATCH(D1557,Products!$A$2:$A$13,0)))</f>
        <v>54535.41</v>
      </c>
      <c r="P1557" s="16" t="n">
        <f aca="false">N1557-O1557</f>
        <v>49425.327672411</v>
      </c>
    </row>
    <row r="1558" customFormat="false" ht="15" hidden="false" customHeight="false" outlineLevel="0" collapsed="false">
      <c r="A1558" s="2" t="s">
        <v>119</v>
      </c>
      <c r="B1558" s="2" t="n">
        <v>9</v>
      </c>
      <c r="C1558" s="2" t="s">
        <v>85</v>
      </c>
      <c r="D1558" s="2" t="s">
        <v>44</v>
      </c>
      <c r="E1558" s="2" t="str">
        <f aca="false">INDEX(Products!$B$2:$B$13,MATCH(D1558,Products!$A$2:$A$13,0))</f>
        <v>Specialty</v>
      </c>
      <c r="F1558" s="15" t="n">
        <v>3.4</v>
      </c>
      <c r="G1558" s="16" t="n">
        <f aca="false">IF(A1558="2025",INDEX(Products!$C$2:$C$13,MATCH(D1558,Products!$A$2:$A$13,0)),INDEX(Products!$E$2:$E$13,MATCH(D1558,Products!$A$2:$A$13,0)))</f>
        <v>30418.5</v>
      </c>
      <c r="H1558" s="13" t="n">
        <f aca="false">IF(A1558="2025",INDEX(Customers!$D$2:$D$41,MATCH(C1558,Customers!$A$2:$A$41,0)),INDEX(Customers!$F$2:$F$41,MATCH(C1558,Customers!$A$2:$A$41,0)))</f>
        <v>0.053</v>
      </c>
      <c r="I1558" s="16" t="n">
        <f aca="false">F1558*G1558</f>
        <v>103422.9</v>
      </c>
      <c r="J1558" s="16" t="n">
        <f aca="false">I1558*(1-H1558)</f>
        <v>97941.4863</v>
      </c>
      <c r="K1558" s="16" t="n">
        <f aca="false">J1558*INDEX(Customers!$G$2:$G$41,MATCH(C1558,Customers!$A$2:$A$41,0))</f>
        <v>0</v>
      </c>
      <c r="L1558" s="16" t="n">
        <f aca="false">F1558*INDEX(Customers!$H$2:$H$41,MATCH(C1558,Customers!$A$2:$A$41,0))</f>
        <v>1122</v>
      </c>
      <c r="M1558" s="16" t="n">
        <f aca="false">J1558*INDEX(Customers!$I$2:$I$41,MATCH(C1558,Customers!$A$2:$A$41,0))/365*Assumptions!$B$6</f>
        <v>1287.99762805479</v>
      </c>
      <c r="N1558" s="16" t="n">
        <f aca="false">J1558-K1558-L1558-M1558</f>
        <v>95531.4886719452</v>
      </c>
      <c r="O1558" s="16" t="n">
        <f aca="false">F1558*IF(A1558="2025",INDEX(Products!$D$2:$D$13,MATCH(D1558,Products!$A$2:$A$13,0)),INDEX(Products!$F$2:$F$13,MATCH(D1558,Products!$A$2:$A$13,0)))</f>
        <v>50113.62</v>
      </c>
      <c r="P1558" s="16" t="n">
        <f aca="false">N1558-O1558</f>
        <v>45417.8686719452</v>
      </c>
    </row>
    <row r="1559" customFormat="false" ht="15" hidden="false" customHeight="false" outlineLevel="0" collapsed="false">
      <c r="A1559" s="2" t="s">
        <v>119</v>
      </c>
      <c r="B1559" s="2" t="n">
        <v>10</v>
      </c>
      <c r="C1559" s="2" t="s">
        <v>85</v>
      </c>
      <c r="D1559" s="2" t="s">
        <v>44</v>
      </c>
      <c r="E1559" s="2" t="str">
        <f aca="false">INDEX(Products!$B$2:$B$13,MATCH(D1559,Products!$A$2:$A$13,0))</f>
        <v>Specialty</v>
      </c>
      <c r="F1559" s="15" t="n">
        <v>2.5</v>
      </c>
      <c r="G1559" s="16" t="n">
        <f aca="false">IF(A1559="2025",INDEX(Products!$C$2:$C$13,MATCH(D1559,Products!$A$2:$A$13,0)),INDEX(Products!$E$2:$E$13,MATCH(D1559,Products!$A$2:$A$13,0)))</f>
        <v>30418.5</v>
      </c>
      <c r="H1559" s="13" t="n">
        <f aca="false">IF(A1559="2025",INDEX(Customers!$D$2:$D$41,MATCH(C1559,Customers!$A$2:$A$41,0)),INDEX(Customers!$F$2:$F$41,MATCH(C1559,Customers!$A$2:$A$41,0)))</f>
        <v>0.053</v>
      </c>
      <c r="I1559" s="16" t="n">
        <f aca="false">F1559*G1559</f>
        <v>76046.25</v>
      </c>
      <c r="J1559" s="16" t="n">
        <f aca="false">I1559*(1-H1559)</f>
        <v>72015.79875</v>
      </c>
      <c r="K1559" s="16" t="n">
        <f aca="false">J1559*INDEX(Customers!$G$2:$G$41,MATCH(C1559,Customers!$A$2:$A$41,0))</f>
        <v>0</v>
      </c>
      <c r="L1559" s="16" t="n">
        <f aca="false">F1559*INDEX(Customers!$H$2:$H$41,MATCH(C1559,Customers!$A$2:$A$41,0))</f>
        <v>825</v>
      </c>
      <c r="M1559" s="16" t="n">
        <f aca="false">J1559*INDEX(Customers!$I$2:$I$41,MATCH(C1559,Customers!$A$2:$A$41,0))/365*Assumptions!$B$6</f>
        <v>947.057079452055</v>
      </c>
      <c r="N1559" s="16" t="n">
        <f aca="false">J1559-K1559-L1559-M1559</f>
        <v>70243.7416705479</v>
      </c>
      <c r="O1559" s="16" t="n">
        <f aca="false">F1559*IF(A1559="2025",INDEX(Products!$D$2:$D$13,MATCH(D1559,Products!$A$2:$A$13,0)),INDEX(Products!$F$2:$F$13,MATCH(D1559,Products!$A$2:$A$13,0)))</f>
        <v>36848.25</v>
      </c>
      <c r="P1559" s="16" t="n">
        <f aca="false">N1559-O1559</f>
        <v>33395.4916705479</v>
      </c>
    </row>
    <row r="1560" customFormat="false" ht="15" hidden="false" customHeight="false" outlineLevel="0" collapsed="false">
      <c r="A1560" s="2" t="s">
        <v>119</v>
      </c>
      <c r="B1560" s="2" t="n">
        <v>11</v>
      </c>
      <c r="C1560" s="2" t="s">
        <v>85</v>
      </c>
      <c r="D1560" s="2" t="s">
        <v>44</v>
      </c>
      <c r="E1560" s="2" t="str">
        <f aca="false">INDEX(Products!$B$2:$B$13,MATCH(D1560,Products!$A$2:$A$13,0))</f>
        <v>Specialty</v>
      </c>
      <c r="F1560" s="15" t="n">
        <v>3.7</v>
      </c>
      <c r="G1560" s="16" t="n">
        <f aca="false">IF(A1560="2025",INDEX(Products!$C$2:$C$13,MATCH(D1560,Products!$A$2:$A$13,0)),INDEX(Products!$E$2:$E$13,MATCH(D1560,Products!$A$2:$A$13,0)))</f>
        <v>30418.5</v>
      </c>
      <c r="H1560" s="13" t="n">
        <f aca="false">IF(A1560="2025",INDEX(Customers!$D$2:$D$41,MATCH(C1560,Customers!$A$2:$A$41,0)),INDEX(Customers!$F$2:$F$41,MATCH(C1560,Customers!$A$2:$A$41,0)))</f>
        <v>0.053</v>
      </c>
      <c r="I1560" s="16" t="n">
        <f aca="false">F1560*G1560</f>
        <v>112548.45</v>
      </c>
      <c r="J1560" s="16" t="n">
        <f aca="false">I1560*(1-H1560)</f>
        <v>106583.38215</v>
      </c>
      <c r="K1560" s="16" t="n">
        <f aca="false">J1560*INDEX(Customers!$G$2:$G$41,MATCH(C1560,Customers!$A$2:$A$41,0))</f>
        <v>0</v>
      </c>
      <c r="L1560" s="16" t="n">
        <f aca="false">F1560*INDEX(Customers!$H$2:$H$41,MATCH(C1560,Customers!$A$2:$A$41,0))</f>
        <v>1221</v>
      </c>
      <c r="M1560" s="16" t="n">
        <f aca="false">J1560*INDEX(Customers!$I$2:$I$41,MATCH(C1560,Customers!$A$2:$A$41,0))/365*Assumptions!$B$6</f>
        <v>1401.64447758904</v>
      </c>
      <c r="N1560" s="16" t="n">
        <f aca="false">J1560-K1560-L1560-M1560</f>
        <v>103960.737672411</v>
      </c>
      <c r="O1560" s="16" t="n">
        <f aca="false">F1560*IF(A1560="2025",INDEX(Products!$D$2:$D$13,MATCH(D1560,Products!$A$2:$A$13,0)),INDEX(Products!$F$2:$F$13,MATCH(D1560,Products!$A$2:$A$13,0)))</f>
        <v>54535.41</v>
      </c>
      <c r="P1560" s="16" t="n">
        <f aca="false">N1560-O1560</f>
        <v>49425.327672411</v>
      </c>
    </row>
    <row r="1561" customFormat="false" ht="15" hidden="false" customHeight="false" outlineLevel="0" collapsed="false">
      <c r="A1561" s="2" t="s">
        <v>119</v>
      </c>
      <c r="B1561" s="2" t="n">
        <v>12</v>
      </c>
      <c r="C1561" s="2" t="s">
        <v>85</v>
      </c>
      <c r="D1561" s="2" t="s">
        <v>44</v>
      </c>
      <c r="E1561" s="2" t="str">
        <f aca="false">INDEX(Products!$B$2:$B$13,MATCH(D1561,Products!$A$2:$A$13,0))</f>
        <v>Specialty</v>
      </c>
      <c r="F1561" s="15" t="n">
        <v>4.2</v>
      </c>
      <c r="G1561" s="16" t="n">
        <f aca="false">IF(A1561="2025",INDEX(Products!$C$2:$C$13,MATCH(D1561,Products!$A$2:$A$13,0)),INDEX(Products!$E$2:$E$13,MATCH(D1561,Products!$A$2:$A$13,0)))</f>
        <v>30418.5</v>
      </c>
      <c r="H1561" s="13" t="n">
        <f aca="false">IF(A1561="2025",INDEX(Customers!$D$2:$D$41,MATCH(C1561,Customers!$A$2:$A$41,0)),INDEX(Customers!$F$2:$F$41,MATCH(C1561,Customers!$A$2:$A$41,0)))</f>
        <v>0.053</v>
      </c>
      <c r="I1561" s="16" t="n">
        <f aca="false">F1561*G1561</f>
        <v>127757.7</v>
      </c>
      <c r="J1561" s="16" t="n">
        <f aca="false">I1561*(1-H1561)</f>
        <v>120986.5419</v>
      </c>
      <c r="K1561" s="16" t="n">
        <f aca="false">J1561*INDEX(Customers!$G$2:$G$41,MATCH(C1561,Customers!$A$2:$A$41,0))</f>
        <v>0</v>
      </c>
      <c r="L1561" s="16" t="n">
        <f aca="false">F1561*INDEX(Customers!$H$2:$H$41,MATCH(C1561,Customers!$A$2:$A$41,0))</f>
        <v>1386</v>
      </c>
      <c r="M1561" s="16" t="n">
        <f aca="false">J1561*INDEX(Customers!$I$2:$I$41,MATCH(C1561,Customers!$A$2:$A$41,0))/365*Assumptions!$B$6</f>
        <v>1591.05589347945</v>
      </c>
      <c r="N1561" s="16" t="n">
        <f aca="false">J1561-K1561-L1561-M1561</f>
        <v>118009.486006521</v>
      </c>
      <c r="O1561" s="16" t="n">
        <f aca="false">F1561*IF(A1561="2025",INDEX(Products!$D$2:$D$13,MATCH(D1561,Products!$A$2:$A$13,0)),INDEX(Products!$F$2:$F$13,MATCH(D1561,Products!$A$2:$A$13,0)))</f>
        <v>61905.06</v>
      </c>
      <c r="P1561" s="16" t="n">
        <f aca="false">N1561-O1561</f>
        <v>56104.4260065206</v>
      </c>
    </row>
    <row r="1562" customFormat="false" ht="15" hidden="false" customHeight="false" outlineLevel="0" collapsed="false">
      <c r="A1562" s="2" t="s">
        <v>118</v>
      </c>
      <c r="B1562" s="2" t="n">
        <v>1</v>
      </c>
      <c r="C1562" s="2" t="s">
        <v>86</v>
      </c>
      <c r="D1562" s="2" t="s">
        <v>39</v>
      </c>
      <c r="E1562" s="2" t="str">
        <f aca="false">INDEX(Products!$B$2:$B$13,MATCH(D1562,Products!$A$2:$A$13,0))</f>
        <v>Hydroprocessing</v>
      </c>
      <c r="F1562" s="15" t="n">
        <v>10</v>
      </c>
      <c r="G1562" s="16" t="n">
        <f aca="false">IF(A1562="2025",INDEX(Products!$C$2:$C$13,MATCH(D1562,Products!$A$2:$A$13,0)),INDEX(Products!$E$2:$E$13,MATCH(D1562,Products!$A$2:$A$13,0)))</f>
        <v>12570</v>
      </c>
      <c r="H1562" s="13" t="n">
        <f aca="false">IF(A1562="2025",INDEX(Customers!$D$2:$D$41,MATCH(C1562,Customers!$A$2:$A$41,0)),INDEX(Customers!$F$2:$F$41,MATCH(C1562,Customers!$A$2:$A$41,0)))</f>
        <v>0.03</v>
      </c>
      <c r="I1562" s="16" t="n">
        <f aca="false">F1562*G1562</f>
        <v>125700</v>
      </c>
      <c r="J1562" s="16" t="n">
        <f aca="false">I1562*(1-H1562)</f>
        <v>121929</v>
      </c>
      <c r="K1562" s="16" t="n">
        <f aca="false">J1562*INDEX(Customers!$G$2:$G$41,MATCH(C1562,Customers!$A$2:$A$41,0))</f>
        <v>2438.58</v>
      </c>
      <c r="L1562" s="16" t="n">
        <f aca="false">F1562*INDEX(Customers!$H$2:$H$41,MATCH(C1562,Customers!$A$2:$A$41,0))</f>
        <v>1700</v>
      </c>
      <c r="M1562" s="16" t="n">
        <f aca="false">J1562*INDEX(Customers!$I$2:$I$41,MATCH(C1562,Customers!$A$2:$A$41,0))/365*Assumptions!$B$6</f>
        <v>1603.4498630137</v>
      </c>
      <c r="N1562" s="16" t="n">
        <f aca="false">J1562-K1562-L1562-M1562</f>
        <v>116186.970136986</v>
      </c>
      <c r="O1562" s="16" t="n">
        <f aca="false">F1562*IF(A1562="2025",INDEX(Products!$D$2:$D$13,MATCH(D1562,Products!$A$2:$A$13,0)),INDEX(Products!$F$2:$F$13,MATCH(D1562,Products!$A$2:$A$13,0)))</f>
        <v>72900</v>
      </c>
      <c r="P1562" s="16" t="n">
        <f aca="false">N1562-O1562</f>
        <v>43286.9701369863</v>
      </c>
    </row>
    <row r="1563" customFormat="false" ht="15" hidden="false" customHeight="false" outlineLevel="0" collapsed="false">
      <c r="A1563" s="2" t="s">
        <v>118</v>
      </c>
      <c r="B1563" s="2" t="n">
        <v>2</v>
      </c>
      <c r="C1563" s="2" t="s">
        <v>86</v>
      </c>
      <c r="D1563" s="2" t="s">
        <v>39</v>
      </c>
      <c r="E1563" s="2" t="str">
        <f aca="false">INDEX(Products!$B$2:$B$13,MATCH(D1563,Products!$A$2:$A$13,0))</f>
        <v>Hydroprocessing</v>
      </c>
      <c r="F1563" s="15" t="n">
        <v>9.2</v>
      </c>
      <c r="G1563" s="16" t="n">
        <f aca="false">IF(A1563="2025",INDEX(Products!$C$2:$C$13,MATCH(D1563,Products!$A$2:$A$13,0)),INDEX(Products!$E$2:$E$13,MATCH(D1563,Products!$A$2:$A$13,0)))</f>
        <v>12570</v>
      </c>
      <c r="H1563" s="13" t="n">
        <f aca="false">IF(A1563="2025",INDEX(Customers!$D$2:$D$41,MATCH(C1563,Customers!$A$2:$A$41,0)),INDEX(Customers!$F$2:$F$41,MATCH(C1563,Customers!$A$2:$A$41,0)))</f>
        <v>0.03</v>
      </c>
      <c r="I1563" s="16" t="n">
        <f aca="false">F1563*G1563</f>
        <v>115644</v>
      </c>
      <c r="J1563" s="16" t="n">
        <f aca="false">I1563*(1-H1563)</f>
        <v>112174.68</v>
      </c>
      <c r="K1563" s="16" t="n">
        <f aca="false">J1563*INDEX(Customers!$G$2:$G$41,MATCH(C1563,Customers!$A$2:$A$41,0))</f>
        <v>2243.4936</v>
      </c>
      <c r="L1563" s="16" t="n">
        <f aca="false">F1563*INDEX(Customers!$H$2:$H$41,MATCH(C1563,Customers!$A$2:$A$41,0))</f>
        <v>1564</v>
      </c>
      <c r="M1563" s="16" t="n">
        <f aca="false">J1563*INDEX(Customers!$I$2:$I$41,MATCH(C1563,Customers!$A$2:$A$41,0))/365*Assumptions!$B$6</f>
        <v>1475.1738739726</v>
      </c>
      <c r="N1563" s="16" t="n">
        <f aca="false">J1563-K1563-L1563-M1563</f>
        <v>106892.012526027</v>
      </c>
      <c r="O1563" s="16" t="n">
        <f aca="false">F1563*IF(A1563="2025",INDEX(Products!$D$2:$D$13,MATCH(D1563,Products!$A$2:$A$13,0)),INDEX(Products!$F$2:$F$13,MATCH(D1563,Products!$A$2:$A$13,0)))</f>
        <v>67068</v>
      </c>
      <c r="P1563" s="16" t="n">
        <f aca="false">N1563-O1563</f>
        <v>39824.0125260274</v>
      </c>
    </row>
    <row r="1564" customFormat="false" ht="15" hidden="false" customHeight="false" outlineLevel="0" collapsed="false">
      <c r="A1564" s="2" t="s">
        <v>118</v>
      </c>
      <c r="B1564" s="2" t="n">
        <v>3</v>
      </c>
      <c r="C1564" s="2" t="s">
        <v>86</v>
      </c>
      <c r="D1564" s="2" t="s">
        <v>39</v>
      </c>
      <c r="E1564" s="2" t="str">
        <f aca="false">INDEX(Products!$B$2:$B$13,MATCH(D1564,Products!$A$2:$A$13,0))</f>
        <v>Hydroprocessing</v>
      </c>
      <c r="F1564" s="15" t="n">
        <v>6.6</v>
      </c>
      <c r="G1564" s="16" t="n">
        <f aca="false">IF(A1564="2025",INDEX(Products!$C$2:$C$13,MATCH(D1564,Products!$A$2:$A$13,0)),INDEX(Products!$E$2:$E$13,MATCH(D1564,Products!$A$2:$A$13,0)))</f>
        <v>12570</v>
      </c>
      <c r="H1564" s="13" t="n">
        <f aca="false">IF(A1564="2025",INDEX(Customers!$D$2:$D$41,MATCH(C1564,Customers!$A$2:$A$41,0)),INDEX(Customers!$F$2:$F$41,MATCH(C1564,Customers!$A$2:$A$41,0)))</f>
        <v>0.03</v>
      </c>
      <c r="I1564" s="16" t="n">
        <f aca="false">F1564*G1564</f>
        <v>82962</v>
      </c>
      <c r="J1564" s="16" t="n">
        <f aca="false">I1564*(1-H1564)</f>
        <v>80473.14</v>
      </c>
      <c r="K1564" s="16" t="n">
        <f aca="false">J1564*INDEX(Customers!$G$2:$G$41,MATCH(C1564,Customers!$A$2:$A$41,0))</f>
        <v>1609.4628</v>
      </c>
      <c r="L1564" s="16" t="n">
        <f aca="false">F1564*INDEX(Customers!$H$2:$H$41,MATCH(C1564,Customers!$A$2:$A$41,0))</f>
        <v>1122</v>
      </c>
      <c r="M1564" s="16" t="n">
        <f aca="false">J1564*INDEX(Customers!$I$2:$I$41,MATCH(C1564,Customers!$A$2:$A$41,0))/365*Assumptions!$B$6</f>
        <v>1058.27690958904</v>
      </c>
      <c r="N1564" s="16" t="n">
        <f aca="false">J1564-K1564-L1564-M1564</f>
        <v>76683.400290411</v>
      </c>
      <c r="O1564" s="16" t="n">
        <f aca="false">F1564*IF(A1564="2025",INDEX(Products!$D$2:$D$13,MATCH(D1564,Products!$A$2:$A$13,0)),INDEX(Products!$F$2:$F$13,MATCH(D1564,Products!$A$2:$A$13,0)))</f>
        <v>48114</v>
      </c>
      <c r="P1564" s="16" t="n">
        <f aca="false">N1564-O1564</f>
        <v>28569.400290411</v>
      </c>
    </row>
    <row r="1565" customFormat="false" ht="15" hidden="false" customHeight="false" outlineLevel="0" collapsed="false">
      <c r="A1565" s="2" t="s">
        <v>118</v>
      </c>
      <c r="B1565" s="2" t="n">
        <v>4</v>
      </c>
      <c r="C1565" s="2" t="s">
        <v>86</v>
      </c>
      <c r="D1565" s="2" t="s">
        <v>39</v>
      </c>
      <c r="E1565" s="2" t="str">
        <f aca="false">INDEX(Products!$B$2:$B$13,MATCH(D1565,Products!$A$2:$A$13,0))</f>
        <v>Hydroprocessing</v>
      </c>
      <c r="F1565" s="15" t="n">
        <v>10.7</v>
      </c>
      <c r="G1565" s="16" t="n">
        <f aca="false">IF(A1565="2025",INDEX(Products!$C$2:$C$13,MATCH(D1565,Products!$A$2:$A$13,0)),INDEX(Products!$E$2:$E$13,MATCH(D1565,Products!$A$2:$A$13,0)))</f>
        <v>12570</v>
      </c>
      <c r="H1565" s="13" t="n">
        <f aca="false">IF(A1565="2025",INDEX(Customers!$D$2:$D$41,MATCH(C1565,Customers!$A$2:$A$41,0)),INDEX(Customers!$F$2:$F$41,MATCH(C1565,Customers!$A$2:$A$41,0)))</f>
        <v>0.03</v>
      </c>
      <c r="I1565" s="16" t="n">
        <f aca="false">F1565*G1565</f>
        <v>134499</v>
      </c>
      <c r="J1565" s="16" t="n">
        <f aca="false">I1565*(1-H1565)</f>
        <v>130464.03</v>
      </c>
      <c r="K1565" s="16" t="n">
        <f aca="false">J1565*INDEX(Customers!$G$2:$G$41,MATCH(C1565,Customers!$A$2:$A$41,0))</f>
        <v>2609.2806</v>
      </c>
      <c r="L1565" s="16" t="n">
        <f aca="false">F1565*INDEX(Customers!$H$2:$H$41,MATCH(C1565,Customers!$A$2:$A$41,0))</f>
        <v>1819</v>
      </c>
      <c r="M1565" s="16" t="n">
        <f aca="false">J1565*INDEX(Customers!$I$2:$I$41,MATCH(C1565,Customers!$A$2:$A$41,0))/365*Assumptions!$B$6</f>
        <v>1715.69135342466</v>
      </c>
      <c r="N1565" s="16" t="n">
        <f aca="false">J1565-K1565-L1565-M1565</f>
        <v>124320.058046575</v>
      </c>
      <c r="O1565" s="16" t="n">
        <f aca="false">F1565*IF(A1565="2025",INDEX(Products!$D$2:$D$13,MATCH(D1565,Products!$A$2:$A$13,0)),INDEX(Products!$F$2:$F$13,MATCH(D1565,Products!$A$2:$A$13,0)))</f>
        <v>78003</v>
      </c>
      <c r="P1565" s="16" t="n">
        <f aca="false">N1565-O1565</f>
        <v>46317.0580465753</v>
      </c>
    </row>
    <row r="1566" customFormat="false" ht="15" hidden="false" customHeight="false" outlineLevel="0" collapsed="false">
      <c r="A1566" s="2" t="s">
        <v>118</v>
      </c>
      <c r="B1566" s="2" t="n">
        <v>5</v>
      </c>
      <c r="C1566" s="2" t="s">
        <v>86</v>
      </c>
      <c r="D1566" s="2" t="s">
        <v>39</v>
      </c>
      <c r="E1566" s="2" t="str">
        <f aca="false">INDEX(Products!$B$2:$B$13,MATCH(D1566,Products!$A$2:$A$13,0))</f>
        <v>Hydroprocessing</v>
      </c>
      <c r="F1566" s="15" t="n">
        <v>6.8</v>
      </c>
      <c r="G1566" s="16" t="n">
        <f aca="false">IF(A1566="2025",INDEX(Products!$C$2:$C$13,MATCH(D1566,Products!$A$2:$A$13,0)),INDEX(Products!$E$2:$E$13,MATCH(D1566,Products!$A$2:$A$13,0)))</f>
        <v>12570</v>
      </c>
      <c r="H1566" s="13" t="n">
        <f aca="false">IF(A1566="2025",INDEX(Customers!$D$2:$D$41,MATCH(C1566,Customers!$A$2:$A$41,0)),INDEX(Customers!$F$2:$F$41,MATCH(C1566,Customers!$A$2:$A$41,0)))</f>
        <v>0.03</v>
      </c>
      <c r="I1566" s="16" t="n">
        <f aca="false">F1566*G1566</f>
        <v>85476</v>
      </c>
      <c r="J1566" s="16" t="n">
        <f aca="false">I1566*(1-H1566)</f>
        <v>82911.72</v>
      </c>
      <c r="K1566" s="16" t="n">
        <f aca="false">J1566*INDEX(Customers!$G$2:$G$41,MATCH(C1566,Customers!$A$2:$A$41,0))</f>
        <v>1658.2344</v>
      </c>
      <c r="L1566" s="16" t="n">
        <f aca="false">F1566*INDEX(Customers!$H$2:$H$41,MATCH(C1566,Customers!$A$2:$A$41,0))</f>
        <v>1156</v>
      </c>
      <c r="M1566" s="16" t="n">
        <f aca="false">J1566*INDEX(Customers!$I$2:$I$41,MATCH(C1566,Customers!$A$2:$A$41,0))/365*Assumptions!$B$6</f>
        <v>1090.34590684932</v>
      </c>
      <c r="N1566" s="16" t="n">
        <f aca="false">J1566-K1566-L1566-M1566</f>
        <v>79007.1396931507</v>
      </c>
      <c r="O1566" s="16" t="n">
        <f aca="false">F1566*IF(A1566="2025",INDEX(Products!$D$2:$D$13,MATCH(D1566,Products!$A$2:$A$13,0)),INDEX(Products!$F$2:$F$13,MATCH(D1566,Products!$A$2:$A$13,0)))</f>
        <v>49572</v>
      </c>
      <c r="P1566" s="16" t="n">
        <f aca="false">N1566-O1566</f>
        <v>29435.1396931507</v>
      </c>
    </row>
    <row r="1567" customFormat="false" ht="15" hidden="false" customHeight="false" outlineLevel="0" collapsed="false">
      <c r="A1567" s="2" t="s">
        <v>118</v>
      </c>
      <c r="B1567" s="2" t="n">
        <v>6</v>
      </c>
      <c r="C1567" s="2" t="s">
        <v>86</v>
      </c>
      <c r="D1567" s="2" t="s">
        <v>39</v>
      </c>
      <c r="E1567" s="2" t="str">
        <f aca="false">INDEX(Products!$B$2:$B$13,MATCH(D1567,Products!$A$2:$A$13,0))</f>
        <v>Hydroprocessing</v>
      </c>
      <c r="F1567" s="15" t="n">
        <v>7.6</v>
      </c>
      <c r="G1567" s="16" t="n">
        <f aca="false">IF(A1567="2025",INDEX(Products!$C$2:$C$13,MATCH(D1567,Products!$A$2:$A$13,0)),INDEX(Products!$E$2:$E$13,MATCH(D1567,Products!$A$2:$A$13,0)))</f>
        <v>12570</v>
      </c>
      <c r="H1567" s="13" t="n">
        <f aca="false">IF(A1567="2025",INDEX(Customers!$D$2:$D$41,MATCH(C1567,Customers!$A$2:$A$41,0)),INDEX(Customers!$F$2:$F$41,MATCH(C1567,Customers!$A$2:$A$41,0)))</f>
        <v>0.03</v>
      </c>
      <c r="I1567" s="16" t="n">
        <f aca="false">F1567*G1567</f>
        <v>95532</v>
      </c>
      <c r="J1567" s="16" t="n">
        <f aca="false">I1567*(1-H1567)</f>
        <v>92666.04</v>
      </c>
      <c r="K1567" s="16" t="n">
        <f aca="false">J1567*INDEX(Customers!$G$2:$G$41,MATCH(C1567,Customers!$A$2:$A$41,0))</f>
        <v>1853.3208</v>
      </c>
      <c r="L1567" s="16" t="n">
        <f aca="false">F1567*INDEX(Customers!$H$2:$H$41,MATCH(C1567,Customers!$A$2:$A$41,0))</f>
        <v>1292</v>
      </c>
      <c r="M1567" s="16" t="n">
        <f aca="false">J1567*INDEX(Customers!$I$2:$I$41,MATCH(C1567,Customers!$A$2:$A$41,0))/365*Assumptions!$B$6</f>
        <v>1218.62189589041</v>
      </c>
      <c r="N1567" s="16" t="n">
        <f aca="false">J1567-K1567-L1567-M1567</f>
        <v>88302.0973041096</v>
      </c>
      <c r="O1567" s="16" t="n">
        <f aca="false">F1567*IF(A1567="2025",INDEX(Products!$D$2:$D$13,MATCH(D1567,Products!$A$2:$A$13,0)),INDEX(Products!$F$2:$F$13,MATCH(D1567,Products!$A$2:$A$13,0)))</f>
        <v>55404</v>
      </c>
      <c r="P1567" s="16" t="n">
        <f aca="false">N1567-O1567</f>
        <v>32898.0973041096</v>
      </c>
    </row>
    <row r="1568" customFormat="false" ht="15" hidden="false" customHeight="false" outlineLevel="0" collapsed="false">
      <c r="A1568" s="2" t="s">
        <v>118</v>
      </c>
      <c r="B1568" s="2" t="n">
        <v>7</v>
      </c>
      <c r="C1568" s="2" t="s">
        <v>86</v>
      </c>
      <c r="D1568" s="2" t="s">
        <v>39</v>
      </c>
      <c r="E1568" s="2" t="str">
        <f aca="false">INDEX(Products!$B$2:$B$13,MATCH(D1568,Products!$A$2:$A$13,0))</f>
        <v>Hydroprocessing</v>
      </c>
      <c r="F1568" s="15" t="n">
        <v>10.4</v>
      </c>
      <c r="G1568" s="16" t="n">
        <f aca="false">IF(A1568="2025",INDEX(Products!$C$2:$C$13,MATCH(D1568,Products!$A$2:$A$13,0)),INDEX(Products!$E$2:$E$13,MATCH(D1568,Products!$A$2:$A$13,0)))</f>
        <v>12570</v>
      </c>
      <c r="H1568" s="13" t="n">
        <f aca="false">IF(A1568="2025",INDEX(Customers!$D$2:$D$41,MATCH(C1568,Customers!$A$2:$A$41,0)),INDEX(Customers!$F$2:$F$41,MATCH(C1568,Customers!$A$2:$A$41,0)))</f>
        <v>0.03</v>
      </c>
      <c r="I1568" s="16" t="n">
        <f aca="false">F1568*G1568</f>
        <v>130728</v>
      </c>
      <c r="J1568" s="16" t="n">
        <f aca="false">I1568*(1-H1568)</f>
        <v>126806.16</v>
      </c>
      <c r="K1568" s="16" t="n">
        <f aca="false">J1568*INDEX(Customers!$G$2:$G$41,MATCH(C1568,Customers!$A$2:$A$41,0))</f>
        <v>2536.1232</v>
      </c>
      <c r="L1568" s="16" t="n">
        <f aca="false">F1568*INDEX(Customers!$H$2:$H$41,MATCH(C1568,Customers!$A$2:$A$41,0))</f>
        <v>1768</v>
      </c>
      <c r="M1568" s="16" t="n">
        <f aca="false">J1568*INDEX(Customers!$I$2:$I$41,MATCH(C1568,Customers!$A$2:$A$41,0))/365*Assumptions!$B$6</f>
        <v>1667.58785753425</v>
      </c>
      <c r="N1568" s="16" t="n">
        <f aca="false">J1568-K1568-L1568-M1568</f>
        <v>120834.448942466</v>
      </c>
      <c r="O1568" s="16" t="n">
        <f aca="false">F1568*IF(A1568="2025",INDEX(Products!$D$2:$D$13,MATCH(D1568,Products!$A$2:$A$13,0)),INDEX(Products!$F$2:$F$13,MATCH(D1568,Products!$A$2:$A$13,0)))</f>
        <v>75816</v>
      </c>
      <c r="P1568" s="16" t="n">
        <f aca="false">N1568-O1568</f>
        <v>45018.4489424658</v>
      </c>
    </row>
    <row r="1569" customFormat="false" ht="15" hidden="false" customHeight="false" outlineLevel="0" collapsed="false">
      <c r="A1569" s="2" t="s">
        <v>118</v>
      </c>
      <c r="B1569" s="2" t="n">
        <v>8</v>
      </c>
      <c r="C1569" s="2" t="s">
        <v>86</v>
      </c>
      <c r="D1569" s="2" t="s">
        <v>39</v>
      </c>
      <c r="E1569" s="2" t="str">
        <f aca="false">INDEX(Products!$B$2:$B$13,MATCH(D1569,Products!$A$2:$A$13,0))</f>
        <v>Hydroprocessing</v>
      </c>
      <c r="F1569" s="15" t="n">
        <v>10.6</v>
      </c>
      <c r="G1569" s="16" t="n">
        <f aca="false">IF(A1569="2025",INDEX(Products!$C$2:$C$13,MATCH(D1569,Products!$A$2:$A$13,0)),INDEX(Products!$E$2:$E$13,MATCH(D1569,Products!$A$2:$A$13,0)))</f>
        <v>12570</v>
      </c>
      <c r="H1569" s="13" t="n">
        <f aca="false">IF(A1569="2025",INDEX(Customers!$D$2:$D$41,MATCH(C1569,Customers!$A$2:$A$41,0)),INDEX(Customers!$F$2:$F$41,MATCH(C1569,Customers!$A$2:$A$41,0)))</f>
        <v>0.03</v>
      </c>
      <c r="I1569" s="16" t="n">
        <f aca="false">F1569*G1569</f>
        <v>133242</v>
      </c>
      <c r="J1569" s="16" t="n">
        <f aca="false">I1569*(1-H1569)</f>
        <v>129244.74</v>
      </c>
      <c r="K1569" s="16" t="n">
        <f aca="false">J1569*INDEX(Customers!$G$2:$G$41,MATCH(C1569,Customers!$A$2:$A$41,0))</f>
        <v>2584.8948</v>
      </c>
      <c r="L1569" s="16" t="n">
        <f aca="false">F1569*INDEX(Customers!$H$2:$H$41,MATCH(C1569,Customers!$A$2:$A$41,0))</f>
        <v>1802</v>
      </c>
      <c r="M1569" s="16" t="n">
        <f aca="false">J1569*INDEX(Customers!$I$2:$I$41,MATCH(C1569,Customers!$A$2:$A$41,0))/365*Assumptions!$B$6</f>
        <v>1699.65685479452</v>
      </c>
      <c r="N1569" s="16" t="n">
        <f aca="false">J1569-K1569-L1569-M1569</f>
        <v>123158.188345205</v>
      </c>
      <c r="O1569" s="16" t="n">
        <f aca="false">F1569*IF(A1569="2025",INDEX(Products!$D$2:$D$13,MATCH(D1569,Products!$A$2:$A$13,0)),INDEX(Products!$F$2:$F$13,MATCH(D1569,Products!$A$2:$A$13,0)))</f>
        <v>77274</v>
      </c>
      <c r="P1569" s="16" t="n">
        <f aca="false">N1569-O1569</f>
        <v>45884.1883452055</v>
      </c>
    </row>
    <row r="1570" customFormat="false" ht="15" hidden="false" customHeight="false" outlineLevel="0" collapsed="false">
      <c r="A1570" s="2" t="s">
        <v>118</v>
      </c>
      <c r="B1570" s="2" t="n">
        <v>9</v>
      </c>
      <c r="C1570" s="2" t="s">
        <v>86</v>
      </c>
      <c r="D1570" s="2" t="s">
        <v>39</v>
      </c>
      <c r="E1570" s="2" t="str">
        <f aca="false">INDEX(Products!$B$2:$B$13,MATCH(D1570,Products!$A$2:$A$13,0))</f>
        <v>Hydroprocessing</v>
      </c>
      <c r="F1570" s="15" t="n">
        <v>7.3</v>
      </c>
      <c r="G1570" s="16" t="n">
        <f aca="false">IF(A1570="2025",INDEX(Products!$C$2:$C$13,MATCH(D1570,Products!$A$2:$A$13,0)),INDEX(Products!$E$2:$E$13,MATCH(D1570,Products!$A$2:$A$13,0)))</f>
        <v>12570</v>
      </c>
      <c r="H1570" s="13" t="n">
        <f aca="false">IF(A1570="2025",INDEX(Customers!$D$2:$D$41,MATCH(C1570,Customers!$A$2:$A$41,0)),INDEX(Customers!$F$2:$F$41,MATCH(C1570,Customers!$A$2:$A$41,0)))</f>
        <v>0.03</v>
      </c>
      <c r="I1570" s="16" t="n">
        <f aca="false">F1570*G1570</f>
        <v>91761</v>
      </c>
      <c r="J1570" s="16" t="n">
        <f aca="false">I1570*(1-H1570)</f>
        <v>89008.17</v>
      </c>
      <c r="K1570" s="16" t="n">
        <f aca="false">J1570*INDEX(Customers!$G$2:$G$41,MATCH(C1570,Customers!$A$2:$A$41,0))</f>
        <v>1780.1634</v>
      </c>
      <c r="L1570" s="16" t="n">
        <f aca="false">F1570*INDEX(Customers!$H$2:$H$41,MATCH(C1570,Customers!$A$2:$A$41,0))</f>
        <v>1241</v>
      </c>
      <c r="M1570" s="16" t="n">
        <f aca="false">J1570*INDEX(Customers!$I$2:$I$41,MATCH(C1570,Customers!$A$2:$A$41,0))/365*Assumptions!$B$6</f>
        <v>1170.5184</v>
      </c>
      <c r="N1570" s="16" t="n">
        <f aca="false">J1570-K1570-L1570-M1570</f>
        <v>84816.4882</v>
      </c>
      <c r="O1570" s="16" t="n">
        <f aca="false">F1570*IF(A1570="2025",INDEX(Products!$D$2:$D$13,MATCH(D1570,Products!$A$2:$A$13,0)),INDEX(Products!$F$2:$F$13,MATCH(D1570,Products!$A$2:$A$13,0)))</f>
        <v>53217</v>
      </c>
      <c r="P1570" s="16" t="n">
        <f aca="false">N1570-O1570</f>
        <v>31599.4882</v>
      </c>
    </row>
    <row r="1571" customFormat="false" ht="15" hidden="false" customHeight="false" outlineLevel="0" collapsed="false">
      <c r="A1571" s="2" t="s">
        <v>118</v>
      </c>
      <c r="B1571" s="2" t="n">
        <v>10</v>
      </c>
      <c r="C1571" s="2" t="s">
        <v>86</v>
      </c>
      <c r="D1571" s="2" t="s">
        <v>39</v>
      </c>
      <c r="E1571" s="2" t="str">
        <f aca="false">INDEX(Products!$B$2:$B$13,MATCH(D1571,Products!$A$2:$A$13,0))</f>
        <v>Hydroprocessing</v>
      </c>
      <c r="F1571" s="15" t="n">
        <v>10.4</v>
      </c>
      <c r="G1571" s="16" t="n">
        <f aca="false">IF(A1571="2025",INDEX(Products!$C$2:$C$13,MATCH(D1571,Products!$A$2:$A$13,0)),INDEX(Products!$E$2:$E$13,MATCH(D1571,Products!$A$2:$A$13,0)))</f>
        <v>12570</v>
      </c>
      <c r="H1571" s="13" t="n">
        <f aca="false">IF(A1571="2025",INDEX(Customers!$D$2:$D$41,MATCH(C1571,Customers!$A$2:$A$41,0)),INDEX(Customers!$F$2:$F$41,MATCH(C1571,Customers!$A$2:$A$41,0)))</f>
        <v>0.03</v>
      </c>
      <c r="I1571" s="16" t="n">
        <f aca="false">F1571*G1571</f>
        <v>130728</v>
      </c>
      <c r="J1571" s="16" t="n">
        <f aca="false">I1571*(1-H1571)</f>
        <v>126806.16</v>
      </c>
      <c r="K1571" s="16" t="n">
        <f aca="false">J1571*INDEX(Customers!$G$2:$G$41,MATCH(C1571,Customers!$A$2:$A$41,0))</f>
        <v>2536.1232</v>
      </c>
      <c r="L1571" s="16" t="n">
        <f aca="false">F1571*INDEX(Customers!$H$2:$H$41,MATCH(C1571,Customers!$A$2:$A$41,0))</f>
        <v>1768</v>
      </c>
      <c r="M1571" s="16" t="n">
        <f aca="false">J1571*INDEX(Customers!$I$2:$I$41,MATCH(C1571,Customers!$A$2:$A$41,0))/365*Assumptions!$B$6</f>
        <v>1667.58785753425</v>
      </c>
      <c r="N1571" s="16" t="n">
        <f aca="false">J1571-K1571-L1571-M1571</f>
        <v>120834.448942466</v>
      </c>
      <c r="O1571" s="16" t="n">
        <f aca="false">F1571*IF(A1571="2025",INDEX(Products!$D$2:$D$13,MATCH(D1571,Products!$A$2:$A$13,0)),INDEX(Products!$F$2:$F$13,MATCH(D1571,Products!$A$2:$A$13,0)))</f>
        <v>75816</v>
      </c>
      <c r="P1571" s="16" t="n">
        <f aca="false">N1571-O1571</f>
        <v>45018.4489424658</v>
      </c>
    </row>
    <row r="1572" customFormat="false" ht="15" hidden="false" customHeight="false" outlineLevel="0" collapsed="false">
      <c r="A1572" s="2" t="s">
        <v>118</v>
      </c>
      <c r="B1572" s="2" t="n">
        <v>11</v>
      </c>
      <c r="C1572" s="2" t="s">
        <v>86</v>
      </c>
      <c r="D1572" s="2" t="s">
        <v>39</v>
      </c>
      <c r="E1572" s="2" t="str">
        <f aca="false">INDEX(Products!$B$2:$B$13,MATCH(D1572,Products!$A$2:$A$13,0))</f>
        <v>Hydroprocessing</v>
      </c>
      <c r="F1572" s="15" t="n">
        <v>6.5</v>
      </c>
      <c r="G1572" s="16" t="n">
        <f aca="false">IF(A1572="2025",INDEX(Products!$C$2:$C$13,MATCH(D1572,Products!$A$2:$A$13,0)),INDEX(Products!$E$2:$E$13,MATCH(D1572,Products!$A$2:$A$13,0)))</f>
        <v>12570</v>
      </c>
      <c r="H1572" s="13" t="n">
        <f aca="false">IF(A1572="2025",INDEX(Customers!$D$2:$D$41,MATCH(C1572,Customers!$A$2:$A$41,0)),INDEX(Customers!$F$2:$F$41,MATCH(C1572,Customers!$A$2:$A$41,0)))</f>
        <v>0.03</v>
      </c>
      <c r="I1572" s="16" t="n">
        <f aca="false">F1572*G1572</f>
        <v>81705</v>
      </c>
      <c r="J1572" s="16" t="n">
        <f aca="false">I1572*(1-H1572)</f>
        <v>79253.85</v>
      </c>
      <c r="K1572" s="16" t="n">
        <f aca="false">J1572*INDEX(Customers!$G$2:$G$41,MATCH(C1572,Customers!$A$2:$A$41,0))</f>
        <v>1585.077</v>
      </c>
      <c r="L1572" s="16" t="n">
        <f aca="false">F1572*INDEX(Customers!$H$2:$H$41,MATCH(C1572,Customers!$A$2:$A$41,0))</f>
        <v>1105</v>
      </c>
      <c r="M1572" s="16" t="n">
        <f aca="false">J1572*INDEX(Customers!$I$2:$I$41,MATCH(C1572,Customers!$A$2:$A$41,0))/365*Assumptions!$B$6</f>
        <v>1042.2424109589</v>
      </c>
      <c r="N1572" s="16" t="n">
        <f aca="false">J1572-K1572-L1572-M1572</f>
        <v>75521.5305890411</v>
      </c>
      <c r="O1572" s="16" t="n">
        <f aca="false">F1572*IF(A1572="2025",INDEX(Products!$D$2:$D$13,MATCH(D1572,Products!$A$2:$A$13,0)),INDEX(Products!$F$2:$F$13,MATCH(D1572,Products!$A$2:$A$13,0)))</f>
        <v>47385</v>
      </c>
      <c r="P1572" s="16" t="n">
        <f aca="false">N1572-O1572</f>
        <v>28136.5305890411</v>
      </c>
    </row>
    <row r="1573" customFormat="false" ht="15" hidden="false" customHeight="false" outlineLevel="0" collapsed="false">
      <c r="A1573" s="2" t="s">
        <v>118</v>
      </c>
      <c r="B1573" s="2" t="n">
        <v>12</v>
      </c>
      <c r="C1573" s="2" t="s">
        <v>86</v>
      </c>
      <c r="D1573" s="2" t="s">
        <v>39</v>
      </c>
      <c r="E1573" s="2" t="str">
        <f aca="false">INDEX(Products!$B$2:$B$13,MATCH(D1573,Products!$A$2:$A$13,0))</f>
        <v>Hydroprocessing</v>
      </c>
      <c r="F1573" s="15" t="n">
        <v>6.9</v>
      </c>
      <c r="G1573" s="16" t="n">
        <f aca="false">IF(A1573="2025",INDEX(Products!$C$2:$C$13,MATCH(D1573,Products!$A$2:$A$13,0)),INDEX(Products!$E$2:$E$13,MATCH(D1573,Products!$A$2:$A$13,0)))</f>
        <v>12570</v>
      </c>
      <c r="H1573" s="13" t="n">
        <f aca="false">IF(A1573="2025",INDEX(Customers!$D$2:$D$41,MATCH(C1573,Customers!$A$2:$A$41,0)),INDEX(Customers!$F$2:$F$41,MATCH(C1573,Customers!$A$2:$A$41,0)))</f>
        <v>0.03</v>
      </c>
      <c r="I1573" s="16" t="n">
        <f aca="false">F1573*G1573</f>
        <v>86733</v>
      </c>
      <c r="J1573" s="16" t="n">
        <f aca="false">I1573*(1-H1573)</f>
        <v>84131.01</v>
      </c>
      <c r="K1573" s="16" t="n">
        <f aca="false">J1573*INDEX(Customers!$G$2:$G$41,MATCH(C1573,Customers!$A$2:$A$41,0))</f>
        <v>1682.6202</v>
      </c>
      <c r="L1573" s="16" t="n">
        <f aca="false">F1573*INDEX(Customers!$H$2:$H$41,MATCH(C1573,Customers!$A$2:$A$41,0))</f>
        <v>1173</v>
      </c>
      <c r="M1573" s="16" t="n">
        <f aca="false">J1573*INDEX(Customers!$I$2:$I$41,MATCH(C1573,Customers!$A$2:$A$41,0))/365*Assumptions!$B$6</f>
        <v>1106.38040547945</v>
      </c>
      <c r="N1573" s="16" t="n">
        <f aca="false">J1573-K1573-L1573-M1573</f>
        <v>80169.0093945205</v>
      </c>
      <c r="O1573" s="16" t="n">
        <f aca="false">F1573*IF(A1573="2025",INDEX(Products!$D$2:$D$13,MATCH(D1573,Products!$A$2:$A$13,0)),INDEX(Products!$F$2:$F$13,MATCH(D1573,Products!$A$2:$A$13,0)))</f>
        <v>50301</v>
      </c>
      <c r="P1573" s="16" t="n">
        <f aca="false">N1573-O1573</f>
        <v>29868.0093945205</v>
      </c>
    </row>
    <row r="1574" customFormat="false" ht="15" hidden="false" customHeight="false" outlineLevel="0" collapsed="false">
      <c r="A1574" s="2" t="s">
        <v>119</v>
      </c>
      <c r="B1574" s="2" t="n">
        <v>1</v>
      </c>
      <c r="C1574" s="2" t="s">
        <v>86</v>
      </c>
      <c r="D1574" s="2" t="s">
        <v>39</v>
      </c>
      <c r="E1574" s="2" t="str">
        <f aca="false">INDEX(Products!$B$2:$B$13,MATCH(D1574,Products!$A$2:$A$13,0))</f>
        <v>Hydroprocessing</v>
      </c>
      <c r="F1574" s="15" t="n">
        <v>6</v>
      </c>
      <c r="G1574" s="16" t="n">
        <f aca="false">IF(A1574="2025",INDEX(Products!$C$2:$C$13,MATCH(D1574,Products!$A$2:$A$13,0)),INDEX(Products!$E$2:$E$13,MATCH(D1574,Products!$A$2:$A$13,0)))</f>
        <v>13198.5</v>
      </c>
      <c r="H1574" s="13" t="n">
        <f aca="false">IF(A1574="2025",INDEX(Customers!$D$2:$D$41,MATCH(C1574,Customers!$A$2:$A$41,0)),INDEX(Customers!$F$2:$F$41,MATCH(C1574,Customers!$A$2:$A$41,0)))</f>
        <v>0.048</v>
      </c>
      <c r="I1574" s="16" t="n">
        <f aca="false">F1574*G1574</f>
        <v>79191</v>
      </c>
      <c r="J1574" s="16" t="n">
        <f aca="false">I1574*(1-H1574)</f>
        <v>75389.832</v>
      </c>
      <c r="K1574" s="16" t="n">
        <f aca="false">J1574*INDEX(Customers!$G$2:$G$41,MATCH(C1574,Customers!$A$2:$A$41,0))</f>
        <v>1507.79664</v>
      </c>
      <c r="L1574" s="16" t="n">
        <f aca="false">F1574*INDEX(Customers!$H$2:$H$41,MATCH(C1574,Customers!$A$2:$A$41,0))</f>
        <v>1020</v>
      </c>
      <c r="M1574" s="16" t="n">
        <f aca="false">J1574*INDEX(Customers!$I$2:$I$41,MATCH(C1574,Customers!$A$2:$A$41,0))/365*Assumptions!$B$6</f>
        <v>991.427927671233</v>
      </c>
      <c r="N1574" s="16" t="n">
        <f aca="false">J1574-K1574-L1574-M1574</f>
        <v>71870.6074323288</v>
      </c>
      <c r="O1574" s="16" t="n">
        <f aca="false">F1574*IF(A1574="2025",INDEX(Products!$D$2:$D$13,MATCH(D1574,Products!$A$2:$A$13,0)),INDEX(Products!$F$2:$F$13,MATCH(D1574,Products!$A$2:$A$13,0)))</f>
        <v>45052.2</v>
      </c>
      <c r="P1574" s="16" t="n">
        <f aca="false">N1574-O1574</f>
        <v>26818.4074323288</v>
      </c>
    </row>
    <row r="1575" customFormat="false" ht="15" hidden="false" customHeight="false" outlineLevel="0" collapsed="false">
      <c r="A1575" s="2" t="s">
        <v>119</v>
      </c>
      <c r="B1575" s="2" t="n">
        <v>2</v>
      </c>
      <c r="C1575" s="2" t="s">
        <v>86</v>
      </c>
      <c r="D1575" s="2" t="s">
        <v>39</v>
      </c>
      <c r="E1575" s="2" t="str">
        <f aca="false">INDEX(Products!$B$2:$B$13,MATCH(D1575,Products!$A$2:$A$13,0))</f>
        <v>Hydroprocessing</v>
      </c>
      <c r="F1575" s="15" t="n">
        <v>9.1</v>
      </c>
      <c r="G1575" s="16" t="n">
        <f aca="false">IF(A1575="2025",INDEX(Products!$C$2:$C$13,MATCH(D1575,Products!$A$2:$A$13,0)),INDEX(Products!$E$2:$E$13,MATCH(D1575,Products!$A$2:$A$13,0)))</f>
        <v>13198.5</v>
      </c>
      <c r="H1575" s="13" t="n">
        <f aca="false">IF(A1575="2025",INDEX(Customers!$D$2:$D$41,MATCH(C1575,Customers!$A$2:$A$41,0)),INDEX(Customers!$F$2:$F$41,MATCH(C1575,Customers!$A$2:$A$41,0)))</f>
        <v>0.048</v>
      </c>
      <c r="I1575" s="16" t="n">
        <f aca="false">F1575*G1575</f>
        <v>120106.35</v>
      </c>
      <c r="J1575" s="16" t="n">
        <f aca="false">I1575*(1-H1575)</f>
        <v>114341.2452</v>
      </c>
      <c r="K1575" s="16" t="n">
        <f aca="false">J1575*INDEX(Customers!$G$2:$G$41,MATCH(C1575,Customers!$A$2:$A$41,0))</f>
        <v>2286.824904</v>
      </c>
      <c r="L1575" s="16" t="n">
        <f aca="false">F1575*INDEX(Customers!$H$2:$H$41,MATCH(C1575,Customers!$A$2:$A$41,0))</f>
        <v>1547</v>
      </c>
      <c r="M1575" s="16" t="n">
        <f aca="false">J1575*INDEX(Customers!$I$2:$I$41,MATCH(C1575,Customers!$A$2:$A$41,0))/365*Assumptions!$B$6</f>
        <v>1503.66569030137</v>
      </c>
      <c r="N1575" s="16" t="n">
        <f aca="false">J1575-K1575-L1575-M1575</f>
        <v>109003.754605699</v>
      </c>
      <c r="O1575" s="16" t="n">
        <f aca="false">F1575*IF(A1575="2025",INDEX(Products!$D$2:$D$13,MATCH(D1575,Products!$A$2:$A$13,0)),INDEX(Products!$F$2:$F$13,MATCH(D1575,Products!$A$2:$A$13,0)))</f>
        <v>68329.17</v>
      </c>
      <c r="P1575" s="16" t="n">
        <f aca="false">N1575-O1575</f>
        <v>40674.5846056986</v>
      </c>
    </row>
    <row r="1576" customFormat="false" ht="15" hidden="false" customHeight="false" outlineLevel="0" collapsed="false">
      <c r="A1576" s="2" t="s">
        <v>119</v>
      </c>
      <c r="B1576" s="2" t="n">
        <v>3</v>
      </c>
      <c r="C1576" s="2" t="s">
        <v>86</v>
      </c>
      <c r="D1576" s="2" t="s">
        <v>39</v>
      </c>
      <c r="E1576" s="2" t="str">
        <f aca="false">INDEX(Products!$B$2:$B$13,MATCH(D1576,Products!$A$2:$A$13,0))</f>
        <v>Hydroprocessing</v>
      </c>
      <c r="F1576" s="15" t="n">
        <v>6.1</v>
      </c>
      <c r="G1576" s="16" t="n">
        <f aca="false">IF(A1576="2025",INDEX(Products!$C$2:$C$13,MATCH(D1576,Products!$A$2:$A$13,0)),INDEX(Products!$E$2:$E$13,MATCH(D1576,Products!$A$2:$A$13,0)))</f>
        <v>13198.5</v>
      </c>
      <c r="H1576" s="13" t="n">
        <f aca="false">IF(A1576="2025",INDEX(Customers!$D$2:$D$41,MATCH(C1576,Customers!$A$2:$A$41,0)),INDEX(Customers!$F$2:$F$41,MATCH(C1576,Customers!$A$2:$A$41,0)))</f>
        <v>0.048</v>
      </c>
      <c r="I1576" s="16" t="n">
        <f aca="false">F1576*G1576</f>
        <v>80510.85</v>
      </c>
      <c r="J1576" s="16" t="n">
        <f aca="false">I1576*(1-H1576)</f>
        <v>76646.3292</v>
      </c>
      <c r="K1576" s="16" t="n">
        <f aca="false">J1576*INDEX(Customers!$G$2:$G$41,MATCH(C1576,Customers!$A$2:$A$41,0))</f>
        <v>1532.926584</v>
      </c>
      <c r="L1576" s="16" t="n">
        <f aca="false">F1576*INDEX(Customers!$H$2:$H$41,MATCH(C1576,Customers!$A$2:$A$41,0))</f>
        <v>1037</v>
      </c>
      <c r="M1576" s="16" t="n">
        <f aca="false">J1576*INDEX(Customers!$I$2:$I$41,MATCH(C1576,Customers!$A$2:$A$41,0))/365*Assumptions!$B$6</f>
        <v>1007.95172646575</v>
      </c>
      <c r="N1576" s="16" t="n">
        <f aca="false">J1576-K1576-L1576-M1576</f>
        <v>73068.4508895342</v>
      </c>
      <c r="O1576" s="16" t="n">
        <f aca="false">F1576*IF(A1576="2025",INDEX(Products!$D$2:$D$13,MATCH(D1576,Products!$A$2:$A$13,0)),INDEX(Products!$F$2:$F$13,MATCH(D1576,Products!$A$2:$A$13,0)))</f>
        <v>45803.07</v>
      </c>
      <c r="P1576" s="16" t="n">
        <f aca="false">N1576-O1576</f>
        <v>27265.3808895342</v>
      </c>
    </row>
    <row r="1577" customFormat="false" ht="15" hidden="false" customHeight="false" outlineLevel="0" collapsed="false">
      <c r="A1577" s="2" t="s">
        <v>119</v>
      </c>
      <c r="B1577" s="2" t="n">
        <v>4</v>
      </c>
      <c r="C1577" s="2" t="s">
        <v>86</v>
      </c>
      <c r="D1577" s="2" t="s">
        <v>39</v>
      </c>
      <c r="E1577" s="2" t="str">
        <f aca="false">INDEX(Products!$B$2:$B$13,MATCH(D1577,Products!$A$2:$A$13,0))</f>
        <v>Hydroprocessing</v>
      </c>
      <c r="F1577" s="15" t="n">
        <v>8.5</v>
      </c>
      <c r="G1577" s="16" t="n">
        <f aca="false">IF(A1577="2025",INDEX(Products!$C$2:$C$13,MATCH(D1577,Products!$A$2:$A$13,0)),INDEX(Products!$E$2:$E$13,MATCH(D1577,Products!$A$2:$A$13,0)))</f>
        <v>13198.5</v>
      </c>
      <c r="H1577" s="13" t="n">
        <f aca="false">IF(A1577="2025",INDEX(Customers!$D$2:$D$41,MATCH(C1577,Customers!$A$2:$A$41,0)),INDEX(Customers!$F$2:$F$41,MATCH(C1577,Customers!$A$2:$A$41,0)))</f>
        <v>0.048</v>
      </c>
      <c r="I1577" s="16" t="n">
        <f aca="false">F1577*G1577</f>
        <v>112187.25</v>
      </c>
      <c r="J1577" s="16" t="n">
        <f aca="false">I1577*(1-H1577)</f>
        <v>106802.262</v>
      </c>
      <c r="K1577" s="16" t="n">
        <f aca="false">J1577*INDEX(Customers!$G$2:$G$41,MATCH(C1577,Customers!$A$2:$A$41,0))</f>
        <v>2136.04524</v>
      </c>
      <c r="L1577" s="16" t="n">
        <f aca="false">F1577*INDEX(Customers!$H$2:$H$41,MATCH(C1577,Customers!$A$2:$A$41,0))</f>
        <v>1445</v>
      </c>
      <c r="M1577" s="16" t="n">
        <f aca="false">J1577*INDEX(Customers!$I$2:$I$41,MATCH(C1577,Customers!$A$2:$A$41,0))/365*Assumptions!$B$6</f>
        <v>1404.52289753425</v>
      </c>
      <c r="N1577" s="16" t="n">
        <f aca="false">J1577-K1577-L1577-M1577</f>
        <v>101816.693862466</v>
      </c>
      <c r="O1577" s="16" t="n">
        <f aca="false">F1577*IF(A1577="2025",INDEX(Products!$D$2:$D$13,MATCH(D1577,Products!$A$2:$A$13,0)),INDEX(Products!$F$2:$F$13,MATCH(D1577,Products!$A$2:$A$13,0)))</f>
        <v>63823.95</v>
      </c>
      <c r="P1577" s="16" t="n">
        <f aca="false">N1577-O1577</f>
        <v>37992.7438624658</v>
      </c>
    </row>
    <row r="1578" customFormat="false" ht="15" hidden="false" customHeight="false" outlineLevel="0" collapsed="false">
      <c r="A1578" s="2" t="s">
        <v>119</v>
      </c>
      <c r="B1578" s="2" t="n">
        <v>5</v>
      </c>
      <c r="C1578" s="2" t="s">
        <v>86</v>
      </c>
      <c r="D1578" s="2" t="s">
        <v>39</v>
      </c>
      <c r="E1578" s="2" t="str">
        <f aca="false">INDEX(Products!$B$2:$B$13,MATCH(D1578,Products!$A$2:$A$13,0))</f>
        <v>Hydroprocessing</v>
      </c>
      <c r="F1578" s="15" t="n">
        <v>7.9</v>
      </c>
      <c r="G1578" s="16" t="n">
        <f aca="false">IF(A1578="2025",INDEX(Products!$C$2:$C$13,MATCH(D1578,Products!$A$2:$A$13,0)),INDEX(Products!$E$2:$E$13,MATCH(D1578,Products!$A$2:$A$13,0)))</f>
        <v>13198.5</v>
      </c>
      <c r="H1578" s="13" t="n">
        <f aca="false">IF(A1578="2025",INDEX(Customers!$D$2:$D$41,MATCH(C1578,Customers!$A$2:$A$41,0)),INDEX(Customers!$F$2:$F$41,MATCH(C1578,Customers!$A$2:$A$41,0)))</f>
        <v>0.048</v>
      </c>
      <c r="I1578" s="16" t="n">
        <f aca="false">F1578*G1578</f>
        <v>104268.15</v>
      </c>
      <c r="J1578" s="16" t="n">
        <f aca="false">I1578*(1-H1578)</f>
        <v>99263.2788</v>
      </c>
      <c r="K1578" s="16" t="n">
        <f aca="false">J1578*INDEX(Customers!$G$2:$G$41,MATCH(C1578,Customers!$A$2:$A$41,0))</f>
        <v>1985.265576</v>
      </c>
      <c r="L1578" s="16" t="n">
        <f aca="false">F1578*INDEX(Customers!$H$2:$H$41,MATCH(C1578,Customers!$A$2:$A$41,0))</f>
        <v>1343</v>
      </c>
      <c r="M1578" s="16" t="n">
        <f aca="false">J1578*INDEX(Customers!$I$2:$I$41,MATCH(C1578,Customers!$A$2:$A$41,0))/365*Assumptions!$B$6</f>
        <v>1305.38010476712</v>
      </c>
      <c r="N1578" s="16" t="n">
        <f aca="false">J1578-K1578-L1578-M1578</f>
        <v>94629.6331192329</v>
      </c>
      <c r="O1578" s="16" t="n">
        <f aca="false">F1578*IF(A1578="2025",INDEX(Products!$D$2:$D$13,MATCH(D1578,Products!$A$2:$A$13,0)),INDEX(Products!$F$2:$F$13,MATCH(D1578,Products!$A$2:$A$13,0)))</f>
        <v>59318.73</v>
      </c>
      <c r="P1578" s="16" t="n">
        <f aca="false">N1578-O1578</f>
        <v>35310.9031192329</v>
      </c>
    </row>
    <row r="1579" customFormat="false" ht="15" hidden="false" customHeight="false" outlineLevel="0" collapsed="false">
      <c r="A1579" s="2" t="s">
        <v>119</v>
      </c>
      <c r="B1579" s="2" t="n">
        <v>6</v>
      </c>
      <c r="C1579" s="2" t="s">
        <v>86</v>
      </c>
      <c r="D1579" s="2" t="s">
        <v>39</v>
      </c>
      <c r="E1579" s="2" t="str">
        <f aca="false">INDEX(Products!$B$2:$B$13,MATCH(D1579,Products!$A$2:$A$13,0))</f>
        <v>Hydroprocessing</v>
      </c>
      <c r="F1579" s="15" t="n">
        <v>7.3</v>
      </c>
      <c r="G1579" s="16" t="n">
        <f aca="false">IF(A1579="2025",INDEX(Products!$C$2:$C$13,MATCH(D1579,Products!$A$2:$A$13,0)),INDEX(Products!$E$2:$E$13,MATCH(D1579,Products!$A$2:$A$13,0)))</f>
        <v>13198.5</v>
      </c>
      <c r="H1579" s="13" t="n">
        <f aca="false">IF(A1579="2025",INDEX(Customers!$D$2:$D$41,MATCH(C1579,Customers!$A$2:$A$41,0)),INDEX(Customers!$F$2:$F$41,MATCH(C1579,Customers!$A$2:$A$41,0)))</f>
        <v>0.048</v>
      </c>
      <c r="I1579" s="16" t="n">
        <f aca="false">F1579*G1579</f>
        <v>96349.05</v>
      </c>
      <c r="J1579" s="16" t="n">
        <f aca="false">I1579*(1-H1579)</f>
        <v>91724.2956</v>
      </c>
      <c r="K1579" s="16" t="n">
        <f aca="false">J1579*INDEX(Customers!$G$2:$G$41,MATCH(C1579,Customers!$A$2:$A$41,0))</f>
        <v>1834.485912</v>
      </c>
      <c r="L1579" s="16" t="n">
        <f aca="false">F1579*INDEX(Customers!$H$2:$H$41,MATCH(C1579,Customers!$A$2:$A$41,0))</f>
        <v>1241</v>
      </c>
      <c r="M1579" s="16" t="n">
        <f aca="false">J1579*INDEX(Customers!$I$2:$I$41,MATCH(C1579,Customers!$A$2:$A$41,0))/365*Assumptions!$B$6</f>
        <v>1206.237312</v>
      </c>
      <c r="N1579" s="16" t="n">
        <f aca="false">J1579-K1579-L1579-M1579</f>
        <v>87442.572376</v>
      </c>
      <c r="O1579" s="16" t="n">
        <f aca="false">F1579*IF(A1579="2025",INDEX(Products!$D$2:$D$13,MATCH(D1579,Products!$A$2:$A$13,0)),INDEX(Products!$F$2:$F$13,MATCH(D1579,Products!$A$2:$A$13,0)))</f>
        <v>54813.51</v>
      </c>
      <c r="P1579" s="16" t="n">
        <f aca="false">N1579-O1579</f>
        <v>32629.062376</v>
      </c>
    </row>
    <row r="1580" customFormat="false" ht="15" hidden="false" customHeight="false" outlineLevel="0" collapsed="false">
      <c r="A1580" s="2" t="s">
        <v>119</v>
      </c>
      <c r="B1580" s="2" t="n">
        <v>7</v>
      </c>
      <c r="C1580" s="2" t="s">
        <v>86</v>
      </c>
      <c r="D1580" s="2" t="s">
        <v>39</v>
      </c>
      <c r="E1580" s="2" t="str">
        <f aca="false">INDEX(Products!$B$2:$B$13,MATCH(D1580,Products!$A$2:$A$13,0))</f>
        <v>Hydroprocessing</v>
      </c>
      <c r="F1580" s="15" t="n">
        <v>9.3</v>
      </c>
      <c r="G1580" s="16" t="n">
        <f aca="false">IF(A1580="2025",INDEX(Products!$C$2:$C$13,MATCH(D1580,Products!$A$2:$A$13,0)),INDEX(Products!$E$2:$E$13,MATCH(D1580,Products!$A$2:$A$13,0)))</f>
        <v>13198.5</v>
      </c>
      <c r="H1580" s="13" t="n">
        <f aca="false">IF(A1580="2025",INDEX(Customers!$D$2:$D$41,MATCH(C1580,Customers!$A$2:$A$41,0)),INDEX(Customers!$F$2:$F$41,MATCH(C1580,Customers!$A$2:$A$41,0)))</f>
        <v>0.048</v>
      </c>
      <c r="I1580" s="16" t="n">
        <f aca="false">F1580*G1580</f>
        <v>122746.05</v>
      </c>
      <c r="J1580" s="16" t="n">
        <f aca="false">I1580*(1-H1580)</f>
        <v>116854.2396</v>
      </c>
      <c r="K1580" s="16" t="n">
        <f aca="false">J1580*INDEX(Customers!$G$2:$G$41,MATCH(C1580,Customers!$A$2:$A$41,0))</f>
        <v>2337.084792</v>
      </c>
      <c r="L1580" s="16" t="n">
        <f aca="false">F1580*INDEX(Customers!$H$2:$H$41,MATCH(C1580,Customers!$A$2:$A$41,0))</f>
        <v>1581</v>
      </c>
      <c r="M1580" s="16" t="n">
        <f aca="false">J1580*INDEX(Customers!$I$2:$I$41,MATCH(C1580,Customers!$A$2:$A$41,0))/365*Assumptions!$B$6</f>
        <v>1536.71328789041</v>
      </c>
      <c r="N1580" s="16" t="n">
        <f aca="false">J1580-K1580-L1580-M1580</f>
        <v>111399.44152011</v>
      </c>
      <c r="O1580" s="16" t="n">
        <f aca="false">F1580*IF(A1580="2025",INDEX(Products!$D$2:$D$13,MATCH(D1580,Products!$A$2:$A$13,0)),INDEX(Products!$F$2:$F$13,MATCH(D1580,Products!$A$2:$A$13,0)))</f>
        <v>69830.91</v>
      </c>
      <c r="P1580" s="16" t="n">
        <f aca="false">N1580-O1580</f>
        <v>41568.5315201096</v>
      </c>
    </row>
    <row r="1581" customFormat="false" ht="15" hidden="false" customHeight="false" outlineLevel="0" collapsed="false">
      <c r="A1581" s="2" t="s">
        <v>119</v>
      </c>
      <c r="B1581" s="2" t="n">
        <v>8</v>
      </c>
      <c r="C1581" s="2" t="s">
        <v>86</v>
      </c>
      <c r="D1581" s="2" t="s">
        <v>39</v>
      </c>
      <c r="E1581" s="2" t="str">
        <f aca="false">INDEX(Products!$B$2:$B$13,MATCH(D1581,Products!$A$2:$A$13,0))</f>
        <v>Hydroprocessing</v>
      </c>
      <c r="F1581" s="15" t="n">
        <v>8.9</v>
      </c>
      <c r="G1581" s="16" t="n">
        <f aca="false">IF(A1581="2025",INDEX(Products!$C$2:$C$13,MATCH(D1581,Products!$A$2:$A$13,0)),INDEX(Products!$E$2:$E$13,MATCH(D1581,Products!$A$2:$A$13,0)))</f>
        <v>13198.5</v>
      </c>
      <c r="H1581" s="13" t="n">
        <f aca="false">IF(A1581="2025",INDEX(Customers!$D$2:$D$41,MATCH(C1581,Customers!$A$2:$A$41,0)),INDEX(Customers!$F$2:$F$41,MATCH(C1581,Customers!$A$2:$A$41,0)))</f>
        <v>0.048</v>
      </c>
      <c r="I1581" s="16" t="n">
        <f aca="false">F1581*G1581</f>
        <v>117466.65</v>
      </c>
      <c r="J1581" s="16" t="n">
        <f aca="false">I1581*(1-H1581)</f>
        <v>111828.2508</v>
      </c>
      <c r="K1581" s="16" t="n">
        <f aca="false">J1581*INDEX(Customers!$G$2:$G$41,MATCH(C1581,Customers!$A$2:$A$41,0))</f>
        <v>2236.565016</v>
      </c>
      <c r="L1581" s="16" t="n">
        <f aca="false">F1581*INDEX(Customers!$H$2:$H$41,MATCH(C1581,Customers!$A$2:$A$41,0))</f>
        <v>1513</v>
      </c>
      <c r="M1581" s="16" t="n">
        <f aca="false">J1581*INDEX(Customers!$I$2:$I$41,MATCH(C1581,Customers!$A$2:$A$41,0))/365*Assumptions!$B$6</f>
        <v>1470.61809271233</v>
      </c>
      <c r="N1581" s="16" t="n">
        <f aca="false">J1581-K1581-L1581-M1581</f>
        <v>106608.067691288</v>
      </c>
      <c r="O1581" s="16" t="n">
        <f aca="false">F1581*IF(A1581="2025",INDEX(Products!$D$2:$D$13,MATCH(D1581,Products!$A$2:$A$13,0)),INDEX(Products!$F$2:$F$13,MATCH(D1581,Products!$A$2:$A$13,0)))</f>
        <v>66827.43</v>
      </c>
      <c r="P1581" s="16" t="n">
        <f aca="false">N1581-O1581</f>
        <v>39780.6376912877</v>
      </c>
    </row>
    <row r="1582" customFormat="false" ht="15" hidden="false" customHeight="false" outlineLevel="0" collapsed="false">
      <c r="A1582" s="2" t="s">
        <v>119</v>
      </c>
      <c r="B1582" s="2" t="n">
        <v>9</v>
      </c>
      <c r="C1582" s="2" t="s">
        <v>86</v>
      </c>
      <c r="D1582" s="2" t="s">
        <v>39</v>
      </c>
      <c r="E1582" s="2" t="str">
        <f aca="false">INDEX(Products!$B$2:$B$13,MATCH(D1582,Products!$A$2:$A$13,0))</f>
        <v>Hydroprocessing</v>
      </c>
      <c r="F1582" s="15" t="n">
        <v>7.5</v>
      </c>
      <c r="G1582" s="16" t="n">
        <f aca="false">IF(A1582="2025",INDEX(Products!$C$2:$C$13,MATCH(D1582,Products!$A$2:$A$13,0)),INDEX(Products!$E$2:$E$13,MATCH(D1582,Products!$A$2:$A$13,0)))</f>
        <v>13198.5</v>
      </c>
      <c r="H1582" s="13" t="n">
        <f aca="false">IF(A1582="2025",INDEX(Customers!$D$2:$D$41,MATCH(C1582,Customers!$A$2:$A$41,0)),INDEX(Customers!$F$2:$F$41,MATCH(C1582,Customers!$A$2:$A$41,0)))</f>
        <v>0.048</v>
      </c>
      <c r="I1582" s="16" t="n">
        <f aca="false">F1582*G1582</f>
        <v>98988.75</v>
      </c>
      <c r="J1582" s="16" t="n">
        <f aca="false">I1582*(1-H1582)</f>
        <v>94237.29</v>
      </c>
      <c r="K1582" s="16" t="n">
        <f aca="false">J1582*INDEX(Customers!$G$2:$G$41,MATCH(C1582,Customers!$A$2:$A$41,0))</f>
        <v>1884.7458</v>
      </c>
      <c r="L1582" s="16" t="n">
        <f aca="false">F1582*INDEX(Customers!$H$2:$H$41,MATCH(C1582,Customers!$A$2:$A$41,0))</f>
        <v>1275</v>
      </c>
      <c r="M1582" s="16" t="n">
        <f aca="false">J1582*INDEX(Customers!$I$2:$I$41,MATCH(C1582,Customers!$A$2:$A$41,0))/365*Assumptions!$B$6</f>
        <v>1239.28490958904</v>
      </c>
      <c r="N1582" s="16" t="n">
        <f aca="false">J1582-K1582-L1582-M1582</f>
        <v>89838.259290411</v>
      </c>
      <c r="O1582" s="16" t="n">
        <f aca="false">F1582*IF(A1582="2025",INDEX(Products!$D$2:$D$13,MATCH(D1582,Products!$A$2:$A$13,0)),INDEX(Products!$F$2:$F$13,MATCH(D1582,Products!$A$2:$A$13,0)))</f>
        <v>56315.25</v>
      </c>
      <c r="P1582" s="16" t="n">
        <f aca="false">N1582-O1582</f>
        <v>33523.009290411</v>
      </c>
    </row>
    <row r="1583" customFormat="false" ht="15" hidden="false" customHeight="false" outlineLevel="0" collapsed="false">
      <c r="A1583" s="2" t="s">
        <v>119</v>
      </c>
      <c r="B1583" s="2" t="n">
        <v>10</v>
      </c>
      <c r="C1583" s="2" t="s">
        <v>86</v>
      </c>
      <c r="D1583" s="2" t="s">
        <v>39</v>
      </c>
      <c r="E1583" s="2" t="str">
        <f aca="false">INDEX(Products!$B$2:$B$13,MATCH(D1583,Products!$A$2:$A$13,0))</f>
        <v>Hydroprocessing</v>
      </c>
      <c r="F1583" s="15" t="n">
        <v>6.8</v>
      </c>
      <c r="G1583" s="16" t="n">
        <f aca="false">IF(A1583="2025",INDEX(Products!$C$2:$C$13,MATCH(D1583,Products!$A$2:$A$13,0)),INDEX(Products!$E$2:$E$13,MATCH(D1583,Products!$A$2:$A$13,0)))</f>
        <v>13198.5</v>
      </c>
      <c r="H1583" s="13" t="n">
        <f aca="false">IF(A1583="2025",INDEX(Customers!$D$2:$D$41,MATCH(C1583,Customers!$A$2:$A$41,0)),INDEX(Customers!$F$2:$F$41,MATCH(C1583,Customers!$A$2:$A$41,0)))</f>
        <v>0.048</v>
      </c>
      <c r="I1583" s="16" t="n">
        <f aca="false">F1583*G1583</f>
        <v>89749.8</v>
      </c>
      <c r="J1583" s="16" t="n">
        <f aca="false">I1583*(1-H1583)</f>
        <v>85441.8096</v>
      </c>
      <c r="K1583" s="16" t="n">
        <f aca="false">J1583*INDEX(Customers!$G$2:$G$41,MATCH(C1583,Customers!$A$2:$A$41,0))</f>
        <v>1708.836192</v>
      </c>
      <c r="L1583" s="16" t="n">
        <f aca="false">F1583*INDEX(Customers!$H$2:$H$41,MATCH(C1583,Customers!$A$2:$A$41,0))</f>
        <v>1156</v>
      </c>
      <c r="M1583" s="16" t="n">
        <f aca="false">J1583*INDEX(Customers!$I$2:$I$41,MATCH(C1583,Customers!$A$2:$A$41,0))/365*Assumptions!$B$6</f>
        <v>1123.6183180274</v>
      </c>
      <c r="N1583" s="16" t="n">
        <f aca="false">J1583-K1583-L1583-M1583</f>
        <v>81453.3550899726</v>
      </c>
      <c r="O1583" s="16" t="n">
        <f aca="false">F1583*IF(A1583="2025",INDEX(Products!$D$2:$D$13,MATCH(D1583,Products!$A$2:$A$13,0)),INDEX(Products!$F$2:$F$13,MATCH(D1583,Products!$A$2:$A$13,0)))</f>
        <v>51059.16</v>
      </c>
      <c r="P1583" s="16" t="n">
        <f aca="false">N1583-O1583</f>
        <v>30394.1950899726</v>
      </c>
    </row>
    <row r="1584" customFormat="false" ht="15" hidden="false" customHeight="false" outlineLevel="0" collapsed="false">
      <c r="A1584" s="2" t="s">
        <v>119</v>
      </c>
      <c r="B1584" s="2" t="n">
        <v>11</v>
      </c>
      <c r="C1584" s="2" t="s">
        <v>86</v>
      </c>
      <c r="D1584" s="2" t="s">
        <v>39</v>
      </c>
      <c r="E1584" s="2" t="str">
        <f aca="false">INDEX(Products!$B$2:$B$13,MATCH(D1584,Products!$A$2:$A$13,0))</f>
        <v>Hydroprocessing</v>
      </c>
      <c r="F1584" s="15" t="n">
        <v>9.9</v>
      </c>
      <c r="G1584" s="16" t="n">
        <f aca="false">IF(A1584="2025",INDEX(Products!$C$2:$C$13,MATCH(D1584,Products!$A$2:$A$13,0)),INDEX(Products!$E$2:$E$13,MATCH(D1584,Products!$A$2:$A$13,0)))</f>
        <v>13198.5</v>
      </c>
      <c r="H1584" s="13" t="n">
        <f aca="false">IF(A1584="2025",INDEX(Customers!$D$2:$D$41,MATCH(C1584,Customers!$A$2:$A$41,0)),INDEX(Customers!$F$2:$F$41,MATCH(C1584,Customers!$A$2:$A$41,0)))</f>
        <v>0.048</v>
      </c>
      <c r="I1584" s="16" t="n">
        <f aca="false">F1584*G1584</f>
        <v>130665.15</v>
      </c>
      <c r="J1584" s="16" t="n">
        <f aca="false">I1584*(1-H1584)</f>
        <v>124393.2228</v>
      </c>
      <c r="K1584" s="16" t="n">
        <f aca="false">J1584*INDEX(Customers!$G$2:$G$41,MATCH(C1584,Customers!$A$2:$A$41,0))</f>
        <v>2487.864456</v>
      </c>
      <c r="L1584" s="16" t="n">
        <f aca="false">F1584*INDEX(Customers!$H$2:$H$41,MATCH(C1584,Customers!$A$2:$A$41,0))</f>
        <v>1683</v>
      </c>
      <c r="M1584" s="16" t="n">
        <f aca="false">J1584*INDEX(Customers!$I$2:$I$41,MATCH(C1584,Customers!$A$2:$A$41,0))/365*Assumptions!$B$6</f>
        <v>1635.85608065753</v>
      </c>
      <c r="N1584" s="16" t="n">
        <f aca="false">J1584-K1584-L1584-M1584</f>
        <v>118586.502263342</v>
      </c>
      <c r="O1584" s="16" t="n">
        <f aca="false">F1584*IF(A1584="2025",INDEX(Products!$D$2:$D$13,MATCH(D1584,Products!$A$2:$A$13,0)),INDEX(Products!$F$2:$F$13,MATCH(D1584,Products!$A$2:$A$13,0)))</f>
        <v>74336.13</v>
      </c>
      <c r="P1584" s="16" t="n">
        <f aca="false">N1584-O1584</f>
        <v>44250.3722633425</v>
      </c>
    </row>
    <row r="1585" customFormat="false" ht="15" hidden="false" customHeight="false" outlineLevel="0" collapsed="false">
      <c r="A1585" s="2" t="s">
        <v>119</v>
      </c>
      <c r="B1585" s="2" t="n">
        <v>12</v>
      </c>
      <c r="C1585" s="2" t="s">
        <v>86</v>
      </c>
      <c r="D1585" s="2" t="s">
        <v>39</v>
      </c>
      <c r="E1585" s="2" t="str">
        <f aca="false">INDEX(Products!$B$2:$B$13,MATCH(D1585,Products!$A$2:$A$13,0))</f>
        <v>Hydroprocessing</v>
      </c>
      <c r="F1585" s="15" t="n">
        <v>8.9</v>
      </c>
      <c r="G1585" s="16" t="n">
        <f aca="false">IF(A1585="2025",INDEX(Products!$C$2:$C$13,MATCH(D1585,Products!$A$2:$A$13,0)),INDEX(Products!$E$2:$E$13,MATCH(D1585,Products!$A$2:$A$13,0)))</f>
        <v>13198.5</v>
      </c>
      <c r="H1585" s="13" t="n">
        <f aca="false">IF(A1585="2025",INDEX(Customers!$D$2:$D$41,MATCH(C1585,Customers!$A$2:$A$41,0)),INDEX(Customers!$F$2:$F$41,MATCH(C1585,Customers!$A$2:$A$41,0)))</f>
        <v>0.048</v>
      </c>
      <c r="I1585" s="16" t="n">
        <f aca="false">F1585*G1585</f>
        <v>117466.65</v>
      </c>
      <c r="J1585" s="16" t="n">
        <f aca="false">I1585*(1-H1585)</f>
        <v>111828.2508</v>
      </c>
      <c r="K1585" s="16" t="n">
        <f aca="false">J1585*INDEX(Customers!$G$2:$G$41,MATCH(C1585,Customers!$A$2:$A$41,0))</f>
        <v>2236.565016</v>
      </c>
      <c r="L1585" s="16" t="n">
        <f aca="false">F1585*INDEX(Customers!$H$2:$H$41,MATCH(C1585,Customers!$A$2:$A$41,0))</f>
        <v>1513</v>
      </c>
      <c r="M1585" s="16" t="n">
        <f aca="false">J1585*INDEX(Customers!$I$2:$I$41,MATCH(C1585,Customers!$A$2:$A$41,0))/365*Assumptions!$B$6</f>
        <v>1470.61809271233</v>
      </c>
      <c r="N1585" s="16" t="n">
        <f aca="false">J1585-K1585-L1585-M1585</f>
        <v>106608.067691288</v>
      </c>
      <c r="O1585" s="16" t="n">
        <f aca="false">F1585*IF(A1585="2025",INDEX(Products!$D$2:$D$13,MATCH(D1585,Products!$A$2:$A$13,0)),INDEX(Products!$F$2:$F$13,MATCH(D1585,Products!$A$2:$A$13,0)))</f>
        <v>66827.43</v>
      </c>
      <c r="P1585" s="16" t="n">
        <f aca="false">N1585-O1585</f>
        <v>39780.6376912877</v>
      </c>
    </row>
    <row r="1586" customFormat="false" ht="15" hidden="false" customHeight="false" outlineLevel="0" collapsed="false">
      <c r="A1586" s="2" t="s">
        <v>118</v>
      </c>
      <c r="B1586" s="2" t="n">
        <v>1</v>
      </c>
      <c r="C1586" s="2" t="s">
        <v>86</v>
      </c>
      <c r="D1586" s="2" t="s">
        <v>47</v>
      </c>
      <c r="E1586" s="2" t="str">
        <f aca="false">INDEX(Products!$B$2:$B$13,MATCH(D1586,Products!$A$2:$A$13,0))</f>
        <v>Specialty</v>
      </c>
      <c r="F1586" s="15" t="n">
        <v>6.2</v>
      </c>
      <c r="G1586" s="16" t="n">
        <f aca="false">IF(A1586="2025",INDEX(Products!$C$2:$C$13,MATCH(D1586,Products!$A$2:$A$13,0)),INDEX(Products!$E$2:$E$13,MATCH(D1586,Products!$A$2:$A$13,0)))</f>
        <v>30520</v>
      </c>
      <c r="H1586" s="13" t="n">
        <f aca="false">IF(A1586="2025",INDEX(Customers!$D$2:$D$41,MATCH(C1586,Customers!$A$2:$A$41,0)),INDEX(Customers!$F$2:$F$41,MATCH(C1586,Customers!$A$2:$A$41,0)))</f>
        <v>0.03</v>
      </c>
      <c r="I1586" s="16" t="n">
        <f aca="false">F1586*G1586</f>
        <v>189224</v>
      </c>
      <c r="J1586" s="16" t="n">
        <f aca="false">I1586*(1-H1586)</f>
        <v>183547.28</v>
      </c>
      <c r="K1586" s="16" t="n">
        <f aca="false">J1586*INDEX(Customers!$G$2:$G$41,MATCH(C1586,Customers!$A$2:$A$41,0))</f>
        <v>3670.9456</v>
      </c>
      <c r="L1586" s="16" t="n">
        <f aca="false">F1586*INDEX(Customers!$H$2:$H$41,MATCH(C1586,Customers!$A$2:$A$41,0))</f>
        <v>1054</v>
      </c>
      <c r="M1586" s="16" t="n">
        <f aca="false">J1586*INDEX(Customers!$I$2:$I$41,MATCH(C1586,Customers!$A$2:$A$41,0))/365*Assumptions!$B$6</f>
        <v>2413.77244931507</v>
      </c>
      <c r="N1586" s="16" t="n">
        <f aca="false">J1586-K1586-L1586-M1586</f>
        <v>176408.561950685</v>
      </c>
      <c r="O1586" s="16" t="n">
        <f aca="false">F1586*IF(A1586="2025",INDEX(Products!$D$2:$D$13,MATCH(D1586,Products!$A$2:$A$13,0)),INDEX(Products!$F$2:$F$13,MATCH(D1586,Products!$A$2:$A$13,0)))</f>
        <v>95728</v>
      </c>
      <c r="P1586" s="16" t="n">
        <f aca="false">N1586-O1586</f>
        <v>80680.5619506849</v>
      </c>
    </row>
    <row r="1587" customFormat="false" ht="15" hidden="false" customHeight="false" outlineLevel="0" collapsed="false">
      <c r="A1587" s="2" t="s">
        <v>118</v>
      </c>
      <c r="B1587" s="2" t="n">
        <v>2</v>
      </c>
      <c r="C1587" s="2" t="s">
        <v>86</v>
      </c>
      <c r="D1587" s="2" t="s">
        <v>47</v>
      </c>
      <c r="E1587" s="2" t="str">
        <f aca="false">INDEX(Products!$B$2:$B$13,MATCH(D1587,Products!$A$2:$A$13,0))</f>
        <v>Specialty</v>
      </c>
      <c r="F1587" s="15" t="n">
        <v>3.9</v>
      </c>
      <c r="G1587" s="16" t="n">
        <f aca="false">IF(A1587="2025",INDEX(Products!$C$2:$C$13,MATCH(D1587,Products!$A$2:$A$13,0)),INDEX(Products!$E$2:$E$13,MATCH(D1587,Products!$A$2:$A$13,0)))</f>
        <v>30520</v>
      </c>
      <c r="H1587" s="13" t="n">
        <f aca="false">IF(A1587="2025",INDEX(Customers!$D$2:$D$41,MATCH(C1587,Customers!$A$2:$A$41,0)),INDEX(Customers!$F$2:$F$41,MATCH(C1587,Customers!$A$2:$A$41,0)))</f>
        <v>0.03</v>
      </c>
      <c r="I1587" s="16" t="n">
        <f aca="false">F1587*G1587</f>
        <v>119028</v>
      </c>
      <c r="J1587" s="16" t="n">
        <f aca="false">I1587*(1-H1587)</f>
        <v>115457.16</v>
      </c>
      <c r="K1587" s="16" t="n">
        <f aca="false">J1587*INDEX(Customers!$G$2:$G$41,MATCH(C1587,Customers!$A$2:$A$41,0))</f>
        <v>2309.1432</v>
      </c>
      <c r="L1587" s="16" t="n">
        <f aca="false">F1587*INDEX(Customers!$H$2:$H$41,MATCH(C1587,Customers!$A$2:$A$41,0))</f>
        <v>663</v>
      </c>
      <c r="M1587" s="16" t="n">
        <f aca="false">J1587*INDEX(Customers!$I$2:$I$41,MATCH(C1587,Customers!$A$2:$A$41,0))/365*Assumptions!$B$6</f>
        <v>1518.34073424658</v>
      </c>
      <c r="N1587" s="16" t="n">
        <f aca="false">J1587-K1587-L1587-M1587</f>
        <v>110966.676065753</v>
      </c>
      <c r="O1587" s="16" t="n">
        <f aca="false">F1587*IF(A1587="2025",INDEX(Products!$D$2:$D$13,MATCH(D1587,Products!$A$2:$A$13,0)),INDEX(Products!$F$2:$F$13,MATCH(D1587,Products!$A$2:$A$13,0)))</f>
        <v>60216</v>
      </c>
      <c r="P1587" s="16" t="n">
        <f aca="false">N1587-O1587</f>
        <v>50750.6760657534</v>
      </c>
    </row>
    <row r="1588" customFormat="false" ht="15" hidden="false" customHeight="false" outlineLevel="0" collapsed="false">
      <c r="A1588" s="2" t="s">
        <v>118</v>
      </c>
      <c r="B1588" s="2" t="n">
        <v>3</v>
      </c>
      <c r="C1588" s="2" t="s">
        <v>86</v>
      </c>
      <c r="D1588" s="2" t="s">
        <v>47</v>
      </c>
      <c r="E1588" s="2" t="str">
        <f aca="false">INDEX(Products!$B$2:$B$13,MATCH(D1588,Products!$A$2:$A$13,0))</f>
        <v>Specialty</v>
      </c>
      <c r="F1588" s="15" t="n">
        <v>6.2</v>
      </c>
      <c r="G1588" s="16" t="n">
        <f aca="false">IF(A1588="2025",INDEX(Products!$C$2:$C$13,MATCH(D1588,Products!$A$2:$A$13,0)),INDEX(Products!$E$2:$E$13,MATCH(D1588,Products!$A$2:$A$13,0)))</f>
        <v>30520</v>
      </c>
      <c r="H1588" s="13" t="n">
        <f aca="false">IF(A1588="2025",INDEX(Customers!$D$2:$D$41,MATCH(C1588,Customers!$A$2:$A$41,0)),INDEX(Customers!$F$2:$F$41,MATCH(C1588,Customers!$A$2:$A$41,0)))</f>
        <v>0.03</v>
      </c>
      <c r="I1588" s="16" t="n">
        <f aca="false">F1588*G1588</f>
        <v>189224</v>
      </c>
      <c r="J1588" s="16" t="n">
        <f aca="false">I1588*(1-H1588)</f>
        <v>183547.28</v>
      </c>
      <c r="K1588" s="16" t="n">
        <f aca="false">J1588*INDEX(Customers!$G$2:$G$41,MATCH(C1588,Customers!$A$2:$A$41,0))</f>
        <v>3670.9456</v>
      </c>
      <c r="L1588" s="16" t="n">
        <f aca="false">F1588*INDEX(Customers!$H$2:$H$41,MATCH(C1588,Customers!$A$2:$A$41,0))</f>
        <v>1054</v>
      </c>
      <c r="M1588" s="16" t="n">
        <f aca="false">J1588*INDEX(Customers!$I$2:$I$41,MATCH(C1588,Customers!$A$2:$A$41,0))/365*Assumptions!$B$6</f>
        <v>2413.77244931507</v>
      </c>
      <c r="N1588" s="16" t="n">
        <f aca="false">J1588-K1588-L1588-M1588</f>
        <v>176408.561950685</v>
      </c>
      <c r="O1588" s="16" t="n">
        <f aca="false">F1588*IF(A1588="2025",INDEX(Products!$D$2:$D$13,MATCH(D1588,Products!$A$2:$A$13,0)),INDEX(Products!$F$2:$F$13,MATCH(D1588,Products!$A$2:$A$13,0)))</f>
        <v>95728</v>
      </c>
      <c r="P1588" s="16" t="n">
        <f aca="false">N1588-O1588</f>
        <v>80680.5619506849</v>
      </c>
    </row>
    <row r="1589" customFormat="false" ht="15" hidden="false" customHeight="false" outlineLevel="0" collapsed="false">
      <c r="A1589" s="2" t="s">
        <v>118</v>
      </c>
      <c r="B1589" s="2" t="n">
        <v>4</v>
      </c>
      <c r="C1589" s="2" t="s">
        <v>86</v>
      </c>
      <c r="D1589" s="2" t="s">
        <v>47</v>
      </c>
      <c r="E1589" s="2" t="str">
        <f aca="false">INDEX(Products!$B$2:$B$13,MATCH(D1589,Products!$A$2:$A$13,0))</f>
        <v>Specialty</v>
      </c>
      <c r="F1589" s="15" t="n">
        <v>6.1</v>
      </c>
      <c r="G1589" s="16" t="n">
        <f aca="false">IF(A1589="2025",INDEX(Products!$C$2:$C$13,MATCH(D1589,Products!$A$2:$A$13,0)),INDEX(Products!$E$2:$E$13,MATCH(D1589,Products!$A$2:$A$13,0)))</f>
        <v>30520</v>
      </c>
      <c r="H1589" s="13" t="n">
        <f aca="false">IF(A1589="2025",INDEX(Customers!$D$2:$D$41,MATCH(C1589,Customers!$A$2:$A$41,0)),INDEX(Customers!$F$2:$F$41,MATCH(C1589,Customers!$A$2:$A$41,0)))</f>
        <v>0.03</v>
      </c>
      <c r="I1589" s="16" t="n">
        <f aca="false">F1589*G1589</f>
        <v>186172</v>
      </c>
      <c r="J1589" s="16" t="n">
        <f aca="false">I1589*(1-H1589)</f>
        <v>180586.84</v>
      </c>
      <c r="K1589" s="16" t="n">
        <f aca="false">J1589*INDEX(Customers!$G$2:$G$41,MATCH(C1589,Customers!$A$2:$A$41,0))</f>
        <v>3611.7368</v>
      </c>
      <c r="L1589" s="16" t="n">
        <f aca="false">F1589*INDEX(Customers!$H$2:$H$41,MATCH(C1589,Customers!$A$2:$A$41,0))</f>
        <v>1037</v>
      </c>
      <c r="M1589" s="16" t="n">
        <f aca="false">J1589*INDEX(Customers!$I$2:$I$41,MATCH(C1589,Customers!$A$2:$A$41,0))/365*Assumptions!$B$6</f>
        <v>2374.84063561644</v>
      </c>
      <c r="N1589" s="16" t="n">
        <f aca="false">J1589-K1589-L1589-M1589</f>
        <v>173563.262564384</v>
      </c>
      <c r="O1589" s="16" t="n">
        <f aca="false">F1589*IF(A1589="2025",INDEX(Products!$D$2:$D$13,MATCH(D1589,Products!$A$2:$A$13,0)),INDEX(Products!$F$2:$F$13,MATCH(D1589,Products!$A$2:$A$13,0)))</f>
        <v>94184</v>
      </c>
      <c r="P1589" s="16" t="n">
        <f aca="false">N1589-O1589</f>
        <v>79379.2625643835</v>
      </c>
    </row>
    <row r="1590" customFormat="false" ht="15" hidden="false" customHeight="false" outlineLevel="0" collapsed="false">
      <c r="A1590" s="2" t="s">
        <v>118</v>
      </c>
      <c r="B1590" s="2" t="n">
        <v>5</v>
      </c>
      <c r="C1590" s="2" t="s">
        <v>86</v>
      </c>
      <c r="D1590" s="2" t="s">
        <v>47</v>
      </c>
      <c r="E1590" s="2" t="str">
        <f aca="false">INDEX(Products!$B$2:$B$13,MATCH(D1590,Products!$A$2:$A$13,0))</f>
        <v>Specialty</v>
      </c>
      <c r="F1590" s="15" t="n">
        <v>6</v>
      </c>
      <c r="G1590" s="16" t="n">
        <f aca="false">IF(A1590="2025",INDEX(Products!$C$2:$C$13,MATCH(D1590,Products!$A$2:$A$13,0)),INDEX(Products!$E$2:$E$13,MATCH(D1590,Products!$A$2:$A$13,0)))</f>
        <v>30520</v>
      </c>
      <c r="H1590" s="13" t="n">
        <f aca="false">IF(A1590="2025",INDEX(Customers!$D$2:$D$41,MATCH(C1590,Customers!$A$2:$A$41,0)),INDEX(Customers!$F$2:$F$41,MATCH(C1590,Customers!$A$2:$A$41,0)))</f>
        <v>0.03</v>
      </c>
      <c r="I1590" s="16" t="n">
        <f aca="false">F1590*G1590</f>
        <v>183120</v>
      </c>
      <c r="J1590" s="16" t="n">
        <f aca="false">I1590*(1-H1590)</f>
        <v>177626.4</v>
      </c>
      <c r="K1590" s="16" t="n">
        <f aca="false">J1590*INDEX(Customers!$G$2:$G$41,MATCH(C1590,Customers!$A$2:$A$41,0))</f>
        <v>3552.528</v>
      </c>
      <c r="L1590" s="16" t="n">
        <f aca="false">F1590*INDEX(Customers!$H$2:$H$41,MATCH(C1590,Customers!$A$2:$A$41,0))</f>
        <v>1020</v>
      </c>
      <c r="M1590" s="16" t="n">
        <f aca="false">J1590*INDEX(Customers!$I$2:$I$41,MATCH(C1590,Customers!$A$2:$A$41,0))/365*Assumptions!$B$6</f>
        <v>2335.90882191781</v>
      </c>
      <c r="N1590" s="16" t="n">
        <f aca="false">J1590-K1590-L1590-M1590</f>
        <v>170717.963178082</v>
      </c>
      <c r="O1590" s="16" t="n">
        <f aca="false">F1590*IF(A1590="2025",INDEX(Products!$D$2:$D$13,MATCH(D1590,Products!$A$2:$A$13,0)),INDEX(Products!$F$2:$F$13,MATCH(D1590,Products!$A$2:$A$13,0)))</f>
        <v>92640</v>
      </c>
      <c r="P1590" s="16" t="n">
        <f aca="false">N1590-O1590</f>
        <v>78077.9631780822</v>
      </c>
    </row>
    <row r="1591" customFormat="false" ht="15" hidden="false" customHeight="false" outlineLevel="0" collapsed="false">
      <c r="A1591" s="2" t="s">
        <v>118</v>
      </c>
      <c r="B1591" s="2" t="n">
        <v>6</v>
      </c>
      <c r="C1591" s="2" t="s">
        <v>86</v>
      </c>
      <c r="D1591" s="2" t="s">
        <v>47</v>
      </c>
      <c r="E1591" s="2" t="str">
        <f aca="false">INDEX(Products!$B$2:$B$13,MATCH(D1591,Products!$A$2:$A$13,0))</f>
        <v>Specialty</v>
      </c>
      <c r="F1591" s="15" t="n">
        <v>4.6</v>
      </c>
      <c r="G1591" s="16" t="n">
        <f aca="false">IF(A1591="2025",INDEX(Products!$C$2:$C$13,MATCH(D1591,Products!$A$2:$A$13,0)),INDEX(Products!$E$2:$E$13,MATCH(D1591,Products!$A$2:$A$13,0)))</f>
        <v>30520</v>
      </c>
      <c r="H1591" s="13" t="n">
        <f aca="false">IF(A1591="2025",INDEX(Customers!$D$2:$D$41,MATCH(C1591,Customers!$A$2:$A$41,0)),INDEX(Customers!$F$2:$F$41,MATCH(C1591,Customers!$A$2:$A$41,0)))</f>
        <v>0.03</v>
      </c>
      <c r="I1591" s="16" t="n">
        <f aca="false">F1591*G1591</f>
        <v>140392</v>
      </c>
      <c r="J1591" s="16" t="n">
        <f aca="false">I1591*(1-H1591)</f>
        <v>136180.24</v>
      </c>
      <c r="K1591" s="16" t="n">
        <f aca="false">J1591*INDEX(Customers!$G$2:$G$41,MATCH(C1591,Customers!$A$2:$A$41,0))</f>
        <v>2723.6048</v>
      </c>
      <c r="L1591" s="16" t="n">
        <f aca="false">F1591*INDEX(Customers!$H$2:$H$41,MATCH(C1591,Customers!$A$2:$A$41,0))</f>
        <v>782</v>
      </c>
      <c r="M1591" s="16" t="n">
        <f aca="false">J1591*INDEX(Customers!$I$2:$I$41,MATCH(C1591,Customers!$A$2:$A$41,0))/365*Assumptions!$B$6</f>
        <v>1790.86343013699</v>
      </c>
      <c r="N1591" s="16" t="n">
        <f aca="false">J1591-K1591-L1591-M1591</f>
        <v>130883.771769863</v>
      </c>
      <c r="O1591" s="16" t="n">
        <f aca="false">F1591*IF(A1591="2025",INDEX(Products!$D$2:$D$13,MATCH(D1591,Products!$A$2:$A$13,0)),INDEX(Products!$F$2:$F$13,MATCH(D1591,Products!$A$2:$A$13,0)))</f>
        <v>71024</v>
      </c>
      <c r="P1591" s="16" t="n">
        <f aca="false">N1591-O1591</f>
        <v>59859.771769863</v>
      </c>
    </row>
    <row r="1592" customFormat="false" ht="15" hidden="false" customHeight="false" outlineLevel="0" collapsed="false">
      <c r="A1592" s="2" t="s">
        <v>118</v>
      </c>
      <c r="B1592" s="2" t="n">
        <v>7</v>
      </c>
      <c r="C1592" s="2" t="s">
        <v>86</v>
      </c>
      <c r="D1592" s="2" t="s">
        <v>47</v>
      </c>
      <c r="E1592" s="2" t="str">
        <f aca="false">INDEX(Products!$B$2:$B$13,MATCH(D1592,Products!$A$2:$A$13,0))</f>
        <v>Specialty</v>
      </c>
      <c r="F1592" s="15" t="n">
        <v>5.6</v>
      </c>
      <c r="G1592" s="16" t="n">
        <f aca="false">IF(A1592="2025",INDEX(Products!$C$2:$C$13,MATCH(D1592,Products!$A$2:$A$13,0)),INDEX(Products!$E$2:$E$13,MATCH(D1592,Products!$A$2:$A$13,0)))</f>
        <v>30520</v>
      </c>
      <c r="H1592" s="13" t="n">
        <f aca="false">IF(A1592="2025",INDEX(Customers!$D$2:$D$41,MATCH(C1592,Customers!$A$2:$A$41,0)),INDEX(Customers!$F$2:$F$41,MATCH(C1592,Customers!$A$2:$A$41,0)))</f>
        <v>0.03</v>
      </c>
      <c r="I1592" s="16" t="n">
        <f aca="false">F1592*G1592</f>
        <v>170912</v>
      </c>
      <c r="J1592" s="16" t="n">
        <f aca="false">I1592*(1-H1592)</f>
        <v>165784.64</v>
      </c>
      <c r="K1592" s="16" t="n">
        <f aca="false">J1592*INDEX(Customers!$G$2:$G$41,MATCH(C1592,Customers!$A$2:$A$41,0))</f>
        <v>3315.6928</v>
      </c>
      <c r="L1592" s="16" t="n">
        <f aca="false">F1592*INDEX(Customers!$H$2:$H$41,MATCH(C1592,Customers!$A$2:$A$41,0))</f>
        <v>952</v>
      </c>
      <c r="M1592" s="16" t="n">
        <f aca="false">J1592*INDEX(Customers!$I$2:$I$41,MATCH(C1592,Customers!$A$2:$A$41,0))/365*Assumptions!$B$6</f>
        <v>2180.18156712329</v>
      </c>
      <c r="N1592" s="16" t="n">
        <f aca="false">J1592-K1592-L1592-M1592</f>
        <v>159336.765632877</v>
      </c>
      <c r="O1592" s="16" t="n">
        <f aca="false">F1592*IF(A1592="2025",INDEX(Products!$D$2:$D$13,MATCH(D1592,Products!$A$2:$A$13,0)),INDEX(Products!$F$2:$F$13,MATCH(D1592,Products!$A$2:$A$13,0)))</f>
        <v>86464</v>
      </c>
      <c r="P1592" s="16" t="n">
        <f aca="false">N1592-O1592</f>
        <v>72872.7656328767</v>
      </c>
    </row>
    <row r="1593" customFormat="false" ht="15" hidden="false" customHeight="false" outlineLevel="0" collapsed="false">
      <c r="A1593" s="2" t="s">
        <v>118</v>
      </c>
      <c r="B1593" s="2" t="n">
        <v>8</v>
      </c>
      <c r="C1593" s="2" t="s">
        <v>86</v>
      </c>
      <c r="D1593" s="2" t="s">
        <v>47</v>
      </c>
      <c r="E1593" s="2" t="str">
        <f aca="false">INDEX(Products!$B$2:$B$13,MATCH(D1593,Products!$A$2:$A$13,0))</f>
        <v>Specialty</v>
      </c>
      <c r="F1593" s="15" t="n">
        <v>4.8</v>
      </c>
      <c r="G1593" s="16" t="n">
        <f aca="false">IF(A1593="2025",INDEX(Products!$C$2:$C$13,MATCH(D1593,Products!$A$2:$A$13,0)),INDEX(Products!$E$2:$E$13,MATCH(D1593,Products!$A$2:$A$13,0)))</f>
        <v>30520</v>
      </c>
      <c r="H1593" s="13" t="n">
        <f aca="false">IF(A1593="2025",INDEX(Customers!$D$2:$D$41,MATCH(C1593,Customers!$A$2:$A$41,0)),INDEX(Customers!$F$2:$F$41,MATCH(C1593,Customers!$A$2:$A$41,0)))</f>
        <v>0.03</v>
      </c>
      <c r="I1593" s="16" t="n">
        <f aca="false">F1593*G1593</f>
        <v>146496</v>
      </c>
      <c r="J1593" s="16" t="n">
        <f aca="false">I1593*(1-H1593)</f>
        <v>142101.12</v>
      </c>
      <c r="K1593" s="16" t="n">
        <f aca="false">J1593*INDEX(Customers!$G$2:$G$41,MATCH(C1593,Customers!$A$2:$A$41,0))</f>
        <v>2842.0224</v>
      </c>
      <c r="L1593" s="16" t="n">
        <f aca="false">F1593*INDEX(Customers!$H$2:$H$41,MATCH(C1593,Customers!$A$2:$A$41,0))</f>
        <v>816</v>
      </c>
      <c r="M1593" s="16" t="n">
        <f aca="false">J1593*INDEX(Customers!$I$2:$I$41,MATCH(C1593,Customers!$A$2:$A$41,0))/365*Assumptions!$B$6</f>
        <v>1868.72705753425</v>
      </c>
      <c r="N1593" s="16" t="n">
        <f aca="false">J1593-K1593-L1593-M1593</f>
        <v>136574.370542466</v>
      </c>
      <c r="O1593" s="16" t="n">
        <f aca="false">F1593*IF(A1593="2025",INDEX(Products!$D$2:$D$13,MATCH(D1593,Products!$A$2:$A$13,0)),INDEX(Products!$F$2:$F$13,MATCH(D1593,Products!$A$2:$A$13,0)))</f>
        <v>74112</v>
      </c>
      <c r="P1593" s="16" t="n">
        <f aca="false">N1593-O1593</f>
        <v>62462.3705424658</v>
      </c>
    </row>
    <row r="1594" customFormat="false" ht="15" hidden="false" customHeight="false" outlineLevel="0" collapsed="false">
      <c r="A1594" s="2" t="s">
        <v>118</v>
      </c>
      <c r="B1594" s="2" t="n">
        <v>9</v>
      </c>
      <c r="C1594" s="2" t="s">
        <v>86</v>
      </c>
      <c r="D1594" s="2" t="s">
        <v>47</v>
      </c>
      <c r="E1594" s="2" t="str">
        <f aca="false">INDEX(Products!$B$2:$B$13,MATCH(D1594,Products!$A$2:$A$13,0))</f>
        <v>Specialty</v>
      </c>
      <c r="F1594" s="15" t="n">
        <v>5.7</v>
      </c>
      <c r="G1594" s="16" t="n">
        <f aca="false">IF(A1594="2025",INDEX(Products!$C$2:$C$13,MATCH(D1594,Products!$A$2:$A$13,0)),INDEX(Products!$E$2:$E$13,MATCH(D1594,Products!$A$2:$A$13,0)))</f>
        <v>30520</v>
      </c>
      <c r="H1594" s="13" t="n">
        <f aca="false">IF(A1594="2025",INDEX(Customers!$D$2:$D$41,MATCH(C1594,Customers!$A$2:$A$41,0)),INDEX(Customers!$F$2:$F$41,MATCH(C1594,Customers!$A$2:$A$41,0)))</f>
        <v>0.03</v>
      </c>
      <c r="I1594" s="16" t="n">
        <f aca="false">F1594*G1594</f>
        <v>173964</v>
      </c>
      <c r="J1594" s="16" t="n">
        <f aca="false">I1594*(1-H1594)</f>
        <v>168745.08</v>
      </c>
      <c r="K1594" s="16" t="n">
        <f aca="false">J1594*INDEX(Customers!$G$2:$G$41,MATCH(C1594,Customers!$A$2:$A$41,0))</f>
        <v>3374.9016</v>
      </c>
      <c r="L1594" s="16" t="n">
        <f aca="false">F1594*INDEX(Customers!$H$2:$H$41,MATCH(C1594,Customers!$A$2:$A$41,0))</f>
        <v>969</v>
      </c>
      <c r="M1594" s="16" t="n">
        <f aca="false">J1594*INDEX(Customers!$I$2:$I$41,MATCH(C1594,Customers!$A$2:$A$41,0))/365*Assumptions!$B$6</f>
        <v>2219.11338082192</v>
      </c>
      <c r="N1594" s="16" t="n">
        <f aca="false">J1594-K1594-L1594-M1594</f>
        <v>162182.065019178</v>
      </c>
      <c r="O1594" s="16" t="n">
        <f aca="false">F1594*IF(A1594="2025",INDEX(Products!$D$2:$D$13,MATCH(D1594,Products!$A$2:$A$13,0)),INDEX(Products!$F$2:$F$13,MATCH(D1594,Products!$A$2:$A$13,0)))</f>
        <v>88008</v>
      </c>
      <c r="P1594" s="16" t="n">
        <f aca="false">N1594-O1594</f>
        <v>74174.0650191781</v>
      </c>
    </row>
    <row r="1595" customFormat="false" ht="15" hidden="false" customHeight="false" outlineLevel="0" collapsed="false">
      <c r="A1595" s="2" t="s">
        <v>118</v>
      </c>
      <c r="B1595" s="2" t="n">
        <v>10</v>
      </c>
      <c r="C1595" s="2" t="s">
        <v>86</v>
      </c>
      <c r="D1595" s="2" t="s">
        <v>47</v>
      </c>
      <c r="E1595" s="2" t="str">
        <f aca="false">INDEX(Products!$B$2:$B$13,MATCH(D1595,Products!$A$2:$A$13,0))</f>
        <v>Specialty</v>
      </c>
      <c r="F1595" s="15" t="n">
        <v>4.1</v>
      </c>
      <c r="G1595" s="16" t="n">
        <f aca="false">IF(A1595="2025",INDEX(Products!$C$2:$C$13,MATCH(D1595,Products!$A$2:$A$13,0)),INDEX(Products!$E$2:$E$13,MATCH(D1595,Products!$A$2:$A$13,0)))</f>
        <v>30520</v>
      </c>
      <c r="H1595" s="13" t="n">
        <f aca="false">IF(A1595="2025",INDEX(Customers!$D$2:$D$41,MATCH(C1595,Customers!$A$2:$A$41,0)),INDEX(Customers!$F$2:$F$41,MATCH(C1595,Customers!$A$2:$A$41,0)))</f>
        <v>0.03</v>
      </c>
      <c r="I1595" s="16" t="n">
        <f aca="false">F1595*G1595</f>
        <v>125132</v>
      </c>
      <c r="J1595" s="16" t="n">
        <f aca="false">I1595*(1-H1595)</f>
        <v>121378.04</v>
      </c>
      <c r="K1595" s="16" t="n">
        <f aca="false">J1595*INDEX(Customers!$G$2:$G$41,MATCH(C1595,Customers!$A$2:$A$41,0))</f>
        <v>2427.5608</v>
      </c>
      <c r="L1595" s="16" t="n">
        <f aca="false">F1595*INDEX(Customers!$H$2:$H$41,MATCH(C1595,Customers!$A$2:$A$41,0))</f>
        <v>697</v>
      </c>
      <c r="M1595" s="16" t="n">
        <f aca="false">J1595*INDEX(Customers!$I$2:$I$41,MATCH(C1595,Customers!$A$2:$A$41,0))/365*Assumptions!$B$6</f>
        <v>1596.20436164384</v>
      </c>
      <c r="N1595" s="16" t="n">
        <f aca="false">J1595-K1595-L1595-M1595</f>
        <v>116657.274838356</v>
      </c>
      <c r="O1595" s="16" t="n">
        <f aca="false">F1595*IF(A1595="2025",INDEX(Products!$D$2:$D$13,MATCH(D1595,Products!$A$2:$A$13,0)),INDEX(Products!$F$2:$F$13,MATCH(D1595,Products!$A$2:$A$13,0)))</f>
        <v>63304</v>
      </c>
      <c r="P1595" s="16" t="n">
        <f aca="false">N1595-O1595</f>
        <v>53353.2748383562</v>
      </c>
    </row>
    <row r="1596" customFormat="false" ht="15" hidden="false" customHeight="false" outlineLevel="0" collapsed="false">
      <c r="A1596" s="2" t="s">
        <v>118</v>
      </c>
      <c r="B1596" s="2" t="n">
        <v>11</v>
      </c>
      <c r="C1596" s="2" t="s">
        <v>86</v>
      </c>
      <c r="D1596" s="2" t="s">
        <v>47</v>
      </c>
      <c r="E1596" s="2" t="str">
        <f aca="false">INDEX(Products!$B$2:$B$13,MATCH(D1596,Products!$A$2:$A$13,0))</f>
        <v>Specialty</v>
      </c>
      <c r="F1596" s="15" t="n">
        <v>5.6</v>
      </c>
      <c r="G1596" s="16" t="n">
        <f aca="false">IF(A1596="2025",INDEX(Products!$C$2:$C$13,MATCH(D1596,Products!$A$2:$A$13,0)),INDEX(Products!$E$2:$E$13,MATCH(D1596,Products!$A$2:$A$13,0)))</f>
        <v>30520</v>
      </c>
      <c r="H1596" s="13" t="n">
        <f aca="false">IF(A1596="2025",INDEX(Customers!$D$2:$D$41,MATCH(C1596,Customers!$A$2:$A$41,0)),INDEX(Customers!$F$2:$F$41,MATCH(C1596,Customers!$A$2:$A$41,0)))</f>
        <v>0.03</v>
      </c>
      <c r="I1596" s="16" t="n">
        <f aca="false">F1596*G1596</f>
        <v>170912</v>
      </c>
      <c r="J1596" s="16" t="n">
        <f aca="false">I1596*(1-H1596)</f>
        <v>165784.64</v>
      </c>
      <c r="K1596" s="16" t="n">
        <f aca="false">J1596*INDEX(Customers!$G$2:$G$41,MATCH(C1596,Customers!$A$2:$A$41,0))</f>
        <v>3315.6928</v>
      </c>
      <c r="L1596" s="16" t="n">
        <f aca="false">F1596*INDEX(Customers!$H$2:$H$41,MATCH(C1596,Customers!$A$2:$A$41,0))</f>
        <v>952</v>
      </c>
      <c r="M1596" s="16" t="n">
        <f aca="false">J1596*INDEX(Customers!$I$2:$I$41,MATCH(C1596,Customers!$A$2:$A$41,0))/365*Assumptions!$B$6</f>
        <v>2180.18156712329</v>
      </c>
      <c r="N1596" s="16" t="n">
        <f aca="false">J1596-K1596-L1596-M1596</f>
        <v>159336.765632877</v>
      </c>
      <c r="O1596" s="16" t="n">
        <f aca="false">F1596*IF(A1596="2025",INDEX(Products!$D$2:$D$13,MATCH(D1596,Products!$A$2:$A$13,0)),INDEX(Products!$F$2:$F$13,MATCH(D1596,Products!$A$2:$A$13,0)))</f>
        <v>86464</v>
      </c>
      <c r="P1596" s="16" t="n">
        <f aca="false">N1596-O1596</f>
        <v>72872.7656328767</v>
      </c>
    </row>
    <row r="1597" customFormat="false" ht="15" hidden="false" customHeight="false" outlineLevel="0" collapsed="false">
      <c r="A1597" s="2" t="s">
        <v>118</v>
      </c>
      <c r="B1597" s="2" t="n">
        <v>12</v>
      </c>
      <c r="C1597" s="2" t="s">
        <v>86</v>
      </c>
      <c r="D1597" s="2" t="s">
        <v>47</v>
      </c>
      <c r="E1597" s="2" t="str">
        <f aca="false">INDEX(Products!$B$2:$B$13,MATCH(D1597,Products!$A$2:$A$13,0))</f>
        <v>Specialty</v>
      </c>
      <c r="F1597" s="15" t="n">
        <v>3.8</v>
      </c>
      <c r="G1597" s="16" t="n">
        <f aca="false">IF(A1597="2025",INDEX(Products!$C$2:$C$13,MATCH(D1597,Products!$A$2:$A$13,0)),INDEX(Products!$E$2:$E$13,MATCH(D1597,Products!$A$2:$A$13,0)))</f>
        <v>30520</v>
      </c>
      <c r="H1597" s="13" t="n">
        <f aca="false">IF(A1597="2025",INDEX(Customers!$D$2:$D$41,MATCH(C1597,Customers!$A$2:$A$41,0)),INDEX(Customers!$F$2:$F$41,MATCH(C1597,Customers!$A$2:$A$41,0)))</f>
        <v>0.03</v>
      </c>
      <c r="I1597" s="16" t="n">
        <f aca="false">F1597*G1597</f>
        <v>115976</v>
      </c>
      <c r="J1597" s="16" t="n">
        <f aca="false">I1597*(1-H1597)</f>
        <v>112496.72</v>
      </c>
      <c r="K1597" s="16" t="n">
        <f aca="false">J1597*INDEX(Customers!$G$2:$G$41,MATCH(C1597,Customers!$A$2:$A$41,0))</f>
        <v>2249.9344</v>
      </c>
      <c r="L1597" s="16" t="n">
        <f aca="false">F1597*INDEX(Customers!$H$2:$H$41,MATCH(C1597,Customers!$A$2:$A$41,0))</f>
        <v>646</v>
      </c>
      <c r="M1597" s="16" t="n">
        <f aca="false">J1597*INDEX(Customers!$I$2:$I$41,MATCH(C1597,Customers!$A$2:$A$41,0))/365*Assumptions!$B$6</f>
        <v>1479.40892054795</v>
      </c>
      <c r="N1597" s="16" t="n">
        <f aca="false">J1597-K1597-L1597-M1597</f>
        <v>108121.376679452</v>
      </c>
      <c r="O1597" s="16" t="n">
        <f aca="false">F1597*IF(A1597="2025",INDEX(Products!$D$2:$D$13,MATCH(D1597,Products!$A$2:$A$13,0)),INDEX(Products!$F$2:$F$13,MATCH(D1597,Products!$A$2:$A$13,0)))</f>
        <v>58672</v>
      </c>
      <c r="P1597" s="16" t="n">
        <f aca="false">N1597-O1597</f>
        <v>49449.3766794521</v>
      </c>
    </row>
    <row r="1598" customFormat="false" ht="15" hidden="false" customHeight="false" outlineLevel="0" collapsed="false">
      <c r="A1598" s="2" t="s">
        <v>119</v>
      </c>
      <c r="B1598" s="2" t="n">
        <v>1</v>
      </c>
      <c r="C1598" s="2" t="s">
        <v>86</v>
      </c>
      <c r="D1598" s="2" t="s">
        <v>47</v>
      </c>
      <c r="E1598" s="2" t="str">
        <f aca="false">INDEX(Products!$B$2:$B$13,MATCH(D1598,Products!$A$2:$A$13,0))</f>
        <v>Specialty</v>
      </c>
      <c r="F1598" s="15" t="n">
        <v>4.9</v>
      </c>
      <c r="G1598" s="16" t="n">
        <f aca="false">IF(A1598="2025",INDEX(Products!$C$2:$C$13,MATCH(D1598,Products!$A$2:$A$13,0)),INDEX(Products!$E$2:$E$13,MATCH(D1598,Products!$A$2:$A$13,0)))</f>
        <v>32046</v>
      </c>
      <c r="H1598" s="13" t="n">
        <f aca="false">IF(A1598="2025",INDEX(Customers!$D$2:$D$41,MATCH(C1598,Customers!$A$2:$A$41,0)),INDEX(Customers!$F$2:$F$41,MATCH(C1598,Customers!$A$2:$A$41,0)))</f>
        <v>0.048</v>
      </c>
      <c r="I1598" s="16" t="n">
        <f aca="false">F1598*G1598</f>
        <v>157025.4</v>
      </c>
      <c r="J1598" s="16" t="n">
        <f aca="false">I1598*(1-H1598)</f>
        <v>149488.1808</v>
      </c>
      <c r="K1598" s="16" t="n">
        <f aca="false">J1598*INDEX(Customers!$G$2:$G$41,MATCH(C1598,Customers!$A$2:$A$41,0))</f>
        <v>2989.763616</v>
      </c>
      <c r="L1598" s="16" t="n">
        <f aca="false">F1598*INDEX(Customers!$H$2:$H$41,MATCH(C1598,Customers!$A$2:$A$41,0))</f>
        <v>833</v>
      </c>
      <c r="M1598" s="16" t="n">
        <f aca="false">J1598*INDEX(Customers!$I$2:$I$41,MATCH(C1598,Customers!$A$2:$A$41,0))/365*Assumptions!$B$6</f>
        <v>1965.87196668493</v>
      </c>
      <c r="N1598" s="16" t="n">
        <f aca="false">J1598-K1598-L1598-M1598</f>
        <v>143699.545217315</v>
      </c>
      <c r="O1598" s="16" t="n">
        <f aca="false">F1598*IF(A1598="2025",INDEX(Products!$D$2:$D$13,MATCH(D1598,Products!$A$2:$A$13,0)),INDEX(Products!$F$2:$F$13,MATCH(D1598,Products!$A$2:$A$13,0)))</f>
        <v>77925.68</v>
      </c>
      <c r="P1598" s="16" t="n">
        <f aca="false">N1598-O1598</f>
        <v>65773.8652173151</v>
      </c>
    </row>
    <row r="1599" customFormat="false" ht="15" hidden="false" customHeight="false" outlineLevel="0" collapsed="false">
      <c r="A1599" s="2" t="s">
        <v>119</v>
      </c>
      <c r="B1599" s="2" t="n">
        <v>2</v>
      </c>
      <c r="C1599" s="2" t="s">
        <v>86</v>
      </c>
      <c r="D1599" s="2" t="s">
        <v>47</v>
      </c>
      <c r="E1599" s="2" t="str">
        <f aca="false">INDEX(Products!$B$2:$B$13,MATCH(D1599,Products!$A$2:$A$13,0))</f>
        <v>Specialty</v>
      </c>
      <c r="F1599" s="15" t="n">
        <v>5.3</v>
      </c>
      <c r="G1599" s="16" t="n">
        <f aca="false">IF(A1599="2025",INDEX(Products!$C$2:$C$13,MATCH(D1599,Products!$A$2:$A$13,0)),INDEX(Products!$E$2:$E$13,MATCH(D1599,Products!$A$2:$A$13,0)))</f>
        <v>32046</v>
      </c>
      <c r="H1599" s="13" t="n">
        <f aca="false">IF(A1599="2025",INDEX(Customers!$D$2:$D$41,MATCH(C1599,Customers!$A$2:$A$41,0)),INDEX(Customers!$F$2:$F$41,MATCH(C1599,Customers!$A$2:$A$41,0)))</f>
        <v>0.048</v>
      </c>
      <c r="I1599" s="16" t="n">
        <f aca="false">F1599*G1599</f>
        <v>169843.8</v>
      </c>
      <c r="J1599" s="16" t="n">
        <f aca="false">I1599*(1-H1599)</f>
        <v>161691.2976</v>
      </c>
      <c r="K1599" s="16" t="n">
        <f aca="false">J1599*INDEX(Customers!$G$2:$G$41,MATCH(C1599,Customers!$A$2:$A$41,0))</f>
        <v>3233.825952</v>
      </c>
      <c r="L1599" s="16" t="n">
        <f aca="false">F1599*INDEX(Customers!$H$2:$H$41,MATCH(C1599,Customers!$A$2:$A$41,0))</f>
        <v>901</v>
      </c>
      <c r="M1599" s="16" t="n">
        <f aca="false">J1599*INDEX(Customers!$I$2:$I$41,MATCH(C1599,Customers!$A$2:$A$41,0))/365*Assumptions!$B$6</f>
        <v>2126.35131090411</v>
      </c>
      <c r="N1599" s="16" t="n">
        <f aca="false">J1599-K1599-L1599-M1599</f>
        <v>155430.120337096</v>
      </c>
      <c r="O1599" s="16" t="n">
        <f aca="false">F1599*IF(A1599="2025",INDEX(Products!$D$2:$D$13,MATCH(D1599,Products!$A$2:$A$13,0)),INDEX(Products!$F$2:$F$13,MATCH(D1599,Products!$A$2:$A$13,0)))</f>
        <v>84286.96</v>
      </c>
      <c r="P1599" s="16" t="n">
        <f aca="false">N1599-O1599</f>
        <v>71143.1603370959</v>
      </c>
    </row>
    <row r="1600" customFormat="false" ht="15" hidden="false" customHeight="false" outlineLevel="0" collapsed="false">
      <c r="A1600" s="2" t="s">
        <v>119</v>
      </c>
      <c r="B1600" s="2" t="n">
        <v>3</v>
      </c>
      <c r="C1600" s="2" t="s">
        <v>86</v>
      </c>
      <c r="D1600" s="2" t="s">
        <v>47</v>
      </c>
      <c r="E1600" s="2" t="str">
        <f aca="false">INDEX(Products!$B$2:$B$13,MATCH(D1600,Products!$A$2:$A$13,0))</f>
        <v>Specialty</v>
      </c>
      <c r="F1600" s="15" t="n">
        <v>4.4</v>
      </c>
      <c r="G1600" s="16" t="n">
        <f aca="false">IF(A1600="2025",INDEX(Products!$C$2:$C$13,MATCH(D1600,Products!$A$2:$A$13,0)),INDEX(Products!$E$2:$E$13,MATCH(D1600,Products!$A$2:$A$13,0)))</f>
        <v>32046</v>
      </c>
      <c r="H1600" s="13" t="n">
        <f aca="false">IF(A1600="2025",INDEX(Customers!$D$2:$D$41,MATCH(C1600,Customers!$A$2:$A$41,0)),INDEX(Customers!$F$2:$F$41,MATCH(C1600,Customers!$A$2:$A$41,0)))</f>
        <v>0.048</v>
      </c>
      <c r="I1600" s="16" t="n">
        <f aca="false">F1600*G1600</f>
        <v>141002.4</v>
      </c>
      <c r="J1600" s="16" t="n">
        <f aca="false">I1600*(1-H1600)</f>
        <v>134234.2848</v>
      </c>
      <c r="K1600" s="16" t="n">
        <f aca="false">J1600*INDEX(Customers!$G$2:$G$41,MATCH(C1600,Customers!$A$2:$A$41,0))</f>
        <v>2684.685696</v>
      </c>
      <c r="L1600" s="16" t="n">
        <f aca="false">F1600*INDEX(Customers!$H$2:$H$41,MATCH(C1600,Customers!$A$2:$A$41,0))</f>
        <v>748</v>
      </c>
      <c r="M1600" s="16" t="n">
        <f aca="false">J1600*INDEX(Customers!$I$2:$I$41,MATCH(C1600,Customers!$A$2:$A$41,0))/365*Assumptions!$B$6</f>
        <v>1765.27278641096</v>
      </c>
      <c r="N1600" s="16" t="n">
        <f aca="false">J1600-K1600-L1600-M1600</f>
        <v>129036.326317589</v>
      </c>
      <c r="O1600" s="16" t="n">
        <f aca="false">F1600*IF(A1600="2025",INDEX(Products!$D$2:$D$13,MATCH(D1600,Products!$A$2:$A$13,0)),INDEX(Products!$F$2:$F$13,MATCH(D1600,Products!$A$2:$A$13,0)))</f>
        <v>69974.08</v>
      </c>
      <c r="P1600" s="16" t="n">
        <f aca="false">N1600-O1600</f>
        <v>59062.2463175891</v>
      </c>
    </row>
    <row r="1601" customFormat="false" ht="15" hidden="false" customHeight="false" outlineLevel="0" collapsed="false">
      <c r="A1601" s="2" t="s">
        <v>119</v>
      </c>
      <c r="B1601" s="2" t="n">
        <v>4</v>
      </c>
      <c r="C1601" s="2" t="s">
        <v>86</v>
      </c>
      <c r="D1601" s="2" t="s">
        <v>47</v>
      </c>
      <c r="E1601" s="2" t="str">
        <f aca="false">INDEX(Products!$B$2:$B$13,MATCH(D1601,Products!$A$2:$A$13,0))</f>
        <v>Specialty</v>
      </c>
      <c r="F1601" s="15" t="n">
        <v>4.8</v>
      </c>
      <c r="G1601" s="16" t="n">
        <f aca="false">IF(A1601="2025",INDEX(Products!$C$2:$C$13,MATCH(D1601,Products!$A$2:$A$13,0)),INDEX(Products!$E$2:$E$13,MATCH(D1601,Products!$A$2:$A$13,0)))</f>
        <v>32046</v>
      </c>
      <c r="H1601" s="13" t="n">
        <f aca="false">IF(A1601="2025",INDEX(Customers!$D$2:$D$41,MATCH(C1601,Customers!$A$2:$A$41,0)),INDEX(Customers!$F$2:$F$41,MATCH(C1601,Customers!$A$2:$A$41,0)))</f>
        <v>0.048</v>
      </c>
      <c r="I1601" s="16" t="n">
        <f aca="false">F1601*G1601</f>
        <v>153820.8</v>
      </c>
      <c r="J1601" s="16" t="n">
        <f aca="false">I1601*(1-H1601)</f>
        <v>146437.4016</v>
      </c>
      <c r="K1601" s="16" t="n">
        <f aca="false">J1601*INDEX(Customers!$G$2:$G$41,MATCH(C1601,Customers!$A$2:$A$41,0))</f>
        <v>2928.748032</v>
      </c>
      <c r="L1601" s="16" t="n">
        <f aca="false">F1601*INDEX(Customers!$H$2:$H$41,MATCH(C1601,Customers!$A$2:$A$41,0))</f>
        <v>816</v>
      </c>
      <c r="M1601" s="16" t="n">
        <f aca="false">J1601*INDEX(Customers!$I$2:$I$41,MATCH(C1601,Customers!$A$2:$A$41,0))/365*Assumptions!$B$6</f>
        <v>1925.75213063014</v>
      </c>
      <c r="N1601" s="16" t="n">
        <f aca="false">J1601-K1601-L1601-M1601</f>
        <v>140766.90143737</v>
      </c>
      <c r="O1601" s="16" t="n">
        <f aca="false">F1601*IF(A1601="2025",INDEX(Products!$D$2:$D$13,MATCH(D1601,Products!$A$2:$A$13,0)),INDEX(Products!$F$2:$F$13,MATCH(D1601,Products!$A$2:$A$13,0)))</f>
        <v>76335.36</v>
      </c>
      <c r="P1601" s="16" t="n">
        <f aca="false">N1601-O1601</f>
        <v>64431.5414373698</v>
      </c>
    </row>
    <row r="1602" customFormat="false" ht="15" hidden="false" customHeight="false" outlineLevel="0" collapsed="false">
      <c r="A1602" s="2" t="s">
        <v>119</v>
      </c>
      <c r="B1602" s="2" t="n">
        <v>5</v>
      </c>
      <c r="C1602" s="2" t="s">
        <v>86</v>
      </c>
      <c r="D1602" s="2" t="s">
        <v>47</v>
      </c>
      <c r="E1602" s="2" t="str">
        <f aca="false">INDEX(Products!$B$2:$B$13,MATCH(D1602,Products!$A$2:$A$13,0))</f>
        <v>Specialty</v>
      </c>
      <c r="F1602" s="15" t="n">
        <v>6.3</v>
      </c>
      <c r="G1602" s="16" t="n">
        <f aca="false">IF(A1602="2025",INDEX(Products!$C$2:$C$13,MATCH(D1602,Products!$A$2:$A$13,0)),INDEX(Products!$E$2:$E$13,MATCH(D1602,Products!$A$2:$A$13,0)))</f>
        <v>32046</v>
      </c>
      <c r="H1602" s="13" t="n">
        <f aca="false">IF(A1602="2025",INDEX(Customers!$D$2:$D$41,MATCH(C1602,Customers!$A$2:$A$41,0)),INDEX(Customers!$F$2:$F$41,MATCH(C1602,Customers!$A$2:$A$41,0)))</f>
        <v>0.048</v>
      </c>
      <c r="I1602" s="16" t="n">
        <f aca="false">F1602*G1602</f>
        <v>201889.8</v>
      </c>
      <c r="J1602" s="16" t="n">
        <f aca="false">I1602*(1-H1602)</f>
        <v>192199.0896</v>
      </c>
      <c r="K1602" s="16" t="n">
        <f aca="false">J1602*INDEX(Customers!$G$2:$G$41,MATCH(C1602,Customers!$A$2:$A$41,0))</f>
        <v>3843.981792</v>
      </c>
      <c r="L1602" s="16" t="n">
        <f aca="false">F1602*INDEX(Customers!$H$2:$H$41,MATCH(C1602,Customers!$A$2:$A$41,0))</f>
        <v>1071</v>
      </c>
      <c r="M1602" s="16" t="n">
        <f aca="false">J1602*INDEX(Customers!$I$2:$I$41,MATCH(C1602,Customers!$A$2:$A$41,0))/365*Assumptions!$B$6</f>
        <v>2527.54967145205</v>
      </c>
      <c r="N1602" s="16" t="n">
        <f aca="false">J1602-K1602-L1602-M1602</f>
        <v>184756.558136548</v>
      </c>
      <c r="O1602" s="16" t="n">
        <f aca="false">F1602*IF(A1602="2025",INDEX(Products!$D$2:$D$13,MATCH(D1602,Products!$A$2:$A$13,0)),INDEX(Products!$F$2:$F$13,MATCH(D1602,Products!$A$2:$A$13,0)))</f>
        <v>100190.16</v>
      </c>
      <c r="P1602" s="16" t="n">
        <f aca="false">N1602-O1602</f>
        <v>84566.3981365479</v>
      </c>
    </row>
    <row r="1603" customFormat="false" ht="15" hidden="false" customHeight="false" outlineLevel="0" collapsed="false">
      <c r="A1603" s="2" t="s">
        <v>119</v>
      </c>
      <c r="B1603" s="2" t="n">
        <v>6</v>
      </c>
      <c r="C1603" s="2" t="s">
        <v>86</v>
      </c>
      <c r="D1603" s="2" t="s">
        <v>47</v>
      </c>
      <c r="E1603" s="2" t="str">
        <f aca="false">INDEX(Products!$B$2:$B$13,MATCH(D1603,Products!$A$2:$A$13,0))</f>
        <v>Specialty</v>
      </c>
      <c r="F1603" s="15" t="n">
        <v>6.3</v>
      </c>
      <c r="G1603" s="16" t="n">
        <f aca="false">IF(A1603="2025",INDEX(Products!$C$2:$C$13,MATCH(D1603,Products!$A$2:$A$13,0)),INDEX(Products!$E$2:$E$13,MATCH(D1603,Products!$A$2:$A$13,0)))</f>
        <v>32046</v>
      </c>
      <c r="H1603" s="13" t="n">
        <f aca="false">IF(A1603="2025",INDEX(Customers!$D$2:$D$41,MATCH(C1603,Customers!$A$2:$A$41,0)),INDEX(Customers!$F$2:$F$41,MATCH(C1603,Customers!$A$2:$A$41,0)))</f>
        <v>0.048</v>
      </c>
      <c r="I1603" s="16" t="n">
        <f aca="false">F1603*G1603</f>
        <v>201889.8</v>
      </c>
      <c r="J1603" s="16" t="n">
        <f aca="false">I1603*(1-H1603)</f>
        <v>192199.0896</v>
      </c>
      <c r="K1603" s="16" t="n">
        <f aca="false">J1603*INDEX(Customers!$G$2:$G$41,MATCH(C1603,Customers!$A$2:$A$41,0))</f>
        <v>3843.981792</v>
      </c>
      <c r="L1603" s="16" t="n">
        <f aca="false">F1603*INDEX(Customers!$H$2:$H$41,MATCH(C1603,Customers!$A$2:$A$41,0))</f>
        <v>1071</v>
      </c>
      <c r="M1603" s="16" t="n">
        <f aca="false">J1603*INDEX(Customers!$I$2:$I$41,MATCH(C1603,Customers!$A$2:$A$41,0))/365*Assumptions!$B$6</f>
        <v>2527.54967145205</v>
      </c>
      <c r="N1603" s="16" t="n">
        <f aca="false">J1603-K1603-L1603-M1603</f>
        <v>184756.558136548</v>
      </c>
      <c r="O1603" s="16" t="n">
        <f aca="false">F1603*IF(A1603="2025",INDEX(Products!$D$2:$D$13,MATCH(D1603,Products!$A$2:$A$13,0)),INDEX(Products!$F$2:$F$13,MATCH(D1603,Products!$A$2:$A$13,0)))</f>
        <v>100190.16</v>
      </c>
      <c r="P1603" s="16" t="n">
        <f aca="false">N1603-O1603</f>
        <v>84566.3981365479</v>
      </c>
    </row>
    <row r="1604" customFormat="false" ht="15" hidden="false" customHeight="false" outlineLevel="0" collapsed="false">
      <c r="A1604" s="2" t="s">
        <v>119</v>
      </c>
      <c r="B1604" s="2" t="n">
        <v>7</v>
      </c>
      <c r="C1604" s="2" t="s">
        <v>86</v>
      </c>
      <c r="D1604" s="2" t="s">
        <v>47</v>
      </c>
      <c r="E1604" s="2" t="str">
        <f aca="false">INDEX(Products!$B$2:$B$13,MATCH(D1604,Products!$A$2:$A$13,0))</f>
        <v>Specialty</v>
      </c>
      <c r="F1604" s="15" t="n">
        <v>6.7</v>
      </c>
      <c r="G1604" s="16" t="n">
        <f aca="false">IF(A1604="2025",INDEX(Products!$C$2:$C$13,MATCH(D1604,Products!$A$2:$A$13,0)),INDEX(Products!$E$2:$E$13,MATCH(D1604,Products!$A$2:$A$13,0)))</f>
        <v>32046</v>
      </c>
      <c r="H1604" s="13" t="n">
        <f aca="false">IF(A1604="2025",INDEX(Customers!$D$2:$D$41,MATCH(C1604,Customers!$A$2:$A$41,0)),INDEX(Customers!$F$2:$F$41,MATCH(C1604,Customers!$A$2:$A$41,0)))</f>
        <v>0.048</v>
      </c>
      <c r="I1604" s="16" t="n">
        <f aca="false">F1604*G1604</f>
        <v>214708.2</v>
      </c>
      <c r="J1604" s="16" t="n">
        <f aca="false">I1604*(1-H1604)</f>
        <v>204402.2064</v>
      </c>
      <c r="K1604" s="16" t="n">
        <f aca="false">J1604*INDEX(Customers!$G$2:$G$41,MATCH(C1604,Customers!$A$2:$A$41,0))</f>
        <v>4088.044128</v>
      </c>
      <c r="L1604" s="16" t="n">
        <f aca="false">F1604*INDEX(Customers!$H$2:$H$41,MATCH(C1604,Customers!$A$2:$A$41,0))</f>
        <v>1139</v>
      </c>
      <c r="M1604" s="16" t="n">
        <f aca="false">J1604*INDEX(Customers!$I$2:$I$41,MATCH(C1604,Customers!$A$2:$A$41,0))/365*Assumptions!$B$6</f>
        <v>2688.02901567123</v>
      </c>
      <c r="N1604" s="16" t="n">
        <f aca="false">J1604-K1604-L1604-M1604</f>
        <v>196487.133256329</v>
      </c>
      <c r="O1604" s="16" t="n">
        <f aca="false">F1604*IF(A1604="2025",INDEX(Products!$D$2:$D$13,MATCH(D1604,Products!$A$2:$A$13,0)),INDEX(Products!$F$2:$F$13,MATCH(D1604,Products!$A$2:$A$13,0)))</f>
        <v>106551.44</v>
      </c>
      <c r="P1604" s="16" t="n">
        <f aca="false">N1604-O1604</f>
        <v>89935.6932563288</v>
      </c>
    </row>
    <row r="1605" customFormat="false" ht="15" hidden="false" customHeight="false" outlineLevel="0" collapsed="false">
      <c r="A1605" s="2" t="s">
        <v>119</v>
      </c>
      <c r="B1605" s="2" t="n">
        <v>8</v>
      </c>
      <c r="C1605" s="2" t="s">
        <v>86</v>
      </c>
      <c r="D1605" s="2" t="s">
        <v>47</v>
      </c>
      <c r="E1605" s="2" t="str">
        <f aca="false">INDEX(Products!$B$2:$B$13,MATCH(D1605,Products!$A$2:$A$13,0))</f>
        <v>Specialty</v>
      </c>
      <c r="F1605" s="15" t="n">
        <v>6.9</v>
      </c>
      <c r="G1605" s="16" t="n">
        <f aca="false">IF(A1605="2025",INDEX(Products!$C$2:$C$13,MATCH(D1605,Products!$A$2:$A$13,0)),INDEX(Products!$E$2:$E$13,MATCH(D1605,Products!$A$2:$A$13,0)))</f>
        <v>32046</v>
      </c>
      <c r="H1605" s="13" t="n">
        <f aca="false">IF(A1605="2025",INDEX(Customers!$D$2:$D$41,MATCH(C1605,Customers!$A$2:$A$41,0)),INDEX(Customers!$F$2:$F$41,MATCH(C1605,Customers!$A$2:$A$41,0)))</f>
        <v>0.048</v>
      </c>
      <c r="I1605" s="16" t="n">
        <f aca="false">F1605*G1605</f>
        <v>221117.4</v>
      </c>
      <c r="J1605" s="16" t="n">
        <f aca="false">I1605*(1-H1605)</f>
        <v>210503.7648</v>
      </c>
      <c r="K1605" s="16" t="n">
        <f aca="false">J1605*INDEX(Customers!$G$2:$G$41,MATCH(C1605,Customers!$A$2:$A$41,0))</f>
        <v>4210.075296</v>
      </c>
      <c r="L1605" s="16" t="n">
        <f aca="false">F1605*INDEX(Customers!$H$2:$H$41,MATCH(C1605,Customers!$A$2:$A$41,0))</f>
        <v>1173</v>
      </c>
      <c r="M1605" s="16" t="n">
        <f aca="false">J1605*INDEX(Customers!$I$2:$I$41,MATCH(C1605,Customers!$A$2:$A$41,0))/365*Assumptions!$B$6</f>
        <v>2768.26868778082</v>
      </c>
      <c r="N1605" s="16" t="n">
        <f aca="false">J1605-K1605-L1605-M1605</f>
        <v>202352.420816219</v>
      </c>
      <c r="O1605" s="16" t="n">
        <f aca="false">F1605*IF(A1605="2025",INDEX(Products!$D$2:$D$13,MATCH(D1605,Products!$A$2:$A$13,0)),INDEX(Products!$F$2:$F$13,MATCH(D1605,Products!$A$2:$A$13,0)))</f>
        <v>109732.08</v>
      </c>
      <c r="P1605" s="16" t="n">
        <f aca="false">N1605-O1605</f>
        <v>92620.3408162192</v>
      </c>
    </row>
    <row r="1606" customFormat="false" ht="15" hidden="false" customHeight="false" outlineLevel="0" collapsed="false">
      <c r="A1606" s="2" t="s">
        <v>119</v>
      </c>
      <c r="B1606" s="2" t="n">
        <v>9</v>
      </c>
      <c r="C1606" s="2" t="s">
        <v>86</v>
      </c>
      <c r="D1606" s="2" t="s">
        <v>47</v>
      </c>
      <c r="E1606" s="2" t="str">
        <f aca="false">INDEX(Products!$B$2:$B$13,MATCH(D1606,Products!$A$2:$A$13,0))</f>
        <v>Specialty</v>
      </c>
      <c r="F1606" s="15" t="n">
        <v>4.8</v>
      </c>
      <c r="G1606" s="16" t="n">
        <f aca="false">IF(A1606="2025",INDEX(Products!$C$2:$C$13,MATCH(D1606,Products!$A$2:$A$13,0)),INDEX(Products!$E$2:$E$13,MATCH(D1606,Products!$A$2:$A$13,0)))</f>
        <v>32046</v>
      </c>
      <c r="H1606" s="13" t="n">
        <f aca="false">IF(A1606="2025",INDEX(Customers!$D$2:$D$41,MATCH(C1606,Customers!$A$2:$A$41,0)),INDEX(Customers!$F$2:$F$41,MATCH(C1606,Customers!$A$2:$A$41,0)))</f>
        <v>0.048</v>
      </c>
      <c r="I1606" s="16" t="n">
        <f aca="false">F1606*G1606</f>
        <v>153820.8</v>
      </c>
      <c r="J1606" s="16" t="n">
        <f aca="false">I1606*(1-H1606)</f>
        <v>146437.4016</v>
      </c>
      <c r="K1606" s="16" t="n">
        <f aca="false">J1606*INDEX(Customers!$G$2:$G$41,MATCH(C1606,Customers!$A$2:$A$41,0))</f>
        <v>2928.748032</v>
      </c>
      <c r="L1606" s="16" t="n">
        <f aca="false">F1606*INDEX(Customers!$H$2:$H$41,MATCH(C1606,Customers!$A$2:$A$41,0))</f>
        <v>816</v>
      </c>
      <c r="M1606" s="16" t="n">
        <f aca="false">J1606*INDEX(Customers!$I$2:$I$41,MATCH(C1606,Customers!$A$2:$A$41,0))/365*Assumptions!$B$6</f>
        <v>1925.75213063014</v>
      </c>
      <c r="N1606" s="16" t="n">
        <f aca="false">J1606-K1606-L1606-M1606</f>
        <v>140766.90143737</v>
      </c>
      <c r="O1606" s="16" t="n">
        <f aca="false">F1606*IF(A1606="2025",INDEX(Products!$D$2:$D$13,MATCH(D1606,Products!$A$2:$A$13,0)),INDEX(Products!$F$2:$F$13,MATCH(D1606,Products!$A$2:$A$13,0)))</f>
        <v>76335.36</v>
      </c>
      <c r="P1606" s="16" t="n">
        <f aca="false">N1606-O1606</f>
        <v>64431.5414373698</v>
      </c>
    </row>
    <row r="1607" customFormat="false" ht="15" hidden="false" customHeight="false" outlineLevel="0" collapsed="false">
      <c r="A1607" s="2" t="s">
        <v>119</v>
      </c>
      <c r="B1607" s="2" t="n">
        <v>10</v>
      </c>
      <c r="C1607" s="2" t="s">
        <v>86</v>
      </c>
      <c r="D1607" s="2" t="s">
        <v>47</v>
      </c>
      <c r="E1607" s="2" t="str">
        <f aca="false">INDEX(Products!$B$2:$B$13,MATCH(D1607,Products!$A$2:$A$13,0))</f>
        <v>Specialty</v>
      </c>
      <c r="F1607" s="15" t="n">
        <v>6.4</v>
      </c>
      <c r="G1607" s="16" t="n">
        <f aca="false">IF(A1607="2025",INDEX(Products!$C$2:$C$13,MATCH(D1607,Products!$A$2:$A$13,0)),INDEX(Products!$E$2:$E$13,MATCH(D1607,Products!$A$2:$A$13,0)))</f>
        <v>32046</v>
      </c>
      <c r="H1607" s="13" t="n">
        <f aca="false">IF(A1607="2025",INDEX(Customers!$D$2:$D$41,MATCH(C1607,Customers!$A$2:$A$41,0)),INDEX(Customers!$F$2:$F$41,MATCH(C1607,Customers!$A$2:$A$41,0)))</f>
        <v>0.048</v>
      </c>
      <c r="I1607" s="16" t="n">
        <f aca="false">F1607*G1607</f>
        <v>205094.4</v>
      </c>
      <c r="J1607" s="16" t="n">
        <f aca="false">I1607*(1-H1607)</f>
        <v>195249.8688</v>
      </c>
      <c r="K1607" s="16" t="n">
        <f aca="false">J1607*INDEX(Customers!$G$2:$G$41,MATCH(C1607,Customers!$A$2:$A$41,0))</f>
        <v>3904.997376</v>
      </c>
      <c r="L1607" s="16" t="n">
        <f aca="false">F1607*INDEX(Customers!$H$2:$H$41,MATCH(C1607,Customers!$A$2:$A$41,0))</f>
        <v>1088</v>
      </c>
      <c r="M1607" s="16" t="n">
        <f aca="false">J1607*INDEX(Customers!$I$2:$I$41,MATCH(C1607,Customers!$A$2:$A$41,0))/365*Assumptions!$B$6</f>
        <v>2567.66950750685</v>
      </c>
      <c r="N1607" s="16" t="n">
        <f aca="false">J1607-K1607-L1607-M1607</f>
        <v>187689.201916493</v>
      </c>
      <c r="O1607" s="16" t="n">
        <f aca="false">F1607*IF(A1607="2025",INDEX(Products!$D$2:$D$13,MATCH(D1607,Products!$A$2:$A$13,0)),INDEX(Products!$F$2:$F$13,MATCH(D1607,Products!$A$2:$A$13,0)))</f>
        <v>101780.48</v>
      </c>
      <c r="P1607" s="16" t="n">
        <f aca="false">N1607-O1607</f>
        <v>85908.7219164931</v>
      </c>
    </row>
    <row r="1608" customFormat="false" ht="15" hidden="false" customHeight="false" outlineLevel="0" collapsed="false">
      <c r="A1608" s="2" t="s">
        <v>119</v>
      </c>
      <c r="B1608" s="2" t="n">
        <v>11</v>
      </c>
      <c r="C1608" s="2" t="s">
        <v>86</v>
      </c>
      <c r="D1608" s="2" t="s">
        <v>47</v>
      </c>
      <c r="E1608" s="2" t="str">
        <f aca="false">INDEX(Products!$B$2:$B$13,MATCH(D1608,Products!$A$2:$A$13,0))</f>
        <v>Specialty</v>
      </c>
      <c r="F1608" s="15" t="n">
        <v>4.4</v>
      </c>
      <c r="G1608" s="16" t="n">
        <f aca="false">IF(A1608="2025",INDEX(Products!$C$2:$C$13,MATCH(D1608,Products!$A$2:$A$13,0)),INDEX(Products!$E$2:$E$13,MATCH(D1608,Products!$A$2:$A$13,0)))</f>
        <v>32046</v>
      </c>
      <c r="H1608" s="13" t="n">
        <f aca="false">IF(A1608="2025",INDEX(Customers!$D$2:$D$41,MATCH(C1608,Customers!$A$2:$A$41,0)),INDEX(Customers!$F$2:$F$41,MATCH(C1608,Customers!$A$2:$A$41,0)))</f>
        <v>0.048</v>
      </c>
      <c r="I1608" s="16" t="n">
        <f aca="false">F1608*G1608</f>
        <v>141002.4</v>
      </c>
      <c r="J1608" s="16" t="n">
        <f aca="false">I1608*(1-H1608)</f>
        <v>134234.2848</v>
      </c>
      <c r="K1608" s="16" t="n">
        <f aca="false">J1608*INDEX(Customers!$G$2:$G$41,MATCH(C1608,Customers!$A$2:$A$41,0))</f>
        <v>2684.685696</v>
      </c>
      <c r="L1608" s="16" t="n">
        <f aca="false">F1608*INDEX(Customers!$H$2:$H$41,MATCH(C1608,Customers!$A$2:$A$41,0))</f>
        <v>748</v>
      </c>
      <c r="M1608" s="16" t="n">
        <f aca="false">J1608*INDEX(Customers!$I$2:$I$41,MATCH(C1608,Customers!$A$2:$A$41,0))/365*Assumptions!$B$6</f>
        <v>1765.27278641096</v>
      </c>
      <c r="N1608" s="16" t="n">
        <f aca="false">J1608-K1608-L1608-M1608</f>
        <v>129036.326317589</v>
      </c>
      <c r="O1608" s="16" t="n">
        <f aca="false">F1608*IF(A1608="2025",INDEX(Products!$D$2:$D$13,MATCH(D1608,Products!$A$2:$A$13,0)),INDEX(Products!$F$2:$F$13,MATCH(D1608,Products!$A$2:$A$13,0)))</f>
        <v>69974.08</v>
      </c>
      <c r="P1608" s="16" t="n">
        <f aca="false">N1608-O1608</f>
        <v>59062.2463175891</v>
      </c>
    </row>
    <row r="1609" customFormat="false" ht="15" hidden="false" customHeight="false" outlineLevel="0" collapsed="false">
      <c r="A1609" s="2" t="s">
        <v>119</v>
      </c>
      <c r="B1609" s="2" t="n">
        <v>12</v>
      </c>
      <c r="C1609" s="2" t="s">
        <v>86</v>
      </c>
      <c r="D1609" s="2" t="s">
        <v>47</v>
      </c>
      <c r="E1609" s="2" t="str">
        <f aca="false">INDEX(Products!$B$2:$B$13,MATCH(D1609,Products!$A$2:$A$13,0))</f>
        <v>Specialty</v>
      </c>
      <c r="F1609" s="15" t="n">
        <v>6.2</v>
      </c>
      <c r="G1609" s="16" t="n">
        <f aca="false">IF(A1609="2025",INDEX(Products!$C$2:$C$13,MATCH(D1609,Products!$A$2:$A$13,0)),INDEX(Products!$E$2:$E$13,MATCH(D1609,Products!$A$2:$A$13,0)))</f>
        <v>32046</v>
      </c>
      <c r="H1609" s="13" t="n">
        <f aca="false">IF(A1609="2025",INDEX(Customers!$D$2:$D$41,MATCH(C1609,Customers!$A$2:$A$41,0)),INDEX(Customers!$F$2:$F$41,MATCH(C1609,Customers!$A$2:$A$41,0)))</f>
        <v>0.048</v>
      </c>
      <c r="I1609" s="16" t="n">
        <f aca="false">F1609*G1609</f>
        <v>198685.2</v>
      </c>
      <c r="J1609" s="16" t="n">
        <f aca="false">I1609*(1-H1609)</f>
        <v>189148.3104</v>
      </c>
      <c r="K1609" s="16" t="n">
        <f aca="false">J1609*INDEX(Customers!$G$2:$G$41,MATCH(C1609,Customers!$A$2:$A$41,0))</f>
        <v>3782.966208</v>
      </c>
      <c r="L1609" s="16" t="n">
        <f aca="false">F1609*INDEX(Customers!$H$2:$H$41,MATCH(C1609,Customers!$A$2:$A$41,0))</f>
        <v>1054</v>
      </c>
      <c r="M1609" s="16" t="n">
        <f aca="false">J1609*INDEX(Customers!$I$2:$I$41,MATCH(C1609,Customers!$A$2:$A$41,0))/365*Assumptions!$B$6</f>
        <v>2487.42983539726</v>
      </c>
      <c r="N1609" s="16" t="n">
        <f aca="false">J1609-K1609-L1609-M1609</f>
        <v>181823.914356603</v>
      </c>
      <c r="O1609" s="16" t="n">
        <f aca="false">F1609*IF(A1609="2025",INDEX(Products!$D$2:$D$13,MATCH(D1609,Products!$A$2:$A$13,0)),INDEX(Products!$F$2:$F$13,MATCH(D1609,Products!$A$2:$A$13,0)))</f>
        <v>98599.84</v>
      </c>
      <c r="P1609" s="16" t="n">
        <f aca="false">N1609-O1609</f>
        <v>83224.0743566028</v>
      </c>
    </row>
    <row r="1610" customFormat="false" ht="15" hidden="false" customHeight="false" outlineLevel="0" collapsed="false">
      <c r="A1610" s="2" t="s">
        <v>118</v>
      </c>
      <c r="B1610" s="2" t="n">
        <v>1</v>
      </c>
      <c r="C1610" s="2" t="s">
        <v>86</v>
      </c>
      <c r="D1610" s="2" t="s">
        <v>38</v>
      </c>
      <c r="E1610" s="2" t="str">
        <f aca="false">INDEX(Products!$B$2:$B$13,MATCH(D1610,Products!$A$2:$A$13,0))</f>
        <v>FCC</v>
      </c>
      <c r="F1610" s="15" t="n">
        <v>11</v>
      </c>
      <c r="G1610" s="16" t="n">
        <f aca="false">IF(A1610="2025",INDEX(Products!$C$2:$C$13,MATCH(D1610,Products!$A$2:$A$13,0)),INDEX(Products!$E$2:$E$13,MATCH(D1610,Products!$A$2:$A$13,0)))</f>
        <v>4360</v>
      </c>
      <c r="H1610" s="13" t="n">
        <f aca="false">IF(A1610="2025",INDEX(Customers!$D$2:$D$41,MATCH(C1610,Customers!$A$2:$A$41,0)),INDEX(Customers!$F$2:$F$41,MATCH(C1610,Customers!$A$2:$A$41,0)))</f>
        <v>0.03</v>
      </c>
      <c r="I1610" s="16" t="n">
        <f aca="false">F1610*G1610</f>
        <v>47960</v>
      </c>
      <c r="J1610" s="16" t="n">
        <f aca="false">I1610*(1-H1610)</f>
        <v>46521.2</v>
      </c>
      <c r="K1610" s="16" t="n">
        <f aca="false">J1610*INDEX(Customers!$G$2:$G$41,MATCH(C1610,Customers!$A$2:$A$41,0))</f>
        <v>930.424</v>
      </c>
      <c r="L1610" s="16" t="n">
        <f aca="false">F1610*INDEX(Customers!$H$2:$H$41,MATCH(C1610,Customers!$A$2:$A$41,0))</f>
        <v>1870</v>
      </c>
      <c r="M1610" s="16" t="n">
        <f aca="false">J1610*INDEX(Customers!$I$2:$I$41,MATCH(C1610,Customers!$A$2:$A$41,0))/365*Assumptions!$B$6</f>
        <v>611.785643835617</v>
      </c>
      <c r="N1610" s="16" t="n">
        <f aca="false">J1610-K1610-L1610-M1610</f>
        <v>43108.9903561644</v>
      </c>
      <c r="O1610" s="16" t="n">
        <f aca="false">F1610*IF(A1610="2025",INDEX(Products!$D$2:$D$13,MATCH(D1610,Products!$A$2:$A$13,0)),INDEX(Products!$F$2:$F$13,MATCH(D1610,Products!$A$2:$A$13,0)))</f>
        <v>30470</v>
      </c>
      <c r="P1610" s="16" t="n">
        <f aca="false">N1610-O1610</f>
        <v>12638.9903561644</v>
      </c>
    </row>
    <row r="1611" customFormat="false" ht="15" hidden="false" customHeight="false" outlineLevel="0" collapsed="false">
      <c r="A1611" s="2" t="s">
        <v>118</v>
      </c>
      <c r="B1611" s="2" t="n">
        <v>2</v>
      </c>
      <c r="C1611" s="2" t="s">
        <v>86</v>
      </c>
      <c r="D1611" s="2" t="s">
        <v>38</v>
      </c>
      <c r="E1611" s="2" t="str">
        <f aca="false">INDEX(Products!$B$2:$B$13,MATCH(D1611,Products!$A$2:$A$13,0))</f>
        <v>FCC</v>
      </c>
      <c r="F1611" s="15" t="n">
        <v>11.2</v>
      </c>
      <c r="G1611" s="16" t="n">
        <f aca="false">IF(A1611="2025",INDEX(Products!$C$2:$C$13,MATCH(D1611,Products!$A$2:$A$13,0)),INDEX(Products!$E$2:$E$13,MATCH(D1611,Products!$A$2:$A$13,0)))</f>
        <v>4360</v>
      </c>
      <c r="H1611" s="13" t="n">
        <f aca="false">IF(A1611="2025",INDEX(Customers!$D$2:$D$41,MATCH(C1611,Customers!$A$2:$A$41,0)),INDEX(Customers!$F$2:$F$41,MATCH(C1611,Customers!$A$2:$A$41,0)))</f>
        <v>0.03</v>
      </c>
      <c r="I1611" s="16" t="n">
        <f aca="false">F1611*G1611</f>
        <v>48832</v>
      </c>
      <c r="J1611" s="16" t="n">
        <f aca="false">I1611*(1-H1611)</f>
        <v>47367.04</v>
      </c>
      <c r="K1611" s="16" t="n">
        <f aca="false">J1611*INDEX(Customers!$G$2:$G$41,MATCH(C1611,Customers!$A$2:$A$41,0))</f>
        <v>947.3408</v>
      </c>
      <c r="L1611" s="16" t="n">
        <f aca="false">F1611*INDEX(Customers!$H$2:$H$41,MATCH(C1611,Customers!$A$2:$A$41,0))</f>
        <v>1904</v>
      </c>
      <c r="M1611" s="16" t="n">
        <f aca="false">J1611*INDEX(Customers!$I$2:$I$41,MATCH(C1611,Customers!$A$2:$A$41,0))/365*Assumptions!$B$6</f>
        <v>622.909019178082</v>
      </c>
      <c r="N1611" s="16" t="n">
        <f aca="false">J1611-K1611-L1611-M1611</f>
        <v>43892.7901808219</v>
      </c>
      <c r="O1611" s="16" t="n">
        <f aca="false">F1611*IF(A1611="2025",INDEX(Products!$D$2:$D$13,MATCH(D1611,Products!$A$2:$A$13,0)),INDEX(Products!$F$2:$F$13,MATCH(D1611,Products!$A$2:$A$13,0)))</f>
        <v>31024</v>
      </c>
      <c r="P1611" s="16" t="n">
        <f aca="false">N1611-O1611</f>
        <v>12868.7901808219</v>
      </c>
    </row>
    <row r="1612" customFormat="false" ht="15" hidden="false" customHeight="false" outlineLevel="0" collapsed="false">
      <c r="A1612" s="2" t="s">
        <v>118</v>
      </c>
      <c r="B1612" s="2" t="n">
        <v>3</v>
      </c>
      <c r="C1612" s="2" t="s">
        <v>86</v>
      </c>
      <c r="D1612" s="2" t="s">
        <v>38</v>
      </c>
      <c r="E1612" s="2" t="str">
        <f aca="false">INDEX(Products!$B$2:$B$13,MATCH(D1612,Products!$A$2:$A$13,0))</f>
        <v>FCC</v>
      </c>
      <c r="F1612" s="15" t="n">
        <v>18.6</v>
      </c>
      <c r="G1612" s="16" t="n">
        <f aca="false">IF(A1612="2025",INDEX(Products!$C$2:$C$13,MATCH(D1612,Products!$A$2:$A$13,0)),INDEX(Products!$E$2:$E$13,MATCH(D1612,Products!$A$2:$A$13,0)))</f>
        <v>4360</v>
      </c>
      <c r="H1612" s="13" t="n">
        <f aca="false">IF(A1612="2025",INDEX(Customers!$D$2:$D$41,MATCH(C1612,Customers!$A$2:$A$41,0)),INDEX(Customers!$F$2:$F$41,MATCH(C1612,Customers!$A$2:$A$41,0)))</f>
        <v>0.03</v>
      </c>
      <c r="I1612" s="16" t="n">
        <f aca="false">F1612*G1612</f>
        <v>81096</v>
      </c>
      <c r="J1612" s="16" t="n">
        <f aca="false">I1612*(1-H1612)</f>
        <v>78663.12</v>
      </c>
      <c r="K1612" s="16" t="n">
        <f aca="false">J1612*INDEX(Customers!$G$2:$G$41,MATCH(C1612,Customers!$A$2:$A$41,0))</f>
        <v>1573.2624</v>
      </c>
      <c r="L1612" s="16" t="n">
        <f aca="false">F1612*INDEX(Customers!$H$2:$H$41,MATCH(C1612,Customers!$A$2:$A$41,0))</f>
        <v>3162</v>
      </c>
      <c r="M1612" s="16" t="n">
        <f aca="false">J1612*INDEX(Customers!$I$2:$I$41,MATCH(C1612,Customers!$A$2:$A$41,0))/365*Assumptions!$B$6</f>
        <v>1034.47390684932</v>
      </c>
      <c r="N1612" s="16" t="n">
        <f aca="false">J1612-K1612-L1612-M1612</f>
        <v>72893.3836931507</v>
      </c>
      <c r="O1612" s="16" t="n">
        <f aca="false">F1612*IF(A1612="2025",INDEX(Products!$D$2:$D$13,MATCH(D1612,Products!$A$2:$A$13,0)),INDEX(Products!$F$2:$F$13,MATCH(D1612,Products!$A$2:$A$13,0)))</f>
        <v>51522</v>
      </c>
      <c r="P1612" s="16" t="n">
        <f aca="false">N1612-O1612</f>
        <v>21371.3836931507</v>
      </c>
    </row>
    <row r="1613" customFormat="false" ht="15" hidden="false" customHeight="false" outlineLevel="0" collapsed="false">
      <c r="A1613" s="2" t="s">
        <v>118</v>
      </c>
      <c r="B1613" s="2" t="n">
        <v>4</v>
      </c>
      <c r="C1613" s="2" t="s">
        <v>86</v>
      </c>
      <c r="D1613" s="2" t="s">
        <v>38</v>
      </c>
      <c r="E1613" s="2" t="str">
        <f aca="false">INDEX(Products!$B$2:$B$13,MATCH(D1613,Products!$A$2:$A$13,0))</f>
        <v>FCC</v>
      </c>
      <c r="F1613" s="15" t="n">
        <v>17.6</v>
      </c>
      <c r="G1613" s="16" t="n">
        <f aca="false">IF(A1613="2025",INDEX(Products!$C$2:$C$13,MATCH(D1613,Products!$A$2:$A$13,0)),INDEX(Products!$E$2:$E$13,MATCH(D1613,Products!$A$2:$A$13,0)))</f>
        <v>4360</v>
      </c>
      <c r="H1613" s="13" t="n">
        <f aca="false">IF(A1613="2025",INDEX(Customers!$D$2:$D$41,MATCH(C1613,Customers!$A$2:$A$41,0)),INDEX(Customers!$F$2:$F$41,MATCH(C1613,Customers!$A$2:$A$41,0)))</f>
        <v>0.03</v>
      </c>
      <c r="I1613" s="16" t="n">
        <f aca="false">F1613*G1613</f>
        <v>76736</v>
      </c>
      <c r="J1613" s="16" t="n">
        <f aca="false">I1613*(1-H1613)</f>
        <v>74433.92</v>
      </c>
      <c r="K1613" s="16" t="n">
        <f aca="false">J1613*INDEX(Customers!$G$2:$G$41,MATCH(C1613,Customers!$A$2:$A$41,0))</f>
        <v>1488.6784</v>
      </c>
      <c r="L1613" s="16" t="n">
        <f aca="false">F1613*INDEX(Customers!$H$2:$H$41,MATCH(C1613,Customers!$A$2:$A$41,0))</f>
        <v>2992</v>
      </c>
      <c r="M1613" s="16" t="n">
        <f aca="false">J1613*INDEX(Customers!$I$2:$I$41,MATCH(C1613,Customers!$A$2:$A$41,0))/365*Assumptions!$B$6</f>
        <v>978.857030136986</v>
      </c>
      <c r="N1613" s="16" t="n">
        <f aca="false">J1613-K1613-L1613-M1613</f>
        <v>68974.384569863</v>
      </c>
      <c r="O1613" s="16" t="n">
        <f aca="false">F1613*IF(A1613="2025",INDEX(Products!$D$2:$D$13,MATCH(D1613,Products!$A$2:$A$13,0)),INDEX(Products!$F$2:$F$13,MATCH(D1613,Products!$A$2:$A$13,0)))</f>
        <v>48752</v>
      </c>
      <c r="P1613" s="16" t="n">
        <f aca="false">N1613-O1613</f>
        <v>20222.384569863</v>
      </c>
    </row>
    <row r="1614" customFormat="false" ht="15" hidden="false" customHeight="false" outlineLevel="0" collapsed="false">
      <c r="A1614" s="2" t="s">
        <v>118</v>
      </c>
      <c r="B1614" s="2" t="n">
        <v>5</v>
      </c>
      <c r="C1614" s="2" t="s">
        <v>86</v>
      </c>
      <c r="D1614" s="2" t="s">
        <v>38</v>
      </c>
      <c r="E1614" s="2" t="str">
        <f aca="false">INDEX(Products!$B$2:$B$13,MATCH(D1614,Products!$A$2:$A$13,0))</f>
        <v>FCC</v>
      </c>
      <c r="F1614" s="15" t="n">
        <v>13.6</v>
      </c>
      <c r="G1614" s="16" t="n">
        <f aca="false">IF(A1614="2025",INDEX(Products!$C$2:$C$13,MATCH(D1614,Products!$A$2:$A$13,0)),INDEX(Products!$E$2:$E$13,MATCH(D1614,Products!$A$2:$A$13,0)))</f>
        <v>4360</v>
      </c>
      <c r="H1614" s="13" t="n">
        <f aca="false">IF(A1614="2025",INDEX(Customers!$D$2:$D$41,MATCH(C1614,Customers!$A$2:$A$41,0)),INDEX(Customers!$F$2:$F$41,MATCH(C1614,Customers!$A$2:$A$41,0)))</f>
        <v>0.03</v>
      </c>
      <c r="I1614" s="16" t="n">
        <f aca="false">F1614*G1614</f>
        <v>59296</v>
      </c>
      <c r="J1614" s="16" t="n">
        <f aca="false">I1614*(1-H1614)</f>
        <v>57517.12</v>
      </c>
      <c r="K1614" s="16" t="n">
        <f aca="false">J1614*INDEX(Customers!$G$2:$G$41,MATCH(C1614,Customers!$A$2:$A$41,0))</f>
        <v>1150.3424</v>
      </c>
      <c r="L1614" s="16" t="n">
        <f aca="false">F1614*INDEX(Customers!$H$2:$H$41,MATCH(C1614,Customers!$A$2:$A$41,0))</f>
        <v>2312</v>
      </c>
      <c r="M1614" s="16" t="n">
        <f aca="false">J1614*INDEX(Customers!$I$2:$I$41,MATCH(C1614,Customers!$A$2:$A$41,0))/365*Assumptions!$B$6</f>
        <v>756.389523287671</v>
      </c>
      <c r="N1614" s="16" t="n">
        <f aca="false">J1614-K1614-L1614-M1614</f>
        <v>53298.3880767123</v>
      </c>
      <c r="O1614" s="16" t="n">
        <f aca="false">F1614*IF(A1614="2025",INDEX(Products!$D$2:$D$13,MATCH(D1614,Products!$A$2:$A$13,0)),INDEX(Products!$F$2:$F$13,MATCH(D1614,Products!$A$2:$A$13,0)))</f>
        <v>37672</v>
      </c>
      <c r="P1614" s="16" t="n">
        <f aca="false">N1614-O1614</f>
        <v>15626.3880767123</v>
      </c>
    </row>
    <row r="1615" customFormat="false" ht="15" hidden="false" customHeight="false" outlineLevel="0" collapsed="false">
      <c r="A1615" s="2" t="s">
        <v>118</v>
      </c>
      <c r="B1615" s="2" t="n">
        <v>6</v>
      </c>
      <c r="C1615" s="2" t="s">
        <v>86</v>
      </c>
      <c r="D1615" s="2" t="s">
        <v>38</v>
      </c>
      <c r="E1615" s="2" t="str">
        <f aca="false">INDEX(Products!$B$2:$B$13,MATCH(D1615,Products!$A$2:$A$13,0))</f>
        <v>FCC</v>
      </c>
      <c r="F1615" s="15" t="n">
        <v>17.8</v>
      </c>
      <c r="G1615" s="16" t="n">
        <f aca="false">IF(A1615="2025",INDEX(Products!$C$2:$C$13,MATCH(D1615,Products!$A$2:$A$13,0)),INDEX(Products!$E$2:$E$13,MATCH(D1615,Products!$A$2:$A$13,0)))</f>
        <v>4360</v>
      </c>
      <c r="H1615" s="13" t="n">
        <f aca="false">IF(A1615="2025",INDEX(Customers!$D$2:$D$41,MATCH(C1615,Customers!$A$2:$A$41,0)),INDEX(Customers!$F$2:$F$41,MATCH(C1615,Customers!$A$2:$A$41,0)))</f>
        <v>0.03</v>
      </c>
      <c r="I1615" s="16" t="n">
        <f aca="false">F1615*G1615</f>
        <v>77608</v>
      </c>
      <c r="J1615" s="16" t="n">
        <f aca="false">I1615*(1-H1615)</f>
        <v>75279.76</v>
      </c>
      <c r="K1615" s="16" t="n">
        <f aca="false">J1615*INDEX(Customers!$G$2:$G$41,MATCH(C1615,Customers!$A$2:$A$41,0))</f>
        <v>1505.5952</v>
      </c>
      <c r="L1615" s="16" t="n">
        <f aca="false">F1615*INDEX(Customers!$H$2:$H$41,MATCH(C1615,Customers!$A$2:$A$41,0))</f>
        <v>3026</v>
      </c>
      <c r="M1615" s="16" t="n">
        <f aca="false">J1615*INDEX(Customers!$I$2:$I$41,MATCH(C1615,Customers!$A$2:$A$41,0))/365*Assumptions!$B$6</f>
        <v>989.980405479452</v>
      </c>
      <c r="N1615" s="16" t="n">
        <f aca="false">J1615-K1615-L1615-M1615</f>
        <v>69758.1843945206</v>
      </c>
      <c r="O1615" s="16" t="n">
        <f aca="false">F1615*IF(A1615="2025",INDEX(Products!$D$2:$D$13,MATCH(D1615,Products!$A$2:$A$13,0)),INDEX(Products!$F$2:$F$13,MATCH(D1615,Products!$A$2:$A$13,0)))</f>
        <v>49306</v>
      </c>
      <c r="P1615" s="16" t="n">
        <f aca="false">N1615-O1615</f>
        <v>20452.1843945205</v>
      </c>
    </row>
    <row r="1616" customFormat="false" ht="15" hidden="false" customHeight="false" outlineLevel="0" collapsed="false">
      <c r="A1616" s="2" t="s">
        <v>118</v>
      </c>
      <c r="B1616" s="2" t="n">
        <v>7</v>
      </c>
      <c r="C1616" s="2" t="s">
        <v>86</v>
      </c>
      <c r="D1616" s="2" t="s">
        <v>38</v>
      </c>
      <c r="E1616" s="2" t="str">
        <f aca="false">INDEX(Products!$B$2:$B$13,MATCH(D1616,Products!$A$2:$A$13,0))</f>
        <v>FCC</v>
      </c>
      <c r="F1616" s="15" t="n">
        <v>13.8</v>
      </c>
      <c r="G1616" s="16" t="n">
        <f aca="false">IF(A1616="2025",INDEX(Products!$C$2:$C$13,MATCH(D1616,Products!$A$2:$A$13,0)),INDEX(Products!$E$2:$E$13,MATCH(D1616,Products!$A$2:$A$13,0)))</f>
        <v>4360</v>
      </c>
      <c r="H1616" s="13" t="n">
        <f aca="false">IF(A1616="2025",INDEX(Customers!$D$2:$D$41,MATCH(C1616,Customers!$A$2:$A$41,0)),INDEX(Customers!$F$2:$F$41,MATCH(C1616,Customers!$A$2:$A$41,0)))</f>
        <v>0.03</v>
      </c>
      <c r="I1616" s="16" t="n">
        <f aca="false">F1616*G1616</f>
        <v>60168</v>
      </c>
      <c r="J1616" s="16" t="n">
        <f aca="false">I1616*(1-H1616)</f>
        <v>58362.96</v>
      </c>
      <c r="K1616" s="16" t="n">
        <f aca="false">J1616*INDEX(Customers!$G$2:$G$41,MATCH(C1616,Customers!$A$2:$A$41,0))</f>
        <v>1167.2592</v>
      </c>
      <c r="L1616" s="16" t="n">
        <f aca="false">F1616*INDEX(Customers!$H$2:$H$41,MATCH(C1616,Customers!$A$2:$A$41,0))</f>
        <v>2346</v>
      </c>
      <c r="M1616" s="16" t="n">
        <f aca="false">J1616*INDEX(Customers!$I$2:$I$41,MATCH(C1616,Customers!$A$2:$A$41,0))/365*Assumptions!$B$6</f>
        <v>767.512898630137</v>
      </c>
      <c r="N1616" s="16" t="n">
        <f aca="false">J1616-K1616-L1616-M1616</f>
        <v>54082.1879013699</v>
      </c>
      <c r="O1616" s="16" t="n">
        <f aca="false">F1616*IF(A1616="2025",INDEX(Products!$D$2:$D$13,MATCH(D1616,Products!$A$2:$A$13,0)),INDEX(Products!$F$2:$F$13,MATCH(D1616,Products!$A$2:$A$13,0)))</f>
        <v>38226</v>
      </c>
      <c r="P1616" s="16" t="n">
        <f aca="false">N1616-O1616</f>
        <v>15856.1879013699</v>
      </c>
    </row>
    <row r="1617" customFormat="false" ht="15" hidden="false" customHeight="false" outlineLevel="0" collapsed="false">
      <c r="A1617" s="2" t="s">
        <v>118</v>
      </c>
      <c r="B1617" s="2" t="n">
        <v>8</v>
      </c>
      <c r="C1617" s="2" t="s">
        <v>86</v>
      </c>
      <c r="D1617" s="2" t="s">
        <v>38</v>
      </c>
      <c r="E1617" s="2" t="str">
        <f aca="false">INDEX(Products!$B$2:$B$13,MATCH(D1617,Products!$A$2:$A$13,0))</f>
        <v>FCC</v>
      </c>
      <c r="F1617" s="15" t="n">
        <v>16</v>
      </c>
      <c r="G1617" s="16" t="n">
        <f aca="false">IF(A1617="2025",INDEX(Products!$C$2:$C$13,MATCH(D1617,Products!$A$2:$A$13,0)),INDEX(Products!$E$2:$E$13,MATCH(D1617,Products!$A$2:$A$13,0)))</f>
        <v>4360</v>
      </c>
      <c r="H1617" s="13" t="n">
        <f aca="false">IF(A1617="2025",INDEX(Customers!$D$2:$D$41,MATCH(C1617,Customers!$A$2:$A$41,0)),INDEX(Customers!$F$2:$F$41,MATCH(C1617,Customers!$A$2:$A$41,0)))</f>
        <v>0.03</v>
      </c>
      <c r="I1617" s="16" t="n">
        <f aca="false">F1617*G1617</f>
        <v>69760</v>
      </c>
      <c r="J1617" s="16" t="n">
        <f aca="false">I1617*(1-H1617)</f>
        <v>67667.2</v>
      </c>
      <c r="K1617" s="16" t="n">
        <f aca="false">J1617*INDEX(Customers!$G$2:$G$41,MATCH(C1617,Customers!$A$2:$A$41,0))</f>
        <v>1353.344</v>
      </c>
      <c r="L1617" s="16" t="n">
        <f aca="false">F1617*INDEX(Customers!$H$2:$H$41,MATCH(C1617,Customers!$A$2:$A$41,0))</f>
        <v>2720</v>
      </c>
      <c r="M1617" s="16" t="n">
        <f aca="false">J1617*INDEX(Customers!$I$2:$I$41,MATCH(C1617,Customers!$A$2:$A$41,0))/365*Assumptions!$B$6</f>
        <v>889.87002739726</v>
      </c>
      <c r="N1617" s="16" t="n">
        <f aca="false">J1617-K1617-L1617-M1617</f>
        <v>62703.9859726027</v>
      </c>
      <c r="O1617" s="16" t="n">
        <f aca="false">F1617*IF(A1617="2025",INDEX(Products!$D$2:$D$13,MATCH(D1617,Products!$A$2:$A$13,0)),INDEX(Products!$F$2:$F$13,MATCH(D1617,Products!$A$2:$A$13,0)))</f>
        <v>44320</v>
      </c>
      <c r="P1617" s="16" t="n">
        <f aca="false">N1617-O1617</f>
        <v>18383.9859726027</v>
      </c>
    </row>
    <row r="1618" customFormat="false" ht="15" hidden="false" customHeight="false" outlineLevel="0" collapsed="false">
      <c r="A1618" s="2" t="s">
        <v>118</v>
      </c>
      <c r="B1618" s="2" t="n">
        <v>9</v>
      </c>
      <c r="C1618" s="2" t="s">
        <v>86</v>
      </c>
      <c r="D1618" s="2" t="s">
        <v>38</v>
      </c>
      <c r="E1618" s="2" t="str">
        <f aca="false">INDEX(Products!$B$2:$B$13,MATCH(D1618,Products!$A$2:$A$13,0))</f>
        <v>FCC</v>
      </c>
      <c r="F1618" s="15" t="n">
        <v>18</v>
      </c>
      <c r="G1618" s="16" t="n">
        <f aca="false">IF(A1618="2025",INDEX(Products!$C$2:$C$13,MATCH(D1618,Products!$A$2:$A$13,0)),INDEX(Products!$E$2:$E$13,MATCH(D1618,Products!$A$2:$A$13,0)))</f>
        <v>4360</v>
      </c>
      <c r="H1618" s="13" t="n">
        <f aca="false">IF(A1618="2025",INDEX(Customers!$D$2:$D$41,MATCH(C1618,Customers!$A$2:$A$41,0)),INDEX(Customers!$F$2:$F$41,MATCH(C1618,Customers!$A$2:$A$41,0)))</f>
        <v>0.03</v>
      </c>
      <c r="I1618" s="16" t="n">
        <f aca="false">F1618*G1618</f>
        <v>78480</v>
      </c>
      <c r="J1618" s="16" t="n">
        <f aca="false">I1618*(1-H1618)</f>
        <v>76125.6</v>
      </c>
      <c r="K1618" s="16" t="n">
        <f aca="false">J1618*INDEX(Customers!$G$2:$G$41,MATCH(C1618,Customers!$A$2:$A$41,0))</f>
        <v>1522.512</v>
      </c>
      <c r="L1618" s="16" t="n">
        <f aca="false">F1618*INDEX(Customers!$H$2:$H$41,MATCH(C1618,Customers!$A$2:$A$41,0))</f>
        <v>3060</v>
      </c>
      <c r="M1618" s="16" t="n">
        <f aca="false">J1618*INDEX(Customers!$I$2:$I$41,MATCH(C1618,Customers!$A$2:$A$41,0))/365*Assumptions!$B$6</f>
        <v>1001.10378082192</v>
      </c>
      <c r="N1618" s="16" t="n">
        <f aca="false">J1618-K1618-L1618-M1618</f>
        <v>70541.9842191781</v>
      </c>
      <c r="O1618" s="16" t="n">
        <f aca="false">F1618*IF(A1618="2025",INDEX(Products!$D$2:$D$13,MATCH(D1618,Products!$A$2:$A$13,0)),INDEX(Products!$F$2:$F$13,MATCH(D1618,Products!$A$2:$A$13,0)))</f>
        <v>49860</v>
      </c>
      <c r="P1618" s="16" t="n">
        <f aca="false">N1618-O1618</f>
        <v>20681.9842191781</v>
      </c>
    </row>
    <row r="1619" customFormat="false" ht="15" hidden="false" customHeight="false" outlineLevel="0" collapsed="false">
      <c r="A1619" s="2" t="s">
        <v>118</v>
      </c>
      <c r="B1619" s="2" t="n">
        <v>10</v>
      </c>
      <c r="C1619" s="2" t="s">
        <v>86</v>
      </c>
      <c r="D1619" s="2" t="s">
        <v>38</v>
      </c>
      <c r="E1619" s="2" t="str">
        <f aca="false">INDEX(Products!$B$2:$B$13,MATCH(D1619,Products!$A$2:$A$13,0))</f>
        <v>FCC</v>
      </c>
      <c r="F1619" s="15" t="n">
        <v>12.6</v>
      </c>
      <c r="G1619" s="16" t="n">
        <f aca="false">IF(A1619="2025",INDEX(Products!$C$2:$C$13,MATCH(D1619,Products!$A$2:$A$13,0)),INDEX(Products!$E$2:$E$13,MATCH(D1619,Products!$A$2:$A$13,0)))</f>
        <v>4360</v>
      </c>
      <c r="H1619" s="13" t="n">
        <f aca="false">IF(A1619="2025",INDEX(Customers!$D$2:$D$41,MATCH(C1619,Customers!$A$2:$A$41,0)),INDEX(Customers!$F$2:$F$41,MATCH(C1619,Customers!$A$2:$A$41,0)))</f>
        <v>0.03</v>
      </c>
      <c r="I1619" s="16" t="n">
        <f aca="false">F1619*G1619</f>
        <v>54936</v>
      </c>
      <c r="J1619" s="16" t="n">
        <f aca="false">I1619*(1-H1619)</f>
        <v>53287.92</v>
      </c>
      <c r="K1619" s="16" t="n">
        <f aca="false">J1619*INDEX(Customers!$G$2:$G$41,MATCH(C1619,Customers!$A$2:$A$41,0))</f>
        <v>1065.7584</v>
      </c>
      <c r="L1619" s="16" t="n">
        <f aca="false">F1619*INDEX(Customers!$H$2:$H$41,MATCH(C1619,Customers!$A$2:$A$41,0))</f>
        <v>2142</v>
      </c>
      <c r="M1619" s="16" t="n">
        <f aca="false">J1619*INDEX(Customers!$I$2:$I$41,MATCH(C1619,Customers!$A$2:$A$41,0))/365*Assumptions!$B$6</f>
        <v>700.772646575342</v>
      </c>
      <c r="N1619" s="16" t="n">
        <f aca="false">J1619-K1619-L1619-M1619</f>
        <v>49379.3889534247</v>
      </c>
      <c r="O1619" s="16" t="n">
        <f aca="false">F1619*IF(A1619="2025",INDEX(Products!$D$2:$D$13,MATCH(D1619,Products!$A$2:$A$13,0)),INDEX(Products!$F$2:$F$13,MATCH(D1619,Products!$A$2:$A$13,0)))</f>
        <v>34902</v>
      </c>
      <c r="P1619" s="16" t="n">
        <f aca="false">N1619-O1619</f>
        <v>14477.3889534247</v>
      </c>
    </row>
    <row r="1620" customFormat="false" ht="15" hidden="false" customHeight="false" outlineLevel="0" collapsed="false">
      <c r="A1620" s="2" t="s">
        <v>118</v>
      </c>
      <c r="B1620" s="2" t="n">
        <v>11</v>
      </c>
      <c r="C1620" s="2" t="s">
        <v>86</v>
      </c>
      <c r="D1620" s="2" t="s">
        <v>38</v>
      </c>
      <c r="E1620" s="2" t="str">
        <f aca="false">INDEX(Products!$B$2:$B$13,MATCH(D1620,Products!$A$2:$A$13,0))</f>
        <v>FCC</v>
      </c>
      <c r="F1620" s="15" t="n">
        <v>14.2</v>
      </c>
      <c r="G1620" s="16" t="n">
        <f aca="false">IF(A1620="2025",INDEX(Products!$C$2:$C$13,MATCH(D1620,Products!$A$2:$A$13,0)),INDEX(Products!$E$2:$E$13,MATCH(D1620,Products!$A$2:$A$13,0)))</f>
        <v>4360</v>
      </c>
      <c r="H1620" s="13" t="n">
        <f aca="false">IF(A1620="2025",INDEX(Customers!$D$2:$D$41,MATCH(C1620,Customers!$A$2:$A$41,0)),INDEX(Customers!$F$2:$F$41,MATCH(C1620,Customers!$A$2:$A$41,0)))</f>
        <v>0.03</v>
      </c>
      <c r="I1620" s="16" t="n">
        <f aca="false">F1620*G1620</f>
        <v>61912</v>
      </c>
      <c r="J1620" s="16" t="n">
        <f aca="false">I1620*(1-H1620)</f>
        <v>60054.64</v>
      </c>
      <c r="K1620" s="16" t="n">
        <f aca="false">J1620*INDEX(Customers!$G$2:$G$41,MATCH(C1620,Customers!$A$2:$A$41,0))</f>
        <v>1201.0928</v>
      </c>
      <c r="L1620" s="16" t="n">
        <f aca="false">F1620*INDEX(Customers!$H$2:$H$41,MATCH(C1620,Customers!$A$2:$A$41,0))</f>
        <v>2414</v>
      </c>
      <c r="M1620" s="16" t="n">
        <f aca="false">J1620*INDEX(Customers!$I$2:$I$41,MATCH(C1620,Customers!$A$2:$A$41,0))/365*Assumptions!$B$6</f>
        <v>789.759649315069</v>
      </c>
      <c r="N1620" s="16" t="n">
        <f aca="false">J1620-K1620-L1620-M1620</f>
        <v>55649.7875506849</v>
      </c>
      <c r="O1620" s="16" t="n">
        <f aca="false">F1620*IF(A1620="2025",INDEX(Products!$D$2:$D$13,MATCH(D1620,Products!$A$2:$A$13,0)),INDEX(Products!$F$2:$F$13,MATCH(D1620,Products!$A$2:$A$13,0)))</f>
        <v>39334</v>
      </c>
      <c r="P1620" s="16" t="n">
        <f aca="false">N1620-O1620</f>
        <v>16315.7875506849</v>
      </c>
    </row>
    <row r="1621" customFormat="false" ht="15" hidden="false" customHeight="false" outlineLevel="0" collapsed="false">
      <c r="A1621" s="2" t="s">
        <v>118</v>
      </c>
      <c r="B1621" s="2" t="n">
        <v>12</v>
      </c>
      <c r="C1621" s="2" t="s">
        <v>86</v>
      </c>
      <c r="D1621" s="2" t="s">
        <v>38</v>
      </c>
      <c r="E1621" s="2" t="str">
        <f aca="false">INDEX(Products!$B$2:$B$13,MATCH(D1621,Products!$A$2:$A$13,0))</f>
        <v>FCC</v>
      </c>
      <c r="F1621" s="15" t="n">
        <v>14.1</v>
      </c>
      <c r="G1621" s="16" t="n">
        <f aca="false">IF(A1621="2025",INDEX(Products!$C$2:$C$13,MATCH(D1621,Products!$A$2:$A$13,0)),INDEX(Products!$E$2:$E$13,MATCH(D1621,Products!$A$2:$A$13,0)))</f>
        <v>4360</v>
      </c>
      <c r="H1621" s="13" t="n">
        <f aca="false">IF(A1621="2025",INDEX(Customers!$D$2:$D$41,MATCH(C1621,Customers!$A$2:$A$41,0)),INDEX(Customers!$F$2:$F$41,MATCH(C1621,Customers!$A$2:$A$41,0)))</f>
        <v>0.03</v>
      </c>
      <c r="I1621" s="16" t="n">
        <f aca="false">F1621*G1621</f>
        <v>61476</v>
      </c>
      <c r="J1621" s="16" t="n">
        <f aca="false">I1621*(1-H1621)</f>
        <v>59631.72</v>
      </c>
      <c r="K1621" s="16" t="n">
        <f aca="false">J1621*INDEX(Customers!$G$2:$G$41,MATCH(C1621,Customers!$A$2:$A$41,0))</f>
        <v>1192.6344</v>
      </c>
      <c r="L1621" s="16" t="n">
        <f aca="false">F1621*INDEX(Customers!$H$2:$H$41,MATCH(C1621,Customers!$A$2:$A$41,0))</f>
        <v>2397</v>
      </c>
      <c r="M1621" s="16" t="n">
        <f aca="false">J1621*INDEX(Customers!$I$2:$I$41,MATCH(C1621,Customers!$A$2:$A$41,0))/365*Assumptions!$B$6</f>
        <v>784.197961643836</v>
      </c>
      <c r="N1621" s="16" t="n">
        <f aca="false">J1621-K1621-L1621-M1621</f>
        <v>55257.8876383562</v>
      </c>
      <c r="O1621" s="16" t="n">
        <f aca="false">F1621*IF(A1621="2025",INDEX(Products!$D$2:$D$13,MATCH(D1621,Products!$A$2:$A$13,0)),INDEX(Products!$F$2:$F$13,MATCH(D1621,Products!$A$2:$A$13,0)))</f>
        <v>39057</v>
      </c>
      <c r="P1621" s="16" t="n">
        <f aca="false">N1621-O1621</f>
        <v>16200.8876383562</v>
      </c>
    </row>
    <row r="1622" customFormat="false" ht="15" hidden="false" customHeight="false" outlineLevel="0" collapsed="false">
      <c r="A1622" s="2" t="s">
        <v>119</v>
      </c>
      <c r="B1622" s="2" t="n">
        <v>1</v>
      </c>
      <c r="C1622" s="2" t="s">
        <v>86</v>
      </c>
      <c r="D1622" s="2" t="s">
        <v>38</v>
      </c>
      <c r="E1622" s="2" t="str">
        <f aca="false">INDEX(Products!$B$2:$B$13,MATCH(D1622,Products!$A$2:$A$13,0))</f>
        <v>FCC</v>
      </c>
      <c r="F1622" s="15" t="n">
        <v>17.1</v>
      </c>
      <c r="G1622" s="16" t="n">
        <f aca="false">IF(A1622="2025",INDEX(Products!$C$2:$C$13,MATCH(D1622,Products!$A$2:$A$13,0)),INDEX(Products!$E$2:$E$13,MATCH(D1622,Products!$A$2:$A$13,0)))</f>
        <v>4578</v>
      </c>
      <c r="H1622" s="13" t="n">
        <f aca="false">IF(A1622="2025",INDEX(Customers!$D$2:$D$41,MATCH(C1622,Customers!$A$2:$A$41,0)),INDEX(Customers!$F$2:$F$41,MATCH(C1622,Customers!$A$2:$A$41,0)))</f>
        <v>0.048</v>
      </c>
      <c r="I1622" s="16" t="n">
        <f aca="false">F1622*G1622</f>
        <v>78283.8</v>
      </c>
      <c r="J1622" s="16" t="n">
        <f aca="false">I1622*(1-H1622)</f>
        <v>74526.1776</v>
      </c>
      <c r="K1622" s="16" t="n">
        <f aca="false">J1622*INDEX(Customers!$G$2:$G$41,MATCH(C1622,Customers!$A$2:$A$41,0))</f>
        <v>1490.523552</v>
      </c>
      <c r="L1622" s="16" t="n">
        <f aca="false">F1622*INDEX(Customers!$H$2:$H$41,MATCH(C1622,Customers!$A$2:$A$41,0))</f>
        <v>2907</v>
      </c>
      <c r="M1622" s="16" t="n">
        <f aca="false">J1622*INDEX(Customers!$I$2:$I$41,MATCH(C1622,Customers!$A$2:$A$41,0))/365*Assumptions!$B$6</f>
        <v>980.070280767123</v>
      </c>
      <c r="N1622" s="16" t="n">
        <f aca="false">J1622-K1622-L1622-M1622</f>
        <v>69148.5837672329</v>
      </c>
      <c r="O1622" s="16" t="n">
        <f aca="false">F1622*IF(A1622="2025",INDEX(Products!$D$2:$D$13,MATCH(D1622,Products!$A$2:$A$13,0)),INDEX(Products!$F$2:$F$13,MATCH(D1622,Products!$A$2:$A$13,0)))</f>
        <v>48788.01</v>
      </c>
      <c r="P1622" s="16" t="n">
        <f aca="false">N1622-O1622</f>
        <v>20360.5737672329</v>
      </c>
    </row>
    <row r="1623" customFormat="false" ht="15" hidden="false" customHeight="false" outlineLevel="0" collapsed="false">
      <c r="A1623" s="2" t="s">
        <v>119</v>
      </c>
      <c r="B1623" s="2" t="n">
        <v>2</v>
      </c>
      <c r="C1623" s="2" t="s">
        <v>86</v>
      </c>
      <c r="D1623" s="2" t="s">
        <v>38</v>
      </c>
      <c r="E1623" s="2" t="str">
        <f aca="false">INDEX(Products!$B$2:$B$13,MATCH(D1623,Products!$A$2:$A$13,0))</f>
        <v>FCC</v>
      </c>
      <c r="F1623" s="15" t="n">
        <v>12.9</v>
      </c>
      <c r="G1623" s="16" t="n">
        <f aca="false">IF(A1623="2025",INDEX(Products!$C$2:$C$13,MATCH(D1623,Products!$A$2:$A$13,0)),INDEX(Products!$E$2:$E$13,MATCH(D1623,Products!$A$2:$A$13,0)))</f>
        <v>4578</v>
      </c>
      <c r="H1623" s="13" t="n">
        <f aca="false">IF(A1623="2025",INDEX(Customers!$D$2:$D$41,MATCH(C1623,Customers!$A$2:$A$41,0)),INDEX(Customers!$F$2:$F$41,MATCH(C1623,Customers!$A$2:$A$41,0)))</f>
        <v>0.048</v>
      </c>
      <c r="I1623" s="16" t="n">
        <f aca="false">F1623*G1623</f>
        <v>59056.2</v>
      </c>
      <c r="J1623" s="16" t="n">
        <f aca="false">I1623*(1-H1623)</f>
        <v>56221.5024</v>
      </c>
      <c r="K1623" s="16" t="n">
        <f aca="false">J1623*INDEX(Customers!$G$2:$G$41,MATCH(C1623,Customers!$A$2:$A$41,0))</f>
        <v>1124.430048</v>
      </c>
      <c r="L1623" s="16" t="n">
        <f aca="false">F1623*INDEX(Customers!$H$2:$H$41,MATCH(C1623,Customers!$A$2:$A$41,0))</f>
        <v>2193</v>
      </c>
      <c r="M1623" s="16" t="n">
        <f aca="false">J1623*INDEX(Customers!$I$2:$I$41,MATCH(C1623,Customers!$A$2:$A$41,0))/365*Assumptions!$B$6</f>
        <v>739.351264438356</v>
      </c>
      <c r="N1623" s="16" t="n">
        <f aca="false">J1623-K1623-L1623-M1623</f>
        <v>52164.7210875616</v>
      </c>
      <c r="O1623" s="16" t="n">
        <f aca="false">F1623*IF(A1623="2025",INDEX(Products!$D$2:$D$13,MATCH(D1623,Products!$A$2:$A$13,0)),INDEX(Products!$F$2:$F$13,MATCH(D1623,Products!$A$2:$A$13,0)))</f>
        <v>36804.99</v>
      </c>
      <c r="P1623" s="16" t="n">
        <f aca="false">N1623-O1623</f>
        <v>15359.7310875616</v>
      </c>
    </row>
    <row r="1624" customFormat="false" ht="15" hidden="false" customHeight="false" outlineLevel="0" collapsed="false">
      <c r="A1624" s="2" t="s">
        <v>119</v>
      </c>
      <c r="B1624" s="2" t="n">
        <v>3</v>
      </c>
      <c r="C1624" s="2" t="s">
        <v>86</v>
      </c>
      <c r="D1624" s="2" t="s">
        <v>38</v>
      </c>
      <c r="E1624" s="2" t="str">
        <f aca="false">INDEX(Products!$B$2:$B$13,MATCH(D1624,Products!$A$2:$A$13,0))</f>
        <v>FCC</v>
      </c>
      <c r="F1624" s="15" t="n">
        <v>16.6</v>
      </c>
      <c r="G1624" s="16" t="n">
        <f aca="false">IF(A1624="2025",INDEX(Products!$C$2:$C$13,MATCH(D1624,Products!$A$2:$A$13,0)),INDEX(Products!$E$2:$E$13,MATCH(D1624,Products!$A$2:$A$13,0)))</f>
        <v>4578</v>
      </c>
      <c r="H1624" s="13" t="n">
        <f aca="false">IF(A1624="2025",INDEX(Customers!$D$2:$D$41,MATCH(C1624,Customers!$A$2:$A$41,0)),INDEX(Customers!$F$2:$F$41,MATCH(C1624,Customers!$A$2:$A$41,0)))</f>
        <v>0.048</v>
      </c>
      <c r="I1624" s="16" t="n">
        <f aca="false">F1624*G1624</f>
        <v>75994.8</v>
      </c>
      <c r="J1624" s="16" t="n">
        <f aca="false">I1624*(1-H1624)</f>
        <v>72347.0496</v>
      </c>
      <c r="K1624" s="16" t="n">
        <f aca="false">J1624*INDEX(Customers!$G$2:$G$41,MATCH(C1624,Customers!$A$2:$A$41,0))</f>
        <v>1446.940992</v>
      </c>
      <c r="L1624" s="16" t="n">
        <f aca="false">F1624*INDEX(Customers!$H$2:$H$41,MATCH(C1624,Customers!$A$2:$A$41,0))</f>
        <v>2822</v>
      </c>
      <c r="M1624" s="16" t="n">
        <f aca="false">J1624*INDEX(Customers!$I$2:$I$41,MATCH(C1624,Customers!$A$2:$A$41,0))/365*Assumptions!$B$6</f>
        <v>951.413255013699</v>
      </c>
      <c r="N1624" s="16" t="n">
        <f aca="false">J1624-K1624-L1624-M1624</f>
        <v>67126.6953529863</v>
      </c>
      <c r="O1624" s="16" t="n">
        <f aca="false">F1624*IF(A1624="2025",INDEX(Products!$D$2:$D$13,MATCH(D1624,Products!$A$2:$A$13,0)),INDEX(Products!$F$2:$F$13,MATCH(D1624,Products!$A$2:$A$13,0)))</f>
        <v>47361.46</v>
      </c>
      <c r="P1624" s="16" t="n">
        <f aca="false">N1624-O1624</f>
        <v>19765.2353529863</v>
      </c>
    </row>
    <row r="1625" customFormat="false" ht="15" hidden="false" customHeight="false" outlineLevel="0" collapsed="false">
      <c r="A1625" s="2" t="s">
        <v>119</v>
      </c>
      <c r="B1625" s="2" t="n">
        <v>4</v>
      </c>
      <c r="C1625" s="2" t="s">
        <v>86</v>
      </c>
      <c r="D1625" s="2" t="s">
        <v>38</v>
      </c>
      <c r="E1625" s="2" t="str">
        <f aca="false">INDEX(Products!$B$2:$B$13,MATCH(D1625,Products!$A$2:$A$13,0))</f>
        <v>FCC</v>
      </c>
      <c r="F1625" s="15" t="n">
        <v>17.9</v>
      </c>
      <c r="G1625" s="16" t="n">
        <f aca="false">IF(A1625="2025",INDEX(Products!$C$2:$C$13,MATCH(D1625,Products!$A$2:$A$13,0)),INDEX(Products!$E$2:$E$13,MATCH(D1625,Products!$A$2:$A$13,0)))</f>
        <v>4578</v>
      </c>
      <c r="H1625" s="13" t="n">
        <f aca="false">IF(A1625="2025",INDEX(Customers!$D$2:$D$41,MATCH(C1625,Customers!$A$2:$A$41,0)),INDEX(Customers!$F$2:$F$41,MATCH(C1625,Customers!$A$2:$A$41,0)))</f>
        <v>0.048</v>
      </c>
      <c r="I1625" s="16" t="n">
        <f aca="false">F1625*G1625</f>
        <v>81946.2</v>
      </c>
      <c r="J1625" s="16" t="n">
        <f aca="false">I1625*(1-H1625)</f>
        <v>78012.7824</v>
      </c>
      <c r="K1625" s="16" t="n">
        <f aca="false">J1625*INDEX(Customers!$G$2:$G$41,MATCH(C1625,Customers!$A$2:$A$41,0))</f>
        <v>1560.255648</v>
      </c>
      <c r="L1625" s="16" t="n">
        <f aca="false">F1625*INDEX(Customers!$H$2:$H$41,MATCH(C1625,Customers!$A$2:$A$41,0))</f>
        <v>3043</v>
      </c>
      <c r="M1625" s="16" t="n">
        <f aca="false">J1625*INDEX(Customers!$I$2:$I$41,MATCH(C1625,Customers!$A$2:$A$41,0))/365*Assumptions!$B$6</f>
        <v>1025.9215219726</v>
      </c>
      <c r="N1625" s="16" t="n">
        <f aca="false">J1625-K1625-L1625-M1625</f>
        <v>72383.6052300274</v>
      </c>
      <c r="O1625" s="16" t="n">
        <f aca="false">F1625*IF(A1625="2025",INDEX(Products!$D$2:$D$13,MATCH(D1625,Products!$A$2:$A$13,0)),INDEX(Products!$F$2:$F$13,MATCH(D1625,Products!$A$2:$A$13,0)))</f>
        <v>51070.49</v>
      </c>
      <c r="P1625" s="16" t="n">
        <f aca="false">N1625-O1625</f>
        <v>21313.1152300274</v>
      </c>
    </row>
    <row r="1626" customFormat="false" ht="15" hidden="false" customHeight="false" outlineLevel="0" collapsed="false">
      <c r="A1626" s="2" t="s">
        <v>119</v>
      </c>
      <c r="B1626" s="2" t="n">
        <v>5</v>
      </c>
      <c r="C1626" s="2" t="s">
        <v>86</v>
      </c>
      <c r="D1626" s="2" t="s">
        <v>38</v>
      </c>
      <c r="E1626" s="2" t="str">
        <f aca="false">INDEX(Products!$B$2:$B$13,MATCH(D1626,Products!$A$2:$A$13,0))</f>
        <v>FCC</v>
      </c>
      <c r="F1626" s="15" t="n">
        <v>13</v>
      </c>
      <c r="G1626" s="16" t="n">
        <f aca="false">IF(A1626="2025",INDEX(Products!$C$2:$C$13,MATCH(D1626,Products!$A$2:$A$13,0)),INDEX(Products!$E$2:$E$13,MATCH(D1626,Products!$A$2:$A$13,0)))</f>
        <v>4578</v>
      </c>
      <c r="H1626" s="13" t="n">
        <f aca="false">IF(A1626="2025",INDEX(Customers!$D$2:$D$41,MATCH(C1626,Customers!$A$2:$A$41,0)),INDEX(Customers!$F$2:$F$41,MATCH(C1626,Customers!$A$2:$A$41,0)))</f>
        <v>0.048</v>
      </c>
      <c r="I1626" s="16" t="n">
        <f aca="false">F1626*G1626</f>
        <v>59514</v>
      </c>
      <c r="J1626" s="16" t="n">
        <f aca="false">I1626*(1-H1626)</f>
        <v>56657.328</v>
      </c>
      <c r="K1626" s="16" t="n">
        <f aca="false">J1626*INDEX(Customers!$G$2:$G$41,MATCH(C1626,Customers!$A$2:$A$41,0))</f>
        <v>1133.14656</v>
      </c>
      <c r="L1626" s="16" t="n">
        <f aca="false">F1626*INDEX(Customers!$H$2:$H$41,MATCH(C1626,Customers!$A$2:$A$41,0))</f>
        <v>2210</v>
      </c>
      <c r="M1626" s="16" t="n">
        <f aca="false">J1626*INDEX(Customers!$I$2:$I$41,MATCH(C1626,Customers!$A$2:$A$41,0))/365*Assumptions!$B$6</f>
        <v>745.082669589041</v>
      </c>
      <c r="N1626" s="16" t="n">
        <f aca="false">J1626-K1626-L1626-M1626</f>
        <v>52569.098770411</v>
      </c>
      <c r="O1626" s="16" t="n">
        <f aca="false">F1626*IF(A1626="2025",INDEX(Products!$D$2:$D$13,MATCH(D1626,Products!$A$2:$A$13,0)),INDEX(Products!$F$2:$F$13,MATCH(D1626,Products!$A$2:$A$13,0)))</f>
        <v>37090.3</v>
      </c>
      <c r="P1626" s="16" t="n">
        <f aca="false">N1626-O1626</f>
        <v>15478.798770411</v>
      </c>
    </row>
    <row r="1627" customFormat="false" ht="15" hidden="false" customHeight="false" outlineLevel="0" collapsed="false">
      <c r="A1627" s="2" t="s">
        <v>119</v>
      </c>
      <c r="B1627" s="2" t="n">
        <v>6</v>
      </c>
      <c r="C1627" s="2" t="s">
        <v>86</v>
      </c>
      <c r="D1627" s="2" t="s">
        <v>38</v>
      </c>
      <c r="E1627" s="2" t="str">
        <f aca="false">INDEX(Products!$B$2:$B$13,MATCH(D1627,Products!$A$2:$A$13,0))</f>
        <v>FCC</v>
      </c>
      <c r="F1627" s="15" t="n">
        <v>14.2</v>
      </c>
      <c r="G1627" s="16" t="n">
        <f aca="false">IF(A1627="2025",INDEX(Products!$C$2:$C$13,MATCH(D1627,Products!$A$2:$A$13,0)),INDEX(Products!$E$2:$E$13,MATCH(D1627,Products!$A$2:$A$13,0)))</f>
        <v>4578</v>
      </c>
      <c r="H1627" s="13" t="n">
        <f aca="false">IF(A1627="2025",INDEX(Customers!$D$2:$D$41,MATCH(C1627,Customers!$A$2:$A$41,0)),INDEX(Customers!$F$2:$F$41,MATCH(C1627,Customers!$A$2:$A$41,0)))</f>
        <v>0.048</v>
      </c>
      <c r="I1627" s="16" t="n">
        <f aca="false">F1627*G1627</f>
        <v>65007.6</v>
      </c>
      <c r="J1627" s="16" t="n">
        <f aca="false">I1627*(1-H1627)</f>
        <v>61887.2352</v>
      </c>
      <c r="K1627" s="16" t="n">
        <f aca="false">J1627*INDEX(Customers!$G$2:$G$41,MATCH(C1627,Customers!$A$2:$A$41,0))</f>
        <v>1237.744704</v>
      </c>
      <c r="L1627" s="16" t="n">
        <f aca="false">F1627*INDEX(Customers!$H$2:$H$41,MATCH(C1627,Customers!$A$2:$A$41,0))</f>
        <v>2414</v>
      </c>
      <c r="M1627" s="16" t="n">
        <f aca="false">J1627*INDEX(Customers!$I$2:$I$41,MATCH(C1627,Customers!$A$2:$A$41,0))/365*Assumptions!$B$6</f>
        <v>813.85953139726</v>
      </c>
      <c r="N1627" s="16" t="n">
        <f aca="false">J1627-K1627-L1627-M1627</f>
        <v>57421.6309646027</v>
      </c>
      <c r="O1627" s="16" t="n">
        <f aca="false">F1627*IF(A1627="2025",INDEX(Products!$D$2:$D$13,MATCH(D1627,Products!$A$2:$A$13,0)),INDEX(Products!$F$2:$F$13,MATCH(D1627,Products!$A$2:$A$13,0)))</f>
        <v>40514.02</v>
      </c>
      <c r="P1627" s="16" t="n">
        <f aca="false">N1627-O1627</f>
        <v>16907.6109646027</v>
      </c>
    </row>
    <row r="1628" customFormat="false" ht="15" hidden="false" customHeight="false" outlineLevel="0" collapsed="false">
      <c r="A1628" s="2" t="s">
        <v>119</v>
      </c>
      <c r="B1628" s="2" t="n">
        <v>7</v>
      </c>
      <c r="C1628" s="2" t="s">
        <v>86</v>
      </c>
      <c r="D1628" s="2" t="s">
        <v>38</v>
      </c>
      <c r="E1628" s="2" t="str">
        <f aca="false">INDEX(Products!$B$2:$B$13,MATCH(D1628,Products!$A$2:$A$13,0))</f>
        <v>FCC</v>
      </c>
      <c r="F1628" s="15" t="n">
        <v>11.3</v>
      </c>
      <c r="G1628" s="16" t="n">
        <f aca="false">IF(A1628="2025",INDEX(Products!$C$2:$C$13,MATCH(D1628,Products!$A$2:$A$13,0)),INDEX(Products!$E$2:$E$13,MATCH(D1628,Products!$A$2:$A$13,0)))</f>
        <v>4578</v>
      </c>
      <c r="H1628" s="13" t="n">
        <f aca="false">IF(A1628="2025",INDEX(Customers!$D$2:$D$41,MATCH(C1628,Customers!$A$2:$A$41,0)),INDEX(Customers!$F$2:$F$41,MATCH(C1628,Customers!$A$2:$A$41,0)))</f>
        <v>0.048</v>
      </c>
      <c r="I1628" s="16" t="n">
        <f aca="false">F1628*G1628</f>
        <v>51731.4</v>
      </c>
      <c r="J1628" s="16" t="n">
        <f aca="false">I1628*(1-H1628)</f>
        <v>49248.2928</v>
      </c>
      <c r="K1628" s="16" t="n">
        <f aca="false">J1628*INDEX(Customers!$G$2:$G$41,MATCH(C1628,Customers!$A$2:$A$41,0))</f>
        <v>984.965856</v>
      </c>
      <c r="L1628" s="16" t="n">
        <f aca="false">F1628*INDEX(Customers!$H$2:$H$41,MATCH(C1628,Customers!$A$2:$A$41,0))</f>
        <v>1921</v>
      </c>
      <c r="M1628" s="16" t="n">
        <f aca="false">J1628*INDEX(Customers!$I$2:$I$41,MATCH(C1628,Customers!$A$2:$A$41,0))/365*Assumptions!$B$6</f>
        <v>647.648782027397</v>
      </c>
      <c r="N1628" s="16" t="n">
        <f aca="false">J1628-K1628-L1628-M1628</f>
        <v>45694.6781619726</v>
      </c>
      <c r="O1628" s="16" t="n">
        <f aca="false">F1628*IF(A1628="2025",INDEX(Products!$D$2:$D$13,MATCH(D1628,Products!$A$2:$A$13,0)),INDEX(Products!$F$2:$F$13,MATCH(D1628,Products!$A$2:$A$13,0)))</f>
        <v>32240.03</v>
      </c>
      <c r="P1628" s="16" t="n">
        <f aca="false">N1628-O1628</f>
        <v>13454.6481619726</v>
      </c>
    </row>
    <row r="1629" customFormat="false" ht="15" hidden="false" customHeight="false" outlineLevel="0" collapsed="false">
      <c r="A1629" s="2" t="s">
        <v>119</v>
      </c>
      <c r="B1629" s="2" t="n">
        <v>8</v>
      </c>
      <c r="C1629" s="2" t="s">
        <v>86</v>
      </c>
      <c r="D1629" s="2" t="s">
        <v>38</v>
      </c>
      <c r="E1629" s="2" t="str">
        <f aca="false">INDEX(Products!$B$2:$B$13,MATCH(D1629,Products!$A$2:$A$13,0))</f>
        <v>FCC</v>
      </c>
      <c r="F1629" s="15" t="n">
        <v>15.8</v>
      </c>
      <c r="G1629" s="16" t="n">
        <f aca="false">IF(A1629="2025",INDEX(Products!$C$2:$C$13,MATCH(D1629,Products!$A$2:$A$13,0)),INDEX(Products!$E$2:$E$13,MATCH(D1629,Products!$A$2:$A$13,0)))</f>
        <v>4578</v>
      </c>
      <c r="H1629" s="13" t="n">
        <f aca="false">IF(A1629="2025",INDEX(Customers!$D$2:$D$41,MATCH(C1629,Customers!$A$2:$A$41,0)),INDEX(Customers!$F$2:$F$41,MATCH(C1629,Customers!$A$2:$A$41,0)))</f>
        <v>0.048</v>
      </c>
      <c r="I1629" s="16" t="n">
        <f aca="false">F1629*G1629</f>
        <v>72332.4</v>
      </c>
      <c r="J1629" s="16" t="n">
        <f aca="false">I1629*(1-H1629)</f>
        <v>68860.4448</v>
      </c>
      <c r="K1629" s="16" t="n">
        <f aca="false">J1629*INDEX(Customers!$G$2:$G$41,MATCH(C1629,Customers!$A$2:$A$41,0))</f>
        <v>1377.208896</v>
      </c>
      <c r="L1629" s="16" t="n">
        <f aca="false">F1629*INDEX(Customers!$H$2:$H$41,MATCH(C1629,Customers!$A$2:$A$41,0))</f>
        <v>2686</v>
      </c>
      <c r="M1629" s="16" t="n">
        <f aca="false">J1629*INDEX(Customers!$I$2:$I$41,MATCH(C1629,Customers!$A$2:$A$41,0))/365*Assumptions!$B$6</f>
        <v>905.562013808219</v>
      </c>
      <c r="N1629" s="16" t="n">
        <f aca="false">J1629-K1629-L1629-M1629</f>
        <v>63891.6738901918</v>
      </c>
      <c r="O1629" s="16" t="n">
        <f aca="false">F1629*IF(A1629="2025",INDEX(Products!$D$2:$D$13,MATCH(D1629,Products!$A$2:$A$13,0)),INDEX(Products!$F$2:$F$13,MATCH(D1629,Products!$A$2:$A$13,0)))</f>
        <v>45078.98</v>
      </c>
      <c r="P1629" s="16" t="n">
        <f aca="false">N1629-O1629</f>
        <v>18812.6938901918</v>
      </c>
    </row>
    <row r="1630" customFormat="false" ht="15" hidden="false" customHeight="false" outlineLevel="0" collapsed="false">
      <c r="A1630" s="2" t="s">
        <v>119</v>
      </c>
      <c r="B1630" s="2" t="n">
        <v>9</v>
      </c>
      <c r="C1630" s="2" t="s">
        <v>86</v>
      </c>
      <c r="D1630" s="2" t="s">
        <v>38</v>
      </c>
      <c r="E1630" s="2" t="str">
        <f aca="false">INDEX(Products!$B$2:$B$13,MATCH(D1630,Products!$A$2:$A$13,0))</f>
        <v>FCC</v>
      </c>
      <c r="F1630" s="15" t="n">
        <v>15.5</v>
      </c>
      <c r="G1630" s="16" t="n">
        <f aca="false">IF(A1630="2025",INDEX(Products!$C$2:$C$13,MATCH(D1630,Products!$A$2:$A$13,0)),INDEX(Products!$E$2:$E$13,MATCH(D1630,Products!$A$2:$A$13,0)))</f>
        <v>4578</v>
      </c>
      <c r="H1630" s="13" t="n">
        <f aca="false">IF(A1630="2025",INDEX(Customers!$D$2:$D$41,MATCH(C1630,Customers!$A$2:$A$41,0)),INDEX(Customers!$F$2:$F$41,MATCH(C1630,Customers!$A$2:$A$41,0)))</f>
        <v>0.048</v>
      </c>
      <c r="I1630" s="16" t="n">
        <f aca="false">F1630*G1630</f>
        <v>70959</v>
      </c>
      <c r="J1630" s="16" t="n">
        <f aca="false">I1630*(1-H1630)</f>
        <v>67552.968</v>
      </c>
      <c r="K1630" s="16" t="n">
        <f aca="false">J1630*INDEX(Customers!$G$2:$G$41,MATCH(C1630,Customers!$A$2:$A$41,0))</f>
        <v>1351.05936</v>
      </c>
      <c r="L1630" s="16" t="n">
        <f aca="false">F1630*INDEX(Customers!$H$2:$H$41,MATCH(C1630,Customers!$A$2:$A$41,0))</f>
        <v>2635</v>
      </c>
      <c r="M1630" s="16" t="n">
        <f aca="false">J1630*INDEX(Customers!$I$2:$I$41,MATCH(C1630,Customers!$A$2:$A$41,0))/365*Assumptions!$B$6</f>
        <v>888.367798356164</v>
      </c>
      <c r="N1630" s="16" t="n">
        <f aca="false">J1630-K1630-L1630-M1630</f>
        <v>62678.5408416438</v>
      </c>
      <c r="O1630" s="16" t="n">
        <f aca="false">F1630*IF(A1630="2025",INDEX(Products!$D$2:$D$13,MATCH(D1630,Products!$A$2:$A$13,0)),INDEX(Products!$F$2:$F$13,MATCH(D1630,Products!$A$2:$A$13,0)))</f>
        <v>44223.05</v>
      </c>
      <c r="P1630" s="16" t="n">
        <f aca="false">N1630-O1630</f>
        <v>18455.4908416438</v>
      </c>
    </row>
    <row r="1631" customFormat="false" ht="15" hidden="false" customHeight="false" outlineLevel="0" collapsed="false">
      <c r="A1631" s="2" t="s">
        <v>119</v>
      </c>
      <c r="B1631" s="2" t="n">
        <v>10</v>
      </c>
      <c r="C1631" s="2" t="s">
        <v>86</v>
      </c>
      <c r="D1631" s="2" t="s">
        <v>38</v>
      </c>
      <c r="E1631" s="2" t="str">
        <f aca="false">INDEX(Products!$B$2:$B$13,MATCH(D1631,Products!$A$2:$A$13,0))</f>
        <v>FCC</v>
      </c>
      <c r="F1631" s="15" t="n">
        <v>17.2</v>
      </c>
      <c r="G1631" s="16" t="n">
        <f aca="false">IF(A1631="2025",INDEX(Products!$C$2:$C$13,MATCH(D1631,Products!$A$2:$A$13,0)),INDEX(Products!$E$2:$E$13,MATCH(D1631,Products!$A$2:$A$13,0)))</f>
        <v>4578</v>
      </c>
      <c r="H1631" s="13" t="n">
        <f aca="false">IF(A1631="2025",INDEX(Customers!$D$2:$D$41,MATCH(C1631,Customers!$A$2:$A$41,0)),INDEX(Customers!$F$2:$F$41,MATCH(C1631,Customers!$A$2:$A$41,0)))</f>
        <v>0.048</v>
      </c>
      <c r="I1631" s="16" t="n">
        <f aca="false">F1631*G1631</f>
        <v>78741.6</v>
      </c>
      <c r="J1631" s="16" t="n">
        <f aca="false">I1631*(1-H1631)</f>
        <v>74962.0032</v>
      </c>
      <c r="K1631" s="16" t="n">
        <f aca="false">J1631*INDEX(Customers!$G$2:$G$41,MATCH(C1631,Customers!$A$2:$A$41,0))</f>
        <v>1499.240064</v>
      </c>
      <c r="L1631" s="16" t="n">
        <f aca="false">F1631*INDEX(Customers!$H$2:$H$41,MATCH(C1631,Customers!$A$2:$A$41,0))</f>
        <v>2924</v>
      </c>
      <c r="M1631" s="16" t="n">
        <f aca="false">J1631*INDEX(Customers!$I$2:$I$41,MATCH(C1631,Customers!$A$2:$A$41,0))/365*Assumptions!$B$6</f>
        <v>985.801685917808</v>
      </c>
      <c r="N1631" s="16" t="n">
        <f aca="false">J1631-K1631-L1631-M1631</f>
        <v>69552.9614500822</v>
      </c>
      <c r="O1631" s="16" t="n">
        <f aca="false">F1631*IF(A1631="2025",INDEX(Products!$D$2:$D$13,MATCH(D1631,Products!$A$2:$A$13,0)),INDEX(Products!$F$2:$F$13,MATCH(D1631,Products!$A$2:$A$13,0)))</f>
        <v>49073.32</v>
      </c>
      <c r="P1631" s="16" t="n">
        <f aca="false">N1631-O1631</f>
        <v>20479.6414500822</v>
      </c>
    </row>
    <row r="1632" customFormat="false" ht="15" hidden="false" customHeight="false" outlineLevel="0" collapsed="false">
      <c r="A1632" s="2" t="s">
        <v>119</v>
      </c>
      <c r="B1632" s="2" t="n">
        <v>11</v>
      </c>
      <c r="C1632" s="2" t="s">
        <v>86</v>
      </c>
      <c r="D1632" s="2" t="s">
        <v>38</v>
      </c>
      <c r="E1632" s="2" t="str">
        <f aca="false">INDEX(Products!$B$2:$B$13,MATCH(D1632,Products!$A$2:$A$13,0))</f>
        <v>FCC</v>
      </c>
      <c r="F1632" s="15" t="n">
        <v>15.9</v>
      </c>
      <c r="G1632" s="16" t="n">
        <f aca="false">IF(A1632="2025",INDEX(Products!$C$2:$C$13,MATCH(D1632,Products!$A$2:$A$13,0)),INDEX(Products!$E$2:$E$13,MATCH(D1632,Products!$A$2:$A$13,0)))</f>
        <v>4578</v>
      </c>
      <c r="H1632" s="13" t="n">
        <f aca="false">IF(A1632="2025",INDEX(Customers!$D$2:$D$41,MATCH(C1632,Customers!$A$2:$A$41,0)),INDEX(Customers!$F$2:$F$41,MATCH(C1632,Customers!$A$2:$A$41,0)))</f>
        <v>0.048</v>
      </c>
      <c r="I1632" s="16" t="n">
        <f aca="false">F1632*G1632</f>
        <v>72790.2</v>
      </c>
      <c r="J1632" s="16" t="n">
        <f aca="false">I1632*(1-H1632)</f>
        <v>69296.2704</v>
      </c>
      <c r="K1632" s="16" t="n">
        <f aca="false">J1632*INDEX(Customers!$G$2:$G$41,MATCH(C1632,Customers!$A$2:$A$41,0))</f>
        <v>1385.925408</v>
      </c>
      <c r="L1632" s="16" t="n">
        <f aca="false">F1632*INDEX(Customers!$H$2:$H$41,MATCH(C1632,Customers!$A$2:$A$41,0))</f>
        <v>2703</v>
      </c>
      <c r="M1632" s="16" t="n">
        <f aca="false">J1632*INDEX(Customers!$I$2:$I$41,MATCH(C1632,Customers!$A$2:$A$41,0))/365*Assumptions!$B$6</f>
        <v>911.293418958904</v>
      </c>
      <c r="N1632" s="16" t="n">
        <f aca="false">J1632-K1632-L1632-M1632</f>
        <v>64296.0515730411</v>
      </c>
      <c r="O1632" s="16" t="n">
        <f aca="false">F1632*IF(A1632="2025",INDEX(Products!$D$2:$D$13,MATCH(D1632,Products!$A$2:$A$13,0)),INDEX(Products!$F$2:$F$13,MATCH(D1632,Products!$A$2:$A$13,0)))</f>
        <v>45364.29</v>
      </c>
      <c r="P1632" s="16" t="n">
        <f aca="false">N1632-O1632</f>
        <v>18931.7615730411</v>
      </c>
    </row>
    <row r="1633" customFormat="false" ht="15" hidden="false" customHeight="false" outlineLevel="0" collapsed="false">
      <c r="A1633" s="2" t="s">
        <v>119</v>
      </c>
      <c r="B1633" s="2" t="n">
        <v>12</v>
      </c>
      <c r="C1633" s="2" t="s">
        <v>86</v>
      </c>
      <c r="D1633" s="2" t="s">
        <v>38</v>
      </c>
      <c r="E1633" s="2" t="str">
        <f aca="false">INDEX(Products!$B$2:$B$13,MATCH(D1633,Products!$A$2:$A$13,0))</f>
        <v>FCC</v>
      </c>
      <c r="F1633" s="15" t="n">
        <v>18.9</v>
      </c>
      <c r="G1633" s="16" t="n">
        <f aca="false">IF(A1633="2025",INDEX(Products!$C$2:$C$13,MATCH(D1633,Products!$A$2:$A$13,0)),INDEX(Products!$E$2:$E$13,MATCH(D1633,Products!$A$2:$A$13,0)))</f>
        <v>4578</v>
      </c>
      <c r="H1633" s="13" t="n">
        <f aca="false">IF(A1633="2025",INDEX(Customers!$D$2:$D$41,MATCH(C1633,Customers!$A$2:$A$41,0)),INDEX(Customers!$F$2:$F$41,MATCH(C1633,Customers!$A$2:$A$41,0)))</f>
        <v>0.048</v>
      </c>
      <c r="I1633" s="16" t="n">
        <f aca="false">F1633*G1633</f>
        <v>86524.2</v>
      </c>
      <c r="J1633" s="16" t="n">
        <f aca="false">I1633*(1-H1633)</f>
        <v>82371.0384</v>
      </c>
      <c r="K1633" s="16" t="n">
        <f aca="false">J1633*INDEX(Customers!$G$2:$G$41,MATCH(C1633,Customers!$A$2:$A$41,0))</f>
        <v>1647.420768</v>
      </c>
      <c r="L1633" s="16" t="n">
        <f aca="false">F1633*INDEX(Customers!$H$2:$H$41,MATCH(C1633,Customers!$A$2:$A$41,0))</f>
        <v>3213</v>
      </c>
      <c r="M1633" s="16" t="n">
        <f aca="false">J1633*INDEX(Customers!$I$2:$I$41,MATCH(C1633,Customers!$A$2:$A$41,0))/365*Assumptions!$B$6</f>
        <v>1083.23557347945</v>
      </c>
      <c r="N1633" s="16" t="n">
        <f aca="false">J1633-K1633-L1633-M1633</f>
        <v>76427.3820585205</v>
      </c>
      <c r="O1633" s="16" t="n">
        <f aca="false">F1633*IF(A1633="2025",INDEX(Products!$D$2:$D$13,MATCH(D1633,Products!$A$2:$A$13,0)),INDEX(Products!$F$2:$F$13,MATCH(D1633,Products!$A$2:$A$13,0)))</f>
        <v>53923.59</v>
      </c>
      <c r="P1633" s="16" t="n">
        <f aca="false">N1633-O1633</f>
        <v>22503.7920585205</v>
      </c>
    </row>
    <row r="1634" customFormat="false" ht="15" hidden="false" customHeight="false" outlineLevel="0" collapsed="false">
      <c r="A1634" s="2" t="s">
        <v>118</v>
      </c>
      <c r="B1634" s="2" t="n">
        <v>1</v>
      </c>
      <c r="C1634" s="2" t="s">
        <v>86</v>
      </c>
      <c r="D1634" s="2" t="s">
        <v>37</v>
      </c>
      <c r="E1634" s="2" t="str">
        <f aca="false">INDEX(Products!$B$2:$B$13,MATCH(D1634,Products!$A$2:$A$13,0))</f>
        <v>FCC</v>
      </c>
      <c r="F1634" s="15" t="n">
        <v>21.2</v>
      </c>
      <c r="G1634" s="16" t="n">
        <f aca="false">IF(A1634="2025",INDEX(Products!$C$2:$C$13,MATCH(D1634,Products!$A$2:$A$13,0)),INDEX(Products!$E$2:$E$13,MATCH(D1634,Products!$A$2:$A$13,0)))</f>
        <v>3530</v>
      </c>
      <c r="H1634" s="13" t="n">
        <f aca="false">IF(A1634="2025",INDEX(Customers!$D$2:$D$41,MATCH(C1634,Customers!$A$2:$A$41,0)),INDEX(Customers!$F$2:$F$41,MATCH(C1634,Customers!$A$2:$A$41,0)))</f>
        <v>0.03</v>
      </c>
      <c r="I1634" s="16" t="n">
        <f aca="false">F1634*G1634</f>
        <v>74836</v>
      </c>
      <c r="J1634" s="16" t="n">
        <f aca="false">I1634*(1-H1634)</f>
        <v>72590.92</v>
      </c>
      <c r="K1634" s="16" t="n">
        <f aca="false">J1634*INDEX(Customers!$G$2:$G$41,MATCH(C1634,Customers!$A$2:$A$41,0))</f>
        <v>1451.8184</v>
      </c>
      <c r="L1634" s="16" t="n">
        <f aca="false">F1634*INDEX(Customers!$H$2:$H$41,MATCH(C1634,Customers!$A$2:$A$41,0))</f>
        <v>3604</v>
      </c>
      <c r="M1634" s="16" t="n">
        <f aca="false">J1634*INDEX(Customers!$I$2:$I$41,MATCH(C1634,Customers!$A$2:$A$41,0))/365*Assumptions!$B$6</f>
        <v>954.620317808219</v>
      </c>
      <c r="N1634" s="16" t="n">
        <f aca="false">J1634-K1634-L1634-M1634</f>
        <v>66580.4812821918</v>
      </c>
      <c r="O1634" s="16" t="n">
        <f aca="false">F1634*IF(A1634="2025",INDEX(Products!$D$2:$D$13,MATCH(D1634,Products!$A$2:$A$13,0)),INDEX(Products!$F$2:$F$13,MATCH(D1634,Products!$A$2:$A$13,0)))</f>
        <v>51092</v>
      </c>
      <c r="P1634" s="16" t="n">
        <f aca="false">N1634-O1634</f>
        <v>15488.4812821918</v>
      </c>
    </row>
    <row r="1635" customFormat="false" ht="15" hidden="false" customHeight="false" outlineLevel="0" collapsed="false">
      <c r="A1635" s="2" t="s">
        <v>118</v>
      </c>
      <c r="B1635" s="2" t="n">
        <v>2</v>
      </c>
      <c r="C1635" s="2" t="s">
        <v>86</v>
      </c>
      <c r="D1635" s="2" t="s">
        <v>37</v>
      </c>
      <c r="E1635" s="2" t="str">
        <f aca="false">INDEX(Products!$B$2:$B$13,MATCH(D1635,Products!$A$2:$A$13,0))</f>
        <v>FCC</v>
      </c>
      <c r="F1635" s="15" t="n">
        <v>13.5</v>
      </c>
      <c r="G1635" s="16" t="n">
        <f aca="false">IF(A1635="2025",INDEX(Products!$C$2:$C$13,MATCH(D1635,Products!$A$2:$A$13,0)),INDEX(Products!$E$2:$E$13,MATCH(D1635,Products!$A$2:$A$13,0)))</f>
        <v>3530</v>
      </c>
      <c r="H1635" s="13" t="n">
        <f aca="false">IF(A1635="2025",INDEX(Customers!$D$2:$D$41,MATCH(C1635,Customers!$A$2:$A$41,0)),INDEX(Customers!$F$2:$F$41,MATCH(C1635,Customers!$A$2:$A$41,0)))</f>
        <v>0.03</v>
      </c>
      <c r="I1635" s="16" t="n">
        <f aca="false">F1635*G1635</f>
        <v>47655</v>
      </c>
      <c r="J1635" s="16" t="n">
        <f aca="false">I1635*(1-H1635)</f>
        <v>46225.35</v>
      </c>
      <c r="K1635" s="16" t="n">
        <f aca="false">J1635*INDEX(Customers!$G$2:$G$41,MATCH(C1635,Customers!$A$2:$A$41,0))</f>
        <v>924.507</v>
      </c>
      <c r="L1635" s="16" t="n">
        <f aca="false">F1635*INDEX(Customers!$H$2:$H$41,MATCH(C1635,Customers!$A$2:$A$41,0))</f>
        <v>2295</v>
      </c>
      <c r="M1635" s="16" t="n">
        <f aca="false">J1635*INDEX(Customers!$I$2:$I$41,MATCH(C1635,Customers!$A$2:$A$41,0))/365*Assumptions!$B$6</f>
        <v>607.89501369863</v>
      </c>
      <c r="N1635" s="16" t="n">
        <f aca="false">J1635-K1635-L1635-M1635</f>
        <v>42397.9479863014</v>
      </c>
      <c r="O1635" s="16" t="n">
        <f aca="false">F1635*IF(A1635="2025",INDEX(Products!$D$2:$D$13,MATCH(D1635,Products!$A$2:$A$13,0)),INDEX(Products!$F$2:$F$13,MATCH(D1635,Products!$A$2:$A$13,0)))</f>
        <v>32535</v>
      </c>
      <c r="P1635" s="16" t="n">
        <f aca="false">N1635-O1635</f>
        <v>9862.94798630137</v>
      </c>
    </row>
    <row r="1636" customFormat="false" ht="15" hidden="false" customHeight="false" outlineLevel="0" collapsed="false">
      <c r="A1636" s="2" t="s">
        <v>118</v>
      </c>
      <c r="B1636" s="2" t="n">
        <v>3</v>
      </c>
      <c r="C1636" s="2" t="s">
        <v>86</v>
      </c>
      <c r="D1636" s="2" t="s">
        <v>37</v>
      </c>
      <c r="E1636" s="2" t="str">
        <f aca="false">INDEX(Products!$B$2:$B$13,MATCH(D1636,Products!$A$2:$A$13,0))</f>
        <v>FCC</v>
      </c>
      <c r="F1636" s="15" t="n">
        <v>18.5</v>
      </c>
      <c r="G1636" s="16" t="n">
        <f aca="false">IF(A1636="2025",INDEX(Products!$C$2:$C$13,MATCH(D1636,Products!$A$2:$A$13,0)),INDEX(Products!$E$2:$E$13,MATCH(D1636,Products!$A$2:$A$13,0)))</f>
        <v>3530</v>
      </c>
      <c r="H1636" s="13" t="n">
        <f aca="false">IF(A1636="2025",INDEX(Customers!$D$2:$D$41,MATCH(C1636,Customers!$A$2:$A$41,0)),INDEX(Customers!$F$2:$F$41,MATCH(C1636,Customers!$A$2:$A$41,0)))</f>
        <v>0.03</v>
      </c>
      <c r="I1636" s="16" t="n">
        <f aca="false">F1636*G1636</f>
        <v>65305</v>
      </c>
      <c r="J1636" s="16" t="n">
        <f aca="false">I1636*(1-H1636)</f>
        <v>63345.85</v>
      </c>
      <c r="K1636" s="16" t="n">
        <f aca="false">J1636*INDEX(Customers!$G$2:$G$41,MATCH(C1636,Customers!$A$2:$A$41,0))</f>
        <v>1266.917</v>
      </c>
      <c r="L1636" s="16" t="n">
        <f aca="false">F1636*INDEX(Customers!$H$2:$H$41,MATCH(C1636,Customers!$A$2:$A$41,0))</f>
        <v>3145</v>
      </c>
      <c r="M1636" s="16" t="n">
        <f aca="false">J1636*INDEX(Customers!$I$2:$I$41,MATCH(C1636,Customers!$A$2:$A$41,0))/365*Assumptions!$B$6</f>
        <v>833.041315068493</v>
      </c>
      <c r="N1636" s="16" t="n">
        <f aca="false">J1636-K1636-L1636-M1636</f>
        <v>58100.8916849315</v>
      </c>
      <c r="O1636" s="16" t="n">
        <f aca="false">F1636*IF(A1636="2025",INDEX(Products!$D$2:$D$13,MATCH(D1636,Products!$A$2:$A$13,0)),INDEX(Products!$F$2:$F$13,MATCH(D1636,Products!$A$2:$A$13,0)))</f>
        <v>44585</v>
      </c>
      <c r="P1636" s="16" t="n">
        <f aca="false">N1636-O1636</f>
        <v>13515.8916849315</v>
      </c>
    </row>
    <row r="1637" customFormat="false" ht="15" hidden="false" customHeight="false" outlineLevel="0" collapsed="false">
      <c r="A1637" s="2" t="s">
        <v>118</v>
      </c>
      <c r="B1637" s="2" t="n">
        <v>4</v>
      </c>
      <c r="C1637" s="2" t="s">
        <v>86</v>
      </c>
      <c r="D1637" s="2" t="s">
        <v>37</v>
      </c>
      <c r="E1637" s="2" t="str">
        <f aca="false">INDEX(Products!$B$2:$B$13,MATCH(D1637,Products!$A$2:$A$13,0))</f>
        <v>FCC</v>
      </c>
      <c r="F1637" s="15" t="n">
        <v>19.5</v>
      </c>
      <c r="G1637" s="16" t="n">
        <f aca="false">IF(A1637="2025",INDEX(Products!$C$2:$C$13,MATCH(D1637,Products!$A$2:$A$13,0)),INDEX(Products!$E$2:$E$13,MATCH(D1637,Products!$A$2:$A$13,0)))</f>
        <v>3530</v>
      </c>
      <c r="H1637" s="13" t="n">
        <f aca="false">IF(A1637="2025",INDEX(Customers!$D$2:$D$41,MATCH(C1637,Customers!$A$2:$A$41,0)),INDEX(Customers!$F$2:$F$41,MATCH(C1637,Customers!$A$2:$A$41,0)))</f>
        <v>0.03</v>
      </c>
      <c r="I1637" s="16" t="n">
        <f aca="false">F1637*G1637</f>
        <v>68835</v>
      </c>
      <c r="J1637" s="16" t="n">
        <f aca="false">I1637*(1-H1637)</f>
        <v>66769.95</v>
      </c>
      <c r="K1637" s="16" t="n">
        <f aca="false">J1637*INDEX(Customers!$G$2:$G$41,MATCH(C1637,Customers!$A$2:$A$41,0))</f>
        <v>1335.399</v>
      </c>
      <c r="L1637" s="16" t="n">
        <f aca="false">F1637*INDEX(Customers!$H$2:$H$41,MATCH(C1637,Customers!$A$2:$A$41,0))</f>
        <v>3315</v>
      </c>
      <c r="M1637" s="16" t="n">
        <f aca="false">J1637*INDEX(Customers!$I$2:$I$41,MATCH(C1637,Customers!$A$2:$A$41,0))/365*Assumptions!$B$6</f>
        <v>878.070575342466</v>
      </c>
      <c r="N1637" s="16" t="n">
        <f aca="false">J1637-K1637-L1637-M1637</f>
        <v>61241.4804246575</v>
      </c>
      <c r="O1637" s="16" t="n">
        <f aca="false">F1637*IF(A1637="2025",INDEX(Products!$D$2:$D$13,MATCH(D1637,Products!$A$2:$A$13,0)),INDEX(Products!$F$2:$F$13,MATCH(D1637,Products!$A$2:$A$13,0)))</f>
        <v>46995</v>
      </c>
      <c r="P1637" s="16" t="n">
        <f aca="false">N1637-O1637</f>
        <v>14246.4804246575</v>
      </c>
    </row>
    <row r="1638" customFormat="false" ht="15" hidden="false" customHeight="false" outlineLevel="0" collapsed="false">
      <c r="A1638" s="2" t="s">
        <v>118</v>
      </c>
      <c r="B1638" s="2" t="n">
        <v>5</v>
      </c>
      <c r="C1638" s="2" t="s">
        <v>86</v>
      </c>
      <c r="D1638" s="2" t="s">
        <v>37</v>
      </c>
      <c r="E1638" s="2" t="str">
        <f aca="false">INDEX(Products!$B$2:$B$13,MATCH(D1638,Products!$A$2:$A$13,0))</f>
        <v>FCC</v>
      </c>
      <c r="F1638" s="15" t="n">
        <v>17.2</v>
      </c>
      <c r="G1638" s="16" t="n">
        <f aca="false">IF(A1638="2025",INDEX(Products!$C$2:$C$13,MATCH(D1638,Products!$A$2:$A$13,0)),INDEX(Products!$E$2:$E$13,MATCH(D1638,Products!$A$2:$A$13,0)))</f>
        <v>3530</v>
      </c>
      <c r="H1638" s="13" t="n">
        <f aca="false">IF(A1638="2025",INDEX(Customers!$D$2:$D$41,MATCH(C1638,Customers!$A$2:$A$41,0)),INDEX(Customers!$F$2:$F$41,MATCH(C1638,Customers!$A$2:$A$41,0)))</f>
        <v>0.03</v>
      </c>
      <c r="I1638" s="16" t="n">
        <f aca="false">F1638*G1638</f>
        <v>60716</v>
      </c>
      <c r="J1638" s="16" t="n">
        <f aca="false">I1638*(1-H1638)</f>
        <v>58894.52</v>
      </c>
      <c r="K1638" s="16" t="n">
        <f aca="false">J1638*INDEX(Customers!$G$2:$G$41,MATCH(C1638,Customers!$A$2:$A$41,0))</f>
        <v>1177.8904</v>
      </c>
      <c r="L1638" s="16" t="n">
        <f aca="false">F1638*INDEX(Customers!$H$2:$H$41,MATCH(C1638,Customers!$A$2:$A$41,0))</f>
        <v>2924</v>
      </c>
      <c r="M1638" s="16" t="n">
        <f aca="false">J1638*INDEX(Customers!$I$2:$I$41,MATCH(C1638,Customers!$A$2:$A$41,0))/365*Assumptions!$B$6</f>
        <v>774.503276712329</v>
      </c>
      <c r="N1638" s="16" t="n">
        <f aca="false">J1638-K1638-L1638-M1638</f>
        <v>54018.1263232877</v>
      </c>
      <c r="O1638" s="16" t="n">
        <f aca="false">F1638*IF(A1638="2025",INDEX(Products!$D$2:$D$13,MATCH(D1638,Products!$A$2:$A$13,0)),INDEX(Products!$F$2:$F$13,MATCH(D1638,Products!$A$2:$A$13,0)))</f>
        <v>41452</v>
      </c>
      <c r="P1638" s="16" t="n">
        <f aca="false">N1638-O1638</f>
        <v>12566.1263232877</v>
      </c>
    </row>
    <row r="1639" customFormat="false" ht="15" hidden="false" customHeight="false" outlineLevel="0" collapsed="false">
      <c r="A1639" s="2" t="s">
        <v>118</v>
      </c>
      <c r="B1639" s="2" t="n">
        <v>6</v>
      </c>
      <c r="C1639" s="2" t="s">
        <v>86</v>
      </c>
      <c r="D1639" s="2" t="s">
        <v>37</v>
      </c>
      <c r="E1639" s="2" t="str">
        <f aca="false">INDEX(Products!$B$2:$B$13,MATCH(D1639,Products!$A$2:$A$13,0))</f>
        <v>FCC</v>
      </c>
      <c r="F1639" s="15" t="n">
        <v>15.2</v>
      </c>
      <c r="G1639" s="16" t="n">
        <f aca="false">IF(A1639="2025",INDEX(Products!$C$2:$C$13,MATCH(D1639,Products!$A$2:$A$13,0)),INDEX(Products!$E$2:$E$13,MATCH(D1639,Products!$A$2:$A$13,0)))</f>
        <v>3530</v>
      </c>
      <c r="H1639" s="13" t="n">
        <f aca="false">IF(A1639="2025",INDEX(Customers!$D$2:$D$41,MATCH(C1639,Customers!$A$2:$A$41,0)),INDEX(Customers!$F$2:$F$41,MATCH(C1639,Customers!$A$2:$A$41,0)))</f>
        <v>0.03</v>
      </c>
      <c r="I1639" s="16" t="n">
        <f aca="false">F1639*G1639</f>
        <v>53656</v>
      </c>
      <c r="J1639" s="16" t="n">
        <f aca="false">I1639*(1-H1639)</f>
        <v>52046.32</v>
      </c>
      <c r="K1639" s="16" t="n">
        <f aca="false">J1639*INDEX(Customers!$G$2:$G$41,MATCH(C1639,Customers!$A$2:$A$41,0))</f>
        <v>1040.9264</v>
      </c>
      <c r="L1639" s="16" t="n">
        <f aca="false">F1639*INDEX(Customers!$H$2:$H$41,MATCH(C1639,Customers!$A$2:$A$41,0))</f>
        <v>2584</v>
      </c>
      <c r="M1639" s="16" t="n">
        <f aca="false">J1639*INDEX(Customers!$I$2:$I$41,MATCH(C1639,Customers!$A$2:$A$41,0))/365*Assumptions!$B$6</f>
        <v>684.444756164384</v>
      </c>
      <c r="N1639" s="16" t="n">
        <f aca="false">J1639-K1639-L1639-M1639</f>
        <v>47736.9488438356</v>
      </c>
      <c r="O1639" s="16" t="n">
        <f aca="false">F1639*IF(A1639="2025",INDEX(Products!$D$2:$D$13,MATCH(D1639,Products!$A$2:$A$13,0)),INDEX(Products!$F$2:$F$13,MATCH(D1639,Products!$A$2:$A$13,0)))</f>
        <v>36632</v>
      </c>
      <c r="P1639" s="16" t="n">
        <f aca="false">N1639-O1639</f>
        <v>11104.9488438356</v>
      </c>
    </row>
    <row r="1640" customFormat="false" ht="15" hidden="false" customHeight="false" outlineLevel="0" collapsed="false">
      <c r="A1640" s="2" t="s">
        <v>118</v>
      </c>
      <c r="B1640" s="2" t="n">
        <v>7</v>
      </c>
      <c r="C1640" s="2" t="s">
        <v>86</v>
      </c>
      <c r="D1640" s="2" t="s">
        <v>37</v>
      </c>
      <c r="E1640" s="2" t="str">
        <f aca="false">INDEX(Products!$B$2:$B$13,MATCH(D1640,Products!$A$2:$A$13,0))</f>
        <v>FCC</v>
      </c>
      <c r="F1640" s="15" t="n">
        <v>13.9</v>
      </c>
      <c r="G1640" s="16" t="n">
        <f aca="false">IF(A1640="2025",INDEX(Products!$C$2:$C$13,MATCH(D1640,Products!$A$2:$A$13,0)),INDEX(Products!$E$2:$E$13,MATCH(D1640,Products!$A$2:$A$13,0)))</f>
        <v>3530</v>
      </c>
      <c r="H1640" s="13" t="n">
        <f aca="false">IF(A1640="2025",INDEX(Customers!$D$2:$D$41,MATCH(C1640,Customers!$A$2:$A$41,0)),INDEX(Customers!$F$2:$F$41,MATCH(C1640,Customers!$A$2:$A$41,0)))</f>
        <v>0.03</v>
      </c>
      <c r="I1640" s="16" t="n">
        <f aca="false">F1640*G1640</f>
        <v>49067</v>
      </c>
      <c r="J1640" s="16" t="n">
        <f aca="false">I1640*(1-H1640)</f>
        <v>47594.99</v>
      </c>
      <c r="K1640" s="16" t="n">
        <f aca="false">J1640*INDEX(Customers!$G$2:$G$41,MATCH(C1640,Customers!$A$2:$A$41,0))</f>
        <v>951.8998</v>
      </c>
      <c r="L1640" s="16" t="n">
        <f aca="false">F1640*INDEX(Customers!$H$2:$H$41,MATCH(C1640,Customers!$A$2:$A$41,0))</f>
        <v>2363</v>
      </c>
      <c r="M1640" s="16" t="n">
        <f aca="false">J1640*INDEX(Customers!$I$2:$I$41,MATCH(C1640,Customers!$A$2:$A$41,0))/365*Assumptions!$B$6</f>
        <v>625.906717808219</v>
      </c>
      <c r="N1640" s="16" t="n">
        <f aca="false">J1640-K1640-L1640-M1640</f>
        <v>43654.1834821918</v>
      </c>
      <c r="O1640" s="16" t="n">
        <f aca="false">F1640*IF(A1640="2025",INDEX(Products!$D$2:$D$13,MATCH(D1640,Products!$A$2:$A$13,0)),INDEX(Products!$F$2:$F$13,MATCH(D1640,Products!$A$2:$A$13,0)))</f>
        <v>33499</v>
      </c>
      <c r="P1640" s="16" t="n">
        <f aca="false">N1640-O1640</f>
        <v>10155.1834821918</v>
      </c>
    </row>
    <row r="1641" customFormat="false" ht="15" hidden="false" customHeight="false" outlineLevel="0" collapsed="false">
      <c r="A1641" s="2" t="s">
        <v>118</v>
      </c>
      <c r="B1641" s="2" t="n">
        <v>8</v>
      </c>
      <c r="C1641" s="2" t="s">
        <v>86</v>
      </c>
      <c r="D1641" s="2" t="s">
        <v>37</v>
      </c>
      <c r="E1641" s="2" t="str">
        <f aca="false">INDEX(Products!$B$2:$B$13,MATCH(D1641,Products!$A$2:$A$13,0))</f>
        <v>FCC</v>
      </c>
      <c r="F1641" s="15" t="n">
        <v>20.3</v>
      </c>
      <c r="G1641" s="16" t="n">
        <f aca="false">IF(A1641="2025",INDEX(Products!$C$2:$C$13,MATCH(D1641,Products!$A$2:$A$13,0)),INDEX(Products!$E$2:$E$13,MATCH(D1641,Products!$A$2:$A$13,0)))</f>
        <v>3530</v>
      </c>
      <c r="H1641" s="13" t="n">
        <f aca="false">IF(A1641="2025",INDEX(Customers!$D$2:$D$41,MATCH(C1641,Customers!$A$2:$A$41,0)),INDEX(Customers!$F$2:$F$41,MATCH(C1641,Customers!$A$2:$A$41,0)))</f>
        <v>0.03</v>
      </c>
      <c r="I1641" s="16" t="n">
        <f aca="false">F1641*G1641</f>
        <v>71659</v>
      </c>
      <c r="J1641" s="16" t="n">
        <f aca="false">I1641*(1-H1641)</f>
        <v>69509.23</v>
      </c>
      <c r="K1641" s="16" t="n">
        <f aca="false">J1641*INDEX(Customers!$G$2:$G$41,MATCH(C1641,Customers!$A$2:$A$41,0))</f>
        <v>1390.1846</v>
      </c>
      <c r="L1641" s="16" t="n">
        <f aca="false">F1641*INDEX(Customers!$H$2:$H$41,MATCH(C1641,Customers!$A$2:$A$41,0))</f>
        <v>3451</v>
      </c>
      <c r="M1641" s="16" t="n">
        <f aca="false">J1641*INDEX(Customers!$I$2:$I$41,MATCH(C1641,Customers!$A$2:$A$41,0))/365*Assumptions!$B$6</f>
        <v>914.093983561644</v>
      </c>
      <c r="N1641" s="16" t="n">
        <f aca="false">J1641-K1641-L1641-M1641</f>
        <v>63753.9514164384</v>
      </c>
      <c r="O1641" s="16" t="n">
        <f aca="false">F1641*IF(A1641="2025",INDEX(Products!$D$2:$D$13,MATCH(D1641,Products!$A$2:$A$13,0)),INDEX(Products!$F$2:$F$13,MATCH(D1641,Products!$A$2:$A$13,0)))</f>
        <v>48923</v>
      </c>
      <c r="P1641" s="16" t="n">
        <f aca="false">N1641-O1641</f>
        <v>14830.9514164384</v>
      </c>
    </row>
    <row r="1642" customFormat="false" ht="15" hidden="false" customHeight="false" outlineLevel="0" collapsed="false">
      <c r="A1642" s="2" t="s">
        <v>118</v>
      </c>
      <c r="B1642" s="2" t="n">
        <v>9</v>
      </c>
      <c r="C1642" s="2" t="s">
        <v>86</v>
      </c>
      <c r="D1642" s="2" t="s">
        <v>37</v>
      </c>
      <c r="E1642" s="2" t="str">
        <f aca="false">INDEX(Products!$B$2:$B$13,MATCH(D1642,Products!$A$2:$A$13,0))</f>
        <v>FCC</v>
      </c>
      <c r="F1642" s="15" t="n">
        <v>12.5</v>
      </c>
      <c r="G1642" s="16" t="n">
        <f aca="false">IF(A1642="2025",INDEX(Products!$C$2:$C$13,MATCH(D1642,Products!$A$2:$A$13,0)),INDEX(Products!$E$2:$E$13,MATCH(D1642,Products!$A$2:$A$13,0)))</f>
        <v>3530</v>
      </c>
      <c r="H1642" s="13" t="n">
        <f aca="false">IF(A1642="2025",INDEX(Customers!$D$2:$D$41,MATCH(C1642,Customers!$A$2:$A$41,0)),INDEX(Customers!$F$2:$F$41,MATCH(C1642,Customers!$A$2:$A$41,0)))</f>
        <v>0.03</v>
      </c>
      <c r="I1642" s="16" t="n">
        <f aca="false">F1642*G1642</f>
        <v>44125</v>
      </c>
      <c r="J1642" s="16" t="n">
        <f aca="false">I1642*(1-H1642)</f>
        <v>42801.25</v>
      </c>
      <c r="K1642" s="16" t="n">
        <f aca="false">J1642*INDEX(Customers!$G$2:$G$41,MATCH(C1642,Customers!$A$2:$A$41,0))</f>
        <v>856.025</v>
      </c>
      <c r="L1642" s="16" t="n">
        <f aca="false">F1642*INDEX(Customers!$H$2:$H$41,MATCH(C1642,Customers!$A$2:$A$41,0))</f>
        <v>2125</v>
      </c>
      <c r="M1642" s="16" t="n">
        <f aca="false">J1642*INDEX(Customers!$I$2:$I$41,MATCH(C1642,Customers!$A$2:$A$41,0))/365*Assumptions!$B$6</f>
        <v>562.865753424658</v>
      </c>
      <c r="N1642" s="16" t="n">
        <f aca="false">J1642-K1642-L1642-M1642</f>
        <v>39257.3592465753</v>
      </c>
      <c r="O1642" s="16" t="n">
        <f aca="false">F1642*IF(A1642="2025",INDEX(Products!$D$2:$D$13,MATCH(D1642,Products!$A$2:$A$13,0)),INDEX(Products!$F$2:$F$13,MATCH(D1642,Products!$A$2:$A$13,0)))</f>
        <v>30125</v>
      </c>
      <c r="P1642" s="16" t="n">
        <f aca="false">N1642-O1642</f>
        <v>9132.35924657534</v>
      </c>
    </row>
    <row r="1643" customFormat="false" ht="15" hidden="false" customHeight="false" outlineLevel="0" collapsed="false">
      <c r="A1643" s="2" t="s">
        <v>118</v>
      </c>
      <c r="B1643" s="2" t="n">
        <v>10</v>
      </c>
      <c r="C1643" s="2" t="s">
        <v>86</v>
      </c>
      <c r="D1643" s="2" t="s">
        <v>37</v>
      </c>
      <c r="E1643" s="2" t="str">
        <f aca="false">INDEX(Products!$B$2:$B$13,MATCH(D1643,Products!$A$2:$A$13,0))</f>
        <v>FCC</v>
      </c>
      <c r="F1643" s="15" t="n">
        <v>17.9</v>
      </c>
      <c r="G1643" s="16" t="n">
        <f aca="false">IF(A1643="2025",INDEX(Products!$C$2:$C$13,MATCH(D1643,Products!$A$2:$A$13,0)),INDEX(Products!$E$2:$E$13,MATCH(D1643,Products!$A$2:$A$13,0)))</f>
        <v>3530</v>
      </c>
      <c r="H1643" s="13" t="n">
        <f aca="false">IF(A1643="2025",INDEX(Customers!$D$2:$D$41,MATCH(C1643,Customers!$A$2:$A$41,0)),INDEX(Customers!$F$2:$F$41,MATCH(C1643,Customers!$A$2:$A$41,0)))</f>
        <v>0.03</v>
      </c>
      <c r="I1643" s="16" t="n">
        <f aca="false">F1643*G1643</f>
        <v>63187</v>
      </c>
      <c r="J1643" s="16" t="n">
        <f aca="false">I1643*(1-H1643)</f>
        <v>61291.39</v>
      </c>
      <c r="K1643" s="16" t="n">
        <f aca="false">J1643*INDEX(Customers!$G$2:$G$41,MATCH(C1643,Customers!$A$2:$A$41,0))</f>
        <v>1225.8278</v>
      </c>
      <c r="L1643" s="16" t="n">
        <f aca="false">F1643*INDEX(Customers!$H$2:$H$41,MATCH(C1643,Customers!$A$2:$A$41,0))</f>
        <v>3043</v>
      </c>
      <c r="M1643" s="16" t="n">
        <f aca="false">J1643*INDEX(Customers!$I$2:$I$41,MATCH(C1643,Customers!$A$2:$A$41,0))/365*Assumptions!$B$6</f>
        <v>806.023758904109</v>
      </c>
      <c r="N1643" s="16" t="n">
        <f aca="false">J1643-K1643-L1643-M1643</f>
        <v>56216.5384410959</v>
      </c>
      <c r="O1643" s="16" t="n">
        <f aca="false">F1643*IF(A1643="2025",INDEX(Products!$D$2:$D$13,MATCH(D1643,Products!$A$2:$A$13,0)),INDEX(Products!$F$2:$F$13,MATCH(D1643,Products!$A$2:$A$13,0)))</f>
        <v>43139</v>
      </c>
      <c r="P1643" s="16" t="n">
        <f aca="false">N1643-O1643</f>
        <v>13077.5384410959</v>
      </c>
    </row>
    <row r="1644" customFormat="false" ht="15" hidden="false" customHeight="false" outlineLevel="0" collapsed="false">
      <c r="A1644" s="2" t="s">
        <v>118</v>
      </c>
      <c r="B1644" s="2" t="n">
        <v>11</v>
      </c>
      <c r="C1644" s="2" t="s">
        <v>86</v>
      </c>
      <c r="D1644" s="2" t="s">
        <v>37</v>
      </c>
      <c r="E1644" s="2" t="str">
        <f aca="false">INDEX(Products!$B$2:$B$13,MATCH(D1644,Products!$A$2:$A$13,0))</f>
        <v>FCC</v>
      </c>
      <c r="F1644" s="15" t="n">
        <v>22.8</v>
      </c>
      <c r="G1644" s="16" t="n">
        <f aca="false">IF(A1644="2025",INDEX(Products!$C$2:$C$13,MATCH(D1644,Products!$A$2:$A$13,0)),INDEX(Products!$E$2:$E$13,MATCH(D1644,Products!$A$2:$A$13,0)))</f>
        <v>3530</v>
      </c>
      <c r="H1644" s="13" t="n">
        <f aca="false">IF(A1644="2025",INDEX(Customers!$D$2:$D$41,MATCH(C1644,Customers!$A$2:$A$41,0)),INDEX(Customers!$F$2:$F$41,MATCH(C1644,Customers!$A$2:$A$41,0)))</f>
        <v>0.03</v>
      </c>
      <c r="I1644" s="16" t="n">
        <f aca="false">F1644*G1644</f>
        <v>80484</v>
      </c>
      <c r="J1644" s="16" t="n">
        <f aca="false">I1644*(1-H1644)</f>
        <v>78069.48</v>
      </c>
      <c r="K1644" s="16" t="n">
        <f aca="false">J1644*INDEX(Customers!$G$2:$G$41,MATCH(C1644,Customers!$A$2:$A$41,0))</f>
        <v>1561.3896</v>
      </c>
      <c r="L1644" s="16" t="n">
        <f aca="false">F1644*INDEX(Customers!$H$2:$H$41,MATCH(C1644,Customers!$A$2:$A$41,0))</f>
        <v>3876</v>
      </c>
      <c r="M1644" s="16" t="n">
        <f aca="false">J1644*INDEX(Customers!$I$2:$I$41,MATCH(C1644,Customers!$A$2:$A$41,0))/365*Assumptions!$B$6</f>
        <v>1026.66713424658</v>
      </c>
      <c r="N1644" s="16" t="n">
        <f aca="false">J1644-K1644-L1644-M1644</f>
        <v>71605.4232657534</v>
      </c>
      <c r="O1644" s="16" t="n">
        <f aca="false">F1644*IF(A1644="2025",INDEX(Products!$D$2:$D$13,MATCH(D1644,Products!$A$2:$A$13,0)),INDEX(Products!$F$2:$F$13,MATCH(D1644,Products!$A$2:$A$13,0)))</f>
        <v>54948</v>
      </c>
      <c r="P1644" s="16" t="n">
        <f aca="false">N1644-O1644</f>
        <v>16657.4232657534</v>
      </c>
    </row>
    <row r="1645" customFormat="false" ht="15" hidden="false" customHeight="false" outlineLevel="0" collapsed="false">
      <c r="A1645" s="2" t="s">
        <v>118</v>
      </c>
      <c r="B1645" s="2" t="n">
        <v>12</v>
      </c>
      <c r="C1645" s="2" t="s">
        <v>86</v>
      </c>
      <c r="D1645" s="2" t="s">
        <v>37</v>
      </c>
      <c r="E1645" s="2" t="str">
        <f aca="false">INDEX(Products!$B$2:$B$13,MATCH(D1645,Products!$A$2:$A$13,0))</f>
        <v>FCC</v>
      </c>
      <c r="F1645" s="15" t="n">
        <v>19.9</v>
      </c>
      <c r="G1645" s="16" t="n">
        <f aca="false">IF(A1645="2025",INDEX(Products!$C$2:$C$13,MATCH(D1645,Products!$A$2:$A$13,0)),INDEX(Products!$E$2:$E$13,MATCH(D1645,Products!$A$2:$A$13,0)))</f>
        <v>3530</v>
      </c>
      <c r="H1645" s="13" t="n">
        <f aca="false">IF(A1645="2025",INDEX(Customers!$D$2:$D$41,MATCH(C1645,Customers!$A$2:$A$41,0)),INDEX(Customers!$F$2:$F$41,MATCH(C1645,Customers!$A$2:$A$41,0)))</f>
        <v>0.03</v>
      </c>
      <c r="I1645" s="16" t="n">
        <f aca="false">F1645*G1645</f>
        <v>70247</v>
      </c>
      <c r="J1645" s="16" t="n">
        <f aca="false">I1645*(1-H1645)</f>
        <v>68139.59</v>
      </c>
      <c r="K1645" s="16" t="n">
        <f aca="false">J1645*INDEX(Customers!$G$2:$G$41,MATCH(C1645,Customers!$A$2:$A$41,0))</f>
        <v>1362.7918</v>
      </c>
      <c r="L1645" s="16" t="n">
        <f aca="false">F1645*INDEX(Customers!$H$2:$H$41,MATCH(C1645,Customers!$A$2:$A$41,0))</f>
        <v>3383</v>
      </c>
      <c r="M1645" s="16" t="n">
        <f aca="false">J1645*INDEX(Customers!$I$2:$I$41,MATCH(C1645,Customers!$A$2:$A$41,0))/365*Assumptions!$B$6</f>
        <v>896.082279452055</v>
      </c>
      <c r="N1645" s="16" t="n">
        <f aca="false">J1645-K1645-L1645-M1645</f>
        <v>62497.7159205479</v>
      </c>
      <c r="O1645" s="16" t="n">
        <f aca="false">F1645*IF(A1645="2025",INDEX(Products!$D$2:$D$13,MATCH(D1645,Products!$A$2:$A$13,0)),INDEX(Products!$F$2:$F$13,MATCH(D1645,Products!$A$2:$A$13,0)))</f>
        <v>47959</v>
      </c>
      <c r="P1645" s="16" t="n">
        <f aca="false">N1645-O1645</f>
        <v>14538.7159205479</v>
      </c>
    </row>
    <row r="1646" customFormat="false" ht="15" hidden="false" customHeight="false" outlineLevel="0" collapsed="false">
      <c r="A1646" s="2" t="s">
        <v>119</v>
      </c>
      <c r="B1646" s="2" t="n">
        <v>1</v>
      </c>
      <c r="C1646" s="2" t="s">
        <v>86</v>
      </c>
      <c r="D1646" s="2" t="s">
        <v>37</v>
      </c>
      <c r="E1646" s="2" t="str">
        <f aca="false">INDEX(Products!$B$2:$B$13,MATCH(D1646,Products!$A$2:$A$13,0))</f>
        <v>FCC</v>
      </c>
      <c r="F1646" s="15" t="n">
        <v>14.1</v>
      </c>
      <c r="G1646" s="16" t="n">
        <f aca="false">IF(A1646="2025",INDEX(Products!$C$2:$C$13,MATCH(D1646,Products!$A$2:$A$13,0)),INDEX(Products!$E$2:$E$13,MATCH(D1646,Products!$A$2:$A$13,0)))</f>
        <v>3706.5</v>
      </c>
      <c r="H1646" s="13" t="n">
        <f aca="false">IF(A1646="2025",INDEX(Customers!$D$2:$D$41,MATCH(C1646,Customers!$A$2:$A$41,0)),INDEX(Customers!$F$2:$F$41,MATCH(C1646,Customers!$A$2:$A$41,0)))</f>
        <v>0.048</v>
      </c>
      <c r="I1646" s="16" t="n">
        <f aca="false">F1646*G1646</f>
        <v>52261.65</v>
      </c>
      <c r="J1646" s="16" t="n">
        <f aca="false">I1646*(1-H1646)</f>
        <v>49753.0908</v>
      </c>
      <c r="K1646" s="16" t="n">
        <f aca="false">J1646*INDEX(Customers!$G$2:$G$41,MATCH(C1646,Customers!$A$2:$A$41,0))</f>
        <v>995.061816</v>
      </c>
      <c r="L1646" s="16" t="n">
        <f aca="false">F1646*INDEX(Customers!$H$2:$H$41,MATCH(C1646,Customers!$A$2:$A$41,0))</f>
        <v>2397</v>
      </c>
      <c r="M1646" s="16" t="n">
        <f aca="false">J1646*INDEX(Customers!$I$2:$I$41,MATCH(C1646,Customers!$A$2:$A$41,0))/365*Assumptions!$B$6</f>
        <v>654.287221479452</v>
      </c>
      <c r="N1646" s="16" t="n">
        <f aca="false">J1646-K1646-L1646-M1646</f>
        <v>45706.7417625205</v>
      </c>
      <c r="O1646" s="16" t="n">
        <f aca="false">F1646*IF(A1646="2025",INDEX(Products!$D$2:$D$13,MATCH(D1646,Products!$A$2:$A$13,0)),INDEX(Products!$F$2:$F$13,MATCH(D1646,Products!$A$2:$A$13,0)))</f>
        <v>35000.43</v>
      </c>
      <c r="P1646" s="16" t="n">
        <f aca="false">N1646-O1646</f>
        <v>10706.3117625205</v>
      </c>
    </row>
    <row r="1647" customFormat="false" ht="15" hidden="false" customHeight="false" outlineLevel="0" collapsed="false">
      <c r="A1647" s="2" t="s">
        <v>119</v>
      </c>
      <c r="B1647" s="2" t="n">
        <v>2</v>
      </c>
      <c r="C1647" s="2" t="s">
        <v>86</v>
      </c>
      <c r="D1647" s="2" t="s">
        <v>37</v>
      </c>
      <c r="E1647" s="2" t="str">
        <f aca="false">INDEX(Products!$B$2:$B$13,MATCH(D1647,Products!$A$2:$A$13,0))</f>
        <v>FCC</v>
      </c>
      <c r="F1647" s="15" t="n">
        <v>21.3</v>
      </c>
      <c r="G1647" s="16" t="n">
        <f aca="false">IF(A1647="2025",INDEX(Products!$C$2:$C$13,MATCH(D1647,Products!$A$2:$A$13,0)),INDEX(Products!$E$2:$E$13,MATCH(D1647,Products!$A$2:$A$13,0)))</f>
        <v>3706.5</v>
      </c>
      <c r="H1647" s="13" t="n">
        <f aca="false">IF(A1647="2025",INDEX(Customers!$D$2:$D$41,MATCH(C1647,Customers!$A$2:$A$41,0)),INDEX(Customers!$F$2:$F$41,MATCH(C1647,Customers!$A$2:$A$41,0)))</f>
        <v>0.048</v>
      </c>
      <c r="I1647" s="16" t="n">
        <f aca="false">F1647*G1647</f>
        <v>78948.45</v>
      </c>
      <c r="J1647" s="16" t="n">
        <f aca="false">I1647*(1-H1647)</f>
        <v>75158.9244</v>
      </c>
      <c r="K1647" s="16" t="n">
        <f aca="false">J1647*INDEX(Customers!$G$2:$G$41,MATCH(C1647,Customers!$A$2:$A$41,0))</f>
        <v>1503.178488</v>
      </c>
      <c r="L1647" s="16" t="n">
        <f aca="false">F1647*INDEX(Customers!$H$2:$H$41,MATCH(C1647,Customers!$A$2:$A$41,0))</f>
        <v>3621</v>
      </c>
      <c r="M1647" s="16" t="n">
        <f aca="false">J1647*INDEX(Customers!$I$2:$I$41,MATCH(C1647,Customers!$A$2:$A$41,0))/365*Assumptions!$B$6</f>
        <v>988.391334575342</v>
      </c>
      <c r="N1647" s="16" t="n">
        <f aca="false">J1647-K1647-L1647-M1647</f>
        <v>69046.3545774246</v>
      </c>
      <c r="O1647" s="16" t="n">
        <f aca="false">F1647*IF(A1647="2025",INDEX(Products!$D$2:$D$13,MATCH(D1647,Products!$A$2:$A$13,0)),INDEX(Products!$F$2:$F$13,MATCH(D1647,Products!$A$2:$A$13,0)))</f>
        <v>52872.99</v>
      </c>
      <c r="P1647" s="16" t="n">
        <f aca="false">N1647-O1647</f>
        <v>16173.3645774246</v>
      </c>
    </row>
    <row r="1648" customFormat="false" ht="15" hidden="false" customHeight="false" outlineLevel="0" collapsed="false">
      <c r="A1648" s="2" t="s">
        <v>119</v>
      </c>
      <c r="B1648" s="2" t="n">
        <v>3</v>
      </c>
      <c r="C1648" s="2" t="s">
        <v>86</v>
      </c>
      <c r="D1648" s="2" t="s">
        <v>37</v>
      </c>
      <c r="E1648" s="2" t="str">
        <f aca="false">INDEX(Products!$B$2:$B$13,MATCH(D1648,Products!$A$2:$A$13,0))</f>
        <v>FCC</v>
      </c>
      <c r="F1648" s="15" t="n">
        <v>19.2</v>
      </c>
      <c r="G1648" s="16" t="n">
        <f aca="false">IF(A1648="2025",INDEX(Products!$C$2:$C$13,MATCH(D1648,Products!$A$2:$A$13,0)),INDEX(Products!$E$2:$E$13,MATCH(D1648,Products!$A$2:$A$13,0)))</f>
        <v>3706.5</v>
      </c>
      <c r="H1648" s="13" t="n">
        <f aca="false">IF(A1648="2025",INDEX(Customers!$D$2:$D$41,MATCH(C1648,Customers!$A$2:$A$41,0)),INDEX(Customers!$F$2:$F$41,MATCH(C1648,Customers!$A$2:$A$41,0)))</f>
        <v>0.048</v>
      </c>
      <c r="I1648" s="16" t="n">
        <f aca="false">F1648*G1648</f>
        <v>71164.8</v>
      </c>
      <c r="J1648" s="16" t="n">
        <f aca="false">I1648*(1-H1648)</f>
        <v>67748.8896</v>
      </c>
      <c r="K1648" s="16" t="n">
        <f aca="false">J1648*INDEX(Customers!$G$2:$G$41,MATCH(C1648,Customers!$A$2:$A$41,0))</f>
        <v>1354.977792</v>
      </c>
      <c r="L1648" s="16" t="n">
        <f aca="false">F1648*INDEX(Customers!$H$2:$H$41,MATCH(C1648,Customers!$A$2:$A$41,0))</f>
        <v>3264</v>
      </c>
      <c r="M1648" s="16" t="n">
        <f aca="false">J1648*INDEX(Customers!$I$2:$I$41,MATCH(C1648,Customers!$A$2:$A$41,0))/365*Assumptions!$B$6</f>
        <v>890.944301589041</v>
      </c>
      <c r="N1648" s="16" t="n">
        <f aca="false">J1648-K1648-L1648-M1648</f>
        <v>62238.967506411</v>
      </c>
      <c r="O1648" s="16" t="n">
        <f aca="false">F1648*IF(A1648="2025",INDEX(Products!$D$2:$D$13,MATCH(D1648,Products!$A$2:$A$13,0)),INDEX(Products!$F$2:$F$13,MATCH(D1648,Products!$A$2:$A$13,0)))</f>
        <v>47660.16</v>
      </c>
      <c r="P1648" s="16" t="n">
        <f aca="false">N1648-O1648</f>
        <v>14578.8075064109</v>
      </c>
    </row>
    <row r="1649" customFormat="false" ht="15" hidden="false" customHeight="false" outlineLevel="0" collapsed="false">
      <c r="A1649" s="2" t="s">
        <v>119</v>
      </c>
      <c r="B1649" s="2" t="n">
        <v>4</v>
      </c>
      <c r="C1649" s="2" t="s">
        <v>86</v>
      </c>
      <c r="D1649" s="2" t="s">
        <v>37</v>
      </c>
      <c r="E1649" s="2" t="str">
        <f aca="false">INDEX(Products!$B$2:$B$13,MATCH(D1649,Products!$A$2:$A$13,0))</f>
        <v>FCC</v>
      </c>
      <c r="F1649" s="15" t="n">
        <v>20.6</v>
      </c>
      <c r="G1649" s="16" t="n">
        <f aca="false">IF(A1649="2025",INDEX(Products!$C$2:$C$13,MATCH(D1649,Products!$A$2:$A$13,0)),INDEX(Products!$E$2:$E$13,MATCH(D1649,Products!$A$2:$A$13,0)))</f>
        <v>3706.5</v>
      </c>
      <c r="H1649" s="13" t="n">
        <f aca="false">IF(A1649="2025",INDEX(Customers!$D$2:$D$41,MATCH(C1649,Customers!$A$2:$A$41,0)),INDEX(Customers!$F$2:$F$41,MATCH(C1649,Customers!$A$2:$A$41,0)))</f>
        <v>0.048</v>
      </c>
      <c r="I1649" s="16" t="n">
        <f aca="false">F1649*G1649</f>
        <v>76353.9</v>
      </c>
      <c r="J1649" s="16" t="n">
        <f aca="false">I1649*(1-H1649)</f>
        <v>72688.9128</v>
      </c>
      <c r="K1649" s="16" t="n">
        <f aca="false">J1649*INDEX(Customers!$G$2:$G$41,MATCH(C1649,Customers!$A$2:$A$41,0))</f>
        <v>1453.778256</v>
      </c>
      <c r="L1649" s="16" t="n">
        <f aca="false">F1649*INDEX(Customers!$H$2:$H$41,MATCH(C1649,Customers!$A$2:$A$41,0))</f>
        <v>3502</v>
      </c>
      <c r="M1649" s="16" t="n">
        <f aca="false">J1649*INDEX(Customers!$I$2:$I$41,MATCH(C1649,Customers!$A$2:$A$41,0))/365*Assumptions!$B$6</f>
        <v>955.908990246575</v>
      </c>
      <c r="N1649" s="16" t="n">
        <f aca="false">J1649-K1649-L1649-M1649</f>
        <v>66777.2255537534</v>
      </c>
      <c r="O1649" s="16" t="n">
        <f aca="false">F1649*IF(A1649="2025",INDEX(Products!$D$2:$D$13,MATCH(D1649,Products!$A$2:$A$13,0)),INDEX(Products!$F$2:$F$13,MATCH(D1649,Products!$A$2:$A$13,0)))</f>
        <v>51135.38</v>
      </c>
      <c r="P1649" s="16" t="n">
        <f aca="false">N1649-O1649</f>
        <v>15641.8455537534</v>
      </c>
    </row>
    <row r="1650" customFormat="false" ht="15" hidden="false" customHeight="false" outlineLevel="0" collapsed="false">
      <c r="A1650" s="2" t="s">
        <v>119</v>
      </c>
      <c r="B1650" s="2" t="n">
        <v>5</v>
      </c>
      <c r="C1650" s="2" t="s">
        <v>86</v>
      </c>
      <c r="D1650" s="2" t="s">
        <v>37</v>
      </c>
      <c r="E1650" s="2" t="str">
        <f aca="false">INDEX(Products!$B$2:$B$13,MATCH(D1650,Products!$A$2:$A$13,0))</f>
        <v>FCC</v>
      </c>
      <c r="F1650" s="15" t="n">
        <v>15.1</v>
      </c>
      <c r="G1650" s="16" t="n">
        <f aca="false">IF(A1650="2025",INDEX(Products!$C$2:$C$13,MATCH(D1650,Products!$A$2:$A$13,0)),INDEX(Products!$E$2:$E$13,MATCH(D1650,Products!$A$2:$A$13,0)))</f>
        <v>3706.5</v>
      </c>
      <c r="H1650" s="13" t="n">
        <f aca="false">IF(A1650="2025",INDEX(Customers!$D$2:$D$41,MATCH(C1650,Customers!$A$2:$A$41,0)),INDEX(Customers!$F$2:$F$41,MATCH(C1650,Customers!$A$2:$A$41,0)))</f>
        <v>0.048</v>
      </c>
      <c r="I1650" s="16" t="n">
        <f aca="false">F1650*G1650</f>
        <v>55968.15</v>
      </c>
      <c r="J1650" s="16" t="n">
        <f aca="false">I1650*(1-H1650)</f>
        <v>53281.6788</v>
      </c>
      <c r="K1650" s="16" t="n">
        <f aca="false">J1650*INDEX(Customers!$G$2:$G$41,MATCH(C1650,Customers!$A$2:$A$41,0))</f>
        <v>1065.633576</v>
      </c>
      <c r="L1650" s="16" t="n">
        <f aca="false">F1650*INDEX(Customers!$H$2:$H$41,MATCH(C1650,Customers!$A$2:$A$41,0))</f>
        <v>2567</v>
      </c>
      <c r="M1650" s="16" t="n">
        <f aca="false">J1650*INDEX(Customers!$I$2:$I$41,MATCH(C1650,Customers!$A$2:$A$41,0))/365*Assumptions!$B$6</f>
        <v>700.690570520548</v>
      </c>
      <c r="N1650" s="16" t="n">
        <f aca="false">J1650-K1650-L1650-M1650</f>
        <v>48948.3546534795</v>
      </c>
      <c r="O1650" s="16" t="n">
        <f aca="false">F1650*IF(A1650="2025",INDEX(Products!$D$2:$D$13,MATCH(D1650,Products!$A$2:$A$13,0)),INDEX(Products!$F$2:$F$13,MATCH(D1650,Products!$A$2:$A$13,0)))</f>
        <v>37482.73</v>
      </c>
      <c r="P1650" s="16" t="n">
        <f aca="false">N1650-O1650</f>
        <v>11465.6246534794</v>
      </c>
    </row>
    <row r="1651" customFormat="false" ht="15" hidden="false" customHeight="false" outlineLevel="0" collapsed="false">
      <c r="A1651" s="2" t="s">
        <v>119</v>
      </c>
      <c r="B1651" s="2" t="n">
        <v>6</v>
      </c>
      <c r="C1651" s="2" t="s">
        <v>86</v>
      </c>
      <c r="D1651" s="2" t="s">
        <v>37</v>
      </c>
      <c r="E1651" s="2" t="str">
        <f aca="false">INDEX(Products!$B$2:$B$13,MATCH(D1651,Products!$A$2:$A$13,0))</f>
        <v>FCC</v>
      </c>
      <c r="F1651" s="15" t="n">
        <v>22.3</v>
      </c>
      <c r="G1651" s="16" t="n">
        <f aca="false">IF(A1651="2025",INDEX(Products!$C$2:$C$13,MATCH(D1651,Products!$A$2:$A$13,0)),INDEX(Products!$E$2:$E$13,MATCH(D1651,Products!$A$2:$A$13,0)))</f>
        <v>3706.5</v>
      </c>
      <c r="H1651" s="13" t="n">
        <f aca="false">IF(A1651="2025",INDEX(Customers!$D$2:$D$41,MATCH(C1651,Customers!$A$2:$A$41,0)),INDEX(Customers!$F$2:$F$41,MATCH(C1651,Customers!$A$2:$A$41,0)))</f>
        <v>0.048</v>
      </c>
      <c r="I1651" s="16" t="n">
        <f aca="false">F1651*G1651</f>
        <v>82654.95</v>
      </c>
      <c r="J1651" s="16" t="n">
        <f aca="false">I1651*(1-H1651)</f>
        <v>78687.5124</v>
      </c>
      <c r="K1651" s="16" t="n">
        <f aca="false">J1651*INDEX(Customers!$G$2:$G$41,MATCH(C1651,Customers!$A$2:$A$41,0))</f>
        <v>1573.750248</v>
      </c>
      <c r="L1651" s="16" t="n">
        <f aca="false">F1651*INDEX(Customers!$H$2:$H$41,MATCH(C1651,Customers!$A$2:$A$41,0))</f>
        <v>3791</v>
      </c>
      <c r="M1651" s="16" t="n">
        <f aca="false">J1651*INDEX(Customers!$I$2:$I$41,MATCH(C1651,Customers!$A$2:$A$41,0))/365*Assumptions!$B$6</f>
        <v>1034.79468361644</v>
      </c>
      <c r="N1651" s="16" t="n">
        <f aca="false">J1651-K1651-L1651-M1651</f>
        <v>72287.9674683836</v>
      </c>
      <c r="O1651" s="16" t="n">
        <f aca="false">F1651*IF(A1651="2025",INDEX(Products!$D$2:$D$13,MATCH(D1651,Products!$A$2:$A$13,0)),INDEX(Products!$F$2:$F$13,MATCH(D1651,Products!$A$2:$A$13,0)))</f>
        <v>55355.29</v>
      </c>
      <c r="P1651" s="16" t="n">
        <f aca="false">N1651-O1651</f>
        <v>16932.6774683836</v>
      </c>
    </row>
    <row r="1652" customFormat="false" ht="15" hidden="false" customHeight="false" outlineLevel="0" collapsed="false">
      <c r="A1652" s="2" t="s">
        <v>119</v>
      </c>
      <c r="B1652" s="2" t="n">
        <v>7</v>
      </c>
      <c r="C1652" s="2" t="s">
        <v>86</v>
      </c>
      <c r="D1652" s="2" t="s">
        <v>37</v>
      </c>
      <c r="E1652" s="2" t="str">
        <f aca="false">INDEX(Products!$B$2:$B$13,MATCH(D1652,Products!$A$2:$A$13,0))</f>
        <v>FCC</v>
      </c>
      <c r="F1652" s="15" t="n">
        <v>19.5</v>
      </c>
      <c r="G1652" s="16" t="n">
        <f aca="false">IF(A1652="2025",INDEX(Products!$C$2:$C$13,MATCH(D1652,Products!$A$2:$A$13,0)),INDEX(Products!$E$2:$E$13,MATCH(D1652,Products!$A$2:$A$13,0)))</f>
        <v>3706.5</v>
      </c>
      <c r="H1652" s="13" t="n">
        <f aca="false">IF(A1652="2025",INDEX(Customers!$D$2:$D$41,MATCH(C1652,Customers!$A$2:$A$41,0)),INDEX(Customers!$F$2:$F$41,MATCH(C1652,Customers!$A$2:$A$41,0)))</f>
        <v>0.048</v>
      </c>
      <c r="I1652" s="16" t="n">
        <f aca="false">F1652*G1652</f>
        <v>72276.75</v>
      </c>
      <c r="J1652" s="16" t="n">
        <f aca="false">I1652*(1-H1652)</f>
        <v>68807.466</v>
      </c>
      <c r="K1652" s="16" t="n">
        <f aca="false">J1652*INDEX(Customers!$G$2:$G$41,MATCH(C1652,Customers!$A$2:$A$41,0))</f>
        <v>1376.14932</v>
      </c>
      <c r="L1652" s="16" t="n">
        <f aca="false">F1652*INDEX(Customers!$H$2:$H$41,MATCH(C1652,Customers!$A$2:$A$41,0))</f>
        <v>3315</v>
      </c>
      <c r="M1652" s="16" t="n">
        <f aca="false">J1652*INDEX(Customers!$I$2:$I$41,MATCH(C1652,Customers!$A$2:$A$41,0))/365*Assumptions!$B$6</f>
        <v>904.86530630137</v>
      </c>
      <c r="N1652" s="16" t="n">
        <f aca="false">J1652-K1652-L1652-M1652</f>
        <v>63211.4513736986</v>
      </c>
      <c r="O1652" s="16" t="n">
        <f aca="false">F1652*IF(A1652="2025",INDEX(Products!$D$2:$D$13,MATCH(D1652,Products!$A$2:$A$13,0)),INDEX(Products!$F$2:$F$13,MATCH(D1652,Products!$A$2:$A$13,0)))</f>
        <v>48404.85</v>
      </c>
      <c r="P1652" s="16" t="n">
        <f aca="false">N1652-O1652</f>
        <v>14806.6013736986</v>
      </c>
    </row>
    <row r="1653" customFormat="false" ht="15" hidden="false" customHeight="false" outlineLevel="0" collapsed="false">
      <c r="A1653" s="2" t="s">
        <v>119</v>
      </c>
      <c r="B1653" s="2" t="n">
        <v>8</v>
      </c>
      <c r="C1653" s="2" t="s">
        <v>86</v>
      </c>
      <c r="D1653" s="2" t="s">
        <v>37</v>
      </c>
      <c r="E1653" s="2" t="str">
        <f aca="false">INDEX(Products!$B$2:$B$13,MATCH(D1653,Products!$A$2:$A$13,0))</f>
        <v>FCC</v>
      </c>
      <c r="F1653" s="15" t="n">
        <v>14.8</v>
      </c>
      <c r="G1653" s="16" t="n">
        <f aca="false">IF(A1653="2025",INDEX(Products!$C$2:$C$13,MATCH(D1653,Products!$A$2:$A$13,0)),INDEX(Products!$E$2:$E$13,MATCH(D1653,Products!$A$2:$A$13,0)))</f>
        <v>3706.5</v>
      </c>
      <c r="H1653" s="13" t="n">
        <f aca="false">IF(A1653="2025",INDEX(Customers!$D$2:$D$41,MATCH(C1653,Customers!$A$2:$A$41,0)),INDEX(Customers!$F$2:$F$41,MATCH(C1653,Customers!$A$2:$A$41,0)))</f>
        <v>0.048</v>
      </c>
      <c r="I1653" s="16" t="n">
        <f aca="false">F1653*G1653</f>
        <v>54856.2</v>
      </c>
      <c r="J1653" s="16" t="n">
        <f aca="false">I1653*(1-H1653)</f>
        <v>52223.1024</v>
      </c>
      <c r="K1653" s="16" t="n">
        <f aca="false">J1653*INDEX(Customers!$G$2:$G$41,MATCH(C1653,Customers!$A$2:$A$41,0))</f>
        <v>1044.462048</v>
      </c>
      <c r="L1653" s="16" t="n">
        <f aca="false">F1653*INDEX(Customers!$H$2:$H$41,MATCH(C1653,Customers!$A$2:$A$41,0))</f>
        <v>2516</v>
      </c>
      <c r="M1653" s="16" t="n">
        <f aca="false">J1653*INDEX(Customers!$I$2:$I$41,MATCH(C1653,Customers!$A$2:$A$41,0))/365*Assumptions!$B$6</f>
        <v>686.769565808219</v>
      </c>
      <c r="N1653" s="16" t="n">
        <f aca="false">J1653-K1653-L1653-M1653</f>
        <v>47975.8707861918</v>
      </c>
      <c r="O1653" s="16" t="n">
        <f aca="false">F1653*IF(A1653="2025",INDEX(Products!$D$2:$D$13,MATCH(D1653,Products!$A$2:$A$13,0)),INDEX(Products!$F$2:$F$13,MATCH(D1653,Products!$A$2:$A$13,0)))</f>
        <v>36738.04</v>
      </c>
      <c r="P1653" s="16" t="n">
        <f aca="false">N1653-O1653</f>
        <v>11237.8307861918</v>
      </c>
    </row>
    <row r="1654" customFormat="false" ht="15" hidden="false" customHeight="false" outlineLevel="0" collapsed="false">
      <c r="A1654" s="2" t="s">
        <v>119</v>
      </c>
      <c r="B1654" s="2" t="n">
        <v>9</v>
      </c>
      <c r="C1654" s="2" t="s">
        <v>86</v>
      </c>
      <c r="D1654" s="2" t="s">
        <v>37</v>
      </c>
      <c r="E1654" s="2" t="str">
        <f aca="false">INDEX(Products!$B$2:$B$13,MATCH(D1654,Products!$A$2:$A$13,0))</f>
        <v>FCC</v>
      </c>
      <c r="F1654" s="15" t="n">
        <v>16</v>
      </c>
      <c r="G1654" s="16" t="n">
        <f aca="false">IF(A1654="2025",INDEX(Products!$C$2:$C$13,MATCH(D1654,Products!$A$2:$A$13,0)),INDEX(Products!$E$2:$E$13,MATCH(D1654,Products!$A$2:$A$13,0)))</f>
        <v>3706.5</v>
      </c>
      <c r="H1654" s="13" t="n">
        <f aca="false">IF(A1654="2025",INDEX(Customers!$D$2:$D$41,MATCH(C1654,Customers!$A$2:$A$41,0)),INDEX(Customers!$F$2:$F$41,MATCH(C1654,Customers!$A$2:$A$41,0)))</f>
        <v>0.048</v>
      </c>
      <c r="I1654" s="16" t="n">
        <f aca="false">F1654*G1654</f>
        <v>59304</v>
      </c>
      <c r="J1654" s="16" t="n">
        <f aca="false">I1654*(1-H1654)</f>
        <v>56457.408</v>
      </c>
      <c r="K1654" s="16" t="n">
        <f aca="false">J1654*INDEX(Customers!$G$2:$G$41,MATCH(C1654,Customers!$A$2:$A$41,0))</f>
        <v>1129.14816</v>
      </c>
      <c r="L1654" s="16" t="n">
        <f aca="false">F1654*INDEX(Customers!$H$2:$H$41,MATCH(C1654,Customers!$A$2:$A$41,0))</f>
        <v>2720</v>
      </c>
      <c r="M1654" s="16" t="n">
        <f aca="false">J1654*INDEX(Customers!$I$2:$I$41,MATCH(C1654,Customers!$A$2:$A$41,0))/365*Assumptions!$B$6</f>
        <v>742.453584657534</v>
      </c>
      <c r="N1654" s="16" t="n">
        <f aca="false">J1654-K1654-L1654-M1654</f>
        <v>51865.8062553425</v>
      </c>
      <c r="O1654" s="16" t="n">
        <f aca="false">F1654*IF(A1654="2025",INDEX(Products!$D$2:$D$13,MATCH(D1654,Products!$A$2:$A$13,0)),INDEX(Products!$F$2:$F$13,MATCH(D1654,Products!$A$2:$A$13,0)))</f>
        <v>39716.8</v>
      </c>
      <c r="P1654" s="16" t="n">
        <f aca="false">N1654-O1654</f>
        <v>12149.0062553425</v>
      </c>
    </row>
    <row r="1655" customFormat="false" ht="15" hidden="false" customHeight="false" outlineLevel="0" collapsed="false">
      <c r="A1655" s="2" t="s">
        <v>119</v>
      </c>
      <c r="B1655" s="2" t="n">
        <v>10</v>
      </c>
      <c r="C1655" s="2" t="s">
        <v>86</v>
      </c>
      <c r="D1655" s="2" t="s">
        <v>37</v>
      </c>
      <c r="E1655" s="2" t="str">
        <f aca="false">INDEX(Products!$B$2:$B$13,MATCH(D1655,Products!$A$2:$A$13,0))</f>
        <v>FCC</v>
      </c>
      <c r="F1655" s="15" t="n">
        <v>14.2</v>
      </c>
      <c r="G1655" s="16" t="n">
        <f aca="false">IF(A1655="2025",INDEX(Products!$C$2:$C$13,MATCH(D1655,Products!$A$2:$A$13,0)),INDEX(Products!$E$2:$E$13,MATCH(D1655,Products!$A$2:$A$13,0)))</f>
        <v>3706.5</v>
      </c>
      <c r="H1655" s="13" t="n">
        <f aca="false">IF(A1655="2025",INDEX(Customers!$D$2:$D$41,MATCH(C1655,Customers!$A$2:$A$41,0)),INDEX(Customers!$F$2:$F$41,MATCH(C1655,Customers!$A$2:$A$41,0)))</f>
        <v>0.048</v>
      </c>
      <c r="I1655" s="16" t="n">
        <f aca="false">F1655*G1655</f>
        <v>52632.3</v>
      </c>
      <c r="J1655" s="16" t="n">
        <f aca="false">I1655*(1-H1655)</f>
        <v>50105.9496</v>
      </c>
      <c r="K1655" s="16" t="n">
        <f aca="false">J1655*INDEX(Customers!$G$2:$G$41,MATCH(C1655,Customers!$A$2:$A$41,0))</f>
        <v>1002.118992</v>
      </c>
      <c r="L1655" s="16" t="n">
        <f aca="false">F1655*INDEX(Customers!$H$2:$H$41,MATCH(C1655,Customers!$A$2:$A$41,0))</f>
        <v>2414</v>
      </c>
      <c r="M1655" s="16" t="n">
        <f aca="false">J1655*INDEX(Customers!$I$2:$I$41,MATCH(C1655,Customers!$A$2:$A$41,0))/365*Assumptions!$B$6</f>
        <v>658.927556383562</v>
      </c>
      <c r="N1655" s="16" t="n">
        <f aca="false">J1655-K1655-L1655-M1655</f>
        <v>46030.9030516164</v>
      </c>
      <c r="O1655" s="16" t="n">
        <f aca="false">F1655*IF(A1655="2025",INDEX(Products!$D$2:$D$13,MATCH(D1655,Products!$A$2:$A$13,0)),INDEX(Products!$F$2:$F$13,MATCH(D1655,Products!$A$2:$A$13,0)))</f>
        <v>35248.66</v>
      </c>
      <c r="P1655" s="16" t="n">
        <f aca="false">N1655-O1655</f>
        <v>10782.2430516164</v>
      </c>
    </row>
    <row r="1656" customFormat="false" ht="15" hidden="false" customHeight="false" outlineLevel="0" collapsed="false">
      <c r="A1656" s="2" t="s">
        <v>119</v>
      </c>
      <c r="B1656" s="2" t="n">
        <v>11</v>
      </c>
      <c r="C1656" s="2" t="s">
        <v>86</v>
      </c>
      <c r="D1656" s="2" t="s">
        <v>37</v>
      </c>
      <c r="E1656" s="2" t="str">
        <f aca="false">INDEX(Products!$B$2:$B$13,MATCH(D1656,Products!$A$2:$A$13,0))</f>
        <v>FCC</v>
      </c>
      <c r="F1656" s="15" t="n">
        <v>12.4</v>
      </c>
      <c r="G1656" s="16" t="n">
        <f aca="false">IF(A1656="2025",INDEX(Products!$C$2:$C$13,MATCH(D1656,Products!$A$2:$A$13,0)),INDEX(Products!$E$2:$E$13,MATCH(D1656,Products!$A$2:$A$13,0)))</f>
        <v>3706.5</v>
      </c>
      <c r="H1656" s="13" t="n">
        <f aca="false">IF(A1656="2025",INDEX(Customers!$D$2:$D$41,MATCH(C1656,Customers!$A$2:$A$41,0)),INDEX(Customers!$F$2:$F$41,MATCH(C1656,Customers!$A$2:$A$41,0)))</f>
        <v>0.048</v>
      </c>
      <c r="I1656" s="16" t="n">
        <f aca="false">F1656*G1656</f>
        <v>45960.6</v>
      </c>
      <c r="J1656" s="16" t="n">
        <f aca="false">I1656*(1-H1656)</f>
        <v>43754.4912</v>
      </c>
      <c r="K1656" s="16" t="n">
        <f aca="false">J1656*INDEX(Customers!$G$2:$G$41,MATCH(C1656,Customers!$A$2:$A$41,0))</f>
        <v>875.089824</v>
      </c>
      <c r="L1656" s="16" t="n">
        <f aca="false">F1656*INDEX(Customers!$H$2:$H$41,MATCH(C1656,Customers!$A$2:$A$41,0))</f>
        <v>2108</v>
      </c>
      <c r="M1656" s="16" t="n">
        <f aca="false">J1656*INDEX(Customers!$I$2:$I$41,MATCH(C1656,Customers!$A$2:$A$41,0))/365*Assumptions!$B$6</f>
        <v>575.401528109589</v>
      </c>
      <c r="N1656" s="16" t="n">
        <f aca="false">J1656-K1656-L1656-M1656</f>
        <v>40195.9998478904</v>
      </c>
      <c r="O1656" s="16" t="n">
        <f aca="false">F1656*IF(A1656="2025",INDEX(Products!$D$2:$D$13,MATCH(D1656,Products!$A$2:$A$13,0)),INDEX(Products!$F$2:$F$13,MATCH(D1656,Products!$A$2:$A$13,0)))</f>
        <v>30780.52</v>
      </c>
      <c r="P1656" s="16" t="n">
        <f aca="false">N1656-O1656</f>
        <v>9415.4798478904</v>
      </c>
    </row>
    <row r="1657" customFormat="false" ht="15" hidden="false" customHeight="false" outlineLevel="0" collapsed="false">
      <c r="A1657" s="2" t="s">
        <v>119</v>
      </c>
      <c r="B1657" s="2" t="n">
        <v>12</v>
      </c>
      <c r="C1657" s="2" t="s">
        <v>86</v>
      </c>
      <c r="D1657" s="2" t="s">
        <v>37</v>
      </c>
      <c r="E1657" s="2" t="str">
        <f aca="false">INDEX(Products!$B$2:$B$13,MATCH(D1657,Products!$A$2:$A$13,0))</f>
        <v>FCC</v>
      </c>
      <c r="F1657" s="15" t="n">
        <v>13.1</v>
      </c>
      <c r="G1657" s="16" t="n">
        <f aca="false">IF(A1657="2025",INDEX(Products!$C$2:$C$13,MATCH(D1657,Products!$A$2:$A$13,0)),INDEX(Products!$E$2:$E$13,MATCH(D1657,Products!$A$2:$A$13,0)))</f>
        <v>3706.5</v>
      </c>
      <c r="H1657" s="13" t="n">
        <f aca="false">IF(A1657="2025",INDEX(Customers!$D$2:$D$41,MATCH(C1657,Customers!$A$2:$A$41,0)),INDEX(Customers!$F$2:$F$41,MATCH(C1657,Customers!$A$2:$A$41,0)))</f>
        <v>0.048</v>
      </c>
      <c r="I1657" s="16" t="n">
        <f aca="false">F1657*G1657</f>
        <v>48555.15</v>
      </c>
      <c r="J1657" s="16" t="n">
        <f aca="false">I1657*(1-H1657)</f>
        <v>46224.5028</v>
      </c>
      <c r="K1657" s="16" t="n">
        <f aca="false">J1657*INDEX(Customers!$G$2:$G$41,MATCH(C1657,Customers!$A$2:$A$41,0))</f>
        <v>924.490056</v>
      </c>
      <c r="L1657" s="16" t="n">
        <f aca="false">F1657*INDEX(Customers!$H$2:$H$41,MATCH(C1657,Customers!$A$2:$A$41,0))</f>
        <v>2227</v>
      </c>
      <c r="M1657" s="16" t="n">
        <f aca="false">J1657*INDEX(Customers!$I$2:$I$41,MATCH(C1657,Customers!$A$2:$A$41,0))/365*Assumptions!$B$6</f>
        <v>607.883872438356</v>
      </c>
      <c r="N1657" s="16" t="n">
        <f aca="false">J1657-K1657-L1657-M1657</f>
        <v>42465.1288715617</v>
      </c>
      <c r="O1657" s="16" t="n">
        <f aca="false">F1657*IF(A1657="2025",INDEX(Products!$D$2:$D$13,MATCH(D1657,Products!$A$2:$A$13,0)),INDEX(Products!$F$2:$F$13,MATCH(D1657,Products!$A$2:$A$13,0)))</f>
        <v>32518.13</v>
      </c>
      <c r="P1657" s="16" t="n">
        <f aca="false">N1657-O1657</f>
        <v>9946.99887156165</v>
      </c>
    </row>
    <row r="1658" customFormat="false" ht="15" hidden="false" customHeight="false" outlineLevel="0" collapsed="false">
      <c r="A1658" s="2" t="s">
        <v>118</v>
      </c>
      <c r="B1658" s="2" t="n">
        <v>1</v>
      </c>
      <c r="C1658" s="2" t="s">
        <v>87</v>
      </c>
      <c r="D1658" s="2" t="s">
        <v>34</v>
      </c>
      <c r="E1658" s="2" t="str">
        <f aca="false">INDEX(Products!$B$2:$B$13,MATCH(D1658,Products!$A$2:$A$13,0))</f>
        <v>FCC</v>
      </c>
      <c r="F1658" s="15" t="n">
        <v>38.4</v>
      </c>
      <c r="G1658" s="16" t="n">
        <f aca="false">IF(A1658="2025",INDEX(Products!$C$2:$C$13,MATCH(D1658,Products!$A$2:$A$13,0)),INDEX(Products!$E$2:$E$13,MATCH(D1658,Products!$A$2:$A$13,0)))</f>
        <v>3270</v>
      </c>
      <c r="H1658" s="13" t="n">
        <f aca="false">IF(A1658="2025",INDEX(Customers!$D$2:$D$41,MATCH(C1658,Customers!$A$2:$A$41,0)),INDEX(Customers!$F$2:$F$41,MATCH(C1658,Customers!$A$2:$A$41,0)))</f>
        <v>0.061</v>
      </c>
      <c r="I1658" s="16" t="n">
        <f aca="false">F1658*G1658</f>
        <v>125568</v>
      </c>
      <c r="J1658" s="16" t="n">
        <f aca="false">I1658*(1-H1658)</f>
        <v>117908.352</v>
      </c>
      <c r="K1658" s="16" t="n">
        <f aca="false">J1658*INDEX(Customers!$G$2:$G$41,MATCH(C1658,Customers!$A$2:$A$41,0))</f>
        <v>1179.08352</v>
      </c>
      <c r="L1658" s="16" t="n">
        <f aca="false">F1658*INDEX(Customers!$H$2:$H$41,MATCH(C1658,Customers!$A$2:$A$41,0))</f>
        <v>9600</v>
      </c>
      <c r="M1658" s="16" t="n">
        <f aca="false">J1658*INDEX(Customers!$I$2:$I$41,MATCH(C1658,Customers!$A$2:$A$41,0))/365*Assumptions!$B$6</f>
        <v>1550.57558794521</v>
      </c>
      <c r="N1658" s="16" t="n">
        <f aca="false">J1658-K1658-L1658-M1658</f>
        <v>105578.692892055</v>
      </c>
      <c r="O1658" s="16" t="n">
        <f aca="false">F1658*IF(A1658="2025",INDEX(Products!$D$2:$D$13,MATCH(D1658,Products!$A$2:$A$13,0)),INDEX(Products!$F$2:$F$13,MATCH(D1658,Products!$A$2:$A$13,0)))</f>
        <v>84096</v>
      </c>
      <c r="P1658" s="16" t="n">
        <f aca="false">N1658-O1658</f>
        <v>21482.6928920548</v>
      </c>
    </row>
    <row r="1659" customFormat="false" ht="15" hidden="false" customHeight="false" outlineLevel="0" collapsed="false">
      <c r="A1659" s="2" t="s">
        <v>118</v>
      </c>
      <c r="B1659" s="2" t="n">
        <v>2</v>
      </c>
      <c r="C1659" s="2" t="s">
        <v>87</v>
      </c>
      <c r="D1659" s="2" t="s">
        <v>34</v>
      </c>
      <c r="E1659" s="2" t="str">
        <f aca="false">INDEX(Products!$B$2:$B$13,MATCH(D1659,Products!$A$2:$A$13,0))</f>
        <v>FCC</v>
      </c>
      <c r="F1659" s="15" t="n">
        <v>34.8</v>
      </c>
      <c r="G1659" s="16" t="n">
        <f aca="false">IF(A1659="2025",INDEX(Products!$C$2:$C$13,MATCH(D1659,Products!$A$2:$A$13,0)),INDEX(Products!$E$2:$E$13,MATCH(D1659,Products!$A$2:$A$13,0)))</f>
        <v>3270</v>
      </c>
      <c r="H1659" s="13" t="n">
        <f aca="false">IF(A1659="2025",INDEX(Customers!$D$2:$D$41,MATCH(C1659,Customers!$A$2:$A$41,0)),INDEX(Customers!$F$2:$F$41,MATCH(C1659,Customers!$A$2:$A$41,0)))</f>
        <v>0.061</v>
      </c>
      <c r="I1659" s="16" t="n">
        <f aca="false">F1659*G1659</f>
        <v>113796</v>
      </c>
      <c r="J1659" s="16" t="n">
        <f aca="false">I1659*(1-H1659)</f>
        <v>106854.444</v>
      </c>
      <c r="K1659" s="16" t="n">
        <f aca="false">J1659*INDEX(Customers!$G$2:$G$41,MATCH(C1659,Customers!$A$2:$A$41,0))</f>
        <v>1068.54444</v>
      </c>
      <c r="L1659" s="16" t="n">
        <f aca="false">F1659*INDEX(Customers!$H$2:$H$41,MATCH(C1659,Customers!$A$2:$A$41,0))</f>
        <v>8700</v>
      </c>
      <c r="M1659" s="16" t="n">
        <f aca="false">J1659*INDEX(Customers!$I$2:$I$41,MATCH(C1659,Customers!$A$2:$A$41,0))/365*Assumptions!$B$6</f>
        <v>1405.20912657534</v>
      </c>
      <c r="N1659" s="16" t="n">
        <f aca="false">J1659-K1659-L1659-M1659</f>
        <v>95680.6904334247</v>
      </c>
      <c r="O1659" s="16" t="n">
        <f aca="false">F1659*IF(A1659="2025",INDEX(Products!$D$2:$D$13,MATCH(D1659,Products!$A$2:$A$13,0)),INDEX(Products!$F$2:$F$13,MATCH(D1659,Products!$A$2:$A$13,0)))</f>
        <v>76212</v>
      </c>
      <c r="P1659" s="16" t="n">
        <f aca="false">N1659-O1659</f>
        <v>19468.6904334247</v>
      </c>
    </row>
    <row r="1660" customFormat="false" ht="15" hidden="false" customHeight="false" outlineLevel="0" collapsed="false">
      <c r="A1660" s="2" t="s">
        <v>118</v>
      </c>
      <c r="B1660" s="2" t="n">
        <v>3</v>
      </c>
      <c r="C1660" s="2" t="s">
        <v>87</v>
      </c>
      <c r="D1660" s="2" t="s">
        <v>34</v>
      </c>
      <c r="E1660" s="2" t="str">
        <f aca="false">INDEX(Products!$B$2:$B$13,MATCH(D1660,Products!$A$2:$A$13,0))</f>
        <v>FCC</v>
      </c>
      <c r="F1660" s="15" t="n">
        <v>36.5</v>
      </c>
      <c r="G1660" s="16" t="n">
        <f aca="false">IF(A1660="2025",INDEX(Products!$C$2:$C$13,MATCH(D1660,Products!$A$2:$A$13,0)),INDEX(Products!$E$2:$E$13,MATCH(D1660,Products!$A$2:$A$13,0)))</f>
        <v>3270</v>
      </c>
      <c r="H1660" s="13" t="n">
        <f aca="false">IF(A1660="2025",INDEX(Customers!$D$2:$D$41,MATCH(C1660,Customers!$A$2:$A$41,0)),INDEX(Customers!$F$2:$F$41,MATCH(C1660,Customers!$A$2:$A$41,0)))</f>
        <v>0.061</v>
      </c>
      <c r="I1660" s="16" t="n">
        <f aca="false">F1660*G1660</f>
        <v>119355</v>
      </c>
      <c r="J1660" s="16" t="n">
        <f aca="false">I1660*(1-H1660)</f>
        <v>112074.345</v>
      </c>
      <c r="K1660" s="16" t="n">
        <f aca="false">J1660*INDEX(Customers!$G$2:$G$41,MATCH(C1660,Customers!$A$2:$A$41,0))</f>
        <v>1120.74345</v>
      </c>
      <c r="L1660" s="16" t="n">
        <f aca="false">F1660*INDEX(Customers!$H$2:$H$41,MATCH(C1660,Customers!$A$2:$A$41,0))</f>
        <v>9125</v>
      </c>
      <c r="M1660" s="16" t="n">
        <f aca="false">J1660*INDEX(Customers!$I$2:$I$41,MATCH(C1660,Customers!$A$2:$A$41,0))/365*Assumptions!$B$6</f>
        <v>1473.8544</v>
      </c>
      <c r="N1660" s="16" t="n">
        <f aca="false">J1660-K1660-L1660-M1660</f>
        <v>100354.74715</v>
      </c>
      <c r="O1660" s="16" t="n">
        <f aca="false">F1660*IF(A1660="2025",INDEX(Products!$D$2:$D$13,MATCH(D1660,Products!$A$2:$A$13,0)),INDEX(Products!$F$2:$F$13,MATCH(D1660,Products!$A$2:$A$13,0)))</f>
        <v>79935</v>
      </c>
      <c r="P1660" s="16" t="n">
        <f aca="false">N1660-O1660</f>
        <v>20419.74715</v>
      </c>
    </row>
    <row r="1661" customFormat="false" ht="15" hidden="false" customHeight="false" outlineLevel="0" collapsed="false">
      <c r="A1661" s="2" t="s">
        <v>118</v>
      </c>
      <c r="B1661" s="2" t="n">
        <v>4</v>
      </c>
      <c r="C1661" s="2" t="s">
        <v>87</v>
      </c>
      <c r="D1661" s="2" t="s">
        <v>34</v>
      </c>
      <c r="E1661" s="2" t="str">
        <f aca="false">INDEX(Products!$B$2:$B$13,MATCH(D1661,Products!$A$2:$A$13,0))</f>
        <v>FCC</v>
      </c>
      <c r="F1661" s="15" t="n">
        <v>45.6</v>
      </c>
      <c r="G1661" s="16" t="n">
        <f aca="false">IF(A1661="2025",INDEX(Products!$C$2:$C$13,MATCH(D1661,Products!$A$2:$A$13,0)),INDEX(Products!$E$2:$E$13,MATCH(D1661,Products!$A$2:$A$13,0)))</f>
        <v>3270</v>
      </c>
      <c r="H1661" s="13" t="n">
        <f aca="false">IF(A1661="2025",INDEX(Customers!$D$2:$D$41,MATCH(C1661,Customers!$A$2:$A$41,0)),INDEX(Customers!$F$2:$F$41,MATCH(C1661,Customers!$A$2:$A$41,0)))</f>
        <v>0.061</v>
      </c>
      <c r="I1661" s="16" t="n">
        <f aca="false">F1661*G1661</f>
        <v>149112</v>
      </c>
      <c r="J1661" s="16" t="n">
        <f aca="false">I1661*(1-H1661)</f>
        <v>140016.168</v>
      </c>
      <c r="K1661" s="16" t="n">
        <f aca="false">J1661*INDEX(Customers!$G$2:$G$41,MATCH(C1661,Customers!$A$2:$A$41,0))</f>
        <v>1400.16168</v>
      </c>
      <c r="L1661" s="16" t="n">
        <f aca="false">F1661*INDEX(Customers!$H$2:$H$41,MATCH(C1661,Customers!$A$2:$A$41,0))</f>
        <v>11400</v>
      </c>
      <c r="M1661" s="16" t="n">
        <f aca="false">J1661*INDEX(Customers!$I$2:$I$41,MATCH(C1661,Customers!$A$2:$A$41,0))/365*Assumptions!$B$6</f>
        <v>1841.30851068493</v>
      </c>
      <c r="N1661" s="16" t="n">
        <f aca="false">J1661-K1661-L1661-M1661</f>
        <v>125374.697809315</v>
      </c>
      <c r="O1661" s="16" t="n">
        <f aca="false">F1661*IF(A1661="2025",INDEX(Products!$D$2:$D$13,MATCH(D1661,Products!$A$2:$A$13,0)),INDEX(Products!$F$2:$F$13,MATCH(D1661,Products!$A$2:$A$13,0)))</f>
        <v>99864</v>
      </c>
      <c r="P1661" s="16" t="n">
        <f aca="false">N1661-O1661</f>
        <v>25510.6978093151</v>
      </c>
    </row>
    <row r="1662" customFormat="false" ht="15" hidden="false" customHeight="false" outlineLevel="0" collapsed="false">
      <c r="A1662" s="2" t="s">
        <v>118</v>
      </c>
      <c r="B1662" s="2" t="n">
        <v>5</v>
      </c>
      <c r="C1662" s="2" t="s">
        <v>87</v>
      </c>
      <c r="D1662" s="2" t="s">
        <v>34</v>
      </c>
      <c r="E1662" s="2" t="str">
        <f aca="false">INDEX(Products!$B$2:$B$13,MATCH(D1662,Products!$A$2:$A$13,0))</f>
        <v>FCC</v>
      </c>
      <c r="F1662" s="15" t="n">
        <v>33.7</v>
      </c>
      <c r="G1662" s="16" t="n">
        <f aca="false">IF(A1662="2025",INDEX(Products!$C$2:$C$13,MATCH(D1662,Products!$A$2:$A$13,0)),INDEX(Products!$E$2:$E$13,MATCH(D1662,Products!$A$2:$A$13,0)))</f>
        <v>3270</v>
      </c>
      <c r="H1662" s="13" t="n">
        <f aca="false">IF(A1662="2025",INDEX(Customers!$D$2:$D$41,MATCH(C1662,Customers!$A$2:$A$41,0)),INDEX(Customers!$F$2:$F$41,MATCH(C1662,Customers!$A$2:$A$41,0)))</f>
        <v>0.061</v>
      </c>
      <c r="I1662" s="16" t="n">
        <f aca="false">F1662*G1662</f>
        <v>110199</v>
      </c>
      <c r="J1662" s="16" t="n">
        <f aca="false">I1662*(1-H1662)</f>
        <v>103476.861</v>
      </c>
      <c r="K1662" s="16" t="n">
        <f aca="false">J1662*INDEX(Customers!$G$2:$G$41,MATCH(C1662,Customers!$A$2:$A$41,0))</f>
        <v>1034.76861</v>
      </c>
      <c r="L1662" s="16" t="n">
        <f aca="false">F1662*INDEX(Customers!$H$2:$H$41,MATCH(C1662,Customers!$A$2:$A$41,0))</f>
        <v>8425</v>
      </c>
      <c r="M1662" s="16" t="n">
        <f aca="false">J1662*INDEX(Customers!$I$2:$I$41,MATCH(C1662,Customers!$A$2:$A$41,0))/365*Assumptions!$B$6</f>
        <v>1360.79159671233</v>
      </c>
      <c r="N1662" s="16" t="n">
        <f aca="false">J1662-K1662-L1662-M1662</f>
        <v>92656.3007932877</v>
      </c>
      <c r="O1662" s="16" t="n">
        <f aca="false">F1662*IF(A1662="2025",INDEX(Products!$D$2:$D$13,MATCH(D1662,Products!$A$2:$A$13,0)),INDEX(Products!$F$2:$F$13,MATCH(D1662,Products!$A$2:$A$13,0)))</f>
        <v>73803</v>
      </c>
      <c r="P1662" s="16" t="n">
        <f aca="false">N1662-O1662</f>
        <v>18853.3007932877</v>
      </c>
    </row>
    <row r="1663" customFormat="false" ht="15" hidden="false" customHeight="false" outlineLevel="0" collapsed="false">
      <c r="A1663" s="2" t="s">
        <v>118</v>
      </c>
      <c r="B1663" s="2" t="n">
        <v>6</v>
      </c>
      <c r="C1663" s="2" t="s">
        <v>87</v>
      </c>
      <c r="D1663" s="2" t="s">
        <v>34</v>
      </c>
      <c r="E1663" s="2" t="str">
        <f aca="false">INDEX(Products!$B$2:$B$13,MATCH(D1663,Products!$A$2:$A$13,0))</f>
        <v>FCC</v>
      </c>
      <c r="F1663" s="15" t="n">
        <v>33.9</v>
      </c>
      <c r="G1663" s="16" t="n">
        <f aca="false">IF(A1663="2025",INDEX(Products!$C$2:$C$13,MATCH(D1663,Products!$A$2:$A$13,0)),INDEX(Products!$E$2:$E$13,MATCH(D1663,Products!$A$2:$A$13,0)))</f>
        <v>3270</v>
      </c>
      <c r="H1663" s="13" t="n">
        <f aca="false">IF(A1663="2025",INDEX(Customers!$D$2:$D$41,MATCH(C1663,Customers!$A$2:$A$41,0)),INDEX(Customers!$F$2:$F$41,MATCH(C1663,Customers!$A$2:$A$41,0)))</f>
        <v>0.061</v>
      </c>
      <c r="I1663" s="16" t="n">
        <f aca="false">F1663*G1663</f>
        <v>110853</v>
      </c>
      <c r="J1663" s="16" t="n">
        <f aca="false">I1663*(1-H1663)</f>
        <v>104090.967</v>
      </c>
      <c r="K1663" s="16" t="n">
        <f aca="false">J1663*INDEX(Customers!$G$2:$G$41,MATCH(C1663,Customers!$A$2:$A$41,0))</f>
        <v>1040.90967</v>
      </c>
      <c r="L1663" s="16" t="n">
        <f aca="false">F1663*INDEX(Customers!$H$2:$H$41,MATCH(C1663,Customers!$A$2:$A$41,0))</f>
        <v>8475</v>
      </c>
      <c r="M1663" s="16" t="n">
        <f aca="false">J1663*INDEX(Customers!$I$2:$I$41,MATCH(C1663,Customers!$A$2:$A$41,0))/365*Assumptions!$B$6</f>
        <v>1368.86751123288</v>
      </c>
      <c r="N1663" s="16" t="n">
        <f aca="false">J1663-K1663-L1663-M1663</f>
        <v>93206.1898187671</v>
      </c>
      <c r="O1663" s="16" t="n">
        <f aca="false">F1663*IF(A1663="2025",INDEX(Products!$D$2:$D$13,MATCH(D1663,Products!$A$2:$A$13,0)),INDEX(Products!$F$2:$F$13,MATCH(D1663,Products!$A$2:$A$13,0)))</f>
        <v>74241</v>
      </c>
      <c r="P1663" s="16" t="n">
        <f aca="false">N1663-O1663</f>
        <v>18965.1898187671</v>
      </c>
    </row>
    <row r="1664" customFormat="false" ht="15" hidden="false" customHeight="false" outlineLevel="0" collapsed="false">
      <c r="A1664" s="2" t="s">
        <v>118</v>
      </c>
      <c r="B1664" s="2" t="n">
        <v>7</v>
      </c>
      <c r="C1664" s="2" t="s">
        <v>87</v>
      </c>
      <c r="D1664" s="2" t="s">
        <v>34</v>
      </c>
      <c r="E1664" s="2" t="str">
        <f aca="false">INDEX(Products!$B$2:$B$13,MATCH(D1664,Products!$A$2:$A$13,0))</f>
        <v>FCC</v>
      </c>
      <c r="F1664" s="15" t="n">
        <v>29</v>
      </c>
      <c r="G1664" s="16" t="n">
        <f aca="false">IF(A1664="2025",INDEX(Products!$C$2:$C$13,MATCH(D1664,Products!$A$2:$A$13,0)),INDEX(Products!$E$2:$E$13,MATCH(D1664,Products!$A$2:$A$13,0)))</f>
        <v>3270</v>
      </c>
      <c r="H1664" s="13" t="n">
        <f aca="false">IF(A1664="2025",INDEX(Customers!$D$2:$D$41,MATCH(C1664,Customers!$A$2:$A$41,0)),INDEX(Customers!$F$2:$F$41,MATCH(C1664,Customers!$A$2:$A$41,0)))</f>
        <v>0.061</v>
      </c>
      <c r="I1664" s="16" t="n">
        <f aca="false">F1664*G1664</f>
        <v>94830</v>
      </c>
      <c r="J1664" s="16" t="n">
        <f aca="false">I1664*(1-H1664)</f>
        <v>89045.37</v>
      </c>
      <c r="K1664" s="16" t="n">
        <f aca="false">J1664*INDEX(Customers!$G$2:$G$41,MATCH(C1664,Customers!$A$2:$A$41,0))</f>
        <v>890.4537</v>
      </c>
      <c r="L1664" s="16" t="n">
        <f aca="false">F1664*INDEX(Customers!$H$2:$H$41,MATCH(C1664,Customers!$A$2:$A$41,0))</f>
        <v>7250</v>
      </c>
      <c r="M1664" s="16" t="n">
        <f aca="false">J1664*INDEX(Customers!$I$2:$I$41,MATCH(C1664,Customers!$A$2:$A$41,0))/365*Assumptions!$B$6</f>
        <v>1171.00760547945</v>
      </c>
      <c r="N1664" s="16" t="n">
        <f aca="false">J1664-K1664-L1664-M1664</f>
        <v>79733.9086945206</v>
      </c>
      <c r="O1664" s="16" t="n">
        <f aca="false">F1664*IF(A1664="2025",INDEX(Products!$D$2:$D$13,MATCH(D1664,Products!$A$2:$A$13,0)),INDEX(Products!$F$2:$F$13,MATCH(D1664,Products!$A$2:$A$13,0)))</f>
        <v>63510</v>
      </c>
      <c r="P1664" s="16" t="n">
        <f aca="false">N1664-O1664</f>
        <v>16223.9086945206</v>
      </c>
    </row>
    <row r="1665" customFormat="false" ht="15" hidden="false" customHeight="false" outlineLevel="0" collapsed="false">
      <c r="A1665" s="2" t="s">
        <v>118</v>
      </c>
      <c r="B1665" s="2" t="n">
        <v>8</v>
      </c>
      <c r="C1665" s="2" t="s">
        <v>87</v>
      </c>
      <c r="D1665" s="2" t="s">
        <v>34</v>
      </c>
      <c r="E1665" s="2" t="str">
        <f aca="false">INDEX(Products!$B$2:$B$13,MATCH(D1665,Products!$A$2:$A$13,0))</f>
        <v>FCC</v>
      </c>
      <c r="F1665" s="15" t="n">
        <v>28.4</v>
      </c>
      <c r="G1665" s="16" t="n">
        <f aca="false">IF(A1665="2025",INDEX(Products!$C$2:$C$13,MATCH(D1665,Products!$A$2:$A$13,0)),INDEX(Products!$E$2:$E$13,MATCH(D1665,Products!$A$2:$A$13,0)))</f>
        <v>3270</v>
      </c>
      <c r="H1665" s="13" t="n">
        <f aca="false">IF(A1665="2025",INDEX(Customers!$D$2:$D$41,MATCH(C1665,Customers!$A$2:$A$41,0)),INDEX(Customers!$F$2:$F$41,MATCH(C1665,Customers!$A$2:$A$41,0)))</f>
        <v>0.061</v>
      </c>
      <c r="I1665" s="16" t="n">
        <f aca="false">F1665*G1665</f>
        <v>92868</v>
      </c>
      <c r="J1665" s="16" t="n">
        <f aca="false">I1665*(1-H1665)</f>
        <v>87203.052</v>
      </c>
      <c r="K1665" s="16" t="n">
        <f aca="false">J1665*INDEX(Customers!$G$2:$G$41,MATCH(C1665,Customers!$A$2:$A$41,0))</f>
        <v>872.03052</v>
      </c>
      <c r="L1665" s="16" t="n">
        <f aca="false">F1665*INDEX(Customers!$H$2:$H$41,MATCH(C1665,Customers!$A$2:$A$41,0))</f>
        <v>7100</v>
      </c>
      <c r="M1665" s="16" t="n">
        <f aca="false">J1665*INDEX(Customers!$I$2:$I$41,MATCH(C1665,Customers!$A$2:$A$41,0))/365*Assumptions!$B$6</f>
        <v>1146.77986191781</v>
      </c>
      <c r="N1665" s="16" t="n">
        <f aca="false">J1665-K1665-L1665-M1665</f>
        <v>78084.2416180822</v>
      </c>
      <c r="O1665" s="16" t="n">
        <f aca="false">F1665*IF(A1665="2025",INDEX(Products!$D$2:$D$13,MATCH(D1665,Products!$A$2:$A$13,0)),INDEX(Products!$F$2:$F$13,MATCH(D1665,Products!$A$2:$A$13,0)))</f>
        <v>62196</v>
      </c>
      <c r="P1665" s="16" t="n">
        <f aca="false">N1665-O1665</f>
        <v>15888.2416180822</v>
      </c>
    </row>
    <row r="1666" customFormat="false" ht="15" hidden="false" customHeight="false" outlineLevel="0" collapsed="false">
      <c r="A1666" s="2" t="s">
        <v>118</v>
      </c>
      <c r="B1666" s="2" t="n">
        <v>9</v>
      </c>
      <c r="C1666" s="2" t="s">
        <v>87</v>
      </c>
      <c r="D1666" s="2" t="s">
        <v>34</v>
      </c>
      <c r="E1666" s="2" t="str">
        <f aca="false">INDEX(Products!$B$2:$B$13,MATCH(D1666,Products!$A$2:$A$13,0))</f>
        <v>FCC</v>
      </c>
      <c r="F1666" s="15" t="n">
        <v>25.7</v>
      </c>
      <c r="G1666" s="16" t="n">
        <f aca="false">IF(A1666="2025",INDEX(Products!$C$2:$C$13,MATCH(D1666,Products!$A$2:$A$13,0)),INDEX(Products!$E$2:$E$13,MATCH(D1666,Products!$A$2:$A$13,0)))</f>
        <v>3270</v>
      </c>
      <c r="H1666" s="13" t="n">
        <f aca="false">IF(A1666="2025",INDEX(Customers!$D$2:$D$41,MATCH(C1666,Customers!$A$2:$A$41,0)),INDEX(Customers!$F$2:$F$41,MATCH(C1666,Customers!$A$2:$A$41,0)))</f>
        <v>0.061</v>
      </c>
      <c r="I1666" s="16" t="n">
        <f aca="false">F1666*G1666</f>
        <v>84039</v>
      </c>
      <c r="J1666" s="16" t="n">
        <f aca="false">I1666*(1-H1666)</f>
        <v>78912.621</v>
      </c>
      <c r="K1666" s="16" t="n">
        <f aca="false">J1666*INDEX(Customers!$G$2:$G$41,MATCH(C1666,Customers!$A$2:$A$41,0))</f>
        <v>789.12621</v>
      </c>
      <c r="L1666" s="16" t="n">
        <f aca="false">F1666*INDEX(Customers!$H$2:$H$41,MATCH(C1666,Customers!$A$2:$A$41,0))</f>
        <v>6425</v>
      </c>
      <c r="M1666" s="16" t="n">
        <f aca="false">J1666*INDEX(Customers!$I$2:$I$41,MATCH(C1666,Customers!$A$2:$A$41,0))/365*Assumptions!$B$6</f>
        <v>1037.75501589041</v>
      </c>
      <c r="N1666" s="16" t="n">
        <f aca="false">J1666-K1666-L1666-M1666</f>
        <v>70660.7397741096</v>
      </c>
      <c r="O1666" s="16" t="n">
        <f aca="false">F1666*IF(A1666="2025",INDEX(Products!$D$2:$D$13,MATCH(D1666,Products!$A$2:$A$13,0)),INDEX(Products!$F$2:$F$13,MATCH(D1666,Products!$A$2:$A$13,0)))</f>
        <v>56283</v>
      </c>
      <c r="P1666" s="16" t="n">
        <f aca="false">N1666-O1666</f>
        <v>14377.7397741096</v>
      </c>
    </row>
    <row r="1667" customFormat="false" ht="15" hidden="false" customHeight="false" outlineLevel="0" collapsed="false">
      <c r="A1667" s="2" t="s">
        <v>118</v>
      </c>
      <c r="B1667" s="2" t="n">
        <v>10</v>
      </c>
      <c r="C1667" s="2" t="s">
        <v>87</v>
      </c>
      <c r="D1667" s="2" t="s">
        <v>34</v>
      </c>
      <c r="E1667" s="2" t="str">
        <f aca="false">INDEX(Products!$B$2:$B$13,MATCH(D1667,Products!$A$2:$A$13,0))</f>
        <v>FCC</v>
      </c>
      <c r="F1667" s="15" t="n">
        <v>37.2</v>
      </c>
      <c r="G1667" s="16" t="n">
        <f aca="false">IF(A1667="2025",INDEX(Products!$C$2:$C$13,MATCH(D1667,Products!$A$2:$A$13,0)),INDEX(Products!$E$2:$E$13,MATCH(D1667,Products!$A$2:$A$13,0)))</f>
        <v>3270</v>
      </c>
      <c r="H1667" s="13" t="n">
        <f aca="false">IF(A1667="2025",INDEX(Customers!$D$2:$D$41,MATCH(C1667,Customers!$A$2:$A$41,0)),INDEX(Customers!$F$2:$F$41,MATCH(C1667,Customers!$A$2:$A$41,0)))</f>
        <v>0.061</v>
      </c>
      <c r="I1667" s="16" t="n">
        <f aca="false">F1667*G1667</f>
        <v>121644</v>
      </c>
      <c r="J1667" s="16" t="n">
        <f aca="false">I1667*(1-H1667)</f>
        <v>114223.716</v>
      </c>
      <c r="K1667" s="16" t="n">
        <f aca="false">J1667*INDEX(Customers!$G$2:$G$41,MATCH(C1667,Customers!$A$2:$A$41,0))</f>
        <v>1142.23716</v>
      </c>
      <c r="L1667" s="16" t="n">
        <f aca="false">F1667*INDEX(Customers!$H$2:$H$41,MATCH(C1667,Customers!$A$2:$A$41,0))</f>
        <v>9300</v>
      </c>
      <c r="M1667" s="16" t="n">
        <f aca="false">J1667*INDEX(Customers!$I$2:$I$41,MATCH(C1667,Customers!$A$2:$A$41,0))/365*Assumptions!$B$6</f>
        <v>1502.12010082192</v>
      </c>
      <c r="N1667" s="16" t="n">
        <f aca="false">J1667-K1667-L1667-M1667</f>
        <v>102279.358739178</v>
      </c>
      <c r="O1667" s="16" t="n">
        <f aca="false">F1667*IF(A1667="2025",INDEX(Products!$D$2:$D$13,MATCH(D1667,Products!$A$2:$A$13,0)),INDEX(Products!$F$2:$F$13,MATCH(D1667,Products!$A$2:$A$13,0)))</f>
        <v>81468</v>
      </c>
      <c r="P1667" s="16" t="n">
        <f aca="false">N1667-O1667</f>
        <v>20811.3587391781</v>
      </c>
    </row>
    <row r="1668" customFormat="false" ht="15" hidden="false" customHeight="false" outlineLevel="0" collapsed="false">
      <c r="A1668" s="2" t="s">
        <v>118</v>
      </c>
      <c r="B1668" s="2" t="n">
        <v>11</v>
      </c>
      <c r="C1668" s="2" t="s">
        <v>87</v>
      </c>
      <c r="D1668" s="2" t="s">
        <v>34</v>
      </c>
      <c r="E1668" s="2" t="str">
        <f aca="false">INDEX(Products!$B$2:$B$13,MATCH(D1668,Products!$A$2:$A$13,0))</f>
        <v>FCC</v>
      </c>
      <c r="F1668" s="15" t="n">
        <v>37.5</v>
      </c>
      <c r="G1668" s="16" t="n">
        <f aca="false">IF(A1668="2025",INDEX(Products!$C$2:$C$13,MATCH(D1668,Products!$A$2:$A$13,0)),INDEX(Products!$E$2:$E$13,MATCH(D1668,Products!$A$2:$A$13,0)))</f>
        <v>3270</v>
      </c>
      <c r="H1668" s="13" t="n">
        <f aca="false">IF(A1668="2025",INDEX(Customers!$D$2:$D$41,MATCH(C1668,Customers!$A$2:$A$41,0)),INDEX(Customers!$F$2:$F$41,MATCH(C1668,Customers!$A$2:$A$41,0)))</f>
        <v>0.061</v>
      </c>
      <c r="I1668" s="16" t="n">
        <f aca="false">F1668*G1668</f>
        <v>122625</v>
      </c>
      <c r="J1668" s="16" t="n">
        <f aca="false">I1668*(1-H1668)</f>
        <v>115144.875</v>
      </c>
      <c r="K1668" s="16" t="n">
        <f aca="false">J1668*INDEX(Customers!$G$2:$G$41,MATCH(C1668,Customers!$A$2:$A$41,0))</f>
        <v>1151.44875</v>
      </c>
      <c r="L1668" s="16" t="n">
        <f aca="false">F1668*INDEX(Customers!$H$2:$H$41,MATCH(C1668,Customers!$A$2:$A$41,0))</f>
        <v>9375</v>
      </c>
      <c r="M1668" s="16" t="n">
        <f aca="false">J1668*INDEX(Customers!$I$2:$I$41,MATCH(C1668,Customers!$A$2:$A$41,0))/365*Assumptions!$B$6</f>
        <v>1514.23397260274</v>
      </c>
      <c r="N1668" s="16" t="n">
        <f aca="false">J1668-K1668-L1668-M1668</f>
        <v>103104.192277397</v>
      </c>
      <c r="O1668" s="16" t="n">
        <f aca="false">F1668*IF(A1668="2025",INDEX(Products!$D$2:$D$13,MATCH(D1668,Products!$A$2:$A$13,0)),INDEX(Products!$F$2:$F$13,MATCH(D1668,Products!$A$2:$A$13,0)))</f>
        <v>82125</v>
      </c>
      <c r="P1668" s="16" t="n">
        <f aca="false">N1668-O1668</f>
        <v>20979.1922773973</v>
      </c>
    </row>
    <row r="1669" customFormat="false" ht="15" hidden="false" customHeight="false" outlineLevel="0" collapsed="false">
      <c r="A1669" s="2" t="s">
        <v>118</v>
      </c>
      <c r="B1669" s="2" t="n">
        <v>12</v>
      </c>
      <c r="C1669" s="2" t="s">
        <v>87</v>
      </c>
      <c r="D1669" s="2" t="s">
        <v>34</v>
      </c>
      <c r="E1669" s="2" t="str">
        <f aca="false">INDEX(Products!$B$2:$B$13,MATCH(D1669,Products!$A$2:$A$13,0))</f>
        <v>FCC</v>
      </c>
      <c r="F1669" s="15" t="n">
        <v>36.6</v>
      </c>
      <c r="G1669" s="16" t="n">
        <f aca="false">IF(A1669="2025",INDEX(Products!$C$2:$C$13,MATCH(D1669,Products!$A$2:$A$13,0)),INDEX(Products!$E$2:$E$13,MATCH(D1669,Products!$A$2:$A$13,0)))</f>
        <v>3270</v>
      </c>
      <c r="H1669" s="13" t="n">
        <f aca="false">IF(A1669="2025",INDEX(Customers!$D$2:$D$41,MATCH(C1669,Customers!$A$2:$A$41,0)),INDEX(Customers!$F$2:$F$41,MATCH(C1669,Customers!$A$2:$A$41,0)))</f>
        <v>0.061</v>
      </c>
      <c r="I1669" s="16" t="n">
        <f aca="false">F1669*G1669</f>
        <v>119682</v>
      </c>
      <c r="J1669" s="16" t="n">
        <f aca="false">I1669*(1-H1669)</f>
        <v>112381.398</v>
      </c>
      <c r="K1669" s="16" t="n">
        <f aca="false">J1669*INDEX(Customers!$G$2:$G$41,MATCH(C1669,Customers!$A$2:$A$41,0))</f>
        <v>1123.81398</v>
      </c>
      <c r="L1669" s="16" t="n">
        <f aca="false">F1669*INDEX(Customers!$H$2:$H$41,MATCH(C1669,Customers!$A$2:$A$41,0))</f>
        <v>9150</v>
      </c>
      <c r="M1669" s="16" t="n">
        <f aca="false">J1669*INDEX(Customers!$I$2:$I$41,MATCH(C1669,Customers!$A$2:$A$41,0))/365*Assumptions!$B$6</f>
        <v>1477.89235726027</v>
      </c>
      <c r="N1669" s="16" t="n">
        <f aca="false">J1669-K1669-L1669-M1669</f>
        <v>100629.69166274</v>
      </c>
      <c r="O1669" s="16" t="n">
        <f aca="false">F1669*IF(A1669="2025",INDEX(Products!$D$2:$D$13,MATCH(D1669,Products!$A$2:$A$13,0)),INDEX(Products!$F$2:$F$13,MATCH(D1669,Products!$A$2:$A$13,0)))</f>
        <v>80154</v>
      </c>
      <c r="P1669" s="16" t="n">
        <f aca="false">N1669-O1669</f>
        <v>20475.6916627397</v>
      </c>
    </row>
    <row r="1670" customFormat="false" ht="15" hidden="false" customHeight="false" outlineLevel="0" collapsed="false">
      <c r="A1670" s="2" t="s">
        <v>119</v>
      </c>
      <c r="B1670" s="2" t="n">
        <v>1</v>
      </c>
      <c r="C1670" s="2" t="s">
        <v>87</v>
      </c>
      <c r="D1670" s="2" t="s">
        <v>34</v>
      </c>
      <c r="E1670" s="2" t="str">
        <f aca="false">INDEX(Products!$B$2:$B$13,MATCH(D1670,Products!$A$2:$A$13,0))</f>
        <v>FCC</v>
      </c>
      <c r="F1670" s="15" t="n">
        <v>34.8</v>
      </c>
      <c r="G1670" s="16" t="n">
        <f aca="false">IF(A1670="2025",INDEX(Products!$C$2:$C$13,MATCH(D1670,Products!$A$2:$A$13,0)),INDEX(Products!$E$2:$E$13,MATCH(D1670,Products!$A$2:$A$13,0)))</f>
        <v>3433.5</v>
      </c>
      <c r="H1670" s="13" t="n">
        <f aca="false">IF(A1670="2025",INDEX(Customers!$D$2:$D$41,MATCH(C1670,Customers!$A$2:$A$41,0)),INDEX(Customers!$F$2:$F$41,MATCH(C1670,Customers!$A$2:$A$41,0)))</f>
        <v>0.093</v>
      </c>
      <c r="I1670" s="16" t="n">
        <f aca="false">F1670*G1670</f>
        <v>119485.8</v>
      </c>
      <c r="J1670" s="16" t="n">
        <f aca="false">I1670*(1-H1670)</f>
        <v>108373.6206</v>
      </c>
      <c r="K1670" s="16" t="n">
        <f aca="false">J1670*INDEX(Customers!$G$2:$G$41,MATCH(C1670,Customers!$A$2:$A$41,0))</f>
        <v>1083.736206</v>
      </c>
      <c r="L1670" s="16" t="n">
        <f aca="false">F1670*INDEX(Customers!$H$2:$H$41,MATCH(C1670,Customers!$A$2:$A$41,0))</f>
        <v>8700</v>
      </c>
      <c r="M1670" s="16" t="n">
        <f aca="false">J1670*INDEX(Customers!$I$2:$I$41,MATCH(C1670,Customers!$A$2:$A$41,0))/365*Assumptions!$B$6</f>
        <v>1425.18733939726</v>
      </c>
      <c r="N1670" s="16" t="n">
        <f aca="false">J1670-K1670-L1670-M1670</f>
        <v>97164.6970546027</v>
      </c>
      <c r="O1670" s="16" t="n">
        <f aca="false">F1670*IF(A1670="2025",INDEX(Products!$D$2:$D$13,MATCH(D1670,Products!$A$2:$A$13,0)),INDEX(Products!$F$2:$F$13,MATCH(D1670,Products!$A$2:$A$13,0)))</f>
        <v>78498.36</v>
      </c>
      <c r="P1670" s="16" t="n">
        <f aca="false">N1670-O1670</f>
        <v>18666.3370546027</v>
      </c>
    </row>
    <row r="1671" customFormat="false" ht="15" hidden="false" customHeight="false" outlineLevel="0" collapsed="false">
      <c r="A1671" s="2" t="s">
        <v>119</v>
      </c>
      <c r="B1671" s="2" t="n">
        <v>2</v>
      </c>
      <c r="C1671" s="2" t="s">
        <v>87</v>
      </c>
      <c r="D1671" s="2" t="s">
        <v>34</v>
      </c>
      <c r="E1671" s="2" t="str">
        <f aca="false">INDEX(Products!$B$2:$B$13,MATCH(D1671,Products!$A$2:$A$13,0))</f>
        <v>FCC</v>
      </c>
      <c r="F1671" s="15" t="n">
        <v>24</v>
      </c>
      <c r="G1671" s="16" t="n">
        <f aca="false">IF(A1671="2025",INDEX(Products!$C$2:$C$13,MATCH(D1671,Products!$A$2:$A$13,0)),INDEX(Products!$E$2:$E$13,MATCH(D1671,Products!$A$2:$A$13,0)))</f>
        <v>3433.5</v>
      </c>
      <c r="H1671" s="13" t="n">
        <f aca="false">IF(A1671="2025",INDEX(Customers!$D$2:$D$41,MATCH(C1671,Customers!$A$2:$A$41,0)),INDEX(Customers!$F$2:$F$41,MATCH(C1671,Customers!$A$2:$A$41,0)))</f>
        <v>0.093</v>
      </c>
      <c r="I1671" s="16" t="n">
        <f aca="false">F1671*G1671</f>
        <v>82404</v>
      </c>
      <c r="J1671" s="16" t="n">
        <f aca="false">I1671*(1-H1671)</f>
        <v>74740.428</v>
      </c>
      <c r="K1671" s="16" t="n">
        <f aca="false">J1671*INDEX(Customers!$G$2:$G$41,MATCH(C1671,Customers!$A$2:$A$41,0))</f>
        <v>747.40428</v>
      </c>
      <c r="L1671" s="16" t="n">
        <f aca="false">F1671*INDEX(Customers!$H$2:$H$41,MATCH(C1671,Customers!$A$2:$A$41,0))</f>
        <v>6000</v>
      </c>
      <c r="M1671" s="16" t="n">
        <f aca="false">J1671*INDEX(Customers!$I$2:$I$41,MATCH(C1671,Customers!$A$2:$A$41,0))/365*Assumptions!$B$6</f>
        <v>982.887820273973</v>
      </c>
      <c r="N1671" s="16" t="n">
        <f aca="false">J1671-K1671-L1671-M1671</f>
        <v>67010.135899726</v>
      </c>
      <c r="O1671" s="16" t="n">
        <f aca="false">F1671*IF(A1671="2025",INDEX(Products!$D$2:$D$13,MATCH(D1671,Products!$A$2:$A$13,0)),INDEX(Products!$F$2:$F$13,MATCH(D1671,Products!$A$2:$A$13,0)))</f>
        <v>54136.8</v>
      </c>
      <c r="P1671" s="16" t="n">
        <f aca="false">N1671-O1671</f>
        <v>12873.335899726</v>
      </c>
    </row>
    <row r="1672" customFormat="false" ht="15" hidden="false" customHeight="false" outlineLevel="0" collapsed="false">
      <c r="A1672" s="2" t="s">
        <v>119</v>
      </c>
      <c r="B1672" s="2" t="n">
        <v>3</v>
      </c>
      <c r="C1672" s="2" t="s">
        <v>87</v>
      </c>
      <c r="D1672" s="2" t="s">
        <v>34</v>
      </c>
      <c r="E1672" s="2" t="str">
        <f aca="false">INDEX(Products!$B$2:$B$13,MATCH(D1672,Products!$A$2:$A$13,0))</f>
        <v>FCC</v>
      </c>
      <c r="F1672" s="15" t="n">
        <v>31.9</v>
      </c>
      <c r="G1672" s="16" t="n">
        <f aca="false">IF(A1672="2025",INDEX(Products!$C$2:$C$13,MATCH(D1672,Products!$A$2:$A$13,0)),INDEX(Products!$E$2:$E$13,MATCH(D1672,Products!$A$2:$A$13,0)))</f>
        <v>3433.5</v>
      </c>
      <c r="H1672" s="13" t="n">
        <f aca="false">IF(A1672="2025",INDEX(Customers!$D$2:$D$41,MATCH(C1672,Customers!$A$2:$A$41,0)),INDEX(Customers!$F$2:$F$41,MATCH(C1672,Customers!$A$2:$A$41,0)))</f>
        <v>0.093</v>
      </c>
      <c r="I1672" s="16" t="n">
        <f aca="false">F1672*G1672</f>
        <v>109528.65</v>
      </c>
      <c r="J1672" s="16" t="n">
        <f aca="false">I1672*(1-H1672)</f>
        <v>99342.48555</v>
      </c>
      <c r="K1672" s="16" t="n">
        <f aca="false">J1672*INDEX(Customers!$G$2:$G$41,MATCH(C1672,Customers!$A$2:$A$41,0))</f>
        <v>993.4248555</v>
      </c>
      <c r="L1672" s="16" t="n">
        <f aca="false">F1672*INDEX(Customers!$H$2:$H$41,MATCH(C1672,Customers!$A$2:$A$41,0))</f>
        <v>7975</v>
      </c>
      <c r="M1672" s="16" t="n">
        <f aca="false">J1672*INDEX(Customers!$I$2:$I$41,MATCH(C1672,Customers!$A$2:$A$41,0))/365*Assumptions!$B$6</f>
        <v>1306.42172778082</v>
      </c>
      <c r="N1672" s="16" t="n">
        <f aca="false">J1672-K1672-L1672-M1672</f>
        <v>89067.6389667192</v>
      </c>
      <c r="O1672" s="16" t="n">
        <f aca="false">F1672*IF(A1672="2025",INDEX(Products!$D$2:$D$13,MATCH(D1672,Products!$A$2:$A$13,0)),INDEX(Products!$F$2:$F$13,MATCH(D1672,Products!$A$2:$A$13,0)))</f>
        <v>71956.83</v>
      </c>
      <c r="P1672" s="16" t="n">
        <f aca="false">N1672-O1672</f>
        <v>17110.8089667192</v>
      </c>
    </row>
    <row r="1673" customFormat="false" ht="15" hidden="false" customHeight="false" outlineLevel="0" collapsed="false">
      <c r="A1673" s="2" t="s">
        <v>119</v>
      </c>
      <c r="B1673" s="2" t="n">
        <v>4</v>
      </c>
      <c r="C1673" s="2" t="s">
        <v>87</v>
      </c>
      <c r="D1673" s="2" t="s">
        <v>34</v>
      </c>
      <c r="E1673" s="2" t="str">
        <f aca="false">INDEX(Products!$B$2:$B$13,MATCH(D1673,Products!$A$2:$A$13,0))</f>
        <v>FCC</v>
      </c>
      <c r="F1673" s="15" t="n">
        <v>38.6</v>
      </c>
      <c r="G1673" s="16" t="n">
        <f aca="false">IF(A1673="2025",INDEX(Products!$C$2:$C$13,MATCH(D1673,Products!$A$2:$A$13,0)),INDEX(Products!$E$2:$E$13,MATCH(D1673,Products!$A$2:$A$13,0)))</f>
        <v>3433.5</v>
      </c>
      <c r="H1673" s="13" t="n">
        <f aca="false">IF(A1673="2025",INDEX(Customers!$D$2:$D$41,MATCH(C1673,Customers!$A$2:$A$41,0)),INDEX(Customers!$F$2:$F$41,MATCH(C1673,Customers!$A$2:$A$41,0)))</f>
        <v>0.093</v>
      </c>
      <c r="I1673" s="16" t="n">
        <f aca="false">F1673*G1673</f>
        <v>132533.1</v>
      </c>
      <c r="J1673" s="16" t="n">
        <f aca="false">I1673*(1-H1673)</f>
        <v>120207.5217</v>
      </c>
      <c r="K1673" s="16" t="n">
        <f aca="false">J1673*INDEX(Customers!$G$2:$G$41,MATCH(C1673,Customers!$A$2:$A$41,0))</f>
        <v>1202.075217</v>
      </c>
      <c r="L1673" s="16" t="n">
        <f aca="false">F1673*INDEX(Customers!$H$2:$H$41,MATCH(C1673,Customers!$A$2:$A$41,0))</f>
        <v>9650</v>
      </c>
      <c r="M1673" s="16" t="n">
        <f aca="false">J1673*INDEX(Customers!$I$2:$I$41,MATCH(C1673,Customers!$A$2:$A$41,0))/365*Assumptions!$B$6</f>
        <v>1580.81124427397</v>
      </c>
      <c r="N1673" s="16" t="n">
        <f aca="false">J1673-K1673-L1673-M1673</f>
        <v>107774.635238726</v>
      </c>
      <c r="O1673" s="16" t="n">
        <f aca="false">F1673*IF(A1673="2025",INDEX(Products!$D$2:$D$13,MATCH(D1673,Products!$A$2:$A$13,0)),INDEX(Products!$F$2:$F$13,MATCH(D1673,Products!$A$2:$A$13,0)))</f>
        <v>87070.02</v>
      </c>
      <c r="P1673" s="16" t="n">
        <f aca="false">N1673-O1673</f>
        <v>20704.615238726</v>
      </c>
    </row>
    <row r="1674" customFormat="false" ht="15" hidden="false" customHeight="false" outlineLevel="0" collapsed="false">
      <c r="A1674" s="2" t="s">
        <v>119</v>
      </c>
      <c r="B1674" s="2" t="n">
        <v>5</v>
      </c>
      <c r="C1674" s="2" t="s">
        <v>87</v>
      </c>
      <c r="D1674" s="2" t="s">
        <v>34</v>
      </c>
      <c r="E1674" s="2" t="str">
        <f aca="false">INDEX(Products!$B$2:$B$13,MATCH(D1674,Products!$A$2:$A$13,0))</f>
        <v>FCC</v>
      </c>
      <c r="F1674" s="15" t="n">
        <v>32.4</v>
      </c>
      <c r="G1674" s="16" t="n">
        <f aca="false">IF(A1674="2025",INDEX(Products!$C$2:$C$13,MATCH(D1674,Products!$A$2:$A$13,0)),INDEX(Products!$E$2:$E$13,MATCH(D1674,Products!$A$2:$A$13,0)))</f>
        <v>3433.5</v>
      </c>
      <c r="H1674" s="13" t="n">
        <f aca="false">IF(A1674="2025",INDEX(Customers!$D$2:$D$41,MATCH(C1674,Customers!$A$2:$A$41,0)),INDEX(Customers!$F$2:$F$41,MATCH(C1674,Customers!$A$2:$A$41,0)))</f>
        <v>0.093</v>
      </c>
      <c r="I1674" s="16" t="n">
        <f aca="false">F1674*G1674</f>
        <v>111245.4</v>
      </c>
      <c r="J1674" s="16" t="n">
        <f aca="false">I1674*(1-H1674)</f>
        <v>100899.5778</v>
      </c>
      <c r="K1674" s="16" t="n">
        <f aca="false">J1674*INDEX(Customers!$G$2:$G$41,MATCH(C1674,Customers!$A$2:$A$41,0))</f>
        <v>1008.995778</v>
      </c>
      <c r="L1674" s="16" t="n">
        <f aca="false">F1674*INDEX(Customers!$H$2:$H$41,MATCH(C1674,Customers!$A$2:$A$41,0))</f>
        <v>8100</v>
      </c>
      <c r="M1674" s="16" t="n">
        <f aca="false">J1674*INDEX(Customers!$I$2:$I$41,MATCH(C1674,Customers!$A$2:$A$41,0))/365*Assumptions!$B$6</f>
        <v>1326.89855736986</v>
      </c>
      <c r="N1674" s="16" t="n">
        <f aca="false">J1674-K1674-L1674-M1674</f>
        <v>90463.6834646301</v>
      </c>
      <c r="O1674" s="16" t="n">
        <f aca="false">F1674*IF(A1674="2025",INDEX(Products!$D$2:$D$13,MATCH(D1674,Products!$A$2:$A$13,0)),INDEX(Products!$F$2:$F$13,MATCH(D1674,Products!$A$2:$A$13,0)))</f>
        <v>73084.68</v>
      </c>
      <c r="P1674" s="16" t="n">
        <f aca="false">N1674-O1674</f>
        <v>17379.0034646301</v>
      </c>
    </row>
    <row r="1675" customFormat="false" ht="15" hidden="false" customHeight="false" outlineLevel="0" collapsed="false">
      <c r="A1675" s="2" t="s">
        <v>119</v>
      </c>
      <c r="B1675" s="2" t="n">
        <v>6</v>
      </c>
      <c r="C1675" s="2" t="s">
        <v>87</v>
      </c>
      <c r="D1675" s="2" t="s">
        <v>34</v>
      </c>
      <c r="E1675" s="2" t="str">
        <f aca="false">INDEX(Products!$B$2:$B$13,MATCH(D1675,Products!$A$2:$A$13,0))</f>
        <v>FCC</v>
      </c>
      <c r="F1675" s="15" t="n">
        <v>35.5</v>
      </c>
      <c r="G1675" s="16" t="n">
        <f aca="false">IF(A1675="2025",INDEX(Products!$C$2:$C$13,MATCH(D1675,Products!$A$2:$A$13,0)),INDEX(Products!$E$2:$E$13,MATCH(D1675,Products!$A$2:$A$13,0)))</f>
        <v>3433.5</v>
      </c>
      <c r="H1675" s="13" t="n">
        <f aca="false">IF(A1675="2025",INDEX(Customers!$D$2:$D$41,MATCH(C1675,Customers!$A$2:$A$41,0)),INDEX(Customers!$F$2:$F$41,MATCH(C1675,Customers!$A$2:$A$41,0)))</f>
        <v>0.093</v>
      </c>
      <c r="I1675" s="16" t="n">
        <f aca="false">F1675*G1675</f>
        <v>121889.25</v>
      </c>
      <c r="J1675" s="16" t="n">
        <f aca="false">I1675*(1-H1675)</f>
        <v>110553.54975</v>
      </c>
      <c r="K1675" s="16" t="n">
        <f aca="false">J1675*INDEX(Customers!$G$2:$G$41,MATCH(C1675,Customers!$A$2:$A$41,0))</f>
        <v>1105.5354975</v>
      </c>
      <c r="L1675" s="16" t="n">
        <f aca="false">F1675*INDEX(Customers!$H$2:$H$41,MATCH(C1675,Customers!$A$2:$A$41,0))</f>
        <v>8875</v>
      </c>
      <c r="M1675" s="16" t="n">
        <f aca="false">J1675*INDEX(Customers!$I$2:$I$41,MATCH(C1675,Customers!$A$2:$A$41,0))/365*Assumptions!$B$6</f>
        <v>1453.85490082192</v>
      </c>
      <c r="N1675" s="16" t="n">
        <f aca="false">J1675-K1675-L1675-M1675</f>
        <v>99119.1593516781</v>
      </c>
      <c r="O1675" s="16" t="n">
        <f aca="false">F1675*IF(A1675="2025",INDEX(Products!$D$2:$D$13,MATCH(D1675,Products!$A$2:$A$13,0)),INDEX(Products!$F$2:$F$13,MATCH(D1675,Products!$A$2:$A$13,0)))</f>
        <v>80077.35</v>
      </c>
      <c r="P1675" s="16" t="n">
        <f aca="false">N1675-O1675</f>
        <v>19041.8093516781</v>
      </c>
    </row>
    <row r="1676" customFormat="false" ht="15" hidden="false" customHeight="false" outlineLevel="0" collapsed="false">
      <c r="A1676" s="2" t="s">
        <v>119</v>
      </c>
      <c r="B1676" s="2" t="n">
        <v>7</v>
      </c>
      <c r="C1676" s="2" t="s">
        <v>87</v>
      </c>
      <c r="D1676" s="2" t="s">
        <v>34</v>
      </c>
      <c r="E1676" s="2" t="str">
        <f aca="false">INDEX(Products!$B$2:$B$13,MATCH(D1676,Products!$A$2:$A$13,0))</f>
        <v>FCC</v>
      </c>
      <c r="F1676" s="15" t="n">
        <v>30.6</v>
      </c>
      <c r="G1676" s="16" t="n">
        <f aca="false">IF(A1676="2025",INDEX(Products!$C$2:$C$13,MATCH(D1676,Products!$A$2:$A$13,0)),INDEX(Products!$E$2:$E$13,MATCH(D1676,Products!$A$2:$A$13,0)))</f>
        <v>3433.5</v>
      </c>
      <c r="H1676" s="13" t="n">
        <f aca="false">IF(A1676="2025",INDEX(Customers!$D$2:$D$41,MATCH(C1676,Customers!$A$2:$A$41,0)),INDEX(Customers!$F$2:$F$41,MATCH(C1676,Customers!$A$2:$A$41,0)))</f>
        <v>0.093</v>
      </c>
      <c r="I1676" s="16" t="n">
        <f aca="false">F1676*G1676</f>
        <v>105065.1</v>
      </c>
      <c r="J1676" s="16" t="n">
        <f aca="false">I1676*(1-H1676)</f>
        <v>95294.0457</v>
      </c>
      <c r="K1676" s="16" t="n">
        <f aca="false">J1676*INDEX(Customers!$G$2:$G$41,MATCH(C1676,Customers!$A$2:$A$41,0))</f>
        <v>952.940457</v>
      </c>
      <c r="L1676" s="16" t="n">
        <f aca="false">F1676*INDEX(Customers!$H$2:$H$41,MATCH(C1676,Customers!$A$2:$A$41,0))</f>
        <v>7650</v>
      </c>
      <c r="M1676" s="16" t="n">
        <f aca="false">J1676*INDEX(Customers!$I$2:$I$41,MATCH(C1676,Customers!$A$2:$A$41,0))/365*Assumptions!$B$6</f>
        <v>1253.18197084932</v>
      </c>
      <c r="N1676" s="16" t="n">
        <f aca="false">J1676-K1676-L1676-M1676</f>
        <v>85437.9232721507</v>
      </c>
      <c r="O1676" s="16" t="n">
        <f aca="false">F1676*IF(A1676="2025",INDEX(Products!$D$2:$D$13,MATCH(D1676,Products!$A$2:$A$13,0)),INDEX(Products!$F$2:$F$13,MATCH(D1676,Products!$A$2:$A$13,0)))</f>
        <v>69024.42</v>
      </c>
      <c r="P1676" s="16" t="n">
        <f aca="false">N1676-O1676</f>
        <v>16413.5032721507</v>
      </c>
    </row>
    <row r="1677" customFormat="false" ht="15" hidden="false" customHeight="false" outlineLevel="0" collapsed="false">
      <c r="A1677" s="2" t="s">
        <v>119</v>
      </c>
      <c r="B1677" s="2" t="n">
        <v>8</v>
      </c>
      <c r="C1677" s="2" t="s">
        <v>87</v>
      </c>
      <c r="D1677" s="2" t="s">
        <v>34</v>
      </c>
      <c r="E1677" s="2" t="str">
        <f aca="false">INDEX(Products!$B$2:$B$13,MATCH(D1677,Products!$A$2:$A$13,0))</f>
        <v>FCC</v>
      </c>
      <c r="F1677" s="15" t="n">
        <v>23.3</v>
      </c>
      <c r="G1677" s="16" t="n">
        <f aca="false">IF(A1677="2025",INDEX(Products!$C$2:$C$13,MATCH(D1677,Products!$A$2:$A$13,0)),INDEX(Products!$E$2:$E$13,MATCH(D1677,Products!$A$2:$A$13,0)))</f>
        <v>3433.5</v>
      </c>
      <c r="H1677" s="13" t="n">
        <f aca="false">IF(A1677="2025",INDEX(Customers!$D$2:$D$41,MATCH(C1677,Customers!$A$2:$A$41,0)),INDEX(Customers!$F$2:$F$41,MATCH(C1677,Customers!$A$2:$A$41,0)))</f>
        <v>0.093</v>
      </c>
      <c r="I1677" s="16" t="n">
        <f aca="false">F1677*G1677</f>
        <v>80000.55</v>
      </c>
      <c r="J1677" s="16" t="n">
        <f aca="false">I1677*(1-H1677)</f>
        <v>72560.49885</v>
      </c>
      <c r="K1677" s="16" t="n">
        <f aca="false">J1677*INDEX(Customers!$G$2:$G$41,MATCH(C1677,Customers!$A$2:$A$41,0))</f>
        <v>725.6049885</v>
      </c>
      <c r="L1677" s="16" t="n">
        <f aca="false">F1677*INDEX(Customers!$H$2:$H$41,MATCH(C1677,Customers!$A$2:$A$41,0))</f>
        <v>5825</v>
      </c>
      <c r="M1677" s="16" t="n">
        <f aca="false">J1677*INDEX(Customers!$I$2:$I$41,MATCH(C1677,Customers!$A$2:$A$41,0))/365*Assumptions!$B$6</f>
        <v>954.220258849315</v>
      </c>
      <c r="N1677" s="16" t="n">
        <f aca="false">J1677-K1677-L1677-M1677</f>
        <v>65055.6736026507</v>
      </c>
      <c r="O1677" s="16" t="n">
        <f aca="false">F1677*IF(A1677="2025",INDEX(Products!$D$2:$D$13,MATCH(D1677,Products!$A$2:$A$13,0)),INDEX(Products!$F$2:$F$13,MATCH(D1677,Products!$A$2:$A$13,0)))</f>
        <v>52557.81</v>
      </c>
      <c r="P1677" s="16" t="n">
        <f aca="false">N1677-O1677</f>
        <v>12497.8636026507</v>
      </c>
    </row>
    <row r="1678" customFormat="false" ht="15" hidden="false" customHeight="false" outlineLevel="0" collapsed="false">
      <c r="A1678" s="2" t="s">
        <v>119</v>
      </c>
      <c r="B1678" s="2" t="n">
        <v>9</v>
      </c>
      <c r="C1678" s="2" t="s">
        <v>87</v>
      </c>
      <c r="D1678" s="2" t="s">
        <v>34</v>
      </c>
      <c r="E1678" s="2" t="str">
        <f aca="false">INDEX(Products!$B$2:$B$13,MATCH(D1678,Products!$A$2:$A$13,0))</f>
        <v>FCC</v>
      </c>
      <c r="F1678" s="15" t="n">
        <v>39.3</v>
      </c>
      <c r="G1678" s="16" t="n">
        <f aca="false">IF(A1678="2025",INDEX(Products!$C$2:$C$13,MATCH(D1678,Products!$A$2:$A$13,0)),INDEX(Products!$E$2:$E$13,MATCH(D1678,Products!$A$2:$A$13,0)))</f>
        <v>3433.5</v>
      </c>
      <c r="H1678" s="13" t="n">
        <f aca="false">IF(A1678="2025",INDEX(Customers!$D$2:$D$41,MATCH(C1678,Customers!$A$2:$A$41,0)),INDEX(Customers!$F$2:$F$41,MATCH(C1678,Customers!$A$2:$A$41,0)))</f>
        <v>0.093</v>
      </c>
      <c r="I1678" s="16" t="n">
        <f aca="false">F1678*G1678</f>
        <v>134936.55</v>
      </c>
      <c r="J1678" s="16" t="n">
        <f aca="false">I1678*(1-H1678)</f>
        <v>122387.45085</v>
      </c>
      <c r="K1678" s="16" t="n">
        <f aca="false">J1678*INDEX(Customers!$G$2:$G$41,MATCH(C1678,Customers!$A$2:$A$41,0))</f>
        <v>1223.8745085</v>
      </c>
      <c r="L1678" s="16" t="n">
        <f aca="false">F1678*INDEX(Customers!$H$2:$H$41,MATCH(C1678,Customers!$A$2:$A$41,0))</f>
        <v>9825</v>
      </c>
      <c r="M1678" s="16" t="n">
        <f aca="false">J1678*INDEX(Customers!$I$2:$I$41,MATCH(C1678,Customers!$A$2:$A$41,0))/365*Assumptions!$B$6</f>
        <v>1609.47880569863</v>
      </c>
      <c r="N1678" s="16" t="n">
        <f aca="false">J1678-K1678-L1678-M1678</f>
        <v>109729.097535801</v>
      </c>
      <c r="O1678" s="16" t="n">
        <f aca="false">F1678*IF(A1678="2025",INDEX(Products!$D$2:$D$13,MATCH(D1678,Products!$A$2:$A$13,0)),INDEX(Products!$F$2:$F$13,MATCH(D1678,Products!$A$2:$A$13,0)))</f>
        <v>88649.01</v>
      </c>
      <c r="P1678" s="16" t="n">
        <f aca="false">N1678-O1678</f>
        <v>21080.0875358014</v>
      </c>
    </row>
    <row r="1679" customFormat="false" ht="15" hidden="false" customHeight="false" outlineLevel="0" collapsed="false">
      <c r="A1679" s="2" t="s">
        <v>119</v>
      </c>
      <c r="B1679" s="2" t="n">
        <v>10</v>
      </c>
      <c r="C1679" s="2" t="s">
        <v>87</v>
      </c>
      <c r="D1679" s="2" t="s">
        <v>34</v>
      </c>
      <c r="E1679" s="2" t="str">
        <f aca="false">INDEX(Products!$B$2:$B$13,MATCH(D1679,Products!$A$2:$A$13,0))</f>
        <v>FCC</v>
      </c>
      <c r="F1679" s="15" t="n">
        <v>27.7</v>
      </c>
      <c r="G1679" s="16" t="n">
        <f aca="false">IF(A1679="2025",INDEX(Products!$C$2:$C$13,MATCH(D1679,Products!$A$2:$A$13,0)),INDEX(Products!$E$2:$E$13,MATCH(D1679,Products!$A$2:$A$13,0)))</f>
        <v>3433.5</v>
      </c>
      <c r="H1679" s="13" t="n">
        <f aca="false">IF(A1679="2025",INDEX(Customers!$D$2:$D$41,MATCH(C1679,Customers!$A$2:$A$41,0)),INDEX(Customers!$F$2:$F$41,MATCH(C1679,Customers!$A$2:$A$41,0)))</f>
        <v>0.093</v>
      </c>
      <c r="I1679" s="16" t="n">
        <f aca="false">F1679*G1679</f>
        <v>95107.95</v>
      </c>
      <c r="J1679" s="16" t="n">
        <f aca="false">I1679*(1-H1679)</f>
        <v>86262.91065</v>
      </c>
      <c r="K1679" s="16" t="n">
        <f aca="false">J1679*INDEX(Customers!$G$2:$G$41,MATCH(C1679,Customers!$A$2:$A$41,0))</f>
        <v>862.6291065</v>
      </c>
      <c r="L1679" s="16" t="n">
        <f aca="false">F1679*INDEX(Customers!$H$2:$H$41,MATCH(C1679,Customers!$A$2:$A$41,0))</f>
        <v>6925</v>
      </c>
      <c r="M1679" s="16" t="n">
        <f aca="false">J1679*INDEX(Customers!$I$2:$I$41,MATCH(C1679,Customers!$A$2:$A$41,0))/365*Assumptions!$B$6</f>
        <v>1134.41635923288</v>
      </c>
      <c r="N1679" s="16" t="n">
        <f aca="false">J1679-K1679-L1679-M1679</f>
        <v>77340.8651842671</v>
      </c>
      <c r="O1679" s="16" t="n">
        <f aca="false">F1679*IF(A1679="2025",INDEX(Products!$D$2:$D$13,MATCH(D1679,Products!$A$2:$A$13,0)),INDEX(Products!$F$2:$F$13,MATCH(D1679,Products!$A$2:$A$13,0)))</f>
        <v>62482.89</v>
      </c>
      <c r="P1679" s="16" t="n">
        <f aca="false">N1679-O1679</f>
        <v>14857.9751842671</v>
      </c>
    </row>
    <row r="1680" customFormat="false" ht="15" hidden="false" customHeight="false" outlineLevel="0" collapsed="false">
      <c r="A1680" s="2" t="s">
        <v>119</v>
      </c>
      <c r="B1680" s="2" t="n">
        <v>11</v>
      </c>
      <c r="C1680" s="2" t="s">
        <v>87</v>
      </c>
      <c r="D1680" s="2" t="s">
        <v>34</v>
      </c>
      <c r="E1680" s="2" t="str">
        <f aca="false">INDEX(Products!$B$2:$B$13,MATCH(D1680,Products!$A$2:$A$13,0))</f>
        <v>FCC</v>
      </c>
      <c r="F1680" s="15" t="n">
        <v>24.5</v>
      </c>
      <c r="G1680" s="16" t="n">
        <f aca="false">IF(A1680="2025",INDEX(Products!$C$2:$C$13,MATCH(D1680,Products!$A$2:$A$13,0)),INDEX(Products!$E$2:$E$13,MATCH(D1680,Products!$A$2:$A$13,0)))</f>
        <v>3433.5</v>
      </c>
      <c r="H1680" s="13" t="n">
        <f aca="false">IF(A1680="2025",INDEX(Customers!$D$2:$D$41,MATCH(C1680,Customers!$A$2:$A$41,0)),INDEX(Customers!$F$2:$F$41,MATCH(C1680,Customers!$A$2:$A$41,0)))</f>
        <v>0.093</v>
      </c>
      <c r="I1680" s="16" t="n">
        <f aca="false">F1680*G1680</f>
        <v>84120.75</v>
      </c>
      <c r="J1680" s="16" t="n">
        <f aca="false">I1680*(1-H1680)</f>
        <v>76297.52025</v>
      </c>
      <c r="K1680" s="16" t="n">
        <f aca="false">J1680*INDEX(Customers!$G$2:$G$41,MATCH(C1680,Customers!$A$2:$A$41,0))</f>
        <v>762.9752025</v>
      </c>
      <c r="L1680" s="16" t="n">
        <f aca="false">F1680*INDEX(Customers!$H$2:$H$41,MATCH(C1680,Customers!$A$2:$A$41,0))</f>
        <v>6125</v>
      </c>
      <c r="M1680" s="16" t="n">
        <f aca="false">J1680*INDEX(Customers!$I$2:$I$41,MATCH(C1680,Customers!$A$2:$A$41,0))/365*Assumptions!$B$6</f>
        <v>1003.36464986301</v>
      </c>
      <c r="N1680" s="16" t="n">
        <f aca="false">J1680-K1680-L1680-M1680</f>
        <v>68406.180397637</v>
      </c>
      <c r="O1680" s="16" t="n">
        <f aca="false">F1680*IF(A1680="2025",INDEX(Products!$D$2:$D$13,MATCH(D1680,Products!$A$2:$A$13,0)),INDEX(Products!$F$2:$F$13,MATCH(D1680,Products!$A$2:$A$13,0)))</f>
        <v>55264.65</v>
      </c>
      <c r="P1680" s="16" t="n">
        <f aca="false">N1680-O1680</f>
        <v>13141.530397637</v>
      </c>
    </row>
    <row r="1681" customFormat="false" ht="15" hidden="false" customHeight="false" outlineLevel="0" collapsed="false">
      <c r="A1681" s="2" t="s">
        <v>119</v>
      </c>
      <c r="B1681" s="2" t="n">
        <v>12</v>
      </c>
      <c r="C1681" s="2" t="s">
        <v>87</v>
      </c>
      <c r="D1681" s="2" t="s">
        <v>34</v>
      </c>
      <c r="E1681" s="2" t="str">
        <f aca="false">INDEX(Products!$B$2:$B$13,MATCH(D1681,Products!$A$2:$A$13,0))</f>
        <v>FCC</v>
      </c>
      <c r="F1681" s="15" t="n">
        <v>31.8</v>
      </c>
      <c r="G1681" s="16" t="n">
        <f aca="false">IF(A1681="2025",INDEX(Products!$C$2:$C$13,MATCH(D1681,Products!$A$2:$A$13,0)),INDEX(Products!$E$2:$E$13,MATCH(D1681,Products!$A$2:$A$13,0)))</f>
        <v>3433.5</v>
      </c>
      <c r="H1681" s="13" t="n">
        <f aca="false">IF(A1681="2025",INDEX(Customers!$D$2:$D$41,MATCH(C1681,Customers!$A$2:$A$41,0)),INDEX(Customers!$F$2:$F$41,MATCH(C1681,Customers!$A$2:$A$41,0)))</f>
        <v>0.093</v>
      </c>
      <c r="I1681" s="16" t="n">
        <f aca="false">F1681*G1681</f>
        <v>109185.3</v>
      </c>
      <c r="J1681" s="16" t="n">
        <f aca="false">I1681*(1-H1681)</f>
        <v>99031.0671</v>
      </c>
      <c r="K1681" s="16" t="n">
        <f aca="false">J1681*INDEX(Customers!$G$2:$G$41,MATCH(C1681,Customers!$A$2:$A$41,0))</f>
        <v>990.310671</v>
      </c>
      <c r="L1681" s="16" t="n">
        <f aca="false">F1681*INDEX(Customers!$H$2:$H$41,MATCH(C1681,Customers!$A$2:$A$41,0))</f>
        <v>7950</v>
      </c>
      <c r="M1681" s="16" t="n">
        <f aca="false">J1681*INDEX(Customers!$I$2:$I$41,MATCH(C1681,Customers!$A$2:$A$41,0))/365*Assumptions!$B$6</f>
        <v>1302.32636186301</v>
      </c>
      <c r="N1681" s="16" t="n">
        <f aca="false">J1681-K1681-L1681-M1681</f>
        <v>88788.430067137</v>
      </c>
      <c r="O1681" s="16" t="n">
        <f aca="false">F1681*IF(A1681="2025",INDEX(Products!$D$2:$D$13,MATCH(D1681,Products!$A$2:$A$13,0)),INDEX(Products!$F$2:$F$13,MATCH(D1681,Products!$A$2:$A$13,0)))</f>
        <v>71731.26</v>
      </c>
      <c r="P1681" s="16" t="n">
        <f aca="false">N1681-O1681</f>
        <v>17057.170067137</v>
      </c>
    </row>
    <row r="1682" customFormat="false" ht="15" hidden="false" customHeight="false" outlineLevel="0" collapsed="false">
      <c r="A1682" s="2" t="s">
        <v>118</v>
      </c>
      <c r="B1682" s="2" t="n">
        <v>1</v>
      </c>
      <c r="C1682" s="2" t="s">
        <v>87</v>
      </c>
      <c r="D1682" s="2" t="s">
        <v>43</v>
      </c>
      <c r="E1682" s="2" t="str">
        <f aca="false">INDEX(Products!$B$2:$B$13,MATCH(D1682,Products!$A$2:$A$13,0))</f>
        <v>Hydroprocessing</v>
      </c>
      <c r="F1682" s="15" t="n">
        <v>13</v>
      </c>
      <c r="G1682" s="16" t="n">
        <f aca="false">IF(A1682="2025",INDEX(Products!$C$2:$C$13,MATCH(D1682,Products!$A$2:$A$13,0)),INDEX(Products!$E$2:$E$13,MATCH(D1682,Products!$A$2:$A$13,0)))</f>
        <v>11610</v>
      </c>
      <c r="H1682" s="13" t="n">
        <f aca="false">IF(A1682="2025",INDEX(Customers!$D$2:$D$41,MATCH(C1682,Customers!$A$2:$A$41,0)),INDEX(Customers!$F$2:$F$41,MATCH(C1682,Customers!$A$2:$A$41,0)))</f>
        <v>0.061</v>
      </c>
      <c r="I1682" s="16" t="n">
        <f aca="false">F1682*G1682</f>
        <v>150930</v>
      </c>
      <c r="J1682" s="16" t="n">
        <f aca="false">I1682*(1-H1682)</f>
        <v>141723.27</v>
      </c>
      <c r="K1682" s="16" t="n">
        <f aca="false">J1682*INDEX(Customers!$G$2:$G$41,MATCH(C1682,Customers!$A$2:$A$41,0))</f>
        <v>1417.2327</v>
      </c>
      <c r="L1682" s="16" t="n">
        <f aca="false">F1682*INDEX(Customers!$H$2:$H$41,MATCH(C1682,Customers!$A$2:$A$41,0))</f>
        <v>3250</v>
      </c>
      <c r="M1682" s="16" t="n">
        <f aca="false">J1682*INDEX(Customers!$I$2:$I$41,MATCH(C1682,Customers!$A$2:$A$41,0))/365*Assumptions!$B$6</f>
        <v>1863.75807123288</v>
      </c>
      <c r="N1682" s="16" t="n">
        <f aca="false">J1682-K1682-L1682-M1682</f>
        <v>135192.279228767</v>
      </c>
      <c r="O1682" s="16" t="n">
        <f aca="false">F1682*IF(A1682="2025",INDEX(Products!$D$2:$D$13,MATCH(D1682,Products!$A$2:$A$13,0)),INDEX(Products!$F$2:$F$13,MATCH(D1682,Products!$A$2:$A$13,0)))</f>
        <v>95420</v>
      </c>
      <c r="P1682" s="16" t="n">
        <f aca="false">N1682-O1682</f>
        <v>39772.2792287672</v>
      </c>
    </row>
    <row r="1683" customFormat="false" ht="15" hidden="false" customHeight="false" outlineLevel="0" collapsed="false">
      <c r="A1683" s="2" t="s">
        <v>118</v>
      </c>
      <c r="B1683" s="2" t="n">
        <v>2</v>
      </c>
      <c r="C1683" s="2" t="s">
        <v>87</v>
      </c>
      <c r="D1683" s="2" t="s">
        <v>43</v>
      </c>
      <c r="E1683" s="2" t="str">
        <f aca="false">INDEX(Products!$B$2:$B$13,MATCH(D1683,Products!$A$2:$A$13,0))</f>
        <v>Hydroprocessing</v>
      </c>
      <c r="F1683" s="15" t="n">
        <v>15.6</v>
      </c>
      <c r="G1683" s="16" t="n">
        <f aca="false">IF(A1683="2025",INDEX(Products!$C$2:$C$13,MATCH(D1683,Products!$A$2:$A$13,0)),INDEX(Products!$E$2:$E$13,MATCH(D1683,Products!$A$2:$A$13,0)))</f>
        <v>11610</v>
      </c>
      <c r="H1683" s="13" t="n">
        <f aca="false">IF(A1683="2025",INDEX(Customers!$D$2:$D$41,MATCH(C1683,Customers!$A$2:$A$41,0)),INDEX(Customers!$F$2:$F$41,MATCH(C1683,Customers!$A$2:$A$41,0)))</f>
        <v>0.061</v>
      </c>
      <c r="I1683" s="16" t="n">
        <f aca="false">F1683*G1683</f>
        <v>181116</v>
      </c>
      <c r="J1683" s="16" t="n">
        <f aca="false">I1683*(1-H1683)</f>
        <v>170067.924</v>
      </c>
      <c r="K1683" s="16" t="n">
        <f aca="false">J1683*INDEX(Customers!$G$2:$G$41,MATCH(C1683,Customers!$A$2:$A$41,0))</f>
        <v>1700.67924</v>
      </c>
      <c r="L1683" s="16" t="n">
        <f aca="false">F1683*INDEX(Customers!$H$2:$H$41,MATCH(C1683,Customers!$A$2:$A$41,0))</f>
        <v>3900</v>
      </c>
      <c r="M1683" s="16" t="n">
        <f aca="false">J1683*INDEX(Customers!$I$2:$I$41,MATCH(C1683,Customers!$A$2:$A$41,0))/365*Assumptions!$B$6</f>
        <v>2236.50968547945</v>
      </c>
      <c r="N1683" s="16" t="n">
        <f aca="false">J1683-K1683-L1683-M1683</f>
        <v>162230.735074521</v>
      </c>
      <c r="O1683" s="16" t="n">
        <f aca="false">F1683*IF(A1683="2025",INDEX(Products!$D$2:$D$13,MATCH(D1683,Products!$A$2:$A$13,0)),INDEX(Products!$F$2:$F$13,MATCH(D1683,Products!$A$2:$A$13,0)))</f>
        <v>114504</v>
      </c>
      <c r="P1683" s="16" t="n">
        <f aca="false">N1683-O1683</f>
        <v>47726.7350745206</v>
      </c>
    </row>
    <row r="1684" customFormat="false" ht="15" hidden="false" customHeight="false" outlineLevel="0" collapsed="false">
      <c r="A1684" s="2" t="s">
        <v>118</v>
      </c>
      <c r="B1684" s="2" t="n">
        <v>3</v>
      </c>
      <c r="C1684" s="2" t="s">
        <v>87</v>
      </c>
      <c r="D1684" s="2" t="s">
        <v>43</v>
      </c>
      <c r="E1684" s="2" t="str">
        <f aca="false">INDEX(Products!$B$2:$B$13,MATCH(D1684,Products!$A$2:$A$13,0))</f>
        <v>Hydroprocessing</v>
      </c>
      <c r="F1684" s="15" t="n">
        <v>17.3</v>
      </c>
      <c r="G1684" s="16" t="n">
        <f aca="false">IF(A1684="2025",INDEX(Products!$C$2:$C$13,MATCH(D1684,Products!$A$2:$A$13,0)),INDEX(Products!$E$2:$E$13,MATCH(D1684,Products!$A$2:$A$13,0)))</f>
        <v>11610</v>
      </c>
      <c r="H1684" s="13" t="n">
        <f aca="false">IF(A1684="2025",INDEX(Customers!$D$2:$D$41,MATCH(C1684,Customers!$A$2:$A$41,0)),INDEX(Customers!$F$2:$F$41,MATCH(C1684,Customers!$A$2:$A$41,0)))</f>
        <v>0.061</v>
      </c>
      <c r="I1684" s="16" t="n">
        <f aca="false">F1684*G1684</f>
        <v>200853</v>
      </c>
      <c r="J1684" s="16" t="n">
        <f aca="false">I1684*(1-H1684)</f>
        <v>188600.967</v>
      </c>
      <c r="K1684" s="16" t="n">
        <f aca="false">J1684*INDEX(Customers!$G$2:$G$41,MATCH(C1684,Customers!$A$2:$A$41,0))</f>
        <v>1886.00967</v>
      </c>
      <c r="L1684" s="16" t="n">
        <f aca="false">F1684*INDEX(Customers!$H$2:$H$41,MATCH(C1684,Customers!$A$2:$A$41,0))</f>
        <v>4325</v>
      </c>
      <c r="M1684" s="16" t="n">
        <f aca="false">J1684*INDEX(Customers!$I$2:$I$41,MATCH(C1684,Customers!$A$2:$A$41,0))/365*Assumptions!$B$6</f>
        <v>2480.23189479452</v>
      </c>
      <c r="N1684" s="16" t="n">
        <f aca="false">J1684-K1684-L1684-M1684</f>
        <v>179909.725435205</v>
      </c>
      <c r="O1684" s="16" t="n">
        <f aca="false">F1684*IF(A1684="2025",INDEX(Products!$D$2:$D$13,MATCH(D1684,Products!$A$2:$A$13,0)),INDEX(Products!$F$2:$F$13,MATCH(D1684,Products!$A$2:$A$13,0)))</f>
        <v>126982</v>
      </c>
      <c r="P1684" s="16" t="n">
        <f aca="false">N1684-O1684</f>
        <v>52927.7254352055</v>
      </c>
    </row>
    <row r="1685" customFormat="false" ht="15" hidden="false" customHeight="false" outlineLevel="0" collapsed="false">
      <c r="A1685" s="2" t="s">
        <v>118</v>
      </c>
      <c r="B1685" s="2" t="n">
        <v>4</v>
      </c>
      <c r="C1685" s="2" t="s">
        <v>87</v>
      </c>
      <c r="D1685" s="2" t="s">
        <v>43</v>
      </c>
      <c r="E1685" s="2" t="str">
        <f aca="false">INDEX(Products!$B$2:$B$13,MATCH(D1685,Products!$A$2:$A$13,0))</f>
        <v>Hydroprocessing</v>
      </c>
      <c r="F1685" s="15" t="n">
        <v>11.9</v>
      </c>
      <c r="G1685" s="16" t="n">
        <f aca="false">IF(A1685="2025",INDEX(Products!$C$2:$C$13,MATCH(D1685,Products!$A$2:$A$13,0)),INDEX(Products!$E$2:$E$13,MATCH(D1685,Products!$A$2:$A$13,0)))</f>
        <v>11610</v>
      </c>
      <c r="H1685" s="13" t="n">
        <f aca="false">IF(A1685="2025",INDEX(Customers!$D$2:$D$41,MATCH(C1685,Customers!$A$2:$A$41,0)),INDEX(Customers!$F$2:$F$41,MATCH(C1685,Customers!$A$2:$A$41,0)))</f>
        <v>0.061</v>
      </c>
      <c r="I1685" s="16" t="n">
        <f aca="false">F1685*G1685</f>
        <v>138159</v>
      </c>
      <c r="J1685" s="16" t="n">
        <f aca="false">I1685*(1-H1685)</f>
        <v>129731.301</v>
      </c>
      <c r="K1685" s="16" t="n">
        <f aca="false">J1685*INDEX(Customers!$G$2:$G$41,MATCH(C1685,Customers!$A$2:$A$41,0))</f>
        <v>1297.31301</v>
      </c>
      <c r="L1685" s="16" t="n">
        <f aca="false">F1685*INDEX(Customers!$H$2:$H$41,MATCH(C1685,Customers!$A$2:$A$41,0))</f>
        <v>2975</v>
      </c>
      <c r="M1685" s="16" t="n">
        <f aca="false">J1685*INDEX(Customers!$I$2:$I$41,MATCH(C1685,Customers!$A$2:$A$41,0))/365*Assumptions!$B$6</f>
        <v>1706.05546520548</v>
      </c>
      <c r="N1685" s="16" t="n">
        <f aca="false">J1685-K1685-L1685-M1685</f>
        <v>123752.932524795</v>
      </c>
      <c r="O1685" s="16" t="n">
        <f aca="false">F1685*IF(A1685="2025",INDEX(Products!$D$2:$D$13,MATCH(D1685,Products!$A$2:$A$13,0)),INDEX(Products!$F$2:$F$13,MATCH(D1685,Products!$A$2:$A$13,0)))</f>
        <v>87346</v>
      </c>
      <c r="P1685" s="16" t="n">
        <f aca="false">N1685-O1685</f>
        <v>36406.9325247945</v>
      </c>
    </row>
    <row r="1686" customFormat="false" ht="15" hidden="false" customHeight="false" outlineLevel="0" collapsed="false">
      <c r="A1686" s="2" t="s">
        <v>118</v>
      </c>
      <c r="B1686" s="2" t="n">
        <v>5</v>
      </c>
      <c r="C1686" s="2" t="s">
        <v>87</v>
      </c>
      <c r="D1686" s="2" t="s">
        <v>43</v>
      </c>
      <c r="E1686" s="2" t="str">
        <f aca="false">INDEX(Products!$B$2:$B$13,MATCH(D1686,Products!$A$2:$A$13,0))</f>
        <v>Hydroprocessing</v>
      </c>
      <c r="F1686" s="15" t="n">
        <v>20.8</v>
      </c>
      <c r="G1686" s="16" t="n">
        <f aca="false">IF(A1686="2025",INDEX(Products!$C$2:$C$13,MATCH(D1686,Products!$A$2:$A$13,0)),INDEX(Products!$E$2:$E$13,MATCH(D1686,Products!$A$2:$A$13,0)))</f>
        <v>11610</v>
      </c>
      <c r="H1686" s="13" t="n">
        <f aca="false">IF(A1686="2025",INDEX(Customers!$D$2:$D$41,MATCH(C1686,Customers!$A$2:$A$41,0)),INDEX(Customers!$F$2:$F$41,MATCH(C1686,Customers!$A$2:$A$41,0)))</f>
        <v>0.061</v>
      </c>
      <c r="I1686" s="16" t="n">
        <f aca="false">F1686*G1686</f>
        <v>241488</v>
      </c>
      <c r="J1686" s="16" t="n">
        <f aca="false">I1686*(1-H1686)</f>
        <v>226757.232</v>
      </c>
      <c r="K1686" s="16" t="n">
        <f aca="false">J1686*INDEX(Customers!$G$2:$G$41,MATCH(C1686,Customers!$A$2:$A$41,0))</f>
        <v>2267.57232</v>
      </c>
      <c r="L1686" s="16" t="n">
        <f aca="false">F1686*INDEX(Customers!$H$2:$H$41,MATCH(C1686,Customers!$A$2:$A$41,0))</f>
        <v>5200</v>
      </c>
      <c r="M1686" s="16" t="n">
        <f aca="false">J1686*INDEX(Customers!$I$2:$I$41,MATCH(C1686,Customers!$A$2:$A$41,0))/365*Assumptions!$B$6</f>
        <v>2982.0129139726</v>
      </c>
      <c r="N1686" s="16" t="n">
        <f aca="false">J1686-K1686-L1686-M1686</f>
        <v>216307.646766027</v>
      </c>
      <c r="O1686" s="16" t="n">
        <f aca="false">F1686*IF(A1686="2025",INDEX(Products!$D$2:$D$13,MATCH(D1686,Products!$A$2:$A$13,0)),INDEX(Products!$F$2:$F$13,MATCH(D1686,Products!$A$2:$A$13,0)))</f>
        <v>152672</v>
      </c>
      <c r="P1686" s="16" t="n">
        <f aca="false">N1686-O1686</f>
        <v>63635.6467660274</v>
      </c>
    </row>
    <row r="1687" customFormat="false" ht="15" hidden="false" customHeight="false" outlineLevel="0" collapsed="false">
      <c r="A1687" s="2" t="s">
        <v>118</v>
      </c>
      <c r="B1687" s="2" t="n">
        <v>6</v>
      </c>
      <c r="C1687" s="2" t="s">
        <v>87</v>
      </c>
      <c r="D1687" s="2" t="s">
        <v>43</v>
      </c>
      <c r="E1687" s="2" t="str">
        <f aca="false">INDEX(Products!$B$2:$B$13,MATCH(D1687,Products!$A$2:$A$13,0))</f>
        <v>Hydroprocessing</v>
      </c>
      <c r="F1687" s="15" t="n">
        <v>14.2</v>
      </c>
      <c r="G1687" s="16" t="n">
        <f aca="false">IF(A1687="2025",INDEX(Products!$C$2:$C$13,MATCH(D1687,Products!$A$2:$A$13,0)),INDEX(Products!$E$2:$E$13,MATCH(D1687,Products!$A$2:$A$13,0)))</f>
        <v>11610</v>
      </c>
      <c r="H1687" s="13" t="n">
        <f aca="false">IF(A1687="2025",INDEX(Customers!$D$2:$D$41,MATCH(C1687,Customers!$A$2:$A$41,0)),INDEX(Customers!$F$2:$F$41,MATCH(C1687,Customers!$A$2:$A$41,0)))</f>
        <v>0.061</v>
      </c>
      <c r="I1687" s="16" t="n">
        <f aca="false">F1687*G1687</f>
        <v>164862</v>
      </c>
      <c r="J1687" s="16" t="n">
        <f aca="false">I1687*(1-H1687)</f>
        <v>154805.418</v>
      </c>
      <c r="K1687" s="16" t="n">
        <f aca="false">J1687*INDEX(Customers!$G$2:$G$41,MATCH(C1687,Customers!$A$2:$A$41,0))</f>
        <v>1548.05418</v>
      </c>
      <c r="L1687" s="16" t="n">
        <f aca="false">F1687*INDEX(Customers!$H$2:$H$41,MATCH(C1687,Customers!$A$2:$A$41,0))</f>
        <v>3550</v>
      </c>
      <c r="M1687" s="16" t="n">
        <f aca="false">J1687*INDEX(Customers!$I$2:$I$41,MATCH(C1687,Customers!$A$2:$A$41,0))/365*Assumptions!$B$6</f>
        <v>2035.79727780822</v>
      </c>
      <c r="N1687" s="16" t="n">
        <f aca="false">J1687-K1687-L1687-M1687</f>
        <v>147671.566542192</v>
      </c>
      <c r="O1687" s="16" t="n">
        <f aca="false">F1687*IF(A1687="2025",INDEX(Products!$D$2:$D$13,MATCH(D1687,Products!$A$2:$A$13,0)),INDEX(Products!$F$2:$F$13,MATCH(D1687,Products!$A$2:$A$13,0)))</f>
        <v>104228</v>
      </c>
      <c r="P1687" s="16" t="n">
        <f aca="false">N1687-O1687</f>
        <v>43443.5665421918</v>
      </c>
    </row>
    <row r="1688" customFormat="false" ht="15" hidden="false" customHeight="false" outlineLevel="0" collapsed="false">
      <c r="A1688" s="2" t="s">
        <v>118</v>
      </c>
      <c r="B1688" s="2" t="n">
        <v>7</v>
      </c>
      <c r="C1688" s="2" t="s">
        <v>87</v>
      </c>
      <c r="D1688" s="2" t="s">
        <v>43</v>
      </c>
      <c r="E1688" s="2" t="str">
        <f aca="false">INDEX(Products!$B$2:$B$13,MATCH(D1688,Products!$A$2:$A$13,0))</f>
        <v>Hydroprocessing</v>
      </c>
      <c r="F1688" s="15" t="n">
        <v>17.6</v>
      </c>
      <c r="G1688" s="16" t="n">
        <f aca="false">IF(A1688="2025",INDEX(Products!$C$2:$C$13,MATCH(D1688,Products!$A$2:$A$13,0)),INDEX(Products!$E$2:$E$13,MATCH(D1688,Products!$A$2:$A$13,0)))</f>
        <v>11610</v>
      </c>
      <c r="H1688" s="13" t="n">
        <f aca="false">IF(A1688="2025",INDEX(Customers!$D$2:$D$41,MATCH(C1688,Customers!$A$2:$A$41,0)),INDEX(Customers!$F$2:$F$41,MATCH(C1688,Customers!$A$2:$A$41,0)))</f>
        <v>0.061</v>
      </c>
      <c r="I1688" s="16" t="n">
        <f aca="false">F1688*G1688</f>
        <v>204336</v>
      </c>
      <c r="J1688" s="16" t="n">
        <f aca="false">I1688*(1-H1688)</f>
        <v>191871.504</v>
      </c>
      <c r="K1688" s="16" t="n">
        <f aca="false">J1688*INDEX(Customers!$G$2:$G$41,MATCH(C1688,Customers!$A$2:$A$41,0))</f>
        <v>1918.71504</v>
      </c>
      <c r="L1688" s="16" t="n">
        <f aca="false">F1688*INDEX(Customers!$H$2:$H$41,MATCH(C1688,Customers!$A$2:$A$41,0))</f>
        <v>4400</v>
      </c>
      <c r="M1688" s="16" t="n">
        <f aca="false">J1688*INDEX(Customers!$I$2:$I$41,MATCH(C1688,Customers!$A$2:$A$41,0))/365*Assumptions!$B$6</f>
        <v>2523.24169643836</v>
      </c>
      <c r="N1688" s="16" t="n">
        <f aca="false">J1688-K1688-L1688-M1688</f>
        <v>183029.547263562</v>
      </c>
      <c r="O1688" s="16" t="n">
        <f aca="false">F1688*IF(A1688="2025",INDEX(Products!$D$2:$D$13,MATCH(D1688,Products!$A$2:$A$13,0)),INDEX(Products!$F$2:$F$13,MATCH(D1688,Products!$A$2:$A$13,0)))</f>
        <v>129184</v>
      </c>
      <c r="P1688" s="16" t="n">
        <f aca="false">N1688-O1688</f>
        <v>53845.5472635617</v>
      </c>
    </row>
    <row r="1689" customFormat="false" ht="15" hidden="false" customHeight="false" outlineLevel="0" collapsed="false">
      <c r="A1689" s="2" t="s">
        <v>118</v>
      </c>
      <c r="B1689" s="2" t="n">
        <v>8</v>
      </c>
      <c r="C1689" s="2" t="s">
        <v>87</v>
      </c>
      <c r="D1689" s="2" t="s">
        <v>43</v>
      </c>
      <c r="E1689" s="2" t="str">
        <f aca="false">INDEX(Products!$B$2:$B$13,MATCH(D1689,Products!$A$2:$A$13,0))</f>
        <v>Hydroprocessing</v>
      </c>
      <c r="F1689" s="15" t="n">
        <v>18.6</v>
      </c>
      <c r="G1689" s="16" t="n">
        <f aca="false">IF(A1689="2025",INDEX(Products!$C$2:$C$13,MATCH(D1689,Products!$A$2:$A$13,0)),INDEX(Products!$E$2:$E$13,MATCH(D1689,Products!$A$2:$A$13,0)))</f>
        <v>11610</v>
      </c>
      <c r="H1689" s="13" t="n">
        <f aca="false">IF(A1689="2025",INDEX(Customers!$D$2:$D$41,MATCH(C1689,Customers!$A$2:$A$41,0)),INDEX(Customers!$F$2:$F$41,MATCH(C1689,Customers!$A$2:$A$41,0)))</f>
        <v>0.061</v>
      </c>
      <c r="I1689" s="16" t="n">
        <f aca="false">F1689*G1689</f>
        <v>215946</v>
      </c>
      <c r="J1689" s="16" t="n">
        <f aca="false">I1689*(1-H1689)</f>
        <v>202773.294</v>
      </c>
      <c r="K1689" s="16" t="n">
        <f aca="false">J1689*INDEX(Customers!$G$2:$G$41,MATCH(C1689,Customers!$A$2:$A$41,0))</f>
        <v>2027.73294</v>
      </c>
      <c r="L1689" s="16" t="n">
        <f aca="false">F1689*INDEX(Customers!$H$2:$H$41,MATCH(C1689,Customers!$A$2:$A$41,0))</f>
        <v>4650</v>
      </c>
      <c r="M1689" s="16" t="n">
        <f aca="false">J1689*INDEX(Customers!$I$2:$I$41,MATCH(C1689,Customers!$A$2:$A$41,0))/365*Assumptions!$B$6</f>
        <v>2666.60770191781</v>
      </c>
      <c r="N1689" s="16" t="n">
        <f aca="false">J1689-K1689-L1689-M1689</f>
        <v>193428.953358082</v>
      </c>
      <c r="O1689" s="16" t="n">
        <f aca="false">F1689*IF(A1689="2025",INDEX(Products!$D$2:$D$13,MATCH(D1689,Products!$A$2:$A$13,0)),INDEX(Products!$F$2:$F$13,MATCH(D1689,Products!$A$2:$A$13,0)))</f>
        <v>136524</v>
      </c>
      <c r="P1689" s="16" t="n">
        <f aca="false">N1689-O1689</f>
        <v>56904.9533580822</v>
      </c>
    </row>
    <row r="1690" customFormat="false" ht="15" hidden="false" customHeight="false" outlineLevel="0" collapsed="false">
      <c r="A1690" s="2" t="s">
        <v>118</v>
      </c>
      <c r="B1690" s="2" t="n">
        <v>9</v>
      </c>
      <c r="C1690" s="2" t="s">
        <v>87</v>
      </c>
      <c r="D1690" s="2" t="s">
        <v>43</v>
      </c>
      <c r="E1690" s="2" t="str">
        <f aca="false">INDEX(Products!$B$2:$B$13,MATCH(D1690,Products!$A$2:$A$13,0))</f>
        <v>Hydroprocessing</v>
      </c>
      <c r="F1690" s="15" t="n">
        <v>15.9</v>
      </c>
      <c r="G1690" s="16" t="n">
        <f aca="false">IF(A1690="2025",INDEX(Products!$C$2:$C$13,MATCH(D1690,Products!$A$2:$A$13,0)),INDEX(Products!$E$2:$E$13,MATCH(D1690,Products!$A$2:$A$13,0)))</f>
        <v>11610</v>
      </c>
      <c r="H1690" s="13" t="n">
        <f aca="false">IF(A1690="2025",INDEX(Customers!$D$2:$D$41,MATCH(C1690,Customers!$A$2:$A$41,0)),INDEX(Customers!$F$2:$F$41,MATCH(C1690,Customers!$A$2:$A$41,0)))</f>
        <v>0.061</v>
      </c>
      <c r="I1690" s="16" t="n">
        <f aca="false">F1690*G1690</f>
        <v>184599</v>
      </c>
      <c r="J1690" s="16" t="n">
        <f aca="false">I1690*(1-H1690)</f>
        <v>173338.461</v>
      </c>
      <c r="K1690" s="16" t="n">
        <f aca="false">J1690*INDEX(Customers!$G$2:$G$41,MATCH(C1690,Customers!$A$2:$A$41,0))</f>
        <v>1733.38461</v>
      </c>
      <c r="L1690" s="16" t="n">
        <f aca="false">F1690*INDEX(Customers!$H$2:$H$41,MATCH(C1690,Customers!$A$2:$A$41,0))</f>
        <v>3975</v>
      </c>
      <c r="M1690" s="16" t="n">
        <f aca="false">J1690*INDEX(Customers!$I$2:$I$41,MATCH(C1690,Customers!$A$2:$A$41,0))/365*Assumptions!$B$6</f>
        <v>2279.51948712329</v>
      </c>
      <c r="N1690" s="16" t="n">
        <f aca="false">J1690-K1690-L1690-M1690</f>
        <v>165350.556902877</v>
      </c>
      <c r="O1690" s="16" t="n">
        <f aca="false">F1690*IF(A1690="2025",INDEX(Products!$D$2:$D$13,MATCH(D1690,Products!$A$2:$A$13,0)),INDEX(Products!$F$2:$F$13,MATCH(D1690,Products!$A$2:$A$13,0)))</f>
        <v>116706</v>
      </c>
      <c r="P1690" s="16" t="n">
        <f aca="false">N1690-O1690</f>
        <v>48644.5569028767</v>
      </c>
    </row>
    <row r="1691" customFormat="false" ht="15" hidden="false" customHeight="false" outlineLevel="0" collapsed="false">
      <c r="A1691" s="2" t="s">
        <v>118</v>
      </c>
      <c r="B1691" s="2" t="n">
        <v>10</v>
      </c>
      <c r="C1691" s="2" t="s">
        <v>87</v>
      </c>
      <c r="D1691" s="2" t="s">
        <v>43</v>
      </c>
      <c r="E1691" s="2" t="str">
        <f aca="false">INDEX(Products!$B$2:$B$13,MATCH(D1691,Products!$A$2:$A$13,0))</f>
        <v>Hydroprocessing</v>
      </c>
      <c r="F1691" s="15" t="n">
        <v>21</v>
      </c>
      <c r="G1691" s="16" t="n">
        <f aca="false">IF(A1691="2025",INDEX(Products!$C$2:$C$13,MATCH(D1691,Products!$A$2:$A$13,0)),INDEX(Products!$E$2:$E$13,MATCH(D1691,Products!$A$2:$A$13,0)))</f>
        <v>11610</v>
      </c>
      <c r="H1691" s="13" t="n">
        <f aca="false">IF(A1691="2025",INDEX(Customers!$D$2:$D$41,MATCH(C1691,Customers!$A$2:$A$41,0)),INDEX(Customers!$F$2:$F$41,MATCH(C1691,Customers!$A$2:$A$41,0)))</f>
        <v>0.061</v>
      </c>
      <c r="I1691" s="16" t="n">
        <f aca="false">F1691*G1691</f>
        <v>243810</v>
      </c>
      <c r="J1691" s="16" t="n">
        <f aca="false">I1691*(1-H1691)</f>
        <v>228937.59</v>
      </c>
      <c r="K1691" s="16" t="n">
        <f aca="false">J1691*INDEX(Customers!$G$2:$G$41,MATCH(C1691,Customers!$A$2:$A$41,0))</f>
        <v>2289.3759</v>
      </c>
      <c r="L1691" s="16" t="n">
        <f aca="false">F1691*INDEX(Customers!$H$2:$H$41,MATCH(C1691,Customers!$A$2:$A$41,0))</f>
        <v>5250</v>
      </c>
      <c r="M1691" s="16" t="n">
        <f aca="false">J1691*INDEX(Customers!$I$2:$I$41,MATCH(C1691,Customers!$A$2:$A$41,0))/365*Assumptions!$B$6</f>
        <v>3010.68611506849</v>
      </c>
      <c r="N1691" s="16" t="n">
        <f aca="false">J1691-K1691-L1691-M1691</f>
        <v>218387.527984932</v>
      </c>
      <c r="O1691" s="16" t="n">
        <f aca="false">F1691*IF(A1691="2025",INDEX(Products!$D$2:$D$13,MATCH(D1691,Products!$A$2:$A$13,0)),INDEX(Products!$F$2:$F$13,MATCH(D1691,Products!$A$2:$A$13,0)))</f>
        <v>154140</v>
      </c>
      <c r="P1691" s="16" t="n">
        <f aca="false">N1691-O1691</f>
        <v>64247.5279849315</v>
      </c>
    </row>
    <row r="1692" customFormat="false" ht="15" hidden="false" customHeight="false" outlineLevel="0" collapsed="false">
      <c r="A1692" s="2" t="s">
        <v>118</v>
      </c>
      <c r="B1692" s="2" t="n">
        <v>11</v>
      </c>
      <c r="C1692" s="2" t="s">
        <v>87</v>
      </c>
      <c r="D1692" s="2" t="s">
        <v>43</v>
      </c>
      <c r="E1692" s="2" t="str">
        <f aca="false">INDEX(Products!$B$2:$B$13,MATCH(D1692,Products!$A$2:$A$13,0))</f>
        <v>Hydroprocessing</v>
      </c>
      <c r="F1692" s="15" t="n">
        <v>19.7</v>
      </c>
      <c r="G1692" s="16" t="n">
        <f aca="false">IF(A1692="2025",INDEX(Products!$C$2:$C$13,MATCH(D1692,Products!$A$2:$A$13,0)),INDEX(Products!$E$2:$E$13,MATCH(D1692,Products!$A$2:$A$13,0)))</f>
        <v>11610</v>
      </c>
      <c r="H1692" s="13" t="n">
        <f aca="false">IF(A1692="2025",INDEX(Customers!$D$2:$D$41,MATCH(C1692,Customers!$A$2:$A$41,0)),INDEX(Customers!$F$2:$F$41,MATCH(C1692,Customers!$A$2:$A$41,0)))</f>
        <v>0.061</v>
      </c>
      <c r="I1692" s="16" t="n">
        <f aca="false">F1692*G1692</f>
        <v>228717</v>
      </c>
      <c r="J1692" s="16" t="n">
        <f aca="false">I1692*(1-H1692)</f>
        <v>214765.263</v>
      </c>
      <c r="K1692" s="16" t="n">
        <f aca="false">J1692*INDEX(Customers!$G$2:$G$41,MATCH(C1692,Customers!$A$2:$A$41,0))</f>
        <v>2147.65263</v>
      </c>
      <c r="L1692" s="16" t="n">
        <f aca="false">F1692*INDEX(Customers!$H$2:$H$41,MATCH(C1692,Customers!$A$2:$A$41,0))</f>
        <v>4925</v>
      </c>
      <c r="M1692" s="16" t="n">
        <f aca="false">J1692*INDEX(Customers!$I$2:$I$41,MATCH(C1692,Customers!$A$2:$A$41,0))/365*Assumptions!$B$6</f>
        <v>2824.31030794521</v>
      </c>
      <c r="N1692" s="16" t="n">
        <f aca="false">J1692-K1692-L1692-M1692</f>
        <v>204868.300062055</v>
      </c>
      <c r="O1692" s="16" t="n">
        <f aca="false">F1692*IF(A1692="2025",INDEX(Products!$D$2:$D$13,MATCH(D1692,Products!$A$2:$A$13,0)),INDEX(Products!$F$2:$F$13,MATCH(D1692,Products!$A$2:$A$13,0)))</f>
        <v>144598</v>
      </c>
      <c r="P1692" s="16" t="n">
        <f aca="false">N1692-O1692</f>
        <v>60270.3000620548</v>
      </c>
    </row>
    <row r="1693" customFormat="false" ht="15" hidden="false" customHeight="false" outlineLevel="0" collapsed="false">
      <c r="A1693" s="2" t="s">
        <v>118</v>
      </c>
      <c r="B1693" s="2" t="n">
        <v>12</v>
      </c>
      <c r="C1693" s="2" t="s">
        <v>87</v>
      </c>
      <c r="D1693" s="2" t="s">
        <v>43</v>
      </c>
      <c r="E1693" s="2" t="str">
        <f aca="false">INDEX(Products!$B$2:$B$13,MATCH(D1693,Products!$A$2:$A$13,0))</f>
        <v>Hydroprocessing</v>
      </c>
      <c r="F1693" s="15" t="n">
        <v>18.5</v>
      </c>
      <c r="G1693" s="16" t="n">
        <f aca="false">IF(A1693="2025",INDEX(Products!$C$2:$C$13,MATCH(D1693,Products!$A$2:$A$13,0)),INDEX(Products!$E$2:$E$13,MATCH(D1693,Products!$A$2:$A$13,0)))</f>
        <v>11610</v>
      </c>
      <c r="H1693" s="13" t="n">
        <f aca="false">IF(A1693="2025",INDEX(Customers!$D$2:$D$41,MATCH(C1693,Customers!$A$2:$A$41,0)),INDEX(Customers!$F$2:$F$41,MATCH(C1693,Customers!$A$2:$A$41,0)))</f>
        <v>0.061</v>
      </c>
      <c r="I1693" s="16" t="n">
        <f aca="false">F1693*G1693</f>
        <v>214785</v>
      </c>
      <c r="J1693" s="16" t="n">
        <f aca="false">I1693*(1-H1693)</f>
        <v>201683.115</v>
      </c>
      <c r="K1693" s="16" t="n">
        <f aca="false">J1693*INDEX(Customers!$G$2:$G$41,MATCH(C1693,Customers!$A$2:$A$41,0))</f>
        <v>2016.83115</v>
      </c>
      <c r="L1693" s="16" t="n">
        <f aca="false">F1693*INDEX(Customers!$H$2:$H$41,MATCH(C1693,Customers!$A$2:$A$41,0))</f>
        <v>4625</v>
      </c>
      <c r="M1693" s="16" t="n">
        <f aca="false">J1693*INDEX(Customers!$I$2:$I$41,MATCH(C1693,Customers!$A$2:$A$41,0))/365*Assumptions!$B$6</f>
        <v>2652.27110136986</v>
      </c>
      <c r="N1693" s="16" t="n">
        <f aca="false">J1693-K1693-L1693-M1693</f>
        <v>192389.01274863</v>
      </c>
      <c r="O1693" s="16" t="n">
        <f aca="false">F1693*IF(A1693="2025",INDEX(Products!$D$2:$D$13,MATCH(D1693,Products!$A$2:$A$13,0)),INDEX(Products!$F$2:$F$13,MATCH(D1693,Products!$A$2:$A$13,0)))</f>
        <v>135790</v>
      </c>
      <c r="P1693" s="16" t="n">
        <f aca="false">N1693-O1693</f>
        <v>56599.0127486301</v>
      </c>
    </row>
    <row r="1694" customFormat="false" ht="15" hidden="false" customHeight="false" outlineLevel="0" collapsed="false">
      <c r="A1694" s="2" t="s">
        <v>119</v>
      </c>
      <c r="B1694" s="2" t="n">
        <v>1</v>
      </c>
      <c r="C1694" s="2" t="s">
        <v>87</v>
      </c>
      <c r="D1694" s="2" t="s">
        <v>43</v>
      </c>
      <c r="E1694" s="2" t="str">
        <f aca="false">INDEX(Products!$B$2:$B$13,MATCH(D1694,Products!$A$2:$A$13,0))</f>
        <v>Hydroprocessing</v>
      </c>
      <c r="F1694" s="15" t="n">
        <v>15</v>
      </c>
      <c r="G1694" s="16" t="n">
        <f aca="false">IF(A1694="2025",INDEX(Products!$C$2:$C$13,MATCH(D1694,Products!$A$2:$A$13,0)),INDEX(Products!$E$2:$E$13,MATCH(D1694,Products!$A$2:$A$13,0)))</f>
        <v>12190.5</v>
      </c>
      <c r="H1694" s="13" t="n">
        <f aca="false">IF(A1694="2025",INDEX(Customers!$D$2:$D$41,MATCH(C1694,Customers!$A$2:$A$41,0)),INDEX(Customers!$F$2:$F$41,MATCH(C1694,Customers!$A$2:$A$41,0)))</f>
        <v>0.093</v>
      </c>
      <c r="I1694" s="16" t="n">
        <f aca="false">F1694*G1694</f>
        <v>182857.5</v>
      </c>
      <c r="J1694" s="16" t="n">
        <f aca="false">I1694*(1-H1694)</f>
        <v>165851.7525</v>
      </c>
      <c r="K1694" s="16" t="n">
        <f aca="false">J1694*INDEX(Customers!$G$2:$G$41,MATCH(C1694,Customers!$A$2:$A$41,0))</f>
        <v>1658.517525</v>
      </c>
      <c r="L1694" s="16" t="n">
        <f aca="false">F1694*INDEX(Customers!$H$2:$H$41,MATCH(C1694,Customers!$A$2:$A$41,0))</f>
        <v>3750</v>
      </c>
      <c r="M1694" s="16" t="n">
        <f aca="false">J1694*INDEX(Customers!$I$2:$I$41,MATCH(C1694,Customers!$A$2:$A$41,0))/365*Assumptions!$B$6</f>
        <v>2181.06414246575</v>
      </c>
      <c r="N1694" s="16" t="n">
        <f aca="false">J1694-K1694-L1694-M1694</f>
        <v>158262.170832534</v>
      </c>
      <c r="O1694" s="16" t="n">
        <f aca="false">F1694*IF(A1694="2025",INDEX(Products!$D$2:$D$13,MATCH(D1694,Products!$A$2:$A$13,0)),INDEX(Products!$F$2:$F$13,MATCH(D1694,Products!$A$2:$A$13,0)))</f>
        <v>113403</v>
      </c>
      <c r="P1694" s="16" t="n">
        <f aca="false">N1694-O1694</f>
        <v>44859.1708325342</v>
      </c>
    </row>
    <row r="1695" customFormat="false" ht="15" hidden="false" customHeight="false" outlineLevel="0" collapsed="false">
      <c r="A1695" s="2" t="s">
        <v>119</v>
      </c>
      <c r="B1695" s="2" t="n">
        <v>2</v>
      </c>
      <c r="C1695" s="2" t="s">
        <v>87</v>
      </c>
      <c r="D1695" s="2" t="s">
        <v>43</v>
      </c>
      <c r="E1695" s="2" t="str">
        <f aca="false">INDEX(Products!$B$2:$B$13,MATCH(D1695,Products!$A$2:$A$13,0))</f>
        <v>Hydroprocessing</v>
      </c>
      <c r="F1695" s="15" t="n">
        <v>16.8</v>
      </c>
      <c r="G1695" s="16" t="n">
        <f aca="false">IF(A1695="2025",INDEX(Products!$C$2:$C$13,MATCH(D1695,Products!$A$2:$A$13,0)),INDEX(Products!$E$2:$E$13,MATCH(D1695,Products!$A$2:$A$13,0)))</f>
        <v>12190.5</v>
      </c>
      <c r="H1695" s="13" t="n">
        <f aca="false">IF(A1695="2025",INDEX(Customers!$D$2:$D$41,MATCH(C1695,Customers!$A$2:$A$41,0)),INDEX(Customers!$F$2:$F$41,MATCH(C1695,Customers!$A$2:$A$41,0)))</f>
        <v>0.093</v>
      </c>
      <c r="I1695" s="16" t="n">
        <f aca="false">F1695*G1695</f>
        <v>204800.4</v>
      </c>
      <c r="J1695" s="16" t="n">
        <f aca="false">I1695*(1-H1695)</f>
        <v>185753.9628</v>
      </c>
      <c r="K1695" s="16" t="n">
        <f aca="false">J1695*INDEX(Customers!$G$2:$G$41,MATCH(C1695,Customers!$A$2:$A$41,0))</f>
        <v>1857.539628</v>
      </c>
      <c r="L1695" s="16" t="n">
        <f aca="false">F1695*INDEX(Customers!$H$2:$H$41,MATCH(C1695,Customers!$A$2:$A$41,0))</f>
        <v>4200</v>
      </c>
      <c r="M1695" s="16" t="n">
        <f aca="false">J1695*INDEX(Customers!$I$2:$I$41,MATCH(C1695,Customers!$A$2:$A$41,0))/365*Assumptions!$B$6</f>
        <v>2442.79183956164</v>
      </c>
      <c r="N1695" s="16" t="n">
        <f aca="false">J1695-K1695-L1695-M1695</f>
        <v>177253.631332438</v>
      </c>
      <c r="O1695" s="16" t="n">
        <f aca="false">F1695*IF(A1695="2025",INDEX(Products!$D$2:$D$13,MATCH(D1695,Products!$A$2:$A$13,0)),INDEX(Products!$F$2:$F$13,MATCH(D1695,Products!$A$2:$A$13,0)))</f>
        <v>127011.36</v>
      </c>
      <c r="P1695" s="16" t="n">
        <f aca="false">N1695-O1695</f>
        <v>50242.2713324384</v>
      </c>
    </row>
    <row r="1696" customFormat="false" ht="15" hidden="false" customHeight="false" outlineLevel="0" collapsed="false">
      <c r="A1696" s="2" t="s">
        <v>119</v>
      </c>
      <c r="B1696" s="2" t="n">
        <v>3</v>
      </c>
      <c r="C1696" s="2" t="s">
        <v>87</v>
      </c>
      <c r="D1696" s="2" t="s">
        <v>43</v>
      </c>
      <c r="E1696" s="2" t="str">
        <f aca="false">INDEX(Products!$B$2:$B$13,MATCH(D1696,Products!$A$2:$A$13,0))</f>
        <v>Hydroprocessing</v>
      </c>
      <c r="F1696" s="15" t="n">
        <v>10.7</v>
      </c>
      <c r="G1696" s="16" t="n">
        <f aca="false">IF(A1696="2025",INDEX(Products!$C$2:$C$13,MATCH(D1696,Products!$A$2:$A$13,0)),INDEX(Products!$E$2:$E$13,MATCH(D1696,Products!$A$2:$A$13,0)))</f>
        <v>12190.5</v>
      </c>
      <c r="H1696" s="13" t="n">
        <f aca="false">IF(A1696="2025",INDEX(Customers!$D$2:$D$41,MATCH(C1696,Customers!$A$2:$A$41,0)),INDEX(Customers!$F$2:$F$41,MATCH(C1696,Customers!$A$2:$A$41,0)))</f>
        <v>0.093</v>
      </c>
      <c r="I1696" s="16" t="n">
        <f aca="false">F1696*G1696</f>
        <v>130438.35</v>
      </c>
      <c r="J1696" s="16" t="n">
        <f aca="false">I1696*(1-H1696)</f>
        <v>118307.58345</v>
      </c>
      <c r="K1696" s="16" t="n">
        <f aca="false">J1696*INDEX(Customers!$G$2:$G$41,MATCH(C1696,Customers!$A$2:$A$41,0))</f>
        <v>1183.0758345</v>
      </c>
      <c r="L1696" s="16" t="n">
        <f aca="false">F1696*INDEX(Customers!$H$2:$H$41,MATCH(C1696,Customers!$A$2:$A$41,0))</f>
        <v>2675</v>
      </c>
      <c r="M1696" s="16" t="n">
        <f aca="false">J1696*INDEX(Customers!$I$2:$I$41,MATCH(C1696,Customers!$A$2:$A$41,0))/365*Assumptions!$B$6</f>
        <v>1555.8257549589</v>
      </c>
      <c r="N1696" s="16" t="n">
        <f aca="false">J1696-K1696-L1696-M1696</f>
        <v>112893.681860541</v>
      </c>
      <c r="O1696" s="16" t="n">
        <f aca="false">F1696*IF(A1696="2025",INDEX(Products!$D$2:$D$13,MATCH(D1696,Products!$A$2:$A$13,0)),INDEX(Products!$F$2:$F$13,MATCH(D1696,Products!$A$2:$A$13,0)))</f>
        <v>80894.14</v>
      </c>
      <c r="P1696" s="16" t="n">
        <f aca="false">N1696-O1696</f>
        <v>31999.5418605411</v>
      </c>
    </row>
    <row r="1697" customFormat="false" ht="15" hidden="false" customHeight="false" outlineLevel="0" collapsed="false">
      <c r="A1697" s="2" t="s">
        <v>119</v>
      </c>
      <c r="B1697" s="2" t="n">
        <v>4</v>
      </c>
      <c r="C1697" s="2" t="s">
        <v>87</v>
      </c>
      <c r="D1697" s="2" t="s">
        <v>43</v>
      </c>
      <c r="E1697" s="2" t="str">
        <f aca="false">INDEX(Products!$B$2:$B$13,MATCH(D1697,Products!$A$2:$A$13,0))</f>
        <v>Hydroprocessing</v>
      </c>
      <c r="F1697" s="15" t="n">
        <v>17.5</v>
      </c>
      <c r="G1697" s="16" t="n">
        <f aca="false">IF(A1697="2025",INDEX(Products!$C$2:$C$13,MATCH(D1697,Products!$A$2:$A$13,0)),INDEX(Products!$E$2:$E$13,MATCH(D1697,Products!$A$2:$A$13,0)))</f>
        <v>12190.5</v>
      </c>
      <c r="H1697" s="13" t="n">
        <f aca="false">IF(A1697="2025",INDEX(Customers!$D$2:$D$41,MATCH(C1697,Customers!$A$2:$A$41,0)),INDEX(Customers!$F$2:$F$41,MATCH(C1697,Customers!$A$2:$A$41,0)))</f>
        <v>0.093</v>
      </c>
      <c r="I1697" s="16" t="n">
        <f aca="false">F1697*G1697</f>
        <v>213333.75</v>
      </c>
      <c r="J1697" s="16" t="n">
        <f aca="false">I1697*(1-H1697)</f>
        <v>193493.71125</v>
      </c>
      <c r="K1697" s="16" t="n">
        <f aca="false">J1697*INDEX(Customers!$G$2:$G$41,MATCH(C1697,Customers!$A$2:$A$41,0))</f>
        <v>1934.9371125</v>
      </c>
      <c r="L1697" s="16" t="n">
        <f aca="false">F1697*INDEX(Customers!$H$2:$H$41,MATCH(C1697,Customers!$A$2:$A$41,0))</f>
        <v>4375</v>
      </c>
      <c r="M1697" s="16" t="n">
        <f aca="false">J1697*INDEX(Customers!$I$2:$I$41,MATCH(C1697,Customers!$A$2:$A$41,0))/365*Assumptions!$B$6</f>
        <v>2544.57483287671</v>
      </c>
      <c r="N1697" s="16" t="n">
        <f aca="false">J1697-K1697-L1697-M1697</f>
        <v>184639.199304623</v>
      </c>
      <c r="O1697" s="16" t="n">
        <f aca="false">F1697*IF(A1697="2025",INDEX(Products!$D$2:$D$13,MATCH(D1697,Products!$A$2:$A$13,0)),INDEX(Products!$F$2:$F$13,MATCH(D1697,Products!$A$2:$A$13,0)))</f>
        <v>132303.5</v>
      </c>
      <c r="P1697" s="16" t="n">
        <f aca="false">N1697-O1697</f>
        <v>52335.6993046233</v>
      </c>
    </row>
    <row r="1698" customFormat="false" ht="15" hidden="false" customHeight="false" outlineLevel="0" collapsed="false">
      <c r="A1698" s="2" t="s">
        <v>119</v>
      </c>
      <c r="B1698" s="2" t="n">
        <v>5</v>
      </c>
      <c r="C1698" s="2" t="s">
        <v>87</v>
      </c>
      <c r="D1698" s="2" t="s">
        <v>43</v>
      </c>
      <c r="E1698" s="2" t="str">
        <f aca="false">INDEX(Products!$B$2:$B$13,MATCH(D1698,Products!$A$2:$A$13,0))</f>
        <v>Hydroprocessing</v>
      </c>
      <c r="F1698" s="15" t="n">
        <v>12.7</v>
      </c>
      <c r="G1698" s="16" t="n">
        <f aca="false">IF(A1698="2025",INDEX(Products!$C$2:$C$13,MATCH(D1698,Products!$A$2:$A$13,0)),INDEX(Products!$E$2:$E$13,MATCH(D1698,Products!$A$2:$A$13,0)))</f>
        <v>12190.5</v>
      </c>
      <c r="H1698" s="13" t="n">
        <f aca="false">IF(A1698="2025",INDEX(Customers!$D$2:$D$41,MATCH(C1698,Customers!$A$2:$A$41,0)),INDEX(Customers!$F$2:$F$41,MATCH(C1698,Customers!$A$2:$A$41,0)))</f>
        <v>0.093</v>
      </c>
      <c r="I1698" s="16" t="n">
        <f aca="false">F1698*G1698</f>
        <v>154819.35</v>
      </c>
      <c r="J1698" s="16" t="n">
        <f aca="false">I1698*(1-H1698)</f>
        <v>140421.15045</v>
      </c>
      <c r="K1698" s="16" t="n">
        <f aca="false">J1698*INDEX(Customers!$G$2:$G$41,MATCH(C1698,Customers!$A$2:$A$41,0))</f>
        <v>1404.2115045</v>
      </c>
      <c r="L1698" s="16" t="n">
        <f aca="false">F1698*INDEX(Customers!$H$2:$H$41,MATCH(C1698,Customers!$A$2:$A$41,0))</f>
        <v>3175</v>
      </c>
      <c r="M1698" s="16" t="n">
        <f aca="false">J1698*INDEX(Customers!$I$2:$I$41,MATCH(C1698,Customers!$A$2:$A$41,0))/365*Assumptions!$B$6</f>
        <v>1846.63430728767</v>
      </c>
      <c r="N1698" s="16" t="n">
        <f aca="false">J1698-K1698-L1698-M1698</f>
        <v>133995.304638212</v>
      </c>
      <c r="O1698" s="16" t="n">
        <f aca="false">F1698*IF(A1698="2025",INDEX(Products!$D$2:$D$13,MATCH(D1698,Products!$A$2:$A$13,0)),INDEX(Products!$F$2:$F$13,MATCH(D1698,Products!$A$2:$A$13,0)))</f>
        <v>96014.54</v>
      </c>
      <c r="P1698" s="16" t="n">
        <f aca="false">N1698-O1698</f>
        <v>37980.7646382124</v>
      </c>
    </row>
    <row r="1699" customFormat="false" ht="15" hidden="false" customHeight="false" outlineLevel="0" collapsed="false">
      <c r="A1699" s="2" t="s">
        <v>119</v>
      </c>
      <c r="B1699" s="2" t="n">
        <v>6</v>
      </c>
      <c r="C1699" s="2" t="s">
        <v>87</v>
      </c>
      <c r="D1699" s="2" t="s">
        <v>43</v>
      </c>
      <c r="E1699" s="2" t="str">
        <f aca="false">INDEX(Products!$B$2:$B$13,MATCH(D1699,Products!$A$2:$A$13,0))</f>
        <v>Hydroprocessing</v>
      </c>
      <c r="F1699" s="15" t="n">
        <v>10.4</v>
      </c>
      <c r="G1699" s="16" t="n">
        <f aca="false">IF(A1699="2025",INDEX(Products!$C$2:$C$13,MATCH(D1699,Products!$A$2:$A$13,0)),INDEX(Products!$E$2:$E$13,MATCH(D1699,Products!$A$2:$A$13,0)))</f>
        <v>12190.5</v>
      </c>
      <c r="H1699" s="13" t="n">
        <f aca="false">IF(A1699="2025",INDEX(Customers!$D$2:$D$41,MATCH(C1699,Customers!$A$2:$A$41,0)),INDEX(Customers!$F$2:$F$41,MATCH(C1699,Customers!$A$2:$A$41,0)))</f>
        <v>0.093</v>
      </c>
      <c r="I1699" s="16" t="n">
        <f aca="false">F1699*G1699</f>
        <v>126781.2</v>
      </c>
      <c r="J1699" s="16" t="n">
        <f aca="false">I1699*(1-H1699)</f>
        <v>114990.5484</v>
      </c>
      <c r="K1699" s="16" t="n">
        <f aca="false">J1699*INDEX(Customers!$G$2:$G$41,MATCH(C1699,Customers!$A$2:$A$41,0))</f>
        <v>1149.905484</v>
      </c>
      <c r="L1699" s="16" t="n">
        <f aca="false">F1699*INDEX(Customers!$H$2:$H$41,MATCH(C1699,Customers!$A$2:$A$41,0))</f>
        <v>2600</v>
      </c>
      <c r="M1699" s="16" t="n">
        <f aca="false">J1699*INDEX(Customers!$I$2:$I$41,MATCH(C1699,Customers!$A$2:$A$41,0))/365*Assumptions!$B$6</f>
        <v>1512.20447210959</v>
      </c>
      <c r="N1699" s="16" t="n">
        <f aca="false">J1699-K1699-L1699-M1699</f>
        <v>109728.43844389</v>
      </c>
      <c r="O1699" s="16" t="n">
        <f aca="false">F1699*IF(A1699="2025",INDEX(Products!$D$2:$D$13,MATCH(D1699,Products!$A$2:$A$13,0)),INDEX(Products!$F$2:$F$13,MATCH(D1699,Products!$A$2:$A$13,0)))</f>
        <v>78626.08</v>
      </c>
      <c r="P1699" s="16" t="n">
        <f aca="false">N1699-O1699</f>
        <v>31102.3584438904</v>
      </c>
    </row>
    <row r="1700" customFormat="false" ht="15" hidden="false" customHeight="false" outlineLevel="0" collapsed="false">
      <c r="A1700" s="2" t="s">
        <v>119</v>
      </c>
      <c r="B1700" s="2" t="n">
        <v>7</v>
      </c>
      <c r="C1700" s="2" t="s">
        <v>87</v>
      </c>
      <c r="D1700" s="2" t="s">
        <v>43</v>
      </c>
      <c r="E1700" s="2" t="str">
        <f aca="false">INDEX(Products!$B$2:$B$13,MATCH(D1700,Products!$A$2:$A$13,0))</f>
        <v>Hydroprocessing</v>
      </c>
      <c r="F1700" s="15" t="n">
        <v>13.1</v>
      </c>
      <c r="G1700" s="16" t="n">
        <f aca="false">IF(A1700="2025",INDEX(Products!$C$2:$C$13,MATCH(D1700,Products!$A$2:$A$13,0)),INDEX(Products!$E$2:$E$13,MATCH(D1700,Products!$A$2:$A$13,0)))</f>
        <v>12190.5</v>
      </c>
      <c r="H1700" s="13" t="n">
        <f aca="false">IF(A1700="2025",INDEX(Customers!$D$2:$D$41,MATCH(C1700,Customers!$A$2:$A$41,0)),INDEX(Customers!$F$2:$F$41,MATCH(C1700,Customers!$A$2:$A$41,0)))</f>
        <v>0.093</v>
      </c>
      <c r="I1700" s="16" t="n">
        <f aca="false">F1700*G1700</f>
        <v>159695.55</v>
      </c>
      <c r="J1700" s="16" t="n">
        <f aca="false">I1700*(1-H1700)</f>
        <v>144843.86385</v>
      </c>
      <c r="K1700" s="16" t="n">
        <f aca="false">J1700*INDEX(Customers!$G$2:$G$41,MATCH(C1700,Customers!$A$2:$A$41,0))</f>
        <v>1448.4386385</v>
      </c>
      <c r="L1700" s="16" t="n">
        <f aca="false">F1700*INDEX(Customers!$H$2:$H$41,MATCH(C1700,Customers!$A$2:$A$41,0))</f>
        <v>3275</v>
      </c>
      <c r="M1700" s="16" t="n">
        <f aca="false">J1700*INDEX(Customers!$I$2:$I$41,MATCH(C1700,Customers!$A$2:$A$41,0))/365*Assumptions!$B$6</f>
        <v>1904.79601775342</v>
      </c>
      <c r="N1700" s="16" t="n">
        <f aca="false">J1700-K1700-L1700-M1700</f>
        <v>138215.629193747</v>
      </c>
      <c r="O1700" s="16" t="n">
        <f aca="false">F1700*IF(A1700="2025",INDEX(Products!$D$2:$D$13,MATCH(D1700,Products!$A$2:$A$13,0)),INDEX(Products!$F$2:$F$13,MATCH(D1700,Products!$A$2:$A$13,0)))</f>
        <v>99038.62</v>
      </c>
      <c r="P1700" s="16" t="n">
        <f aca="false">N1700-O1700</f>
        <v>39177.0091937466</v>
      </c>
    </row>
    <row r="1701" customFormat="false" ht="15" hidden="false" customHeight="false" outlineLevel="0" collapsed="false">
      <c r="A1701" s="2" t="s">
        <v>119</v>
      </c>
      <c r="B1701" s="2" t="n">
        <v>8</v>
      </c>
      <c r="C1701" s="2" t="s">
        <v>87</v>
      </c>
      <c r="D1701" s="2" t="s">
        <v>43</v>
      </c>
      <c r="E1701" s="2" t="str">
        <f aca="false">INDEX(Products!$B$2:$B$13,MATCH(D1701,Products!$A$2:$A$13,0))</f>
        <v>Hydroprocessing</v>
      </c>
      <c r="F1701" s="15" t="n">
        <v>12.8</v>
      </c>
      <c r="G1701" s="16" t="n">
        <f aca="false">IF(A1701="2025",INDEX(Products!$C$2:$C$13,MATCH(D1701,Products!$A$2:$A$13,0)),INDEX(Products!$E$2:$E$13,MATCH(D1701,Products!$A$2:$A$13,0)))</f>
        <v>12190.5</v>
      </c>
      <c r="H1701" s="13" t="n">
        <f aca="false">IF(A1701="2025",INDEX(Customers!$D$2:$D$41,MATCH(C1701,Customers!$A$2:$A$41,0)),INDEX(Customers!$F$2:$F$41,MATCH(C1701,Customers!$A$2:$A$41,0)))</f>
        <v>0.093</v>
      </c>
      <c r="I1701" s="16" t="n">
        <f aca="false">F1701*G1701</f>
        <v>156038.4</v>
      </c>
      <c r="J1701" s="16" t="n">
        <f aca="false">I1701*(1-H1701)</f>
        <v>141526.8288</v>
      </c>
      <c r="K1701" s="16" t="n">
        <f aca="false">J1701*INDEX(Customers!$G$2:$G$41,MATCH(C1701,Customers!$A$2:$A$41,0))</f>
        <v>1415.268288</v>
      </c>
      <c r="L1701" s="16" t="n">
        <f aca="false">F1701*INDEX(Customers!$H$2:$H$41,MATCH(C1701,Customers!$A$2:$A$41,0))</f>
        <v>3200</v>
      </c>
      <c r="M1701" s="16" t="n">
        <f aca="false">J1701*INDEX(Customers!$I$2:$I$41,MATCH(C1701,Customers!$A$2:$A$41,0))/365*Assumptions!$B$6</f>
        <v>1861.17473490411</v>
      </c>
      <c r="N1701" s="16" t="n">
        <f aca="false">J1701-K1701-L1701-M1701</f>
        <v>135050.385777096</v>
      </c>
      <c r="O1701" s="16" t="n">
        <f aca="false">F1701*IF(A1701="2025",INDEX(Products!$D$2:$D$13,MATCH(D1701,Products!$A$2:$A$13,0)),INDEX(Products!$F$2:$F$13,MATCH(D1701,Products!$A$2:$A$13,0)))</f>
        <v>96770.56</v>
      </c>
      <c r="P1701" s="16" t="n">
        <f aca="false">N1701-O1701</f>
        <v>38279.8257770959</v>
      </c>
    </row>
    <row r="1702" customFormat="false" ht="15" hidden="false" customHeight="false" outlineLevel="0" collapsed="false">
      <c r="A1702" s="2" t="s">
        <v>119</v>
      </c>
      <c r="B1702" s="2" t="n">
        <v>9</v>
      </c>
      <c r="C1702" s="2" t="s">
        <v>87</v>
      </c>
      <c r="D1702" s="2" t="s">
        <v>43</v>
      </c>
      <c r="E1702" s="2" t="str">
        <f aca="false">INDEX(Products!$B$2:$B$13,MATCH(D1702,Products!$A$2:$A$13,0))</f>
        <v>Hydroprocessing</v>
      </c>
      <c r="F1702" s="15" t="n">
        <v>18.5</v>
      </c>
      <c r="G1702" s="16" t="n">
        <f aca="false">IF(A1702="2025",INDEX(Products!$C$2:$C$13,MATCH(D1702,Products!$A$2:$A$13,0)),INDEX(Products!$E$2:$E$13,MATCH(D1702,Products!$A$2:$A$13,0)))</f>
        <v>12190.5</v>
      </c>
      <c r="H1702" s="13" t="n">
        <f aca="false">IF(A1702="2025",INDEX(Customers!$D$2:$D$41,MATCH(C1702,Customers!$A$2:$A$41,0)),INDEX(Customers!$F$2:$F$41,MATCH(C1702,Customers!$A$2:$A$41,0)))</f>
        <v>0.093</v>
      </c>
      <c r="I1702" s="16" t="n">
        <f aca="false">F1702*G1702</f>
        <v>225524.25</v>
      </c>
      <c r="J1702" s="16" t="n">
        <f aca="false">I1702*(1-H1702)</f>
        <v>204550.49475</v>
      </c>
      <c r="K1702" s="16" t="n">
        <f aca="false">J1702*INDEX(Customers!$G$2:$G$41,MATCH(C1702,Customers!$A$2:$A$41,0))</f>
        <v>2045.5049475</v>
      </c>
      <c r="L1702" s="16" t="n">
        <f aca="false">F1702*INDEX(Customers!$H$2:$H$41,MATCH(C1702,Customers!$A$2:$A$41,0))</f>
        <v>4625</v>
      </c>
      <c r="M1702" s="16" t="n">
        <f aca="false">J1702*INDEX(Customers!$I$2:$I$41,MATCH(C1702,Customers!$A$2:$A$41,0))/365*Assumptions!$B$6</f>
        <v>2689.9791090411</v>
      </c>
      <c r="N1702" s="16" t="n">
        <f aca="false">J1702-K1702-L1702-M1702</f>
        <v>195190.010693459</v>
      </c>
      <c r="O1702" s="16" t="n">
        <f aca="false">F1702*IF(A1702="2025",INDEX(Products!$D$2:$D$13,MATCH(D1702,Products!$A$2:$A$13,0)),INDEX(Products!$F$2:$F$13,MATCH(D1702,Products!$A$2:$A$13,0)))</f>
        <v>139863.7</v>
      </c>
      <c r="P1702" s="16" t="n">
        <f aca="false">N1702-O1702</f>
        <v>55326.3106934589</v>
      </c>
    </row>
    <row r="1703" customFormat="false" ht="15" hidden="false" customHeight="false" outlineLevel="0" collapsed="false">
      <c r="A1703" s="2" t="s">
        <v>119</v>
      </c>
      <c r="B1703" s="2" t="n">
        <v>10</v>
      </c>
      <c r="C1703" s="2" t="s">
        <v>87</v>
      </c>
      <c r="D1703" s="2" t="s">
        <v>43</v>
      </c>
      <c r="E1703" s="2" t="str">
        <f aca="false">INDEX(Products!$B$2:$B$13,MATCH(D1703,Products!$A$2:$A$13,0))</f>
        <v>Hydroprocessing</v>
      </c>
      <c r="F1703" s="15" t="n">
        <v>12.4</v>
      </c>
      <c r="G1703" s="16" t="n">
        <f aca="false">IF(A1703="2025",INDEX(Products!$C$2:$C$13,MATCH(D1703,Products!$A$2:$A$13,0)),INDEX(Products!$E$2:$E$13,MATCH(D1703,Products!$A$2:$A$13,0)))</f>
        <v>12190.5</v>
      </c>
      <c r="H1703" s="13" t="n">
        <f aca="false">IF(A1703="2025",INDEX(Customers!$D$2:$D$41,MATCH(C1703,Customers!$A$2:$A$41,0)),INDEX(Customers!$F$2:$F$41,MATCH(C1703,Customers!$A$2:$A$41,0)))</f>
        <v>0.093</v>
      </c>
      <c r="I1703" s="16" t="n">
        <f aca="false">F1703*G1703</f>
        <v>151162.2</v>
      </c>
      <c r="J1703" s="16" t="n">
        <f aca="false">I1703*(1-H1703)</f>
        <v>137104.1154</v>
      </c>
      <c r="K1703" s="16" t="n">
        <f aca="false">J1703*INDEX(Customers!$G$2:$G$41,MATCH(C1703,Customers!$A$2:$A$41,0))</f>
        <v>1371.041154</v>
      </c>
      <c r="L1703" s="16" t="n">
        <f aca="false">F1703*INDEX(Customers!$H$2:$H$41,MATCH(C1703,Customers!$A$2:$A$41,0))</f>
        <v>3100</v>
      </c>
      <c r="M1703" s="16" t="n">
        <f aca="false">J1703*INDEX(Customers!$I$2:$I$41,MATCH(C1703,Customers!$A$2:$A$41,0))/365*Assumptions!$B$6</f>
        <v>1803.01302443836</v>
      </c>
      <c r="N1703" s="16" t="n">
        <f aca="false">J1703-K1703-L1703-M1703</f>
        <v>130830.061221562</v>
      </c>
      <c r="O1703" s="16" t="n">
        <f aca="false">F1703*IF(A1703="2025",INDEX(Products!$D$2:$D$13,MATCH(D1703,Products!$A$2:$A$13,0)),INDEX(Products!$F$2:$F$13,MATCH(D1703,Products!$A$2:$A$13,0)))</f>
        <v>93746.48</v>
      </c>
      <c r="P1703" s="16" t="n">
        <f aca="false">N1703-O1703</f>
        <v>37083.5812215616</v>
      </c>
    </row>
    <row r="1704" customFormat="false" ht="15" hidden="false" customHeight="false" outlineLevel="0" collapsed="false">
      <c r="A1704" s="2" t="s">
        <v>119</v>
      </c>
      <c r="B1704" s="2" t="n">
        <v>11</v>
      </c>
      <c r="C1704" s="2" t="s">
        <v>87</v>
      </c>
      <c r="D1704" s="2" t="s">
        <v>43</v>
      </c>
      <c r="E1704" s="2" t="str">
        <f aca="false">INDEX(Products!$B$2:$B$13,MATCH(D1704,Products!$A$2:$A$13,0))</f>
        <v>Hydroprocessing</v>
      </c>
      <c r="F1704" s="15" t="n">
        <v>12.9</v>
      </c>
      <c r="G1704" s="16" t="n">
        <f aca="false">IF(A1704="2025",INDEX(Products!$C$2:$C$13,MATCH(D1704,Products!$A$2:$A$13,0)),INDEX(Products!$E$2:$E$13,MATCH(D1704,Products!$A$2:$A$13,0)))</f>
        <v>12190.5</v>
      </c>
      <c r="H1704" s="13" t="n">
        <f aca="false">IF(A1704="2025",INDEX(Customers!$D$2:$D$41,MATCH(C1704,Customers!$A$2:$A$41,0)),INDEX(Customers!$F$2:$F$41,MATCH(C1704,Customers!$A$2:$A$41,0)))</f>
        <v>0.093</v>
      </c>
      <c r="I1704" s="16" t="n">
        <f aca="false">F1704*G1704</f>
        <v>157257.45</v>
      </c>
      <c r="J1704" s="16" t="n">
        <f aca="false">I1704*(1-H1704)</f>
        <v>142632.50715</v>
      </c>
      <c r="K1704" s="16" t="n">
        <f aca="false">J1704*INDEX(Customers!$G$2:$G$41,MATCH(C1704,Customers!$A$2:$A$41,0))</f>
        <v>1426.3250715</v>
      </c>
      <c r="L1704" s="16" t="n">
        <f aca="false">F1704*INDEX(Customers!$H$2:$H$41,MATCH(C1704,Customers!$A$2:$A$41,0))</f>
        <v>3225</v>
      </c>
      <c r="M1704" s="16" t="n">
        <f aca="false">J1704*INDEX(Customers!$I$2:$I$41,MATCH(C1704,Customers!$A$2:$A$41,0))/365*Assumptions!$B$6</f>
        <v>1875.71516252055</v>
      </c>
      <c r="N1704" s="16" t="n">
        <f aca="false">J1704-K1704-L1704-M1704</f>
        <v>136105.466915979</v>
      </c>
      <c r="O1704" s="16" t="n">
        <f aca="false">F1704*IF(A1704="2025",INDEX(Products!$D$2:$D$13,MATCH(D1704,Products!$A$2:$A$13,0)),INDEX(Products!$F$2:$F$13,MATCH(D1704,Products!$A$2:$A$13,0)))</f>
        <v>97526.58</v>
      </c>
      <c r="P1704" s="16" t="n">
        <f aca="false">N1704-O1704</f>
        <v>38578.8869159795</v>
      </c>
    </row>
    <row r="1705" customFormat="false" ht="15" hidden="false" customHeight="false" outlineLevel="0" collapsed="false">
      <c r="A1705" s="2" t="s">
        <v>119</v>
      </c>
      <c r="B1705" s="2" t="n">
        <v>12</v>
      </c>
      <c r="C1705" s="2" t="s">
        <v>87</v>
      </c>
      <c r="D1705" s="2" t="s">
        <v>43</v>
      </c>
      <c r="E1705" s="2" t="str">
        <f aca="false">INDEX(Products!$B$2:$B$13,MATCH(D1705,Products!$A$2:$A$13,0))</f>
        <v>Hydroprocessing</v>
      </c>
      <c r="F1705" s="15" t="n">
        <v>17.1</v>
      </c>
      <c r="G1705" s="16" t="n">
        <f aca="false">IF(A1705="2025",INDEX(Products!$C$2:$C$13,MATCH(D1705,Products!$A$2:$A$13,0)),INDEX(Products!$E$2:$E$13,MATCH(D1705,Products!$A$2:$A$13,0)))</f>
        <v>12190.5</v>
      </c>
      <c r="H1705" s="13" t="n">
        <f aca="false">IF(A1705="2025",INDEX(Customers!$D$2:$D$41,MATCH(C1705,Customers!$A$2:$A$41,0)),INDEX(Customers!$F$2:$F$41,MATCH(C1705,Customers!$A$2:$A$41,0)))</f>
        <v>0.093</v>
      </c>
      <c r="I1705" s="16" t="n">
        <f aca="false">F1705*G1705</f>
        <v>208457.55</v>
      </c>
      <c r="J1705" s="16" t="n">
        <f aca="false">I1705*(1-H1705)</f>
        <v>189070.99785</v>
      </c>
      <c r="K1705" s="16" t="n">
        <f aca="false">J1705*INDEX(Customers!$G$2:$G$41,MATCH(C1705,Customers!$A$2:$A$41,0))</f>
        <v>1890.7099785</v>
      </c>
      <c r="L1705" s="16" t="n">
        <f aca="false">F1705*INDEX(Customers!$H$2:$H$41,MATCH(C1705,Customers!$A$2:$A$41,0))</f>
        <v>4275</v>
      </c>
      <c r="M1705" s="16" t="n">
        <f aca="false">J1705*INDEX(Customers!$I$2:$I$41,MATCH(C1705,Customers!$A$2:$A$41,0))/365*Assumptions!$B$6</f>
        <v>2486.41312241096</v>
      </c>
      <c r="N1705" s="16" t="n">
        <f aca="false">J1705-K1705-L1705-M1705</f>
        <v>180418.874749089</v>
      </c>
      <c r="O1705" s="16" t="n">
        <f aca="false">F1705*IF(A1705="2025",INDEX(Products!$D$2:$D$13,MATCH(D1705,Products!$A$2:$A$13,0)),INDEX(Products!$F$2:$F$13,MATCH(D1705,Products!$A$2:$A$13,0)))</f>
        <v>129279.42</v>
      </c>
      <c r="P1705" s="16" t="n">
        <f aca="false">N1705-O1705</f>
        <v>51139.454749089</v>
      </c>
    </row>
    <row r="1706" customFormat="false" ht="15" hidden="false" customHeight="false" outlineLevel="0" collapsed="false">
      <c r="A1706" s="2" t="s">
        <v>118</v>
      </c>
      <c r="B1706" s="2" t="n">
        <v>1</v>
      </c>
      <c r="C1706" s="2" t="s">
        <v>87</v>
      </c>
      <c r="D1706" s="2" t="s">
        <v>48</v>
      </c>
      <c r="E1706" s="2" t="str">
        <f aca="false">INDEX(Products!$B$2:$B$13,MATCH(D1706,Products!$A$2:$A$13,0))</f>
        <v>Specialty</v>
      </c>
      <c r="F1706" s="15" t="n">
        <v>10.6</v>
      </c>
      <c r="G1706" s="16" t="n">
        <f aca="false">IF(A1706="2025",INDEX(Products!$C$2:$C$13,MATCH(D1706,Products!$A$2:$A$13,0)),INDEX(Products!$E$2:$E$13,MATCH(D1706,Products!$A$2:$A$13,0)))</f>
        <v>33260</v>
      </c>
      <c r="H1706" s="13" t="n">
        <f aca="false">IF(A1706="2025",INDEX(Customers!$D$2:$D$41,MATCH(C1706,Customers!$A$2:$A$41,0)),INDEX(Customers!$F$2:$F$41,MATCH(C1706,Customers!$A$2:$A$41,0)))</f>
        <v>0.061</v>
      </c>
      <c r="I1706" s="16" t="n">
        <f aca="false">F1706*G1706</f>
        <v>352556</v>
      </c>
      <c r="J1706" s="16" t="n">
        <f aca="false">I1706*(1-H1706)</f>
        <v>331050.084</v>
      </c>
      <c r="K1706" s="16" t="n">
        <f aca="false">J1706*INDEX(Customers!$G$2:$G$41,MATCH(C1706,Customers!$A$2:$A$41,0))</f>
        <v>3310.50084</v>
      </c>
      <c r="L1706" s="16" t="n">
        <f aca="false">F1706*INDEX(Customers!$H$2:$H$41,MATCH(C1706,Customers!$A$2:$A$41,0))</f>
        <v>2650</v>
      </c>
      <c r="M1706" s="16" t="n">
        <f aca="false">J1706*INDEX(Customers!$I$2:$I$41,MATCH(C1706,Customers!$A$2:$A$41,0))/365*Assumptions!$B$6</f>
        <v>4353.53535123288</v>
      </c>
      <c r="N1706" s="16" t="n">
        <f aca="false">J1706-K1706-L1706-M1706</f>
        <v>320736.047808767</v>
      </c>
      <c r="O1706" s="16" t="n">
        <f aca="false">F1706*IF(A1706="2025",INDEX(Products!$D$2:$D$13,MATCH(D1706,Products!$A$2:$A$13,0)),INDEX(Products!$F$2:$F$13,MATCH(D1706,Products!$A$2:$A$13,0)))</f>
        <v>159212</v>
      </c>
      <c r="P1706" s="16" t="n">
        <f aca="false">N1706-O1706</f>
        <v>161524.047808767</v>
      </c>
    </row>
    <row r="1707" customFormat="false" ht="15" hidden="false" customHeight="false" outlineLevel="0" collapsed="false">
      <c r="A1707" s="2" t="s">
        <v>118</v>
      </c>
      <c r="B1707" s="2" t="n">
        <v>2</v>
      </c>
      <c r="C1707" s="2" t="s">
        <v>87</v>
      </c>
      <c r="D1707" s="2" t="s">
        <v>48</v>
      </c>
      <c r="E1707" s="2" t="str">
        <f aca="false">INDEX(Products!$B$2:$B$13,MATCH(D1707,Products!$A$2:$A$13,0))</f>
        <v>Specialty</v>
      </c>
      <c r="F1707" s="15" t="n">
        <v>8.8</v>
      </c>
      <c r="G1707" s="16" t="n">
        <f aca="false">IF(A1707="2025",INDEX(Products!$C$2:$C$13,MATCH(D1707,Products!$A$2:$A$13,0)),INDEX(Products!$E$2:$E$13,MATCH(D1707,Products!$A$2:$A$13,0)))</f>
        <v>33260</v>
      </c>
      <c r="H1707" s="13" t="n">
        <f aca="false">IF(A1707="2025",INDEX(Customers!$D$2:$D$41,MATCH(C1707,Customers!$A$2:$A$41,0)),INDEX(Customers!$F$2:$F$41,MATCH(C1707,Customers!$A$2:$A$41,0)))</f>
        <v>0.061</v>
      </c>
      <c r="I1707" s="16" t="n">
        <f aca="false">F1707*G1707</f>
        <v>292688</v>
      </c>
      <c r="J1707" s="16" t="n">
        <f aca="false">I1707*(1-H1707)</f>
        <v>274834.032</v>
      </c>
      <c r="K1707" s="16" t="n">
        <f aca="false">J1707*INDEX(Customers!$G$2:$G$41,MATCH(C1707,Customers!$A$2:$A$41,0))</f>
        <v>2748.34032</v>
      </c>
      <c r="L1707" s="16" t="n">
        <f aca="false">F1707*INDEX(Customers!$H$2:$H$41,MATCH(C1707,Customers!$A$2:$A$41,0))</f>
        <v>2200</v>
      </c>
      <c r="M1707" s="16" t="n">
        <f aca="false">J1707*INDEX(Customers!$I$2:$I$41,MATCH(C1707,Customers!$A$2:$A$41,0))/365*Assumptions!$B$6</f>
        <v>3614.25576328767</v>
      </c>
      <c r="N1707" s="16" t="n">
        <f aca="false">J1707-K1707-L1707-M1707</f>
        <v>266271.435916712</v>
      </c>
      <c r="O1707" s="16" t="n">
        <f aca="false">F1707*IF(A1707="2025",INDEX(Products!$D$2:$D$13,MATCH(D1707,Products!$A$2:$A$13,0)),INDEX(Products!$F$2:$F$13,MATCH(D1707,Products!$A$2:$A$13,0)))</f>
        <v>132176</v>
      </c>
      <c r="P1707" s="16" t="n">
        <f aca="false">N1707-O1707</f>
        <v>134095.435916712</v>
      </c>
    </row>
    <row r="1708" customFormat="false" ht="15" hidden="false" customHeight="false" outlineLevel="0" collapsed="false">
      <c r="A1708" s="2" t="s">
        <v>118</v>
      </c>
      <c r="B1708" s="2" t="n">
        <v>3</v>
      </c>
      <c r="C1708" s="2" t="s">
        <v>87</v>
      </c>
      <c r="D1708" s="2" t="s">
        <v>48</v>
      </c>
      <c r="E1708" s="2" t="str">
        <f aca="false">INDEX(Products!$B$2:$B$13,MATCH(D1708,Products!$A$2:$A$13,0))</f>
        <v>Specialty</v>
      </c>
      <c r="F1708" s="15" t="n">
        <v>11</v>
      </c>
      <c r="G1708" s="16" t="n">
        <f aca="false">IF(A1708="2025",INDEX(Products!$C$2:$C$13,MATCH(D1708,Products!$A$2:$A$13,0)),INDEX(Products!$E$2:$E$13,MATCH(D1708,Products!$A$2:$A$13,0)))</f>
        <v>33260</v>
      </c>
      <c r="H1708" s="13" t="n">
        <f aca="false">IF(A1708="2025",INDEX(Customers!$D$2:$D$41,MATCH(C1708,Customers!$A$2:$A$41,0)),INDEX(Customers!$F$2:$F$41,MATCH(C1708,Customers!$A$2:$A$41,0)))</f>
        <v>0.061</v>
      </c>
      <c r="I1708" s="16" t="n">
        <f aca="false">F1708*G1708</f>
        <v>365860</v>
      </c>
      <c r="J1708" s="16" t="n">
        <f aca="false">I1708*(1-H1708)</f>
        <v>343542.54</v>
      </c>
      <c r="K1708" s="16" t="n">
        <f aca="false">J1708*INDEX(Customers!$G$2:$G$41,MATCH(C1708,Customers!$A$2:$A$41,0))</f>
        <v>3435.4254</v>
      </c>
      <c r="L1708" s="16" t="n">
        <f aca="false">F1708*INDEX(Customers!$H$2:$H$41,MATCH(C1708,Customers!$A$2:$A$41,0))</f>
        <v>2750</v>
      </c>
      <c r="M1708" s="16" t="n">
        <f aca="false">J1708*INDEX(Customers!$I$2:$I$41,MATCH(C1708,Customers!$A$2:$A$41,0))/365*Assumptions!$B$6</f>
        <v>4517.81970410959</v>
      </c>
      <c r="N1708" s="16" t="n">
        <f aca="false">J1708-K1708-L1708-M1708</f>
        <v>332839.29489589</v>
      </c>
      <c r="O1708" s="16" t="n">
        <f aca="false">F1708*IF(A1708="2025",INDEX(Products!$D$2:$D$13,MATCH(D1708,Products!$A$2:$A$13,0)),INDEX(Products!$F$2:$F$13,MATCH(D1708,Products!$A$2:$A$13,0)))</f>
        <v>165220</v>
      </c>
      <c r="P1708" s="16" t="n">
        <f aca="false">N1708-O1708</f>
        <v>167619.29489589</v>
      </c>
    </row>
    <row r="1709" customFormat="false" ht="15" hidden="false" customHeight="false" outlineLevel="0" collapsed="false">
      <c r="A1709" s="2" t="s">
        <v>118</v>
      </c>
      <c r="B1709" s="2" t="n">
        <v>4</v>
      </c>
      <c r="C1709" s="2" t="s">
        <v>87</v>
      </c>
      <c r="D1709" s="2" t="s">
        <v>48</v>
      </c>
      <c r="E1709" s="2" t="str">
        <f aca="false">INDEX(Products!$B$2:$B$13,MATCH(D1709,Products!$A$2:$A$13,0))</f>
        <v>Specialty</v>
      </c>
      <c r="F1709" s="15" t="n">
        <v>6.4</v>
      </c>
      <c r="G1709" s="16" t="n">
        <f aca="false">IF(A1709="2025",INDEX(Products!$C$2:$C$13,MATCH(D1709,Products!$A$2:$A$13,0)),INDEX(Products!$E$2:$E$13,MATCH(D1709,Products!$A$2:$A$13,0)))</f>
        <v>33260</v>
      </c>
      <c r="H1709" s="13" t="n">
        <f aca="false">IF(A1709="2025",INDEX(Customers!$D$2:$D$41,MATCH(C1709,Customers!$A$2:$A$41,0)),INDEX(Customers!$F$2:$F$41,MATCH(C1709,Customers!$A$2:$A$41,0)))</f>
        <v>0.061</v>
      </c>
      <c r="I1709" s="16" t="n">
        <f aca="false">F1709*G1709</f>
        <v>212864</v>
      </c>
      <c r="J1709" s="16" t="n">
        <f aca="false">I1709*(1-H1709)</f>
        <v>199879.296</v>
      </c>
      <c r="K1709" s="16" t="n">
        <f aca="false">J1709*INDEX(Customers!$G$2:$G$41,MATCH(C1709,Customers!$A$2:$A$41,0))</f>
        <v>1998.79296</v>
      </c>
      <c r="L1709" s="16" t="n">
        <f aca="false">F1709*INDEX(Customers!$H$2:$H$41,MATCH(C1709,Customers!$A$2:$A$41,0))</f>
        <v>1600</v>
      </c>
      <c r="M1709" s="16" t="n">
        <f aca="false">J1709*INDEX(Customers!$I$2:$I$41,MATCH(C1709,Customers!$A$2:$A$41,0))/365*Assumptions!$B$6</f>
        <v>2628.5496460274</v>
      </c>
      <c r="N1709" s="16" t="n">
        <f aca="false">J1709-K1709-L1709-M1709</f>
        <v>193651.953393973</v>
      </c>
      <c r="O1709" s="16" t="n">
        <f aca="false">F1709*IF(A1709="2025",INDEX(Products!$D$2:$D$13,MATCH(D1709,Products!$A$2:$A$13,0)),INDEX(Products!$F$2:$F$13,MATCH(D1709,Products!$A$2:$A$13,0)))</f>
        <v>96128</v>
      </c>
      <c r="P1709" s="16" t="n">
        <f aca="false">N1709-O1709</f>
        <v>97523.9533939726</v>
      </c>
    </row>
    <row r="1710" customFormat="false" ht="15" hidden="false" customHeight="false" outlineLevel="0" collapsed="false">
      <c r="A1710" s="2" t="s">
        <v>118</v>
      </c>
      <c r="B1710" s="2" t="n">
        <v>5</v>
      </c>
      <c r="C1710" s="2" t="s">
        <v>87</v>
      </c>
      <c r="D1710" s="2" t="s">
        <v>48</v>
      </c>
      <c r="E1710" s="2" t="str">
        <f aca="false">INDEX(Products!$B$2:$B$13,MATCH(D1710,Products!$A$2:$A$13,0))</f>
        <v>Specialty</v>
      </c>
      <c r="F1710" s="15" t="n">
        <v>10.2</v>
      </c>
      <c r="G1710" s="16" t="n">
        <f aca="false">IF(A1710="2025",INDEX(Products!$C$2:$C$13,MATCH(D1710,Products!$A$2:$A$13,0)),INDEX(Products!$E$2:$E$13,MATCH(D1710,Products!$A$2:$A$13,0)))</f>
        <v>33260</v>
      </c>
      <c r="H1710" s="13" t="n">
        <f aca="false">IF(A1710="2025",INDEX(Customers!$D$2:$D$41,MATCH(C1710,Customers!$A$2:$A$41,0)),INDEX(Customers!$F$2:$F$41,MATCH(C1710,Customers!$A$2:$A$41,0)))</f>
        <v>0.061</v>
      </c>
      <c r="I1710" s="16" t="n">
        <f aca="false">F1710*G1710</f>
        <v>339252</v>
      </c>
      <c r="J1710" s="16" t="n">
        <f aca="false">I1710*(1-H1710)</f>
        <v>318557.628</v>
      </c>
      <c r="K1710" s="16" t="n">
        <f aca="false">J1710*INDEX(Customers!$G$2:$G$41,MATCH(C1710,Customers!$A$2:$A$41,0))</f>
        <v>3185.57628</v>
      </c>
      <c r="L1710" s="16" t="n">
        <f aca="false">F1710*INDEX(Customers!$H$2:$H$41,MATCH(C1710,Customers!$A$2:$A$41,0))</f>
        <v>2550</v>
      </c>
      <c r="M1710" s="16" t="n">
        <f aca="false">J1710*INDEX(Customers!$I$2:$I$41,MATCH(C1710,Customers!$A$2:$A$41,0))/365*Assumptions!$B$6</f>
        <v>4189.25099835616</v>
      </c>
      <c r="N1710" s="16" t="n">
        <f aca="false">J1710-K1710-L1710-M1710</f>
        <v>308632.800721644</v>
      </c>
      <c r="O1710" s="16" t="n">
        <f aca="false">F1710*IF(A1710="2025",INDEX(Products!$D$2:$D$13,MATCH(D1710,Products!$A$2:$A$13,0)),INDEX(Products!$F$2:$F$13,MATCH(D1710,Products!$A$2:$A$13,0)))</f>
        <v>153204</v>
      </c>
      <c r="P1710" s="16" t="n">
        <f aca="false">N1710-O1710</f>
        <v>155428.800721644</v>
      </c>
    </row>
    <row r="1711" customFormat="false" ht="15" hidden="false" customHeight="false" outlineLevel="0" collapsed="false">
      <c r="A1711" s="2" t="s">
        <v>118</v>
      </c>
      <c r="B1711" s="2" t="n">
        <v>6</v>
      </c>
      <c r="C1711" s="2" t="s">
        <v>87</v>
      </c>
      <c r="D1711" s="2" t="s">
        <v>48</v>
      </c>
      <c r="E1711" s="2" t="str">
        <f aca="false">INDEX(Products!$B$2:$B$13,MATCH(D1711,Products!$A$2:$A$13,0))</f>
        <v>Specialty</v>
      </c>
      <c r="F1711" s="15" t="n">
        <v>6.7</v>
      </c>
      <c r="G1711" s="16" t="n">
        <f aca="false">IF(A1711="2025",INDEX(Products!$C$2:$C$13,MATCH(D1711,Products!$A$2:$A$13,0)),INDEX(Products!$E$2:$E$13,MATCH(D1711,Products!$A$2:$A$13,0)))</f>
        <v>33260</v>
      </c>
      <c r="H1711" s="13" t="n">
        <f aca="false">IF(A1711="2025",INDEX(Customers!$D$2:$D$41,MATCH(C1711,Customers!$A$2:$A$41,0)),INDEX(Customers!$F$2:$F$41,MATCH(C1711,Customers!$A$2:$A$41,0)))</f>
        <v>0.061</v>
      </c>
      <c r="I1711" s="16" t="n">
        <f aca="false">F1711*G1711</f>
        <v>222842</v>
      </c>
      <c r="J1711" s="16" t="n">
        <f aca="false">I1711*(1-H1711)</f>
        <v>209248.638</v>
      </c>
      <c r="K1711" s="16" t="n">
        <f aca="false">J1711*INDEX(Customers!$G$2:$G$41,MATCH(C1711,Customers!$A$2:$A$41,0))</f>
        <v>2092.48638</v>
      </c>
      <c r="L1711" s="16" t="n">
        <f aca="false">F1711*INDEX(Customers!$H$2:$H$41,MATCH(C1711,Customers!$A$2:$A$41,0))</f>
        <v>1675</v>
      </c>
      <c r="M1711" s="16" t="n">
        <f aca="false">J1711*INDEX(Customers!$I$2:$I$41,MATCH(C1711,Customers!$A$2:$A$41,0))/365*Assumptions!$B$6</f>
        <v>2751.76291068493</v>
      </c>
      <c r="N1711" s="16" t="n">
        <f aca="false">J1711-K1711-L1711-M1711</f>
        <v>202729.388709315</v>
      </c>
      <c r="O1711" s="16" t="n">
        <f aca="false">F1711*IF(A1711="2025",INDEX(Products!$D$2:$D$13,MATCH(D1711,Products!$A$2:$A$13,0)),INDEX(Products!$F$2:$F$13,MATCH(D1711,Products!$A$2:$A$13,0)))</f>
        <v>100634</v>
      </c>
      <c r="P1711" s="16" t="n">
        <f aca="false">N1711-O1711</f>
        <v>102095.388709315</v>
      </c>
    </row>
    <row r="1712" customFormat="false" ht="15" hidden="false" customHeight="false" outlineLevel="0" collapsed="false">
      <c r="A1712" s="2" t="s">
        <v>118</v>
      </c>
      <c r="B1712" s="2" t="n">
        <v>7</v>
      </c>
      <c r="C1712" s="2" t="s">
        <v>87</v>
      </c>
      <c r="D1712" s="2" t="s">
        <v>48</v>
      </c>
      <c r="E1712" s="2" t="str">
        <f aca="false">INDEX(Products!$B$2:$B$13,MATCH(D1712,Products!$A$2:$A$13,0))</f>
        <v>Specialty</v>
      </c>
      <c r="F1712" s="15" t="n">
        <v>7.2</v>
      </c>
      <c r="G1712" s="16" t="n">
        <f aca="false">IF(A1712="2025",INDEX(Products!$C$2:$C$13,MATCH(D1712,Products!$A$2:$A$13,0)),INDEX(Products!$E$2:$E$13,MATCH(D1712,Products!$A$2:$A$13,0)))</f>
        <v>33260</v>
      </c>
      <c r="H1712" s="13" t="n">
        <f aca="false">IF(A1712="2025",INDEX(Customers!$D$2:$D$41,MATCH(C1712,Customers!$A$2:$A$41,0)),INDEX(Customers!$F$2:$F$41,MATCH(C1712,Customers!$A$2:$A$41,0)))</f>
        <v>0.061</v>
      </c>
      <c r="I1712" s="16" t="n">
        <f aca="false">F1712*G1712</f>
        <v>239472</v>
      </c>
      <c r="J1712" s="16" t="n">
        <f aca="false">I1712*(1-H1712)</f>
        <v>224864.208</v>
      </c>
      <c r="K1712" s="16" t="n">
        <f aca="false">J1712*INDEX(Customers!$G$2:$G$41,MATCH(C1712,Customers!$A$2:$A$41,0))</f>
        <v>2248.64208</v>
      </c>
      <c r="L1712" s="16" t="n">
        <f aca="false">F1712*INDEX(Customers!$H$2:$H$41,MATCH(C1712,Customers!$A$2:$A$41,0))</f>
        <v>1800</v>
      </c>
      <c r="M1712" s="16" t="n">
        <f aca="false">J1712*INDEX(Customers!$I$2:$I$41,MATCH(C1712,Customers!$A$2:$A$41,0))/365*Assumptions!$B$6</f>
        <v>2957.11835178082</v>
      </c>
      <c r="N1712" s="16" t="n">
        <f aca="false">J1712-K1712-L1712-M1712</f>
        <v>217858.447568219</v>
      </c>
      <c r="O1712" s="16" t="n">
        <f aca="false">F1712*IF(A1712="2025",INDEX(Products!$D$2:$D$13,MATCH(D1712,Products!$A$2:$A$13,0)),INDEX(Products!$F$2:$F$13,MATCH(D1712,Products!$A$2:$A$13,0)))</f>
        <v>108144</v>
      </c>
      <c r="P1712" s="16" t="n">
        <f aca="false">N1712-O1712</f>
        <v>109714.447568219</v>
      </c>
    </row>
    <row r="1713" customFormat="false" ht="15" hidden="false" customHeight="false" outlineLevel="0" collapsed="false">
      <c r="A1713" s="2" t="s">
        <v>118</v>
      </c>
      <c r="B1713" s="2" t="n">
        <v>8</v>
      </c>
      <c r="C1713" s="2" t="s">
        <v>87</v>
      </c>
      <c r="D1713" s="2" t="s">
        <v>48</v>
      </c>
      <c r="E1713" s="2" t="str">
        <f aca="false">INDEX(Products!$B$2:$B$13,MATCH(D1713,Products!$A$2:$A$13,0))</f>
        <v>Specialty</v>
      </c>
      <c r="F1713" s="15" t="n">
        <v>11.4</v>
      </c>
      <c r="G1713" s="16" t="n">
        <f aca="false">IF(A1713="2025",INDEX(Products!$C$2:$C$13,MATCH(D1713,Products!$A$2:$A$13,0)),INDEX(Products!$E$2:$E$13,MATCH(D1713,Products!$A$2:$A$13,0)))</f>
        <v>33260</v>
      </c>
      <c r="H1713" s="13" t="n">
        <f aca="false">IF(A1713="2025",INDEX(Customers!$D$2:$D$41,MATCH(C1713,Customers!$A$2:$A$41,0)),INDEX(Customers!$F$2:$F$41,MATCH(C1713,Customers!$A$2:$A$41,0)))</f>
        <v>0.061</v>
      </c>
      <c r="I1713" s="16" t="n">
        <f aca="false">F1713*G1713</f>
        <v>379164</v>
      </c>
      <c r="J1713" s="16" t="n">
        <f aca="false">I1713*(1-H1713)</f>
        <v>356034.996</v>
      </c>
      <c r="K1713" s="16" t="n">
        <f aca="false">J1713*INDEX(Customers!$G$2:$G$41,MATCH(C1713,Customers!$A$2:$A$41,0))</f>
        <v>3560.34996</v>
      </c>
      <c r="L1713" s="16" t="n">
        <f aca="false">F1713*INDEX(Customers!$H$2:$H$41,MATCH(C1713,Customers!$A$2:$A$41,0))</f>
        <v>2850</v>
      </c>
      <c r="M1713" s="16" t="n">
        <f aca="false">J1713*INDEX(Customers!$I$2:$I$41,MATCH(C1713,Customers!$A$2:$A$41,0))/365*Assumptions!$B$6</f>
        <v>4682.1040569863</v>
      </c>
      <c r="N1713" s="16" t="n">
        <f aca="false">J1713-K1713-L1713-M1713</f>
        <v>344942.541983014</v>
      </c>
      <c r="O1713" s="16" t="n">
        <f aca="false">F1713*IF(A1713="2025",INDEX(Products!$D$2:$D$13,MATCH(D1713,Products!$A$2:$A$13,0)),INDEX(Products!$F$2:$F$13,MATCH(D1713,Products!$A$2:$A$13,0)))</f>
        <v>171228</v>
      </c>
      <c r="P1713" s="16" t="n">
        <f aca="false">N1713-O1713</f>
        <v>173714.541983014</v>
      </c>
    </row>
    <row r="1714" customFormat="false" ht="15" hidden="false" customHeight="false" outlineLevel="0" collapsed="false">
      <c r="A1714" s="2" t="s">
        <v>118</v>
      </c>
      <c r="B1714" s="2" t="n">
        <v>9</v>
      </c>
      <c r="C1714" s="2" t="s">
        <v>87</v>
      </c>
      <c r="D1714" s="2" t="s">
        <v>48</v>
      </c>
      <c r="E1714" s="2" t="str">
        <f aca="false">INDEX(Products!$B$2:$B$13,MATCH(D1714,Products!$A$2:$A$13,0))</f>
        <v>Specialty</v>
      </c>
      <c r="F1714" s="15" t="n">
        <v>11.6</v>
      </c>
      <c r="G1714" s="16" t="n">
        <f aca="false">IF(A1714="2025",INDEX(Products!$C$2:$C$13,MATCH(D1714,Products!$A$2:$A$13,0)),INDEX(Products!$E$2:$E$13,MATCH(D1714,Products!$A$2:$A$13,0)))</f>
        <v>33260</v>
      </c>
      <c r="H1714" s="13" t="n">
        <f aca="false">IF(A1714="2025",INDEX(Customers!$D$2:$D$41,MATCH(C1714,Customers!$A$2:$A$41,0)),INDEX(Customers!$F$2:$F$41,MATCH(C1714,Customers!$A$2:$A$41,0)))</f>
        <v>0.061</v>
      </c>
      <c r="I1714" s="16" t="n">
        <f aca="false">F1714*G1714</f>
        <v>385816</v>
      </c>
      <c r="J1714" s="16" t="n">
        <f aca="false">I1714*(1-H1714)</f>
        <v>362281.224</v>
      </c>
      <c r="K1714" s="16" t="n">
        <f aca="false">J1714*INDEX(Customers!$G$2:$G$41,MATCH(C1714,Customers!$A$2:$A$41,0))</f>
        <v>3622.81224</v>
      </c>
      <c r="L1714" s="16" t="n">
        <f aca="false">F1714*INDEX(Customers!$H$2:$H$41,MATCH(C1714,Customers!$A$2:$A$41,0))</f>
        <v>2900</v>
      </c>
      <c r="M1714" s="16" t="n">
        <f aca="false">J1714*INDEX(Customers!$I$2:$I$41,MATCH(C1714,Customers!$A$2:$A$41,0))/365*Assumptions!$B$6</f>
        <v>4764.24623342466</v>
      </c>
      <c r="N1714" s="16" t="n">
        <f aca="false">J1714-K1714-L1714-M1714</f>
        <v>350994.165526575</v>
      </c>
      <c r="O1714" s="16" t="n">
        <f aca="false">F1714*IF(A1714="2025",INDEX(Products!$D$2:$D$13,MATCH(D1714,Products!$A$2:$A$13,0)),INDEX(Products!$F$2:$F$13,MATCH(D1714,Products!$A$2:$A$13,0)))</f>
        <v>174232</v>
      </c>
      <c r="P1714" s="16" t="n">
        <f aca="false">N1714-O1714</f>
        <v>176762.165526575</v>
      </c>
    </row>
    <row r="1715" customFormat="false" ht="15" hidden="false" customHeight="false" outlineLevel="0" collapsed="false">
      <c r="A1715" s="2" t="s">
        <v>118</v>
      </c>
      <c r="B1715" s="2" t="n">
        <v>10</v>
      </c>
      <c r="C1715" s="2" t="s">
        <v>87</v>
      </c>
      <c r="D1715" s="2" t="s">
        <v>48</v>
      </c>
      <c r="E1715" s="2" t="str">
        <f aca="false">INDEX(Products!$B$2:$B$13,MATCH(D1715,Products!$A$2:$A$13,0))</f>
        <v>Specialty</v>
      </c>
      <c r="F1715" s="15" t="n">
        <v>9.7</v>
      </c>
      <c r="G1715" s="16" t="n">
        <f aca="false">IF(A1715="2025",INDEX(Products!$C$2:$C$13,MATCH(D1715,Products!$A$2:$A$13,0)),INDEX(Products!$E$2:$E$13,MATCH(D1715,Products!$A$2:$A$13,0)))</f>
        <v>33260</v>
      </c>
      <c r="H1715" s="13" t="n">
        <f aca="false">IF(A1715="2025",INDEX(Customers!$D$2:$D$41,MATCH(C1715,Customers!$A$2:$A$41,0)),INDEX(Customers!$F$2:$F$41,MATCH(C1715,Customers!$A$2:$A$41,0)))</f>
        <v>0.061</v>
      </c>
      <c r="I1715" s="16" t="n">
        <f aca="false">F1715*G1715</f>
        <v>322622</v>
      </c>
      <c r="J1715" s="16" t="n">
        <f aca="false">I1715*(1-H1715)</f>
        <v>302942.058</v>
      </c>
      <c r="K1715" s="16" t="n">
        <f aca="false">J1715*INDEX(Customers!$G$2:$G$41,MATCH(C1715,Customers!$A$2:$A$41,0))</f>
        <v>3029.42058</v>
      </c>
      <c r="L1715" s="16" t="n">
        <f aca="false">F1715*INDEX(Customers!$H$2:$H$41,MATCH(C1715,Customers!$A$2:$A$41,0))</f>
        <v>2425</v>
      </c>
      <c r="M1715" s="16" t="n">
        <f aca="false">J1715*INDEX(Customers!$I$2:$I$41,MATCH(C1715,Customers!$A$2:$A$41,0))/365*Assumptions!$B$6</f>
        <v>3983.89555726027</v>
      </c>
      <c r="N1715" s="16" t="n">
        <f aca="false">J1715-K1715-L1715-M1715</f>
        <v>293503.74186274</v>
      </c>
      <c r="O1715" s="16" t="n">
        <f aca="false">F1715*IF(A1715="2025",INDEX(Products!$D$2:$D$13,MATCH(D1715,Products!$A$2:$A$13,0)),INDEX(Products!$F$2:$F$13,MATCH(D1715,Products!$A$2:$A$13,0)))</f>
        <v>145694</v>
      </c>
      <c r="P1715" s="16" t="n">
        <f aca="false">N1715-O1715</f>
        <v>147809.74186274</v>
      </c>
    </row>
    <row r="1716" customFormat="false" ht="15" hidden="false" customHeight="false" outlineLevel="0" collapsed="false">
      <c r="A1716" s="2" t="s">
        <v>118</v>
      </c>
      <c r="B1716" s="2" t="n">
        <v>11</v>
      </c>
      <c r="C1716" s="2" t="s">
        <v>87</v>
      </c>
      <c r="D1716" s="2" t="s">
        <v>48</v>
      </c>
      <c r="E1716" s="2" t="str">
        <f aca="false">INDEX(Products!$B$2:$B$13,MATCH(D1716,Products!$A$2:$A$13,0))</f>
        <v>Specialty</v>
      </c>
      <c r="F1716" s="15" t="n">
        <v>8.7</v>
      </c>
      <c r="G1716" s="16" t="n">
        <f aca="false">IF(A1716="2025",INDEX(Products!$C$2:$C$13,MATCH(D1716,Products!$A$2:$A$13,0)),INDEX(Products!$E$2:$E$13,MATCH(D1716,Products!$A$2:$A$13,0)))</f>
        <v>33260</v>
      </c>
      <c r="H1716" s="13" t="n">
        <f aca="false">IF(A1716="2025",INDEX(Customers!$D$2:$D$41,MATCH(C1716,Customers!$A$2:$A$41,0)),INDEX(Customers!$F$2:$F$41,MATCH(C1716,Customers!$A$2:$A$41,0)))</f>
        <v>0.061</v>
      </c>
      <c r="I1716" s="16" t="n">
        <f aca="false">F1716*G1716</f>
        <v>289362</v>
      </c>
      <c r="J1716" s="16" t="n">
        <f aca="false">I1716*(1-H1716)</f>
        <v>271710.918</v>
      </c>
      <c r="K1716" s="16" t="n">
        <f aca="false">J1716*INDEX(Customers!$G$2:$G$41,MATCH(C1716,Customers!$A$2:$A$41,0))</f>
        <v>2717.10918</v>
      </c>
      <c r="L1716" s="16" t="n">
        <f aca="false">F1716*INDEX(Customers!$H$2:$H$41,MATCH(C1716,Customers!$A$2:$A$41,0))</f>
        <v>2175</v>
      </c>
      <c r="M1716" s="16" t="n">
        <f aca="false">J1716*INDEX(Customers!$I$2:$I$41,MATCH(C1716,Customers!$A$2:$A$41,0))/365*Assumptions!$B$6</f>
        <v>3573.18467506849</v>
      </c>
      <c r="N1716" s="16" t="n">
        <f aca="false">J1716-K1716-L1716-M1716</f>
        <v>263245.624144932</v>
      </c>
      <c r="O1716" s="16" t="n">
        <f aca="false">F1716*IF(A1716="2025",INDEX(Products!$D$2:$D$13,MATCH(D1716,Products!$A$2:$A$13,0)),INDEX(Products!$F$2:$F$13,MATCH(D1716,Products!$A$2:$A$13,0)))</f>
        <v>130674</v>
      </c>
      <c r="P1716" s="16" t="n">
        <f aca="false">N1716-O1716</f>
        <v>132571.624144932</v>
      </c>
    </row>
    <row r="1717" customFormat="false" ht="15" hidden="false" customHeight="false" outlineLevel="0" collapsed="false">
      <c r="A1717" s="2" t="s">
        <v>118</v>
      </c>
      <c r="B1717" s="2" t="n">
        <v>12</v>
      </c>
      <c r="C1717" s="2" t="s">
        <v>87</v>
      </c>
      <c r="D1717" s="2" t="s">
        <v>48</v>
      </c>
      <c r="E1717" s="2" t="str">
        <f aca="false">INDEX(Products!$B$2:$B$13,MATCH(D1717,Products!$A$2:$A$13,0))</f>
        <v>Specialty</v>
      </c>
      <c r="F1717" s="15" t="n">
        <v>11</v>
      </c>
      <c r="G1717" s="16" t="n">
        <f aca="false">IF(A1717="2025",INDEX(Products!$C$2:$C$13,MATCH(D1717,Products!$A$2:$A$13,0)),INDEX(Products!$E$2:$E$13,MATCH(D1717,Products!$A$2:$A$13,0)))</f>
        <v>33260</v>
      </c>
      <c r="H1717" s="13" t="n">
        <f aca="false">IF(A1717="2025",INDEX(Customers!$D$2:$D$41,MATCH(C1717,Customers!$A$2:$A$41,0)),INDEX(Customers!$F$2:$F$41,MATCH(C1717,Customers!$A$2:$A$41,0)))</f>
        <v>0.061</v>
      </c>
      <c r="I1717" s="16" t="n">
        <f aca="false">F1717*G1717</f>
        <v>365860</v>
      </c>
      <c r="J1717" s="16" t="n">
        <f aca="false">I1717*(1-H1717)</f>
        <v>343542.54</v>
      </c>
      <c r="K1717" s="16" t="n">
        <f aca="false">J1717*INDEX(Customers!$G$2:$G$41,MATCH(C1717,Customers!$A$2:$A$41,0))</f>
        <v>3435.4254</v>
      </c>
      <c r="L1717" s="16" t="n">
        <f aca="false">F1717*INDEX(Customers!$H$2:$H$41,MATCH(C1717,Customers!$A$2:$A$41,0))</f>
        <v>2750</v>
      </c>
      <c r="M1717" s="16" t="n">
        <f aca="false">J1717*INDEX(Customers!$I$2:$I$41,MATCH(C1717,Customers!$A$2:$A$41,0))/365*Assumptions!$B$6</f>
        <v>4517.81970410959</v>
      </c>
      <c r="N1717" s="16" t="n">
        <f aca="false">J1717-K1717-L1717-M1717</f>
        <v>332839.29489589</v>
      </c>
      <c r="O1717" s="16" t="n">
        <f aca="false">F1717*IF(A1717="2025",INDEX(Products!$D$2:$D$13,MATCH(D1717,Products!$A$2:$A$13,0)),INDEX(Products!$F$2:$F$13,MATCH(D1717,Products!$A$2:$A$13,0)))</f>
        <v>165220</v>
      </c>
      <c r="P1717" s="16" t="n">
        <f aca="false">N1717-O1717</f>
        <v>167619.29489589</v>
      </c>
    </row>
    <row r="1718" customFormat="false" ht="15" hidden="false" customHeight="false" outlineLevel="0" collapsed="false">
      <c r="A1718" s="2" t="s">
        <v>119</v>
      </c>
      <c r="B1718" s="2" t="n">
        <v>1</v>
      </c>
      <c r="C1718" s="2" t="s">
        <v>87</v>
      </c>
      <c r="D1718" s="2" t="s">
        <v>48</v>
      </c>
      <c r="E1718" s="2" t="str">
        <f aca="false">INDEX(Products!$B$2:$B$13,MATCH(D1718,Products!$A$2:$A$13,0))</f>
        <v>Specialty</v>
      </c>
      <c r="F1718" s="15" t="n">
        <v>8.3</v>
      </c>
      <c r="G1718" s="16" t="n">
        <f aca="false">IF(A1718="2025",INDEX(Products!$C$2:$C$13,MATCH(D1718,Products!$A$2:$A$13,0)),INDEX(Products!$E$2:$E$13,MATCH(D1718,Products!$A$2:$A$13,0)))</f>
        <v>34923</v>
      </c>
      <c r="H1718" s="13" t="n">
        <f aca="false">IF(A1718="2025",INDEX(Customers!$D$2:$D$41,MATCH(C1718,Customers!$A$2:$A$41,0)),INDEX(Customers!$F$2:$F$41,MATCH(C1718,Customers!$A$2:$A$41,0)))</f>
        <v>0.093</v>
      </c>
      <c r="I1718" s="16" t="n">
        <f aca="false">F1718*G1718</f>
        <v>289860.9</v>
      </c>
      <c r="J1718" s="16" t="n">
        <f aca="false">I1718*(1-H1718)</f>
        <v>262903.8363</v>
      </c>
      <c r="K1718" s="16" t="n">
        <f aca="false">J1718*INDEX(Customers!$G$2:$G$41,MATCH(C1718,Customers!$A$2:$A$41,0))</f>
        <v>2629.038363</v>
      </c>
      <c r="L1718" s="16" t="n">
        <f aca="false">F1718*INDEX(Customers!$H$2:$H$41,MATCH(C1718,Customers!$A$2:$A$41,0))</f>
        <v>2075</v>
      </c>
      <c r="M1718" s="16" t="n">
        <f aca="false">J1718*INDEX(Customers!$I$2:$I$41,MATCH(C1718,Customers!$A$2:$A$41,0))/365*Assumptions!$B$6</f>
        <v>3457.36551846575</v>
      </c>
      <c r="N1718" s="16" t="n">
        <f aca="false">J1718-K1718-L1718-M1718</f>
        <v>254742.432418534</v>
      </c>
      <c r="O1718" s="16" t="n">
        <f aca="false">F1718*IF(A1718="2025",INDEX(Products!$D$2:$D$13,MATCH(D1718,Products!$A$2:$A$13,0)),INDEX(Products!$F$2:$F$13,MATCH(D1718,Products!$A$2:$A$13,0)))</f>
        <v>128405.98</v>
      </c>
      <c r="P1718" s="16" t="n">
        <f aca="false">N1718-O1718</f>
        <v>126336.452418534</v>
      </c>
    </row>
    <row r="1719" customFormat="false" ht="15" hidden="false" customHeight="false" outlineLevel="0" collapsed="false">
      <c r="A1719" s="2" t="s">
        <v>119</v>
      </c>
      <c r="B1719" s="2" t="n">
        <v>2</v>
      </c>
      <c r="C1719" s="2" t="s">
        <v>87</v>
      </c>
      <c r="D1719" s="2" t="s">
        <v>48</v>
      </c>
      <c r="E1719" s="2" t="str">
        <f aca="false">INDEX(Products!$B$2:$B$13,MATCH(D1719,Products!$A$2:$A$13,0))</f>
        <v>Specialty</v>
      </c>
      <c r="F1719" s="15" t="n">
        <v>9</v>
      </c>
      <c r="G1719" s="16" t="n">
        <f aca="false">IF(A1719="2025",INDEX(Products!$C$2:$C$13,MATCH(D1719,Products!$A$2:$A$13,0)),INDEX(Products!$E$2:$E$13,MATCH(D1719,Products!$A$2:$A$13,0)))</f>
        <v>34923</v>
      </c>
      <c r="H1719" s="13" t="n">
        <f aca="false">IF(A1719="2025",INDEX(Customers!$D$2:$D$41,MATCH(C1719,Customers!$A$2:$A$41,0)),INDEX(Customers!$F$2:$F$41,MATCH(C1719,Customers!$A$2:$A$41,0)))</f>
        <v>0.093</v>
      </c>
      <c r="I1719" s="16" t="n">
        <f aca="false">F1719*G1719</f>
        <v>314307</v>
      </c>
      <c r="J1719" s="16" t="n">
        <f aca="false">I1719*(1-H1719)</f>
        <v>285076.449</v>
      </c>
      <c r="K1719" s="16" t="n">
        <f aca="false">J1719*INDEX(Customers!$G$2:$G$41,MATCH(C1719,Customers!$A$2:$A$41,0))</f>
        <v>2850.76449</v>
      </c>
      <c r="L1719" s="16" t="n">
        <f aca="false">F1719*INDEX(Customers!$H$2:$H$41,MATCH(C1719,Customers!$A$2:$A$41,0))</f>
        <v>2250</v>
      </c>
      <c r="M1719" s="16" t="n">
        <f aca="false">J1719*INDEX(Customers!$I$2:$I$41,MATCH(C1719,Customers!$A$2:$A$41,0))/365*Assumptions!$B$6</f>
        <v>3748.95056219178</v>
      </c>
      <c r="N1719" s="16" t="n">
        <f aca="false">J1719-K1719-L1719-M1719</f>
        <v>276226.733947808</v>
      </c>
      <c r="O1719" s="16" t="n">
        <f aca="false">F1719*IF(A1719="2025",INDEX(Products!$D$2:$D$13,MATCH(D1719,Products!$A$2:$A$13,0)),INDEX(Products!$F$2:$F$13,MATCH(D1719,Products!$A$2:$A$13,0)))</f>
        <v>139235.4</v>
      </c>
      <c r="P1719" s="16" t="n">
        <f aca="false">N1719-O1719</f>
        <v>136991.333947808</v>
      </c>
    </row>
    <row r="1720" customFormat="false" ht="15" hidden="false" customHeight="false" outlineLevel="0" collapsed="false">
      <c r="A1720" s="2" t="s">
        <v>119</v>
      </c>
      <c r="B1720" s="2" t="n">
        <v>3</v>
      </c>
      <c r="C1720" s="2" t="s">
        <v>87</v>
      </c>
      <c r="D1720" s="2" t="s">
        <v>48</v>
      </c>
      <c r="E1720" s="2" t="str">
        <f aca="false">INDEX(Products!$B$2:$B$13,MATCH(D1720,Products!$A$2:$A$13,0))</f>
        <v>Specialty</v>
      </c>
      <c r="F1720" s="15" t="n">
        <v>6.7</v>
      </c>
      <c r="G1720" s="16" t="n">
        <f aca="false">IF(A1720="2025",INDEX(Products!$C$2:$C$13,MATCH(D1720,Products!$A$2:$A$13,0)),INDEX(Products!$E$2:$E$13,MATCH(D1720,Products!$A$2:$A$13,0)))</f>
        <v>34923</v>
      </c>
      <c r="H1720" s="13" t="n">
        <f aca="false">IF(A1720="2025",INDEX(Customers!$D$2:$D$41,MATCH(C1720,Customers!$A$2:$A$41,0)),INDEX(Customers!$F$2:$F$41,MATCH(C1720,Customers!$A$2:$A$41,0)))</f>
        <v>0.093</v>
      </c>
      <c r="I1720" s="16" t="n">
        <f aca="false">F1720*G1720</f>
        <v>233984.1</v>
      </c>
      <c r="J1720" s="16" t="n">
        <f aca="false">I1720*(1-H1720)</f>
        <v>212223.5787</v>
      </c>
      <c r="K1720" s="16" t="n">
        <f aca="false">J1720*INDEX(Customers!$G$2:$G$41,MATCH(C1720,Customers!$A$2:$A$41,0))</f>
        <v>2122.235787</v>
      </c>
      <c r="L1720" s="16" t="n">
        <f aca="false">F1720*INDEX(Customers!$H$2:$H$41,MATCH(C1720,Customers!$A$2:$A$41,0))</f>
        <v>1675</v>
      </c>
      <c r="M1720" s="16" t="n">
        <f aca="false">J1720*INDEX(Customers!$I$2:$I$41,MATCH(C1720,Customers!$A$2:$A$41,0))/365*Assumptions!$B$6</f>
        <v>2790.88541852055</v>
      </c>
      <c r="N1720" s="16" t="n">
        <f aca="false">J1720-K1720-L1720-M1720</f>
        <v>205635.457494479</v>
      </c>
      <c r="O1720" s="16" t="n">
        <f aca="false">F1720*IF(A1720="2025",INDEX(Products!$D$2:$D$13,MATCH(D1720,Products!$A$2:$A$13,0)),INDEX(Products!$F$2:$F$13,MATCH(D1720,Products!$A$2:$A$13,0)))</f>
        <v>103653.02</v>
      </c>
      <c r="P1720" s="16" t="n">
        <f aca="false">N1720-O1720</f>
        <v>101982.437494479</v>
      </c>
    </row>
    <row r="1721" customFormat="false" ht="15" hidden="false" customHeight="false" outlineLevel="0" collapsed="false">
      <c r="A1721" s="2" t="s">
        <v>119</v>
      </c>
      <c r="B1721" s="2" t="n">
        <v>4</v>
      </c>
      <c r="C1721" s="2" t="s">
        <v>87</v>
      </c>
      <c r="D1721" s="2" t="s">
        <v>48</v>
      </c>
      <c r="E1721" s="2" t="str">
        <f aca="false">INDEX(Products!$B$2:$B$13,MATCH(D1721,Products!$A$2:$A$13,0))</f>
        <v>Specialty</v>
      </c>
      <c r="F1721" s="15" t="n">
        <v>8.8</v>
      </c>
      <c r="G1721" s="16" t="n">
        <f aca="false">IF(A1721="2025",INDEX(Products!$C$2:$C$13,MATCH(D1721,Products!$A$2:$A$13,0)),INDEX(Products!$E$2:$E$13,MATCH(D1721,Products!$A$2:$A$13,0)))</f>
        <v>34923</v>
      </c>
      <c r="H1721" s="13" t="n">
        <f aca="false">IF(A1721="2025",INDEX(Customers!$D$2:$D$41,MATCH(C1721,Customers!$A$2:$A$41,0)),INDEX(Customers!$F$2:$F$41,MATCH(C1721,Customers!$A$2:$A$41,0)))</f>
        <v>0.093</v>
      </c>
      <c r="I1721" s="16" t="n">
        <f aca="false">F1721*G1721</f>
        <v>307322.4</v>
      </c>
      <c r="J1721" s="16" t="n">
        <f aca="false">I1721*(1-H1721)</f>
        <v>278741.4168</v>
      </c>
      <c r="K1721" s="16" t="n">
        <f aca="false">J1721*INDEX(Customers!$G$2:$G$41,MATCH(C1721,Customers!$A$2:$A$41,0))</f>
        <v>2787.414168</v>
      </c>
      <c r="L1721" s="16" t="n">
        <f aca="false">F1721*INDEX(Customers!$H$2:$H$41,MATCH(C1721,Customers!$A$2:$A$41,0))</f>
        <v>2200</v>
      </c>
      <c r="M1721" s="16" t="n">
        <f aca="false">J1721*INDEX(Customers!$I$2:$I$41,MATCH(C1721,Customers!$A$2:$A$41,0))/365*Assumptions!$B$6</f>
        <v>3665.64054969863</v>
      </c>
      <c r="N1721" s="16" t="n">
        <f aca="false">J1721-K1721-L1721-M1721</f>
        <v>270088.362082301</v>
      </c>
      <c r="O1721" s="16" t="n">
        <f aca="false">F1721*IF(A1721="2025",INDEX(Products!$D$2:$D$13,MATCH(D1721,Products!$A$2:$A$13,0)),INDEX(Products!$F$2:$F$13,MATCH(D1721,Products!$A$2:$A$13,0)))</f>
        <v>136141.28</v>
      </c>
      <c r="P1721" s="16" t="n">
        <f aca="false">N1721-O1721</f>
        <v>133947.082082301</v>
      </c>
    </row>
    <row r="1722" customFormat="false" ht="15" hidden="false" customHeight="false" outlineLevel="0" collapsed="false">
      <c r="A1722" s="2" t="s">
        <v>119</v>
      </c>
      <c r="B1722" s="2" t="n">
        <v>5</v>
      </c>
      <c r="C1722" s="2" t="s">
        <v>87</v>
      </c>
      <c r="D1722" s="2" t="s">
        <v>48</v>
      </c>
      <c r="E1722" s="2" t="str">
        <f aca="false">INDEX(Products!$B$2:$B$13,MATCH(D1722,Products!$A$2:$A$13,0))</f>
        <v>Specialty</v>
      </c>
      <c r="F1722" s="15" t="n">
        <v>6.8</v>
      </c>
      <c r="G1722" s="16" t="n">
        <f aca="false">IF(A1722="2025",INDEX(Products!$C$2:$C$13,MATCH(D1722,Products!$A$2:$A$13,0)),INDEX(Products!$E$2:$E$13,MATCH(D1722,Products!$A$2:$A$13,0)))</f>
        <v>34923</v>
      </c>
      <c r="H1722" s="13" t="n">
        <f aca="false">IF(A1722="2025",INDEX(Customers!$D$2:$D$41,MATCH(C1722,Customers!$A$2:$A$41,0)),INDEX(Customers!$F$2:$F$41,MATCH(C1722,Customers!$A$2:$A$41,0)))</f>
        <v>0.093</v>
      </c>
      <c r="I1722" s="16" t="n">
        <f aca="false">F1722*G1722</f>
        <v>237476.4</v>
      </c>
      <c r="J1722" s="16" t="n">
        <f aca="false">I1722*(1-H1722)</f>
        <v>215391.0948</v>
      </c>
      <c r="K1722" s="16" t="n">
        <f aca="false">J1722*INDEX(Customers!$G$2:$G$41,MATCH(C1722,Customers!$A$2:$A$41,0))</f>
        <v>2153.910948</v>
      </c>
      <c r="L1722" s="16" t="n">
        <f aca="false">F1722*INDEX(Customers!$H$2:$H$41,MATCH(C1722,Customers!$A$2:$A$41,0))</f>
        <v>1700</v>
      </c>
      <c r="M1722" s="16" t="n">
        <f aca="false">J1722*INDEX(Customers!$I$2:$I$41,MATCH(C1722,Customers!$A$2:$A$41,0))/365*Assumptions!$B$6</f>
        <v>2832.54042476712</v>
      </c>
      <c r="N1722" s="16" t="n">
        <f aca="false">J1722-K1722-L1722-M1722</f>
        <v>208704.643427233</v>
      </c>
      <c r="O1722" s="16" t="n">
        <f aca="false">F1722*IF(A1722="2025",INDEX(Products!$D$2:$D$13,MATCH(D1722,Products!$A$2:$A$13,0)),INDEX(Products!$F$2:$F$13,MATCH(D1722,Products!$A$2:$A$13,0)))</f>
        <v>105200.08</v>
      </c>
      <c r="P1722" s="16" t="n">
        <f aca="false">N1722-O1722</f>
        <v>103504.563427233</v>
      </c>
    </row>
    <row r="1723" customFormat="false" ht="15" hidden="false" customHeight="false" outlineLevel="0" collapsed="false">
      <c r="A1723" s="2" t="s">
        <v>119</v>
      </c>
      <c r="B1723" s="2" t="n">
        <v>6</v>
      </c>
      <c r="C1723" s="2" t="s">
        <v>87</v>
      </c>
      <c r="D1723" s="2" t="s">
        <v>48</v>
      </c>
      <c r="E1723" s="2" t="str">
        <f aca="false">INDEX(Products!$B$2:$B$13,MATCH(D1723,Products!$A$2:$A$13,0))</f>
        <v>Specialty</v>
      </c>
      <c r="F1723" s="15" t="n">
        <v>7.8</v>
      </c>
      <c r="G1723" s="16" t="n">
        <f aca="false">IF(A1723="2025",INDEX(Products!$C$2:$C$13,MATCH(D1723,Products!$A$2:$A$13,0)),INDEX(Products!$E$2:$E$13,MATCH(D1723,Products!$A$2:$A$13,0)))</f>
        <v>34923</v>
      </c>
      <c r="H1723" s="13" t="n">
        <f aca="false">IF(A1723="2025",INDEX(Customers!$D$2:$D$41,MATCH(C1723,Customers!$A$2:$A$41,0)),INDEX(Customers!$F$2:$F$41,MATCH(C1723,Customers!$A$2:$A$41,0)))</f>
        <v>0.093</v>
      </c>
      <c r="I1723" s="16" t="n">
        <f aca="false">F1723*G1723</f>
        <v>272399.4</v>
      </c>
      <c r="J1723" s="16" t="n">
        <f aca="false">I1723*(1-H1723)</f>
        <v>247066.2558</v>
      </c>
      <c r="K1723" s="16" t="n">
        <f aca="false">J1723*INDEX(Customers!$G$2:$G$41,MATCH(C1723,Customers!$A$2:$A$41,0))</f>
        <v>2470.662558</v>
      </c>
      <c r="L1723" s="16" t="n">
        <f aca="false">F1723*INDEX(Customers!$H$2:$H$41,MATCH(C1723,Customers!$A$2:$A$41,0))</f>
        <v>1950</v>
      </c>
      <c r="M1723" s="16" t="n">
        <f aca="false">J1723*INDEX(Customers!$I$2:$I$41,MATCH(C1723,Customers!$A$2:$A$41,0))/365*Assumptions!$B$6</f>
        <v>3249.09048723288</v>
      </c>
      <c r="N1723" s="16" t="n">
        <f aca="false">J1723-K1723-L1723-M1723</f>
        <v>239396.502754767</v>
      </c>
      <c r="O1723" s="16" t="n">
        <f aca="false">F1723*IF(A1723="2025",INDEX(Products!$D$2:$D$13,MATCH(D1723,Products!$A$2:$A$13,0)),INDEX(Products!$F$2:$F$13,MATCH(D1723,Products!$A$2:$A$13,0)))</f>
        <v>120670.68</v>
      </c>
      <c r="P1723" s="16" t="n">
        <f aca="false">N1723-O1723</f>
        <v>118725.822754767</v>
      </c>
    </row>
    <row r="1724" customFormat="false" ht="15" hidden="false" customHeight="false" outlineLevel="0" collapsed="false">
      <c r="A1724" s="2" t="s">
        <v>119</v>
      </c>
      <c r="B1724" s="2" t="n">
        <v>7</v>
      </c>
      <c r="C1724" s="2" t="s">
        <v>87</v>
      </c>
      <c r="D1724" s="2" t="s">
        <v>48</v>
      </c>
      <c r="E1724" s="2" t="str">
        <f aca="false">INDEX(Products!$B$2:$B$13,MATCH(D1724,Products!$A$2:$A$13,0))</f>
        <v>Specialty</v>
      </c>
      <c r="F1724" s="15" t="n">
        <v>7.4</v>
      </c>
      <c r="G1724" s="16" t="n">
        <f aca="false">IF(A1724="2025",INDEX(Products!$C$2:$C$13,MATCH(D1724,Products!$A$2:$A$13,0)),INDEX(Products!$E$2:$E$13,MATCH(D1724,Products!$A$2:$A$13,0)))</f>
        <v>34923</v>
      </c>
      <c r="H1724" s="13" t="n">
        <f aca="false">IF(A1724="2025",INDEX(Customers!$D$2:$D$41,MATCH(C1724,Customers!$A$2:$A$41,0)),INDEX(Customers!$F$2:$F$41,MATCH(C1724,Customers!$A$2:$A$41,0)))</f>
        <v>0.093</v>
      </c>
      <c r="I1724" s="16" t="n">
        <f aca="false">F1724*G1724</f>
        <v>258430.2</v>
      </c>
      <c r="J1724" s="16" t="n">
        <f aca="false">I1724*(1-H1724)</f>
        <v>234396.1914</v>
      </c>
      <c r="K1724" s="16" t="n">
        <f aca="false">J1724*INDEX(Customers!$G$2:$G$41,MATCH(C1724,Customers!$A$2:$A$41,0))</f>
        <v>2343.961914</v>
      </c>
      <c r="L1724" s="16" t="n">
        <f aca="false">F1724*INDEX(Customers!$H$2:$H$41,MATCH(C1724,Customers!$A$2:$A$41,0))</f>
        <v>1850</v>
      </c>
      <c r="M1724" s="16" t="n">
        <f aca="false">J1724*INDEX(Customers!$I$2:$I$41,MATCH(C1724,Customers!$A$2:$A$41,0))/365*Assumptions!$B$6</f>
        <v>3082.47046224658</v>
      </c>
      <c r="N1724" s="16" t="n">
        <f aca="false">J1724-K1724-L1724-M1724</f>
        <v>227119.759023753</v>
      </c>
      <c r="O1724" s="16" t="n">
        <f aca="false">F1724*IF(A1724="2025",INDEX(Products!$D$2:$D$13,MATCH(D1724,Products!$A$2:$A$13,0)),INDEX(Products!$F$2:$F$13,MATCH(D1724,Products!$A$2:$A$13,0)))</f>
        <v>114482.44</v>
      </c>
      <c r="P1724" s="16" t="n">
        <f aca="false">N1724-O1724</f>
        <v>112637.319023753</v>
      </c>
    </row>
    <row r="1725" customFormat="false" ht="15" hidden="false" customHeight="false" outlineLevel="0" collapsed="false">
      <c r="A1725" s="2" t="s">
        <v>119</v>
      </c>
      <c r="B1725" s="2" t="n">
        <v>8</v>
      </c>
      <c r="C1725" s="2" t="s">
        <v>87</v>
      </c>
      <c r="D1725" s="2" t="s">
        <v>48</v>
      </c>
      <c r="E1725" s="2" t="str">
        <f aca="false">INDEX(Products!$B$2:$B$13,MATCH(D1725,Products!$A$2:$A$13,0))</f>
        <v>Specialty</v>
      </c>
      <c r="F1725" s="15" t="n">
        <v>10</v>
      </c>
      <c r="G1725" s="16" t="n">
        <f aca="false">IF(A1725="2025",INDEX(Products!$C$2:$C$13,MATCH(D1725,Products!$A$2:$A$13,0)),INDEX(Products!$E$2:$E$13,MATCH(D1725,Products!$A$2:$A$13,0)))</f>
        <v>34923</v>
      </c>
      <c r="H1725" s="13" t="n">
        <f aca="false">IF(A1725="2025",INDEX(Customers!$D$2:$D$41,MATCH(C1725,Customers!$A$2:$A$41,0)),INDEX(Customers!$F$2:$F$41,MATCH(C1725,Customers!$A$2:$A$41,0)))</f>
        <v>0.093</v>
      </c>
      <c r="I1725" s="16" t="n">
        <f aca="false">F1725*G1725</f>
        <v>349230</v>
      </c>
      <c r="J1725" s="16" t="n">
        <f aca="false">I1725*(1-H1725)</f>
        <v>316751.61</v>
      </c>
      <c r="K1725" s="16" t="n">
        <f aca="false">J1725*INDEX(Customers!$G$2:$G$41,MATCH(C1725,Customers!$A$2:$A$41,0))</f>
        <v>3167.5161</v>
      </c>
      <c r="L1725" s="16" t="n">
        <f aca="false">F1725*INDEX(Customers!$H$2:$H$41,MATCH(C1725,Customers!$A$2:$A$41,0))</f>
        <v>2500</v>
      </c>
      <c r="M1725" s="16" t="n">
        <f aca="false">J1725*INDEX(Customers!$I$2:$I$41,MATCH(C1725,Customers!$A$2:$A$41,0))/365*Assumptions!$B$6</f>
        <v>4165.50062465753</v>
      </c>
      <c r="N1725" s="16" t="n">
        <f aca="false">J1725-K1725-L1725-M1725</f>
        <v>306918.593275342</v>
      </c>
      <c r="O1725" s="16" t="n">
        <f aca="false">F1725*IF(A1725="2025",INDEX(Products!$D$2:$D$13,MATCH(D1725,Products!$A$2:$A$13,0)),INDEX(Products!$F$2:$F$13,MATCH(D1725,Products!$A$2:$A$13,0)))</f>
        <v>154706</v>
      </c>
      <c r="P1725" s="16" t="n">
        <f aca="false">N1725-O1725</f>
        <v>152212.593275342</v>
      </c>
    </row>
    <row r="1726" customFormat="false" ht="15" hidden="false" customHeight="false" outlineLevel="0" collapsed="false">
      <c r="A1726" s="2" t="s">
        <v>119</v>
      </c>
      <c r="B1726" s="2" t="n">
        <v>9</v>
      </c>
      <c r="C1726" s="2" t="s">
        <v>87</v>
      </c>
      <c r="D1726" s="2" t="s">
        <v>48</v>
      </c>
      <c r="E1726" s="2" t="str">
        <f aca="false">INDEX(Products!$B$2:$B$13,MATCH(D1726,Products!$A$2:$A$13,0))</f>
        <v>Specialty</v>
      </c>
      <c r="F1726" s="15" t="n">
        <v>9.5</v>
      </c>
      <c r="G1726" s="16" t="n">
        <f aca="false">IF(A1726="2025",INDEX(Products!$C$2:$C$13,MATCH(D1726,Products!$A$2:$A$13,0)),INDEX(Products!$E$2:$E$13,MATCH(D1726,Products!$A$2:$A$13,0)))</f>
        <v>34923</v>
      </c>
      <c r="H1726" s="13" t="n">
        <f aca="false">IF(A1726="2025",INDEX(Customers!$D$2:$D$41,MATCH(C1726,Customers!$A$2:$A$41,0)),INDEX(Customers!$F$2:$F$41,MATCH(C1726,Customers!$A$2:$A$41,0)))</f>
        <v>0.093</v>
      </c>
      <c r="I1726" s="16" t="n">
        <f aca="false">F1726*G1726</f>
        <v>331768.5</v>
      </c>
      <c r="J1726" s="16" t="n">
        <f aca="false">I1726*(1-H1726)</f>
        <v>300914.0295</v>
      </c>
      <c r="K1726" s="16" t="n">
        <f aca="false">J1726*INDEX(Customers!$G$2:$G$41,MATCH(C1726,Customers!$A$2:$A$41,0))</f>
        <v>3009.140295</v>
      </c>
      <c r="L1726" s="16" t="n">
        <f aca="false">F1726*INDEX(Customers!$H$2:$H$41,MATCH(C1726,Customers!$A$2:$A$41,0))</f>
        <v>2375</v>
      </c>
      <c r="M1726" s="16" t="n">
        <f aca="false">J1726*INDEX(Customers!$I$2:$I$41,MATCH(C1726,Customers!$A$2:$A$41,0))/365*Assumptions!$B$6</f>
        <v>3957.22559342466</v>
      </c>
      <c r="N1726" s="16" t="n">
        <f aca="false">J1726-K1726-L1726-M1726</f>
        <v>291572.663611575</v>
      </c>
      <c r="O1726" s="16" t="n">
        <f aca="false">F1726*IF(A1726="2025",INDEX(Products!$D$2:$D$13,MATCH(D1726,Products!$A$2:$A$13,0)),INDEX(Products!$F$2:$F$13,MATCH(D1726,Products!$A$2:$A$13,0)))</f>
        <v>146970.7</v>
      </c>
      <c r="P1726" s="16" t="n">
        <f aca="false">N1726-O1726</f>
        <v>144601.963611575</v>
      </c>
    </row>
    <row r="1727" customFormat="false" ht="15" hidden="false" customHeight="false" outlineLevel="0" collapsed="false">
      <c r="A1727" s="2" t="s">
        <v>119</v>
      </c>
      <c r="B1727" s="2" t="n">
        <v>10</v>
      </c>
      <c r="C1727" s="2" t="s">
        <v>87</v>
      </c>
      <c r="D1727" s="2" t="s">
        <v>48</v>
      </c>
      <c r="E1727" s="2" t="str">
        <f aca="false">INDEX(Products!$B$2:$B$13,MATCH(D1727,Products!$A$2:$A$13,0))</f>
        <v>Specialty</v>
      </c>
      <c r="F1727" s="15" t="n">
        <v>10.5</v>
      </c>
      <c r="G1727" s="16" t="n">
        <f aca="false">IF(A1727="2025",INDEX(Products!$C$2:$C$13,MATCH(D1727,Products!$A$2:$A$13,0)),INDEX(Products!$E$2:$E$13,MATCH(D1727,Products!$A$2:$A$13,0)))</f>
        <v>34923</v>
      </c>
      <c r="H1727" s="13" t="n">
        <f aca="false">IF(A1727="2025",INDEX(Customers!$D$2:$D$41,MATCH(C1727,Customers!$A$2:$A$41,0)),INDEX(Customers!$F$2:$F$41,MATCH(C1727,Customers!$A$2:$A$41,0)))</f>
        <v>0.093</v>
      </c>
      <c r="I1727" s="16" t="n">
        <f aca="false">F1727*G1727</f>
        <v>366691.5</v>
      </c>
      <c r="J1727" s="16" t="n">
        <f aca="false">I1727*(1-H1727)</f>
        <v>332589.1905</v>
      </c>
      <c r="K1727" s="16" t="n">
        <f aca="false">J1727*INDEX(Customers!$G$2:$G$41,MATCH(C1727,Customers!$A$2:$A$41,0))</f>
        <v>3325.891905</v>
      </c>
      <c r="L1727" s="16" t="n">
        <f aca="false">F1727*INDEX(Customers!$H$2:$H$41,MATCH(C1727,Customers!$A$2:$A$41,0))</f>
        <v>2625</v>
      </c>
      <c r="M1727" s="16" t="n">
        <f aca="false">J1727*INDEX(Customers!$I$2:$I$41,MATCH(C1727,Customers!$A$2:$A$41,0))/365*Assumptions!$B$6</f>
        <v>4373.77565589041</v>
      </c>
      <c r="N1727" s="16" t="n">
        <f aca="false">J1727-K1727-L1727-M1727</f>
        <v>322264.52293911</v>
      </c>
      <c r="O1727" s="16" t="n">
        <f aca="false">F1727*IF(A1727="2025",INDEX(Products!$D$2:$D$13,MATCH(D1727,Products!$A$2:$A$13,0)),INDEX(Products!$F$2:$F$13,MATCH(D1727,Products!$A$2:$A$13,0)))</f>
        <v>162441.3</v>
      </c>
      <c r="P1727" s="16" t="n">
        <f aca="false">N1727-O1727</f>
        <v>159823.22293911</v>
      </c>
    </row>
    <row r="1728" customFormat="false" ht="15" hidden="false" customHeight="false" outlineLevel="0" collapsed="false">
      <c r="A1728" s="2" t="s">
        <v>119</v>
      </c>
      <c r="B1728" s="2" t="n">
        <v>11</v>
      </c>
      <c r="C1728" s="2" t="s">
        <v>87</v>
      </c>
      <c r="D1728" s="2" t="s">
        <v>48</v>
      </c>
      <c r="E1728" s="2" t="str">
        <f aca="false">INDEX(Products!$B$2:$B$13,MATCH(D1728,Products!$A$2:$A$13,0))</f>
        <v>Specialty</v>
      </c>
      <c r="F1728" s="15" t="n">
        <v>10.8</v>
      </c>
      <c r="G1728" s="16" t="n">
        <f aca="false">IF(A1728="2025",INDEX(Products!$C$2:$C$13,MATCH(D1728,Products!$A$2:$A$13,0)),INDEX(Products!$E$2:$E$13,MATCH(D1728,Products!$A$2:$A$13,0)))</f>
        <v>34923</v>
      </c>
      <c r="H1728" s="13" t="n">
        <f aca="false">IF(A1728="2025",INDEX(Customers!$D$2:$D$41,MATCH(C1728,Customers!$A$2:$A$41,0)),INDEX(Customers!$F$2:$F$41,MATCH(C1728,Customers!$A$2:$A$41,0)))</f>
        <v>0.093</v>
      </c>
      <c r="I1728" s="16" t="n">
        <f aca="false">F1728*G1728</f>
        <v>377168.4</v>
      </c>
      <c r="J1728" s="16" t="n">
        <f aca="false">I1728*(1-H1728)</f>
        <v>342091.7388</v>
      </c>
      <c r="K1728" s="16" t="n">
        <f aca="false">J1728*INDEX(Customers!$G$2:$G$41,MATCH(C1728,Customers!$A$2:$A$41,0))</f>
        <v>3420.917388</v>
      </c>
      <c r="L1728" s="16" t="n">
        <f aca="false">F1728*INDEX(Customers!$H$2:$H$41,MATCH(C1728,Customers!$A$2:$A$41,0))</f>
        <v>2700</v>
      </c>
      <c r="M1728" s="16" t="n">
        <f aca="false">J1728*INDEX(Customers!$I$2:$I$41,MATCH(C1728,Customers!$A$2:$A$41,0))/365*Assumptions!$B$6</f>
        <v>4498.74067463014</v>
      </c>
      <c r="N1728" s="16" t="n">
        <f aca="false">J1728-K1728-L1728-M1728</f>
        <v>331472.08073737</v>
      </c>
      <c r="O1728" s="16" t="n">
        <f aca="false">F1728*IF(A1728="2025",INDEX(Products!$D$2:$D$13,MATCH(D1728,Products!$A$2:$A$13,0)),INDEX(Products!$F$2:$F$13,MATCH(D1728,Products!$A$2:$A$13,0)))</f>
        <v>167082.48</v>
      </c>
      <c r="P1728" s="16" t="n">
        <f aca="false">N1728-O1728</f>
        <v>164389.60073737</v>
      </c>
    </row>
    <row r="1729" customFormat="false" ht="15" hidden="false" customHeight="false" outlineLevel="0" collapsed="false">
      <c r="A1729" s="2" t="s">
        <v>119</v>
      </c>
      <c r="B1729" s="2" t="n">
        <v>12</v>
      </c>
      <c r="C1729" s="2" t="s">
        <v>87</v>
      </c>
      <c r="D1729" s="2" t="s">
        <v>48</v>
      </c>
      <c r="E1729" s="2" t="str">
        <f aca="false">INDEX(Products!$B$2:$B$13,MATCH(D1729,Products!$A$2:$A$13,0))</f>
        <v>Specialty</v>
      </c>
      <c r="F1729" s="15" t="n">
        <v>6.7</v>
      </c>
      <c r="G1729" s="16" t="n">
        <f aca="false">IF(A1729="2025",INDEX(Products!$C$2:$C$13,MATCH(D1729,Products!$A$2:$A$13,0)),INDEX(Products!$E$2:$E$13,MATCH(D1729,Products!$A$2:$A$13,0)))</f>
        <v>34923</v>
      </c>
      <c r="H1729" s="13" t="n">
        <f aca="false">IF(A1729="2025",INDEX(Customers!$D$2:$D$41,MATCH(C1729,Customers!$A$2:$A$41,0)),INDEX(Customers!$F$2:$F$41,MATCH(C1729,Customers!$A$2:$A$41,0)))</f>
        <v>0.093</v>
      </c>
      <c r="I1729" s="16" t="n">
        <f aca="false">F1729*G1729</f>
        <v>233984.1</v>
      </c>
      <c r="J1729" s="16" t="n">
        <f aca="false">I1729*(1-H1729)</f>
        <v>212223.5787</v>
      </c>
      <c r="K1729" s="16" t="n">
        <f aca="false">J1729*INDEX(Customers!$G$2:$G$41,MATCH(C1729,Customers!$A$2:$A$41,0))</f>
        <v>2122.235787</v>
      </c>
      <c r="L1729" s="16" t="n">
        <f aca="false">F1729*INDEX(Customers!$H$2:$H$41,MATCH(C1729,Customers!$A$2:$A$41,0))</f>
        <v>1675</v>
      </c>
      <c r="M1729" s="16" t="n">
        <f aca="false">J1729*INDEX(Customers!$I$2:$I$41,MATCH(C1729,Customers!$A$2:$A$41,0))/365*Assumptions!$B$6</f>
        <v>2790.88541852055</v>
      </c>
      <c r="N1729" s="16" t="n">
        <f aca="false">J1729-K1729-L1729-M1729</f>
        <v>205635.457494479</v>
      </c>
      <c r="O1729" s="16" t="n">
        <f aca="false">F1729*IF(A1729="2025",INDEX(Products!$D$2:$D$13,MATCH(D1729,Products!$A$2:$A$13,0)),INDEX(Products!$F$2:$F$13,MATCH(D1729,Products!$A$2:$A$13,0)))</f>
        <v>103653.02</v>
      </c>
      <c r="P1729" s="16" t="n">
        <f aca="false">N1729-O1729</f>
        <v>101982.437494479</v>
      </c>
    </row>
    <row r="1730" customFormat="false" ht="15" hidden="false" customHeight="false" outlineLevel="0" collapsed="false">
      <c r="A1730" s="2" t="s">
        <v>118</v>
      </c>
      <c r="B1730" s="2" t="n">
        <v>1</v>
      </c>
      <c r="C1730" s="2" t="s">
        <v>87</v>
      </c>
      <c r="D1730" s="2" t="s">
        <v>44</v>
      </c>
      <c r="E1730" s="2" t="str">
        <f aca="false">INDEX(Products!$B$2:$B$13,MATCH(D1730,Products!$A$2:$A$13,0))</f>
        <v>Specialty</v>
      </c>
      <c r="F1730" s="15" t="n">
        <v>12.6</v>
      </c>
      <c r="G1730" s="16" t="n">
        <f aca="false">IF(A1730="2025",INDEX(Products!$C$2:$C$13,MATCH(D1730,Products!$A$2:$A$13,0)),INDEX(Products!$E$2:$E$13,MATCH(D1730,Products!$A$2:$A$13,0)))</f>
        <v>28970</v>
      </c>
      <c r="H1730" s="13" t="n">
        <f aca="false">IF(A1730="2025",INDEX(Customers!$D$2:$D$41,MATCH(C1730,Customers!$A$2:$A$41,0)),INDEX(Customers!$F$2:$F$41,MATCH(C1730,Customers!$A$2:$A$41,0)))</f>
        <v>0.061</v>
      </c>
      <c r="I1730" s="16" t="n">
        <f aca="false">F1730*G1730</f>
        <v>365022</v>
      </c>
      <c r="J1730" s="16" t="n">
        <f aca="false">I1730*(1-H1730)</f>
        <v>342755.658</v>
      </c>
      <c r="K1730" s="16" t="n">
        <f aca="false">J1730*INDEX(Customers!$G$2:$G$41,MATCH(C1730,Customers!$A$2:$A$41,0))</f>
        <v>3427.55658</v>
      </c>
      <c r="L1730" s="16" t="n">
        <f aca="false">F1730*INDEX(Customers!$H$2:$H$41,MATCH(C1730,Customers!$A$2:$A$41,0))</f>
        <v>3150</v>
      </c>
      <c r="M1730" s="16" t="n">
        <f aca="false">J1730*INDEX(Customers!$I$2:$I$41,MATCH(C1730,Customers!$A$2:$A$41,0))/365*Assumptions!$B$6</f>
        <v>4507.47166684932</v>
      </c>
      <c r="N1730" s="16" t="n">
        <f aca="false">J1730-K1730-L1730-M1730</f>
        <v>331670.629753151</v>
      </c>
      <c r="O1730" s="16" t="n">
        <f aca="false">F1730*IF(A1730="2025",INDEX(Products!$D$2:$D$13,MATCH(D1730,Products!$A$2:$A$13,0)),INDEX(Products!$F$2:$F$13,MATCH(D1730,Products!$A$2:$A$13,0)))</f>
        <v>180306</v>
      </c>
      <c r="P1730" s="16" t="n">
        <f aca="false">N1730-O1730</f>
        <v>151364.629753151</v>
      </c>
    </row>
    <row r="1731" customFormat="false" ht="15" hidden="false" customHeight="false" outlineLevel="0" collapsed="false">
      <c r="A1731" s="2" t="s">
        <v>118</v>
      </c>
      <c r="B1731" s="2" t="n">
        <v>2</v>
      </c>
      <c r="C1731" s="2" t="s">
        <v>87</v>
      </c>
      <c r="D1731" s="2" t="s">
        <v>44</v>
      </c>
      <c r="E1731" s="2" t="str">
        <f aca="false">INDEX(Products!$B$2:$B$13,MATCH(D1731,Products!$A$2:$A$13,0))</f>
        <v>Specialty</v>
      </c>
      <c r="F1731" s="15" t="n">
        <v>11.8</v>
      </c>
      <c r="G1731" s="16" t="n">
        <f aca="false">IF(A1731="2025",INDEX(Products!$C$2:$C$13,MATCH(D1731,Products!$A$2:$A$13,0)),INDEX(Products!$E$2:$E$13,MATCH(D1731,Products!$A$2:$A$13,0)))</f>
        <v>28970</v>
      </c>
      <c r="H1731" s="13" t="n">
        <f aca="false">IF(A1731="2025",INDEX(Customers!$D$2:$D$41,MATCH(C1731,Customers!$A$2:$A$41,0)),INDEX(Customers!$F$2:$F$41,MATCH(C1731,Customers!$A$2:$A$41,0)))</f>
        <v>0.061</v>
      </c>
      <c r="I1731" s="16" t="n">
        <f aca="false">F1731*G1731</f>
        <v>341846</v>
      </c>
      <c r="J1731" s="16" t="n">
        <f aca="false">I1731*(1-H1731)</f>
        <v>320993.394</v>
      </c>
      <c r="K1731" s="16" t="n">
        <f aca="false">J1731*INDEX(Customers!$G$2:$G$41,MATCH(C1731,Customers!$A$2:$A$41,0))</f>
        <v>3209.93394</v>
      </c>
      <c r="L1731" s="16" t="n">
        <f aca="false">F1731*INDEX(Customers!$H$2:$H$41,MATCH(C1731,Customers!$A$2:$A$41,0))</f>
        <v>2950</v>
      </c>
      <c r="M1731" s="16" t="n">
        <f aca="false">J1731*INDEX(Customers!$I$2:$I$41,MATCH(C1731,Customers!$A$2:$A$41,0))/365*Assumptions!$B$6</f>
        <v>4221.28298958904</v>
      </c>
      <c r="N1731" s="16" t="n">
        <f aca="false">J1731-K1731-L1731-M1731</f>
        <v>310612.177070411</v>
      </c>
      <c r="O1731" s="16" t="n">
        <f aca="false">F1731*IF(A1731="2025",INDEX(Products!$D$2:$D$13,MATCH(D1731,Products!$A$2:$A$13,0)),INDEX(Products!$F$2:$F$13,MATCH(D1731,Products!$A$2:$A$13,0)))</f>
        <v>168858</v>
      </c>
      <c r="P1731" s="16" t="n">
        <f aca="false">N1731-O1731</f>
        <v>141754.177070411</v>
      </c>
    </row>
    <row r="1732" customFormat="false" ht="15" hidden="false" customHeight="false" outlineLevel="0" collapsed="false">
      <c r="A1732" s="2" t="s">
        <v>118</v>
      </c>
      <c r="B1732" s="2" t="n">
        <v>3</v>
      </c>
      <c r="C1732" s="2" t="s">
        <v>87</v>
      </c>
      <c r="D1732" s="2" t="s">
        <v>44</v>
      </c>
      <c r="E1732" s="2" t="str">
        <f aca="false">INDEX(Products!$B$2:$B$13,MATCH(D1732,Products!$A$2:$A$13,0))</f>
        <v>Specialty</v>
      </c>
      <c r="F1732" s="15" t="n">
        <v>8.9</v>
      </c>
      <c r="G1732" s="16" t="n">
        <f aca="false">IF(A1732="2025",INDEX(Products!$C$2:$C$13,MATCH(D1732,Products!$A$2:$A$13,0)),INDEX(Products!$E$2:$E$13,MATCH(D1732,Products!$A$2:$A$13,0)))</f>
        <v>28970</v>
      </c>
      <c r="H1732" s="13" t="n">
        <f aca="false">IF(A1732="2025",INDEX(Customers!$D$2:$D$41,MATCH(C1732,Customers!$A$2:$A$41,0)),INDEX(Customers!$F$2:$F$41,MATCH(C1732,Customers!$A$2:$A$41,0)))</f>
        <v>0.061</v>
      </c>
      <c r="I1732" s="16" t="n">
        <f aca="false">F1732*G1732</f>
        <v>257833</v>
      </c>
      <c r="J1732" s="16" t="n">
        <f aca="false">I1732*(1-H1732)</f>
        <v>242105.187</v>
      </c>
      <c r="K1732" s="16" t="n">
        <f aca="false">J1732*INDEX(Customers!$G$2:$G$41,MATCH(C1732,Customers!$A$2:$A$41,0))</f>
        <v>2421.05187</v>
      </c>
      <c r="L1732" s="16" t="n">
        <f aca="false">F1732*INDEX(Customers!$H$2:$H$41,MATCH(C1732,Customers!$A$2:$A$41,0))</f>
        <v>2225</v>
      </c>
      <c r="M1732" s="16" t="n">
        <f aca="false">J1732*INDEX(Customers!$I$2:$I$41,MATCH(C1732,Customers!$A$2:$A$41,0))/365*Assumptions!$B$6</f>
        <v>3183.84903452055</v>
      </c>
      <c r="N1732" s="16" t="n">
        <f aca="false">J1732-K1732-L1732-M1732</f>
        <v>234275.286095479</v>
      </c>
      <c r="O1732" s="16" t="n">
        <f aca="false">F1732*IF(A1732="2025",INDEX(Products!$D$2:$D$13,MATCH(D1732,Products!$A$2:$A$13,0)),INDEX(Products!$F$2:$F$13,MATCH(D1732,Products!$A$2:$A$13,0)))</f>
        <v>127359</v>
      </c>
      <c r="P1732" s="16" t="n">
        <f aca="false">N1732-O1732</f>
        <v>106916.286095479</v>
      </c>
    </row>
    <row r="1733" customFormat="false" ht="15" hidden="false" customHeight="false" outlineLevel="0" collapsed="false">
      <c r="A1733" s="2" t="s">
        <v>118</v>
      </c>
      <c r="B1733" s="2" t="n">
        <v>4</v>
      </c>
      <c r="C1733" s="2" t="s">
        <v>87</v>
      </c>
      <c r="D1733" s="2" t="s">
        <v>44</v>
      </c>
      <c r="E1733" s="2" t="str">
        <f aca="false">INDEX(Products!$B$2:$B$13,MATCH(D1733,Products!$A$2:$A$13,0))</f>
        <v>Specialty</v>
      </c>
      <c r="F1733" s="15" t="n">
        <v>10.1</v>
      </c>
      <c r="G1733" s="16" t="n">
        <f aca="false">IF(A1733="2025",INDEX(Products!$C$2:$C$13,MATCH(D1733,Products!$A$2:$A$13,0)),INDEX(Products!$E$2:$E$13,MATCH(D1733,Products!$A$2:$A$13,0)))</f>
        <v>28970</v>
      </c>
      <c r="H1733" s="13" t="n">
        <f aca="false">IF(A1733="2025",INDEX(Customers!$D$2:$D$41,MATCH(C1733,Customers!$A$2:$A$41,0)),INDEX(Customers!$F$2:$F$41,MATCH(C1733,Customers!$A$2:$A$41,0)))</f>
        <v>0.061</v>
      </c>
      <c r="I1733" s="16" t="n">
        <f aca="false">F1733*G1733</f>
        <v>292597</v>
      </c>
      <c r="J1733" s="16" t="n">
        <f aca="false">I1733*(1-H1733)</f>
        <v>274748.583</v>
      </c>
      <c r="K1733" s="16" t="n">
        <f aca="false">J1733*INDEX(Customers!$G$2:$G$41,MATCH(C1733,Customers!$A$2:$A$41,0))</f>
        <v>2747.48583</v>
      </c>
      <c r="L1733" s="16" t="n">
        <f aca="false">F1733*INDEX(Customers!$H$2:$H$41,MATCH(C1733,Customers!$A$2:$A$41,0))</f>
        <v>2525</v>
      </c>
      <c r="M1733" s="16" t="n">
        <f aca="false">J1733*INDEX(Customers!$I$2:$I$41,MATCH(C1733,Customers!$A$2:$A$41,0))/365*Assumptions!$B$6</f>
        <v>3613.13205041096</v>
      </c>
      <c r="N1733" s="16" t="n">
        <f aca="false">J1733-K1733-L1733-M1733</f>
        <v>265862.965119589</v>
      </c>
      <c r="O1733" s="16" t="n">
        <f aca="false">F1733*IF(A1733="2025",INDEX(Products!$D$2:$D$13,MATCH(D1733,Products!$A$2:$A$13,0)),INDEX(Products!$F$2:$F$13,MATCH(D1733,Products!$A$2:$A$13,0)))</f>
        <v>144531</v>
      </c>
      <c r="P1733" s="16" t="n">
        <f aca="false">N1733-O1733</f>
        <v>121331.965119589</v>
      </c>
    </row>
    <row r="1734" customFormat="false" ht="15" hidden="false" customHeight="false" outlineLevel="0" collapsed="false">
      <c r="A1734" s="2" t="s">
        <v>118</v>
      </c>
      <c r="B1734" s="2" t="n">
        <v>5</v>
      </c>
      <c r="C1734" s="2" t="s">
        <v>87</v>
      </c>
      <c r="D1734" s="2" t="s">
        <v>44</v>
      </c>
      <c r="E1734" s="2" t="str">
        <f aca="false">INDEX(Products!$B$2:$B$13,MATCH(D1734,Products!$A$2:$A$13,0))</f>
        <v>Specialty</v>
      </c>
      <c r="F1734" s="15" t="n">
        <v>7.2</v>
      </c>
      <c r="G1734" s="16" t="n">
        <f aca="false">IF(A1734="2025",INDEX(Products!$C$2:$C$13,MATCH(D1734,Products!$A$2:$A$13,0)),INDEX(Products!$E$2:$E$13,MATCH(D1734,Products!$A$2:$A$13,0)))</f>
        <v>28970</v>
      </c>
      <c r="H1734" s="13" t="n">
        <f aca="false">IF(A1734="2025",INDEX(Customers!$D$2:$D$41,MATCH(C1734,Customers!$A$2:$A$41,0)),INDEX(Customers!$F$2:$F$41,MATCH(C1734,Customers!$A$2:$A$41,0)))</f>
        <v>0.061</v>
      </c>
      <c r="I1734" s="16" t="n">
        <f aca="false">F1734*G1734</f>
        <v>208584</v>
      </c>
      <c r="J1734" s="16" t="n">
        <f aca="false">I1734*(1-H1734)</f>
        <v>195860.376</v>
      </c>
      <c r="K1734" s="16" t="n">
        <f aca="false">J1734*INDEX(Customers!$G$2:$G$41,MATCH(C1734,Customers!$A$2:$A$41,0))</f>
        <v>1958.60376</v>
      </c>
      <c r="L1734" s="16" t="n">
        <f aca="false">F1734*INDEX(Customers!$H$2:$H$41,MATCH(C1734,Customers!$A$2:$A$41,0))</f>
        <v>1800</v>
      </c>
      <c r="M1734" s="16" t="n">
        <f aca="false">J1734*INDEX(Customers!$I$2:$I$41,MATCH(C1734,Customers!$A$2:$A$41,0))/365*Assumptions!$B$6</f>
        <v>2575.69809534247</v>
      </c>
      <c r="N1734" s="16" t="n">
        <f aca="false">J1734-K1734-L1734-M1734</f>
        <v>189526.074144658</v>
      </c>
      <c r="O1734" s="16" t="n">
        <f aca="false">F1734*IF(A1734="2025",INDEX(Products!$D$2:$D$13,MATCH(D1734,Products!$A$2:$A$13,0)),INDEX(Products!$F$2:$F$13,MATCH(D1734,Products!$A$2:$A$13,0)))</f>
        <v>103032</v>
      </c>
      <c r="P1734" s="16" t="n">
        <f aca="false">N1734-O1734</f>
        <v>86494.0741446576</v>
      </c>
    </row>
    <row r="1735" customFormat="false" ht="15" hidden="false" customHeight="false" outlineLevel="0" collapsed="false">
      <c r="A1735" s="2" t="s">
        <v>118</v>
      </c>
      <c r="B1735" s="2" t="n">
        <v>6</v>
      </c>
      <c r="C1735" s="2" t="s">
        <v>87</v>
      </c>
      <c r="D1735" s="2" t="s">
        <v>44</v>
      </c>
      <c r="E1735" s="2" t="str">
        <f aca="false">INDEX(Products!$B$2:$B$13,MATCH(D1735,Products!$A$2:$A$13,0))</f>
        <v>Specialty</v>
      </c>
      <c r="F1735" s="15" t="n">
        <v>8.1</v>
      </c>
      <c r="G1735" s="16" t="n">
        <f aca="false">IF(A1735="2025",INDEX(Products!$C$2:$C$13,MATCH(D1735,Products!$A$2:$A$13,0)),INDEX(Products!$E$2:$E$13,MATCH(D1735,Products!$A$2:$A$13,0)))</f>
        <v>28970</v>
      </c>
      <c r="H1735" s="13" t="n">
        <f aca="false">IF(A1735="2025",INDEX(Customers!$D$2:$D$41,MATCH(C1735,Customers!$A$2:$A$41,0)),INDEX(Customers!$F$2:$F$41,MATCH(C1735,Customers!$A$2:$A$41,0)))</f>
        <v>0.061</v>
      </c>
      <c r="I1735" s="16" t="n">
        <f aca="false">F1735*G1735</f>
        <v>234657</v>
      </c>
      <c r="J1735" s="16" t="n">
        <f aca="false">I1735*(1-H1735)</f>
        <v>220342.923</v>
      </c>
      <c r="K1735" s="16" t="n">
        <f aca="false">J1735*INDEX(Customers!$G$2:$G$41,MATCH(C1735,Customers!$A$2:$A$41,0))</f>
        <v>2203.42923</v>
      </c>
      <c r="L1735" s="16" t="n">
        <f aca="false">F1735*INDEX(Customers!$H$2:$H$41,MATCH(C1735,Customers!$A$2:$A$41,0))</f>
        <v>2025</v>
      </c>
      <c r="M1735" s="16" t="n">
        <f aca="false">J1735*INDEX(Customers!$I$2:$I$41,MATCH(C1735,Customers!$A$2:$A$41,0))/365*Assumptions!$B$6</f>
        <v>2897.66035726027</v>
      </c>
      <c r="N1735" s="16" t="n">
        <f aca="false">J1735-K1735-L1735-M1735</f>
        <v>213216.83341274</v>
      </c>
      <c r="O1735" s="16" t="n">
        <f aca="false">F1735*IF(A1735="2025",INDEX(Products!$D$2:$D$13,MATCH(D1735,Products!$A$2:$A$13,0)),INDEX(Products!$F$2:$F$13,MATCH(D1735,Products!$A$2:$A$13,0)))</f>
        <v>115911</v>
      </c>
      <c r="P1735" s="16" t="n">
        <f aca="false">N1735-O1735</f>
        <v>97305.8334127397</v>
      </c>
    </row>
    <row r="1736" customFormat="false" ht="15" hidden="false" customHeight="false" outlineLevel="0" collapsed="false">
      <c r="A1736" s="2" t="s">
        <v>118</v>
      </c>
      <c r="B1736" s="2" t="n">
        <v>7</v>
      </c>
      <c r="C1736" s="2" t="s">
        <v>87</v>
      </c>
      <c r="D1736" s="2" t="s">
        <v>44</v>
      </c>
      <c r="E1736" s="2" t="str">
        <f aca="false">INDEX(Products!$B$2:$B$13,MATCH(D1736,Products!$A$2:$A$13,0))</f>
        <v>Specialty</v>
      </c>
      <c r="F1736" s="15" t="n">
        <v>8.7</v>
      </c>
      <c r="G1736" s="16" t="n">
        <f aca="false">IF(A1736="2025",INDEX(Products!$C$2:$C$13,MATCH(D1736,Products!$A$2:$A$13,0)),INDEX(Products!$E$2:$E$13,MATCH(D1736,Products!$A$2:$A$13,0)))</f>
        <v>28970</v>
      </c>
      <c r="H1736" s="13" t="n">
        <f aca="false">IF(A1736="2025",INDEX(Customers!$D$2:$D$41,MATCH(C1736,Customers!$A$2:$A$41,0)),INDEX(Customers!$F$2:$F$41,MATCH(C1736,Customers!$A$2:$A$41,0)))</f>
        <v>0.061</v>
      </c>
      <c r="I1736" s="16" t="n">
        <f aca="false">F1736*G1736</f>
        <v>252039</v>
      </c>
      <c r="J1736" s="16" t="n">
        <f aca="false">I1736*(1-H1736)</f>
        <v>236664.621</v>
      </c>
      <c r="K1736" s="16" t="n">
        <f aca="false">J1736*INDEX(Customers!$G$2:$G$41,MATCH(C1736,Customers!$A$2:$A$41,0))</f>
        <v>2366.64621</v>
      </c>
      <c r="L1736" s="16" t="n">
        <f aca="false">F1736*INDEX(Customers!$H$2:$H$41,MATCH(C1736,Customers!$A$2:$A$41,0))</f>
        <v>2175</v>
      </c>
      <c r="M1736" s="16" t="n">
        <f aca="false">J1736*INDEX(Customers!$I$2:$I$41,MATCH(C1736,Customers!$A$2:$A$41,0))/365*Assumptions!$B$6</f>
        <v>3112.30186520548</v>
      </c>
      <c r="N1736" s="16" t="n">
        <f aca="false">J1736-K1736-L1736-M1736</f>
        <v>229010.672924795</v>
      </c>
      <c r="O1736" s="16" t="n">
        <f aca="false">F1736*IF(A1736="2025",INDEX(Products!$D$2:$D$13,MATCH(D1736,Products!$A$2:$A$13,0)),INDEX(Products!$F$2:$F$13,MATCH(D1736,Products!$A$2:$A$13,0)))</f>
        <v>124497</v>
      </c>
      <c r="P1736" s="16" t="n">
        <f aca="false">N1736-O1736</f>
        <v>104513.672924795</v>
      </c>
    </row>
    <row r="1737" customFormat="false" ht="15" hidden="false" customHeight="false" outlineLevel="0" collapsed="false">
      <c r="A1737" s="2" t="s">
        <v>118</v>
      </c>
      <c r="B1737" s="2" t="n">
        <v>8</v>
      </c>
      <c r="C1737" s="2" t="s">
        <v>87</v>
      </c>
      <c r="D1737" s="2" t="s">
        <v>44</v>
      </c>
      <c r="E1737" s="2" t="str">
        <f aca="false">INDEX(Products!$B$2:$B$13,MATCH(D1737,Products!$A$2:$A$13,0))</f>
        <v>Specialty</v>
      </c>
      <c r="F1737" s="15" t="n">
        <v>9.8</v>
      </c>
      <c r="G1737" s="16" t="n">
        <f aca="false">IF(A1737="2025",INDEX(Products!$C$2:$C$13,MATCH(D1737,Products!$A$2:$A$13,0)),INDEX(Products!$E$2:$E$13,MATCH(D1737,Products!$A$2:$A$13,0)))</f>
        <v>28970</v>
      </c>
      <c r="H1737" s="13" t="n">
        <f aca="false">IF(A1737="2025",INDEX(Customers!$D$2:$D$41,MATCH(C1737,Customers!$A$2:$A$41,0)),INDEX(Customers!$F$2:$F$41,MATCH(C1737,Customers!$A$2:$A$41,0)))</f>
        <v>0.061</v>
      </c>
      <c r="I1737" s="16" t="n">
        <f aca="false">F1737*G1737</f>
        <v>283906</v>
      </c>
      <c r="J1737" s="16" t="n">
        <f aca="false">I1737*(1-H1737)</f>
        <v>266587.734</v>
      </c>
      <c r="K1737" s="16" t="n">
        <f aca="false">J1737*INDEX(Customers!$G$2:$G$41,MATCH(C1737,Customers!$A$2:$A$41,0))</f>
        <v>2665.87734</v>
      </c>
      <c r="L1737" s="16" t="n">
        <f aca="false">F1737*INDEX(Customers!$H$2:$H$41,MATCH(C1737,Customers!$A$2:$A$41,0))</f>
        <v>2450</v>
      </c>
      <c r="M1737" s="16" t="n">
        <f aca="false">J1737*INDEX(Customers!$I$2:$I$41,MATCH(C1737,Customers!$A$2:$A$41,0))/365*Assumptions!$B$6</f>
        <v>3505.81129643836</v>
      </c>
      <c r="N1737" s="16" t="n">
        <f aca="false">J1737-K1737-L1737-M1737</f>
        <v>257966.045363562</v>
      </c>
      <c r="O1737" s="16" t="n">
        <f aca="false">F1737*IF(A1737="2025",INDEX(Products!$D$2:$D$13,MATCH(D1737,Products!$A$2:$A$13,0)),INDEX(Products!$F$2:$F$13,MATCH(D1737,Products!$A$2:$A$13,0)))</f>
        <v>140238</v>
      </c>
      <c r="P1737" s="16" t="n">
        <f aca="false">N1737-O1737</f>
        <v>117728.045363562</v>
      </c>
    </row>
    <row r="1738" customFormat="false" ht="15" hidden="false" customHeight="false" outlineLevel="0" collapsed="false">
      <c r="A1738" s="2" t="s">
        <v>118</v>
      </c>
      <c r="B1738" s="2" t="n">
        <v>9</v>
      </c>
      <c r="C1738" s="2" t="s">
        <v>87</v>
      </c>
      <c r="D1738" s="2" t="s">
        <v>44</v>
      </c>
      <c r="E1738" s="2" t="str">
        <f aca="false">INDEX(Products!$B$2:$B$13,MATCH(D1738,Products!$A$2:$A$13,0))</f>
        <v>Specialty</v>
      </c>
      <c r="F1738" s="15" t="n">
        <v>7.3</v>
      </c>
      <c r="G1738" s="16" t="n">
        <f aca="false">IF(A1738="2025",INDEX(Products!$C$2:$C$13,MATCH(D1738,Products!$A$2:$A$13,0)),INDEX(Products!$E$2:$E$13,MATCH(D1738,Products!$A$2:$A$13,0)))</f>
        <v>28970</v>
      </c>
      <c r="H1738" s="13" t="n">
        <f aca="false">IF(A1738="2025",INDEX(Customers!$D$2:$D$41,MATCH(C1738,Customers!$A$2:$A$41,0)),INDEX(Customers!$F$2:$F$41,MATCH(C1738,Customers!$A$2:$A$41,0)))</f>
        <v>0.061</v>
      </c>
      <c r="I1738" s="16" t="n">
        <f aca="false">F1738*G1738</f>
        <v>211481</v>
      </c>
      <c r="J1738" s="16" t="n">
        <f aca="false">I1738*(1-H1738)</f>
        <v>198580.659</v>
      </c>
      <c r="K1738" s="16" t="n">
        <f aca="false">J1738*INDEX(Customers!$G$2:$G$41,MATCH(C1738,Customers!$A$2:$A$41,0))</f>
        <v>1985.80659</v>
      </c>
      <c r="L1738" s="16" t="n">
        <f aca="false">F1738*INDEX(Customers!$H$2:$H$41,MATCH(C1738,Customers!$A$2:$A$41,0))</f>
        <v>1825</v>
      </c>
      <c r="M1738" s="16" t="n">
        <f aca="false">J1738*INDEX(Customers!$I$2:$I$41,MATCH(C1738,Customers!$A$2:$A$41,0))/365*Assumptions!$B$6</f>
        <v>2611.47168</v>
      </c>
      <c r="N1738" s="16" t="n">
        <f aca="false">J1738-K1738-L1738-M1738</f>
        <v>192158.38073</v>
      </c>
      <c r="O1738" s="16" t="n">
        <f aca="false">F1738*IF(A1738="2025",INDEX(Products!$D$2:$D$13,MATCH(D1738,Products!$A$2:$A$13,0)),INDEX(Products!$F$2:$F$13,MATCH(D1738,Products!$A$2:$A$13,0)))</f>
        <v>104463</v>
      </c>
      <c r="P1738" s="16" t="n">
        <f aca="false">N1738-O1738</f>
        <v>87695.38073</v>
      </c>
    </row>
    <row r="1739" customFormat="false" ht="15" hidden="false" customHeight="false" outlineLevel="0" collapsed="false">
      <c r="A1739" s="2" t="s">
        <v>118</v>
      </c>
      <c r="B1739" s="2" t="n">
        <v>10</v>
      </c>
      <c r="C1739" s="2" t="s">
        <v>87</v>
      </c>
      <c r="D1739" s="2" t="s">
        <v>44</v>
      </c>
      <c r="E1739" s="2" t="str">
        <f aca="false">INDEX(Products!$B$2:$B$13,MATCH(D1739,Products!$A$2:$A$13,0))</f>
        <v>Specialty</v>
      </c>
      <c r="F1739" s="15" t="n">
        <v>12.6</v>
      </c>
      <c r="G1739" s="16" t="n">
        <f aca="false">IF(A1739="2025",INDEX(Products!$C$2:$C$13,MATCH(D1739,Products!$A$2:$A$13,0)),INDEX(Products!$E$2:$E$13,MATCH(D1739,Products!$A$2:$A$13,0)))</f>
        <v>28970</v>
      </c>
      <c r="H1739" s="13" t="n">
        <f aca="false">IF(A1739="2025",INDEX(Customers!$D$2:$D$41,MATCH(C1739,Customers!$A$2:$A$41,0)),INDEX(Customers!$F$2:$F$41,MATCH(C1739,Customers!$A$2:$A$41,0)))</f>
        <v>0.061</v>
      </c>
      <c r="I1739" s="16" t="n">
        <f aca="false">F1739*G1739</f>
        <v>365022</v>
      </c>
      <c r="J1739" s="16" t="n">
        <f aca="false">I1739*(1-H1739)</f>
        <v>342755.658</v>
      </c>
      <c r="K1739" s="16" t="n">
        <f aca="false">J1739*INDEX(Customers!$G$2:$G$41,MATCH(C1739,Customers!$A$2:$A$41,0))</f>
        <v>3427.55658</v>
      </c>
      <c r="L1739" s="16" t="n">
        <f aca="false">F1739*INDEX(Customers!$H$2:$H$41,MATCH(C1739,Customers!$A$2:$A$41,0))</f>
        <v>3150</v>
      </c>
      <c r="M1739" s="16" t="n">
        <f aca="false">J1739*INDEX(Customers!$I$2:$I$41,MATCH(C1739,Customers!$A$2:$A$41,0))/365*Assumptions!$B$6</f>
        <v>4507.47166684932</v>
      </c>
      <c r="N1739" s="16" t="n">
        <f aca="false">J1739-K1739-L1739-M1739</f>
        <v>331670.629753151</v>
      </c>
      <c r="O1739" s="16" t="n">
        <f aca="false">F1739*IF(A1739="2025",INDEX(Products!$D$2:$D$13,MATCH(D1739,Products!$A$2:$A$13,0)),INDEX(Products!$F$2:$F$13,MATCH(D1739,Products!$A$2:$A$13,0)))</f>
        <v>180306</v>
      </c>
      <c r="P1739" s="16" t="n">
        <f aca="false">N1739-O1739</f>
        <v>151364.629753151</v>
      </c>
    </row>
    <row r="1740" customFormat="false" ht="15" hidden="false" customHeight="false" outlineLevel="0" collapsed="false">
      <c r="A1740" s="2" t="s">
        <v>118</v>
      </c>
      <c r="B1740" s="2" t="n">
        <v>11</v>
      </c>
      <c r="C1740" s="2" t="s">
        <v>87</v>
      </c>
      <c r="D1740" s="2" t="s">
        <v>44</v>
      </c>
      <c r="E1740" s="2" t="str">
        <f aca="false">INDEX(Products!$B$2:$B$13,MATCH(D1740,Products!$A$2:$A$13,0))</f>
        <v>Specialty</v>
      </c>
      <c r="F1740" s="15" t="n">
        <v>12.1</v>
      </c>
      <c r="G1740" s="16" t="n">
        <f aca="false">IF(A1740="2025",INDEX(Products!$C$2:$C$13,MATCH(D1740,Products!$A$2:$A$13,0)),INDEX(Products!$E$2:$E$13,MATCH(D1740,Products!$A$2:$A$13,0)))</f>
        <v>28970</v>
      </c>
      <c r="H1740" s="13" t="n">
        <f aca="false">IF(A1740="2025",INDEX(Customers!$D$2:$D$41,MATCH(C1740,Customers!$A$2:$A$41,0)),INDEX(Customers!$F$2:$F$41,MATCH(C1740,Customers!$A$2:$A$41,0)))</f>
        <v>0.061</v>
      </c>
      <c r="I1740" s="16" t="n">
        <f aca="false">F1740*G1740</f>
        <v>350537</v>
      </c>
      <c r="J1740" s="16" t="n">
        <f aca="false">I1740*(1-H1740)</f>
        <v>329154.243</v>
      </c>
      <c r="K1740" s="16" t="n">
        <f aca="false">J1740*INDEX(Customers!$G$2:$G$41,MATCH(C1740,Customers!$A$2:$A$41,0))</f>
        <v>3291.54243</v>
      </c>
      <c r="L1740" s="16" t="n">
        <f aca="false">F1740*INDEX(Customers!$H$2:$H$41,MATCH(C1740,Customers!$A$2:$A$41,0))</f>
        <v>3025</v>
      </c>
      <c r="M1740" s="16" t="n">
        <f aca="false">J1740*INDEX(Customers!$I$2:$I$41,MATCH(C1740,Customers!$A$2:$A$41,0))/365*Assumptions!$B$6</f>
        <v>4328.60374356164</v>
      </c>
      <c r="N1740" s="16" t="n">
        <f aca="false">J1740-K1740-L1740-M1740</f>
        <v>318509.096826438</v>
      </c>
      <c r="O1740" s="16" t="n">
        <f aca="false">F1740*IF(A1740="2025",INDEX(Products!$D$2:$D$13,MATCH(D1740,Products!$A$2:$A$13,0)),INDEX(Products!$F$2:$F$13,MATCH(D1740,Products!$A$2:$A$13,0)))</f>
        <v>173151</v>
      </c>
      <c r="P1740" s="16" t="n">
        <f aca="false">N1740-O1740</f>
        <v>145358.096826438</v>
      </c>
    </row>
    <row r="1741" customFormat="false" ht="15" hidden="false" customHeight="false" outlineLevel="0" collapsed="false">
      <c r="A1741" s="2" t="s">
        <v>118</v>
      </c>
      <c r="B1741" s="2" t="n">
        <v>12</v>
      </c>
      <c r="C1741" s="2" t="s">
        <v>87</v>
      </c>
      <c r="D1741" s="2" t="s">
        <v>44</v>
      </c>
      <c r="E1741" s="2" t="str">
        <f aca="false">INDEX(Products!$B$2:$B$13,MATCH(D1741,Products!$A$2:$A$13,0))</f>
        <v>Specialty</v>
      </c>
      <c r="F1741" s="15" t="n">
        <v>9.1</v>
      </c>
      <c r="G1741" s="16" t="n">
        <f aca="false">IF(A1741="2025",INDEX(Products!$C$2:$C$13,MATCH(D1741,Products!$A$2:$A$13,0)),INDEX(Products!$E$2:$E$13,MATCH(D1741,Products!$A$2:$A$13,0)))</f>
        <v>28970</v>
      </c>
      <c r="H1741" s="13" t="n">
        <f aca="false">IF(A1741="2025",INDEX(Customers!$D$2:$D$41,MATCH(C1741,Customers!$A$2:$A$41,0)),INDEX(Customers!$F$2:$F$41,MATCH(C1741,Customers!$A$2:$A$41,0)))</f>
        <v>0.061</v>
      </c>
      <c r="I1741" s="16" t="n">
        <f aca="false">F1741*G1741</f>
        <v>263627</v>
      </c>
      <c r="J1741" s="16" t="n">
        <f aca="false">I1741*(1-H1741)</f>
        <v>247545.753</v>
      </c>
      <c r="K1741" s="16" t="n">
        <f aca="false">J1741*INDEX(Customers!$G$2:$G$41,MATCH(C1741,Customers!$A$2:$A$41,0))</f>
        <v>2475.45753</v>
      </c>
      <c r="L1741" s="16" t="n">
        <f aca="false">F1741*INDEX(Customers!$H$2:$H$41,MATCH(C1741,Customers!$A$2:$A$41,0))</f>
        <v>2275</v>
      </c>
      <c r="M1741" s="16" t="n">
        <f aca="false">J1741*INDEX(Customers!$I$2:$I$41,MATCH(C1741,Customers!$A$2:$A$41,0))/365*Assumptions!$B$6</f>
        <v>3255.39620383562</v>
      </c>
      <c r="N1741" s="16" t="n">
        <f aca="false">J1741-K1741-L1741-M1741</f>
        <v>239539.899266164</v>
      </c>
      <c r="O1741" s="16" t="n">
        <f aca="false">F1741*IF(A1741="2025",INDEX(Products!$D$2:$D$13,MATCH(D1741,Products!$A$2:$A$13,0)),INDEX(Products!$F$2:$F$13,MATCH(D1741,Products!$A$2:$A$13,0)))</f>
        <v>130221</v>
      </c>
      <c r="P1741" s="16" t="n">
        <f aca="false">N1741-O1741</f>
        <v>109318.899266164</v>
      </c>
    </row>
    <row r="1742" customFormat="false" ht="15" hidden="false" customHeight="false" outlineLevel="0" collapsed="false">
      <c r="A1742" s="2" t="s">
        <v>119</v>
      </c>
      <c r="B1742" s="2" t="n">
        <v>1</v>
      </c>
      <c r="C1742" s="2" t="s">
        <v>87</v>
      </c>
      <c r="D1742" s="2" t="s">
        <v>44</v>
      </c>
      <c r="E1742" s="2" t="str">
        <f aca="false">INDEX(Products!$B$2:$B$13,MATCH(D1742,Products!$A$2:$A$13,0))</f>
        <v>Specialty</v>
      </c>
      <c r="F1742" s="15" t="n">
        <v>11.3</v>
      </c>
      <c r="G1742" s="16" t="n">
        <f aca="false">IF(A1742="2025",INDEX(Products!$C$2:$C$13,MATCH(D1742,Products!$A$2:$A$13,0)),INDEX(Products!$E$2:$E$13,MATCH(D1742,Products!$A$2:$A$13,0)))</f>
        <v>30418.5</v>
      </c>
      <c r="H1742" s="13" t="n">
        <f aca="false">IF(A1742="2025",INDEX(Customers!$D$2:$D$41,MATCH(C1742,Customers!$A$2:$A$41,0)),INDEX(Customers!$F$2:$F$41,MATCH(C1742,Customers!$A$2:$A$41,0)))</f>
        <v>0.093</v>
      </c>
      <c r="I1742" s="16" t="n">
        <f aca="false">F1742*G1742</f>
        <v>343729.05</v>
      </c>
      <c r="J1742" s="16" t="n">
        <f aca="false">I1742*(1-H1742)</f>
        <v>311762.24835</v>
      </c>
      <c r="K1742" s="16" t="n">
        <f aca="false">J1742*INDEX(Customers!$G$2:$G$41,MATCH(C1742,Customers!$A$2:$A$41,0))</f>
        <v>3117.6224835</v>
      </c>
      <c r="L1742" s="16" t="n">
        <f aca="false">F1742*INDEX(Customers!$H$2:$H$41,MATCH(C1742,Customers!$A$2:$A$41,0))</f>
        <v>2825</v>
      </c>
      <c r="M1742" s="16" t="n">
        <f aca="false">J1742*INDEX(Customers!$I$2:$I$41,MATCH(C1742,Customers!$A$2:$A$41,0))/365*Assumptions!$B$6</f>
        <v>4099.88710158904</v>
      </c>
      <c r="N1742" s="16" t="n">
        <f aca="false">J1742-K1742-L1742-M1742</f>
        <v>301719.738764911</v>
      </c>
      <c r="O1742" s="16" t="n">
        <f aca="false">F1742*IF(A1742="2025",INDEX(Products!$D$2:$D$13,MATCH(D1742,Products!$A$2:$A$13,0)),INDEX(Products!$F$2:$F$13,MATCH(D1742,Products!$A$2:$A$13,0)))</f>
        <v>166554.09</v>
      </c>
      <c r="P1742" s="16" t="n">
        <f aca="false">N1742-O1742</f>
        <v>135165.648764911</v>
      </c>
    </row>
    <row r="1743" customFormat="false" ht="15" hidden="false" customHeight="false" outlineLevel="0" collapsed="false">
      <c r="A1743" s="2" t="s">
        <v>119</v>
      </c>
      <c r="B1743" s="2" t="n">
        <v>2</v>
      </c>
      <c r="C1743" s="2" t="s">
        <v>87</v>
      </c>
      <c r="D1743" s="2" t="s">
        <v>44</v>
      </c>
      <c r="E1743" s="2" t="str">
        <f aca="false">INDEX(Products!$B$2:$B$13,MATCH(D1743,Products!$A$2:$A$13,0))</f>
        <v>Specialty</v>
      </c>
      <c r="F1743" s="15" t="n">
        <v>9.5</v>
      </c>
      <c r="G1743" s="16" t="n">
        <f aca="false">IF(A1743="2025",INDEX(Products!$C$2:$C$13,MATCH(D1743,Products!$A$2:$A$13,0)),INDEX(Products!$E$2:$E$13,MATCH(D1743,Products!$A$2:$A$13,0)))</f>
        <v>30418.5</v>
      </c>
      <c r="H1743" s="13" t="n">
        <f aca="false">IF(A1743="2025",INDEX(Customers!$D$2:$D$41,MATCH(C1743,Customers!$A$2:$A$41,0)),INDEX(Customers!$F$2:$F$41,MATCH(C1743,Customers!$A$2:$A$41,0)))</f>
        <v>0.093</v>
      </c>
      <c r="I1743" s="16" t="n">
        <f aca="false">F1743*G1743</f>
        <v>288975.75</v>
      </c>
      <c r="J1743" s="16" t="n">
        <f aca="false">I1743*(1-H1743)</f>
        <v>262101.00525</v>
      </c>
      <c r="K1743" s="16" t="n">
        <f aca="false">J1743*INDEX(Customers!$G$2:$G$41,MATCH(C1743,Customers!$A$2:$A$41,0))</f>
        <v>2621.0100525</v>
      </c>
      <c r="L1743" s="16" t="n">
        <f aca="false">F1743*INDEX(Customers!$H$2:$H$41,MATCH(C1743,Customers!$A$2:$A$41,0))</f>
        <v>2375</v>
      </c>
      <c r="M1743" s="16" t="n">
        <f aca="false">J1743*INDEX(Customers!$I$2:$I$41,MATCH(C1743,Customers!$A$2:$A$41,0))/365*Assumptions!$B$6</f>
        <v>3446.80774027397</v>
      </c>
      <c r="N1743" s="16" t="n">
        <f aca="false">J1743-K1743-L1743-M1743</f>
        <v>253658.187457226</v>
      </c>
      <c r="O1743" s="16" t="n">
        <f aca="false">F1743*IF(A1743="2025",INDEX(Products!$D$2:$D$13,MATCH(D1743,Products!$A$2:$A$13,0)),INDEX(Products!$F$2:$F$13,MATCH(D1743,Products!$A$2:$A$13,0)))</f>
        <v>140023.35</v>
      </c>
      <c r="P1743" s="16" t="n">
        <f aca="false">N1743-O1743</f>
        <v>113634.837457226</v>
      </c>
    </row>
    <row r="1744" customFormat="false" ht="15" hidden="false" customHeight="false" outlineLevel="0" collapsed="false">
      <c r="A1744" s="2" t="s">
        <v>119</v>
      </c>
      <c r="B1744" s="2" t="n">
        <v>3</v>
      </c>
      <c r="C1744" s="2" t="s">
        <v>87</v>
      </c>
      <c r="D1744" s="2" t="s">
        <v>44</v>
      </c>
      <c r="E1744" s="2" t="str">
        <f aca="false">INDEX(Products!$B$2:$B$13,MATCH(D1744,Products!$A$2:$A$13,0))</f>
        <v>Specialty</v>
      </c>
      <c r="F1744" s="15" t="n">
        <v>8</v>
      </c>
      <c r="G1744" s="16" t="n">
        <f aca="false">IF(A1744="2025",INDEX(Products!$C$2:$C$13,MATCH(D1744,Products!$A$2:$A$13,0)),INDEX(Products!$E$2:$E$13,MATCH(D1744,Products!$A$2:$A$13,0)))</f>
        <v>30418.5</v>
      </c>
      <c r="H1744" s="13" t="n">
        <f aca="false">IF(A1744="2025",INDEX(Customers!$D$2:$D$41,MATCH(C1744,Customers!$A$2:$A$41,0)),INDEX(Customers!$F$2:$F$41,MATCH(C1744,Customers!$A$2:$A$41,0)))</f>
        <v>0.093</v>
      </c>
      <c r="I1744" s="16" t="n">
        <f aca="false">F1744*G1744</f>
        <v>243348</v>
      </c>
      <c r="J1744" s="16" t="n">
        <f aca="false">I1744*(1-H1744)</f>
        <v>220716.636</v>
      </c>
      <c r="K1744" s="16" t="n">
        <f aca="false">J1744*INDEX(Customers!$G$2:$G$41,MATCH(C1744,Customers!$A$2:$A$41,0))</f>
        <v>2207.16636</v>
      </c>
      <c r="L1744" s="16" t="n">
        <f aca="false">F1744*INDEX(Customers!$H$2:$H$41,MATCH(C1744,Customers!$A$2:$A$41,0))</f>
        <v>2000</v>
      </c>
      <c r="M1744" s="16" t="n">
        <f aca="false">J1744*INDEX(Customers!$I$2:$I$41,MATCH(C1744,Customers!$A$2:$A$41,0))/365*Assumptions!$B$6</f>
        <v>2902.57493917808</v>
      </c>
      <c r="N1744" s="16" t="n">
        <f aca="false">J1744-K1744-L1744-M1744</f>
        <v>213606.894700822</v>
      </c>
      <c r="O1744" s="16" t="n">
        <f aca="false">F1744*IF(A1744="2025",INDEX(Products!$D$2:$D$13,MATCH(D1744,Products!$A$2:$A$13,0)),INDEX(Products!$F$2:$F$13,MATCH(D1744,Products!$A$2:$A$13,0)))</f>
        <v>117914.4</v>
      </c>
      <c r="P1744" s="16" t="n">
        <f aca="false">N1744-O1744</f>
        <v>95692.4947008219</v>
      </c>
    </row>
    <row r="1745" customFormat="false" ht="15" hidden="false" customHeight="false" outlineLevel="0" collapsed="false">
      <c r="A1745" s="2" t="s">
        <v>119</v>
      </c>
      <c r="B1745" s="2" t="n">
        <v>4</v>
      </c>
      <c r="C1745" s="2" t="s">
        <v>87</v>
      </c>
      <c r="D1745" s="2" t="s">
        <v>44</v>
      </c>
      <c r="E1745" s="2" t="str">
        <f aca="false">INDEX(Products!$B$2:$B$13,MATCH(D1745,Products!$A$2:$A$13,0))</f>
        <v>Specialty</v>
      </c>
      <c r="F1745" s="15" t="n">
        <v>9.8</v>
      </c>
      <c r="G1745" s="16" t="n">
        <f aca="false">IF(A1745="2025",INDEX(Products!$C$2:$C$13,MATCH(D1745,Products!$A$2:$A$13,0)),INDEX(Products!$E$2:$E$13,MATCH(D1745,Products!$A$2:$A$13,0)))</f>
        <v>30418.5</v>
      </c>
      <c r="H1745" s="13" t="n">
        <f aca="false">IF(A1745="2025",INDEX(Customers!$D$2:$D$41,MATCH(C1745,Customers!$A$2:$A$41,0)),INDEX(Customers!$F$2:$F$41,MATCH(C1745,Customers!$A$2:$A$41,0)))</f>
        <v>0.093</v>
      </c>
      <c r="I1745" s="16" t="n">
        <f aca="false">F1745*G1745</f>
        <v>298101.3</v>
      </c>
      <c r="J1745" s="16" t="n">
        <f aca="false">I1745*(1-H1745)</f>
        <v>270377.8791</v>
      </c>
      <c r="K1745" s="16" t="n">
        <f aca="false">J1745*INDEX(Customers!$G$2:$G$41,MATCH(C1745,Customers!$A$2:$A$41,0))</f>
        <v>2703.778791</v>
      </c>
      <c r="L1745" s="16" t="n">
        <f aca="false">F1745*INDEX(Customers!$H$2:$H$41,MATCH(C1745,Customers!$A$2:$A$41,0))</f>
        <v>2450</v>
      </c>
      <c r="M1745" s="16" t="n">
        <f aca="false">J1745*INDEX(Customers!$I$2:$I$41,MATCH(C1745,Customers!$A$2:$A$41,0))/365*Assumptions!$B$6</f>
        <v>3555.65430049315</v>
      </c>
      <c r="N1745" s="16" t="n">
        <f aca="false">J1745-K1745-L1745-M1745</f>
        <v>261668.446008507</v>
      </c>
      <c r="O1745" s="16" t="n">
        <f aca="false">F1745*IF(A1745="2025",INDEX(Products!$D$2:$D$13,MATCH(D1745,Products!$A$2:$A$13,0)),INDEX(Products!$F$2:$F$13,MATCH(D1745,Products!$A$2:$A$13,0)))</f>
        <v>144445.14</v>
      </c>
      <c r="P1745" s="16" t="n">
        <f aca="false">N1745-O1745</f>
        <v>117223.306008507</v>
      </c>
    </row>
    <row r="1746" customFormat="false" ht="15" hidden="false" customHeight="false" outlineLevel="0" collapsed="false">
      <c r="A1746" s="2" t="s">
        <v>119</v>
      </c>
      <c r="B1746" s="2" t="n">
        <v>5</v>
      </c>
      <c r="C1746" s="2" t="s">
        <v>87</v>
      </c>
      <c r="D1746" s="2" t="s">
        <v>44</v>
      </c>
      <c r="E1746" s="2" t="str">
        <f aca="false">INDEX(Products!$B$2:$B$13,MATCH(D1746,Products!$A$2:$A$13,0))</f>
        <v>Specialty</v>
      </c>
      <c r="F1746" s="15" t="n">
        <v>7.4</v>
      </c>
      <c r="G1746" s="16" t="n">
        <f aca="false">IF(A1746="2025",INDEX(Products!$C$2:$C$13,MATCH(D1746,Products!$A$2:$A$13,0)),INDEX(Products!$E$2:$E$13,MATCH(D1746,Products!$A$2:$A$13,0)))</f>
        <v>30418.5</v>
      </c>
      <c r="H1746" s="13" t="n">
        <f aca="false">IF(A1746="2025",INDEX(Customers!$D$2:$D$41,MATCH(C1746,Customers!$A$2:$A$41,0)),INDEX(Customers!$F$2:$F$41,MATCH(C1746,Customers!$A$2:$A$41,0)))</f>
        <v>0.093</v>
      </c>
      <c r="I1746" s="16" t="n">
        <f aca="false">F1746*G1746</f>
        <v>225096.9</v>
      </c>
      <c r="J1746" s="16" t="n">
        <f aca="false">I1746*(1-H1746)</f>
        <v>204162.8883</v>
      </c>
      <c r="K1746" s="16" t="n">
        <f aca="false">J1746*INDEX(Customers!$G$2:$G$41,MATCH(C1746,Customers!$A$2:$A$41,0))</f>
        <v>2041.628883</v>
      </c>
      <c r="L1746" s="16" t="n">
        <f aca="false">F1746*INDEX(Customers!$H$2:$H$41,MATCH(C1746,Customers!$A$2:$A$41,0))</f>
        <v>1850</v>
      </c>
      <c r="M1746" s="16" t="n">
        <f aca="false">J1746*INDEX(Customers!$I$2:$I$41,MATCH(C1746,Customers!$A$2:$A$41,0))/365*Assumptions!$B$6</f>
        <v>2684.88181873973</v>
      </c>
      <c r="N1746" s="16" t="n">
        <f aca="false">J1746-K1746-L1746-M1746</f>
        <v>197586.37759826</v>
      </c>
      <c r="O1746" s="16" t="n">
        <f aca="false">F1746*IF(A1746="2025",INDEX(Products!$D$2:$D$13,MATCH(D1746,Products!$A$2:$A$13,0)),INDEX(Products!$F$2:$F$13,MATCH(D1746,Products!$A$2:$A$13,0)))</f>
        <v>109070.82</v>
      </c>
      <c r="P1746" s="16" t="n">
        <f aca="false">N1746-O1746</f>
        <v>88515.5575982603</v>
      </c>
    </row>
    <row r="1747" customFormat="false" ht="15" hidden="false" customHeight="false" outlineLevel="0" collapsed="false">
      <c r="A1747" s="2" t="s">
        <v>119</v>
      </c>
      <c r="B1747" s="2" t="n">
        <v>6</v>
      </c>
      <c r="C1747" s="2" t="s">
        <v>87</v>
      </c>
      <c r="D1747" s="2" t="s">
        <v>44</v>
      </c>
      <c r="E1747" s="2" t="str">
        <f aca="false">INDEX(Products!$B$2:$B$13,MATCH(D1747,Products!$A$2:$A$13,0))</f>
        <v>Specialty</v>
      </c>
      <c r="F1747" s="15" t="n">
        <v>10.3</v>
      </c>
      <c r="G1747" s="16" t="n">
        <f aca="false">IF(A1747="2025",INDEX(Products!$C$2:$C$13,MATCH(D1747,Products!$A$2:$A$13,0)),INDEX(Products!$E$2:$E$13,MATCH(D1747,Products!$A$2:$A$13,0)))</f>
        <v>30418.5</v>
      </c>
      <c r="H1747" s="13" t="n">
        <f aca="false">IF(A1747="2025",INDEX(Customers!$D$2:$D$41,MATCH(C1747,Customers!$A$2:$A$41,0)),INDEX(Customers!$F$2:$F$41,MATCH(C1747,Customers!$A$2:$A$41,0)))</f>
        <v>0.093</v>
      </c>
      <c r="I1747" s="16" t="n">
        <f aca="false">F1747*G1747</f>
        <v>313310.55</v>
      </c>
      <c r="J1747" s="16" t="n">
        <f aca="false">I1747*(1-H1747)</f>
        <v>284172.66885</v>
      </c>
      <c r="K1747" s="16" t="n">
        <f aca="false">J1747*INDEX(Customers!$G$2:$G$41,MATCH(C1747,Customers!$A$2:$A$41,0))</f>
        <v>2841.7266885</v>
      </c>
      <c r="L1747" s="16" t="n">
        <f aca="false">F1747*INDEX(Customers!$H$2:$H$41,MATCH(C1747,Customers!$A$2:$A$41,0))</f>
        <v>2575</v>
      </c>
      <c r="M1747" s="16" t="n">
        <f aca="false">J1747*INDEX(Customers!$I$2:$I$41,MATCH(C1747,Customers!$A$2:$A$41,0))/365*Assumptions!$B$6</f>
        <v>3737.06523419178</v>
      </c>
      <c r="N1747" s="16" t="n">
        <f aca="false">J1747-K1747-L1747-M1747</f>
        <v>275018.876927308</v>
      </c>
      <c r="O1747" s="16" t="n">
        <f aca="false">F1747*IF(A1747="2025",INDEX(Products!$D$2:$D$13,MATCH(D1747,Products!$A$2:$A$13,0)),INDEX(Products!$F$2:$F$13,MATCH(D1747,Products!$A$2:$A$13,0)))</f>
        <v>151814.79</v>
      </c>
      <c r="P1747" s="16" t="n">
        <f aca="false">N1747-O1747</f>
        <v>123204.086927308</v>
      </c>
    </row>
    <row r="1748" customFormat="false" ht="15" hidden="false" customHeight="false" outlineLevel="0" collapsed="false">
      <c r="A1748" s="2" t="s">
        <v>119</v>
      </c>
      <c r="B1748" s="2" t="n">
        <v>7</v>
      </c>
      <c r="C1748" s="2" t="s">
        <v>87</v>
      </c>
      <c r="D1748" s="2" t="s">
        <v>44</v>
      </c>
      <c r="E1748" s="2" t="str">
        <f aca="false">INDEX(Products!$B$2:$B$13,MATCH(D1748,Products!$A$2:$A$13,0))</f>
        <v>Specialty</v>
      </c>
      <c r="F1748" s="15" t="n">
        <v>11.4</v>
      </c>
      <c r="G1748" s="16" t="n">
        <f aca="false">IF(A1748="2025",INDEX(Products!$C$2:$C$13,MATCH(D1748,Products!$A$2:$A$13,0)),INDEX(Products!$E$2:$E$13,MATCH(D1748,Products!$A$2:$A$13,0)))</f>
        <v>30418.5</v>
      </c>
      <c r="H1748" s="13" t="n">
        <f aca="false">IF(A1748="2025",INDEX(Customers!$D$2:$D$41,MATCH(C1748,Customers!$A$2:$A$41,0)),INDEX(Customers!$F$2:$F$41,MATCH(C1748,Customers!$A$2:$A$41,0)))</f>
        <v>0.093</v>
      </c>
      <c r="I1748" s="16" t="n">
        <f aca="false">F1748*G1748</f>
        <v>346770.9</v>
      </c>
      <c r="J1748" s="16" t="n">
        <f aca="false">I1748*(1-H1748)</f>
        <v>314521.2063</v>
      </c>
      <c r="K1748" s="16" t="n">
        <f aca="false">J1748*INDEX(Customers!$G$2:$G$41,MATCH(C1748,Customers!$A$2:$A$41,0))</f>
        <v>3145.212063</v>
      </c>
      <c r="L1748" s="16" t="n">
        <f aca="false">F1748*INDEX(Customers!$H$2:$H$41,MATCH(C1748,Customers!$A$2:$A$41,0))</f>
        <v>2850</v>
      </c>
      <c r="M1748" s="16" t="n">
        <f aca="false">J1748*INDEX(Customers!$I$2:$I$41,MATCH(C1748,Customers!$A$2:$A$41,0))/365*Assumptions!$B$6</f>
        <v>4136.16928832877</v>
      </c>
      <c r="N1748" s="16" t="n">
        <f aca="false">J1748-K1748-L1748-M1748</f>
        <v>304389.824948671</v>
      </c>
      <c r="O1748" s="16" t="n">
        <f aca="false">F1748*IF(A1748="2025",INDEX(Products!$D$2:$D$13,MATCH(D1748,Products!$A$2:$A$13,0)),INDEX(Products!$F$2:$F$13,MATCH(D1748,Products!$A$2:$A$13,0)))</f>
        <v>168028.02</v>
      </c>
      <c r="P1748" s="16" t="n">
        <f aca="false">N1748-O1748</f>
        <v>136361.804948671</v>
      </c>
    </row>
    <row r="1749" customFormat="false" ht="15" hidden="false" customHeight="false" outlineLevel="0" collapsed="false">
      <c r="A1749" s="2" t="s">
        <v>119</v>
      </c>
      <c r="B1749" s="2" t="n">
        <v>8</v>
      </c>
      <c r="C1749" s="2" t="s">
        <v>87</v>
      </c>
      <c r="D1749" s="2" t="s">
        <v>44</v>
      </c>
      <c r="E1749" s="2" t="str">
        <f aca="false">INDEX(Products!$B$2:$B$13,MATCH(D1749,Products!$A$2:$A$13,0))</f>
        <v>Specialty</v>
      </c>
      <c r="F1749" s="15" t="n">
        <v>6.9</v>
      </c>
      <c r="G1749" s="16" t="n">
        <f aca="false">IF(A1749="2025",INDEX(Products!$C$2:$C$13,MATCH(D1749,Products!$A$2:$A$13,0)),INDEX(Products!$E$2:$E$13,MATCH(D1749,Products!$A$2:$A$13,0)))</f>
        <v>30418.5</v>
      </c>
      <c r="H1749" s="13" t="n">
        <f aca="false">IF(A1749="2025",INDEX(Customers!$D$2:$D$41,MATCH(C1749,Customers!$A$2:$A$41,0)),INDEX(Customers!$F$2:$F$41,MATCH(C1749,Customers!$A$2:$A$41,0)))</f>
        <v>0.093</v>
      </c>
      <c r="I1749" s="16" t="n">
        <f aca="false">F1749*G1749</f>
        <v>209887.65</v>
      </c>
      <c r="J1749" s="16" t="n">
        <f aca="false">I1749*(1-H1749)</f>
        <v>190368.09855</v>
      </c>
      <c r="K1749" s="16" t="n">
        <f aca="false">J1749*INDEX(Customers!$G$2:$G$41,MATCH(C1749,Customers!$A$2:$A$41,0))</f>
        <v>1903.6809855</v>
      </c>
      <c r="L1749" s="16" t="n">
        <f aca="false">F1749*INDEX(Customers!$H$2:$H$41,MATCH(C1749,Customers!$A$2:$A$41,0))</f>
        <v>1725</v>
      </c>
      <c r="M1749" s="16" t="n">
        <f aca="false">J1749*INDEX(Customers!$I$2:$I$41,MATCH(C1749,Customers!$A$2:$A$41,0))/365*Assumptions!$B$6</f>
        <v>2503.4708850411</v>
      </c>
      <c r="N1749" s="16" t="n">
        <f aca="false">J1749-K1749-L1749-M1749</f>
        <v>184235.946679459</v>
      </c>
      <c r="O1749" s="16" t="n">
        <f aca="false">F1749*IF(A1749="2025",INDEX(Products!$D$2:$D$13,MATCH(D1749,Products!$A$2:$A$13,0)),INDEX(Products!$F$2:$F$13,MATCH(D1749,Products!$A$2:$A$13,0)))</f>
        <v>101701.17</v>
      </c>
      <c r="P1749" s="16" t="n">
        <f aca="false">N1749-O1749</f>
        <v>82534.7766794589</v>
      </c>
    </row>
    <row r="1750" customFormat="false" ht="15" hidden="false" customHeight="false" outlineLevel="0" collapsed="false">
      <c r="A1750" s="2" t="s">
        <v>119</v>
      </c>
      <c r="B1750" s="2" t="n">
        <v>9</v>
      </c>
      <c r="C1750" s="2" t="s">
        <v>87</v>
      </c>
      <c r="D1750" s="2" t="s">
        <v>44</v>
      </c>
      <c r="E1750" s="2" t="str">
        <f aca="false">INDEX(Products!$B$2:$B$13,MATCH(D1750,Products!$A$2:$A$13,0))</f>
        <v>Specialty</v>
      </c>
      <c r="F1750" s="15" t="n">
        <v>7.1</v>
      </c>
      <c r="G1750" s="16" t="n">
        <f aca="false">IF(A1750="2025",INDEX(Products!$C$2:$C$13,MATCH(D1750,Products!$A$2:$A$13,0)),INDEX(Products!$E$2:$E$13,MATCH(D1750,Products!$A$2:$A$13,0)))</f>
        <v>30418.5</v>
      </c>
      <c r="H1750" s="13" t="n">
        <f aca="false">IF(A1750="2025",INDEX(Customers!$D$2:$D$41,MATCH(C1750,Customers!$A$2:$A$41,0)),INDEX(Customers!$F$2:$F$41,MATCH(C1750,Customers!$A$2:$A$41,0)))</f>
        <v>0.093</v>
      </c>
      <c r="I1750" s="16" t="n">
        <f aca="false">F1750*G1750</f>
        <v>215971.35</v>
      </c>
      <c r="J1750" s="16" t="n">
        <f aca="false">I1750*(1-H1750)</f>
        <v>195886.01445</v>
      </c>
      <c r="K1750" s="16" t="n">
        <f aca="false">J1750*INDEX(Customers!$G$2:$G$41,MATCH(C1750,Customers!$A$2:$A$41,0))</f>
        <v>1958.8601445</v>
      </c>
      <c r="L1750" s="16" t="n">
        <f aca="false">F1750*INDEX(Customers!$H$2:$H$41,MATCH(C1750,Customers!$A$2:$A$41,0))</f>
        <v>1775</v>
      </c>
      <c r="M1750" s="16" t="n">
        <f aca="false">J1750*INDEX(Customers!$I$2:$I$41,MATCH(C1750,Customers!$A$2:$A$41,0))/365*Assumptions!$B$6</f>
        <v>2576.03525852055</v>
      </c>
      <c r="N1750" s="16" t="n">
        <f aca="false">J1750-K1750-L1750-M1750</f>
        <v>189576.119046979</v>
      </c>
      <c r="O1750" s="16" t="n">
        <f aca="false">F1750*IF(A1750="2025",INDEX(Products!$D$2:$D$13,MATCH(D1750,Products!$A$2:$A$13,0)),INDEX(Products!$F$2:$F$13,MATCH(D1750,Products!$A$2:$A$13,0)))</f>
        <v>104649.03</v>
      </c>
      <c r="P1750" s="16" t="n">
        <f aca="false">N1750-O1750</f>
        <v>84927.0890469794</v>
      </c>
    </row>
    <row r="1751" customFormat="false" ht="15" hidden="false" customHeight="false" outlineLevel="0" collapsed="false">
      <c r="A1751" s="2" t="s">
        <v>119</v>
      </c>
      <c r="B1751" s="2" t="n">
        <v>10</v>
      </c>
      <c r="C1751" s="2" t="s">
        <v>87</v>
      </c>
      <c r="D1751" s="2" t="s">
        <v>44</v>
      </c>
      <c r="E1751" s="2" t="str">
        <f aca="false">INDEX(Products!$B$2:$B$13,MATCH(D1751,Products!$A$2:$A$13,0))</f>
        <v>Specialty</v>
      </c>
      <c r="F1751" s="15" t="n">
        <v>8.1</v>
      </c>
      <c r="G1751" s="16" t="n">
        <f aca="false">IF(A1751="2025",INDEX(Products!$C$2:$C$13,MATCH(D1751,Products!$A$2:$A$13,0)),INDEX(Products!$E$2:$E$13,MATCH(D1751,Products!$A$2:$A$13,0)))</f>
        <v>30418.5</v>
      </c>
      <c r="H1751" s="13" t="n">
        <f aca="false">IF(A1751="2025",INDEX(Customers!$D$2:$D$41,MATCH(C1751,Customers!$A$2:$A$41,0)),INDEX(Customers!$F$2:$F$41,MATCH(C1751,Customers!$A$2:$A$41,0)))</f>
        <v>0.093</v>
      </c>
      <c r="I1751" s="16" t="n">
        <f aca="false">F1751*G1751</f>
        <v>246389.85</v>
      </c>
      <c r="J1751" s="16" t="n">
        <f aca="false">I1751*(1-H1751)</f>
        <v>223475.59395</v>
      </c>
      <c r="K1751" s="16" t="n">
        <f aca="false">J1751*INDEX(Customers!$G$2:$G$41,MATCH(C1751,Customers!$A$2:$A$41,0))</f>
        <v>2234.7559395</v>
      </c>
      <c r="L1751" s="16" t="n">
        <f aca="false">F1751*INDEX(Customers!$H$2:$H$41,MATCH(C1751,Customers!$A$2:$A$41,0))</f>
        <v>2025</v>
      </c>
      <c r="M1751" s="16" t="n">
        <f aca="false">J1751*INDEX(Customers!$I$2:$I$41,MATCH(C1751,Customers!$A$2:$A$41,0))/365*Assumptions!$B$6</f>
        <v>2938.85712591781</v>
      </c>
      <c r="N1751" s="16" t="n">
        <f aca="false">J1751-K1751-L1751-M1751</f>
        <v>216276.980884582</v>
      </c>
      <c r="O1751" s="16" t="n">
        <f aca="false">F1751*IF(A1751="2025",INDEX(Products!$D$2:$D$13,MATCH(D1751,Products!$A$2:$A$13,0)),INDEX(Products!$F$2:$F$13,MATCH(D1751,Products!$A$2:$A$13,0)))</f>
        <v>119388.33</v>
      </c>
      <c r="P1751" s="16" t="n">
        <f aca="false">N1751-O1751</f>
        <v>96888.6508845822</v>
      </c>
    </row>
    <row r="1752" customFormat="false" ht="15" hidden="false" customHeight="false" outlineLevel="0" collapsed="false">
      <c r="A1752" s="2" t="s">
        <v>119</v>
      </c>
      <c r="B1752" s="2" t="n">
        <v>11</v>
      </c>
      <c r="C1752" s="2" t="s">
        <v>87</v>
      </c>
      <c r="D1752" s="2" t="s">
        <v>44</v>
      </c>
      <c r="E1752" s="2" t="str">
        <f aca="false">INDEX(Products!$B$2:$B$13,MATCH(D1752,Products!$A$2:$A$13,0))</f>
        <v>Specialty</v>
      </c>
      <c r="F1752" s="15" t="n">
        <v>7.6</v>
      </c>
      <c r="G1752" s="16" t="n">
        <f aca="false">IF(A1752="2025",INDEX(Products!$C$2:$C$13,MATCH(D1752,Products!$A$2:$A$13,0)),INDEX(Products!$E$2:$E$13,MATCH(D1752,Products!$A$2:$A$13,0)))</f>
        <v>30418.5</v>
      </c>
      <c r="H1752" s="13" t="n">
        <f aca="false">IF(A1752="2025",INDEX(Customers!$D$2:$D$41,MATCH(C1752,Customers!$A$2:$A$41,0)),INDEX(Customers!$F$2:$F$41,MATCH(C1752,Customers!$A$2:$A$41,0)))</f>
        <v>0.093</v>
      </c>
      <c r="I1752" s="16" t="n">
        <f aca="false">F1752*G1752</f>
        <v>231180.6</v>
      </c>
      <c r="J1752" s="16" t="n">
        <f aca="false">I1752*(1-H1752)</f>
        <v>209680.8042</v>
      </c>
      <c r="K1752" s="16" t="n">
        <f aca="false">J1752*INDEX(Customers!$G$2:$G$41,MATCH(C1752,Customers!$A$2:$A$41,0))</f>
        <v>2096.808042</v>
      </c>
      <c r="L1752" s="16" t="n">
        <f aca="false">F1752*INDEX(Customers!$H$2:$H$41,MATCH(C1752,Customers!$A$2:$A$41,0))</f>
        <v>1900</v>
      </c>
      <c r="M1752" s="16" t="n">
        <f aca="false">J1752*INDEX(Customers!$I$2:$I$41,MATCH(C1752,Customers!$A$2:$A$41,0))/365*Assumptions!$B$6</f>
        <v>2757.44619221918</v>
      </c>
      <c r="N1752" s="16" t="n">
        <f aca="false">J1752-K1752-L1752-M1752</f>
        <v>202926.549965781</v>
      </c>
      <c r="O1752" s="16" t="n">
        <f aca="false">F1752*IF(A1752="2025",INDEX(Products!$D$2:$D$13,MATCH(D1752,Products!$A$2:$A$13,0)),INDEX(Products!$F$2:$F$13,MATCH(D1752,Products!$A$2:$A$13,0)))</f>
        <v>112018.68</v>
      </c>
      <c r="P1752" s="16" t="n">
        <f aca="false">N1752-O1752</f>
        <v>90907.8699657808</v>
      </c>
    </row>
    <row r="1753" customFormat="false" ht="15" hidden="false" customHeight="false" outlineLevel="0" collapsed="false">
      <c r="A1753" s="2" t="s">
        <v>119</v>
      </c>
      <c r="B1753" s="2" t="n">
        <v>12</v>
      </c>
      <c r="C1753" s="2" t="s">
        <v>87</v>
      </c>
      <c r="D1753" s="2" t="s">
        <v>44</v>
      </c>
      <c r="E1753" s="2" t="str">
        <f aca="false">INDEX(Products!$B$2:$B$13,MATCH(D1753,Products!$A$2:$A$13,0))</f>
        <v>Specialty</v>
      </c>
      <c r="F1753" s="15" t="n">
        <v>7.2</v>
      </c>
      <c r="G1753" s="16" t="n">
        <f aca="false">IF(A1753="2025",INDEX(Products!$C$2:$C$13,MATCH(D1753,Products!$A$2:$A$13,0)),INDEX(Products!$E$2:$E$13,MATCH(D1753,Products!$A$2:$A$13,0)))</f>
        <v>30418.5</v>
      </c>
      <c r="H1753" s="13" t="n">
        <f aca="false">IF(A1753="2025",INDEX(Customers!$D$2:$D$41,MATCH(C1753,Customers!$A$2:$A$41,0)),INDEX(Customers!$F$2:$F$41,MATCH(C1753,Customers!$A$2:$A$41,0)))</f>
        <v>0.093</v>
      </c>
      <c r="I1753" s="16" t="n">
        <f aca="false">F1753*G1753</f>
        <v>219013.2</v>
      </c>
      <c r="J1753" s="16" t="n">
        <f aca="false">I1753*(1-H1753)</f>
        <v>198644.9724</v>
      </c>
      <c r="K1753" s="16" t="n">
        <f aca="false">J1753*INDEX(Customers!$G$2:$G$41,MATCH(C1753,Customers!$A$2:$A$41,0))</f>
        <v>1986.449724</v>
      </c>
      <c r="L1753" s="16" t="n">
        <f aca="false">F1753*INDEX(Customers!$H$2:$H$41,MATCH(C1753,Customers!$A$2:$A$41,0))</f>
        <v>1800</v>
      </c>
      <c r="M1753" s="16" t="n">
        <f aca="false">J1753*INDEX(Customers!$I$2:$I$41,MATCH(C1753,Customers!$A$2:$A$41,0))/365*Assumptions!$B$6</f>
        <v>2612.31744526027</v>
      </c>
      <c r="N1753" s="16" t="n">
        <f aca="false">J1753-K1753-L1753-M1753</f>
        <v>192246.20523074</v>
      </c>
      <c r="O1753" s="16" t="n">
        <f aca="false">F1753*IF(A1753="2025",INDEX(Products!$D$2:$D$13,MATCH(D1753,Products!$A$2:$A$13,0)),INDEX(Products!$F$2:$F$13,MATCH(D1753,Products!$A$2:$A$13,0)))</f>
        <v>106122.96</v>
      </c>
      <c r="P1753" s="16" t="n">
        <f aca="false">N1753-O1753</f>
        <v>86123.2452307398</v>
      </c>
    </row>
    <row r="1754" customFormat="false" ht="15" hidden="false" customHeight="false" outlineLevel="0" collapsed="false">
      <c r="A1754" s="2" t="s">
        <v>118</v>
      </c>
      <c r="B1754" s="2" t="n">
        <v>1</v>
      </c>
      <c r="C1754" s="2" t="s">
        <v>88</v>
      </c>
      <c r="D1754" s="2" t="s">
        <v>42</v>
      </c>
      <c r="E1754" s="2" t="str">
        <f aca="false">INDEX(Products!$B$2:$B$13,MATCH(D1754,Products!$A$2:$A$13,0))</f>
        <v>Hydroprocessing</v>
      </c>
      <c r="F1754" s="15" t="n">
        <v>3.3</v>
      </c>
      <c r="G1754" s="16" t="n">
        <f aca="false">IF(A1754="2025",INDEX(Products!$C$2:$C$13,MATCH(D1754,Products!$A$2:$A$13,0)),INDEX(Products!$E$2:$E$13,MATCH(D1754,Products!$A$2:$A$13,0)))</f>
        <v>12450</v>
      </c>
      <c r="H1754" s="13" t="n">
        <f aca="false">IF(A1754="2025",INDEX(Customers!$D$2:$D$41,MATCH(C1754,Customers!$A$2:$A$41,0)),INDEX(Customers!$F$2:$F$41,MATCH(C1754,Customers!$A$2:$A$41,0)))</f>
        <v>0.048</v>
      </c>
      <c r="I1754" s="16" t="n">
        <f aca="false">F1754*G1754</f>
        <v>41085</v>
      </c>
      <c r="J1754" s="16" t="n">
        <f aca="false">I1754*(1-H1754)</f>
        <v>39112.92</v>
      </c>
      <c r="K1754" s="16" t="n">
        <f aca="false">J1754*INDEX(Customers!$G$2:$G$41,MATCH(C1754,Customers!$A$2:$A$41,0))</f>
        <v>1173.3876</v>
      </c>
      <c r="L1754" s="16" t="n">
        <f aca="false">F1754*INDEX(Customers!$H$2:$H$41,MATCH(C1754,Customers!$A$2:$A$41,0))</f>
        <v>297</v>
      </c>
      <c r="M1754" s="16" t="n">
        <f aca="false">J1754*INDEX(Customers!$I$2:$I$41,MATCH(C1754,Customers!$A$2:$A$41,0))/365*Assumptions!$B$6</f>
        <v>257.180843835616</v>
      </c>
      <c r="N1754" s="16" t="n">
        <f aca="false">J1754-K1754-L1754-M1754</f>
        <v>37385.3515561644</v>
      </c>
      <c r="O1754" s="16" t="n">
        <f aca="false">F1754*IF(A1754="2025",INDEX(Products!$D$2:$D$13,MATCH(D1754,Products!$A$2:$A$13,0)),INDEX(Products!$F$2:$F$13,MATCH(D1754,Products!$A$2:$A$13,0)))</f>
        <v>25674</v>
      </c>
      <c r="P1754" s="16" t="n">
        <f aca="false">N1754-O1754</f>
        <v>11711.3515561644</v>
      </c>
    </row>
    <row r="1755" customFormat="false" ht="15" hidden="false" customHeight="false" outlineLevel="0" collapsed="false">
      <c r="A1755" s="2" t="s">
        <v>118</v>
      </c>
      <c r="B1755" s="2" t="n">
        <v>2</v>
      </c>
      <c r="C1755" s="2" t="s">
        <v>88</v>
      </c>
      <c r="D1755" s="2" t="s">
        <v>42</v>
      </c>
      <c r="E1755" s="2" t="str">
        <f aca="false">INDEX(Products!$B$2:$B$13,MATCH(D1755,Products!$A$2:$A$13,0))</f>
        <v>Hydroprocessing</v>
      </c>
      <c r="F1755" s="15" t="n">
        <v>2.5</v>
      </c>
      <c r="G1755" s="16" t="n">
        <f aca="false">IF(A1755="2025",INDEX(Products!$C$2:$C$13,MATCH(D1755,Products!$A$2:$A$13,0)),INDEX(Products!$E$2:$E$13,MATCH(D1755,Products!$A$2:$A$13,0)))</f>
        <v>12450</v>
      </c>
      <c r="H1755" s="13" t="n">
        <f aca="false">IF(A1755="2025",INDEX(Customers!$D$2:$D$41,MATCH(C1755,Customers!$A$2:$A$41,0)),INDEX(Customers!$F$2:$F$41,MATCH(C1755,Customers!$A$2:$A$41,0)))</f>
        <v>0.048</v>
      </c>
      <c r="I1755" s="16" t="n">
        <f aca="false">F1755*G1755</f>
        <v>31125</v>
      </c>
      <c r="J1755" s="16" t="n">
        <f aca="false">I1755*(1-H1755)</f>
        <v>29631</v>
      </c>
      <c r="K1755" s="16" t="n">
        <f aca="false">J1755*INDEX(Customers!$G$2:$G$41,MATCH(C1755,Customers!$A$2:$A$41,0))</f>
        <v>888.93</v>
      </c>
      <c r="L1755" s="16" t="n">
        <f aca="false">F1755*INDEX(Customers!$H$2:$H$41,MATCH(C1755,Customers!$A$2:$A$41,0))</f>
        <v>225</v>
      </c>
      <c r="M1755" s="16" t="n">
        <f aca="false">J1755*INDEX(Customers!$I$2:$I$41,MATCH(C1755,Customers!$A$2:$A$41,0))/365*Assumptions!$B$6</f>
        <v>194.83397260274</v>
      </c>
      <c r="N1755" s="16" t="n">
        <f aca="false">J1755-K1755-L1755-M1755</f>
        <v>28322.2360273973</v>
      </c>
      <c r="O1755" s="16" t="n">
        <f aca="false">F1755*IF(A1755="2025",INDEX(Products!$D$2:$D$13,MATCH(D1755,Products!$A$2:$A$13,0)),INDEX(Products!$F$2:$F$13,MATCH(D1755,Products!$A$2:$A$13,0)))</f>
        <v>19450</v>
      </c>
      <c r="P1755" s="16" t="n">
        <f aca="false">N1755-O1755</f>
        <v>8872.23602739726</v>
      </c>
    </row>
    <row r="1756" customFormat="false" ht="15" hidden="false" customHeight="false" outlineLevel="0" collapsed="false">
      <c r="A1756" s="2" t="s">
        <v>118</v>
      </c>
      <c r="B1756" s="2" t="n">
        <v>3</v>
      </c>
      <c r="C1756" s="2" t="s">
        <v>88</v>
      </c>
      <c r="D1756" s="2" t="s">
        <v>42</v>
      </c>
      <c r="E1756" s="2" t="str">
        <f aca="false">INDEX(Products!$B$2:$B$13,MATCH(D1756,Products!$A$2:$A$13,0))</f>
        <v>Hydroprocessing</v>
      </c>
      <c r="F1756" s="15" t="n">
        <v>2.8</v>
      </c>
      <c r="G1756" s="16" t="n">
        <f aca="false">IF(A1756="2025",INDEX(Products!$C$2:$C$13,MATCH(D1756,Products!$A$2:$A$13,0)),INDEX(Products!$E$2:$E$13,MATCH(D1756,Products!$A$2:$A$13,0)))</f>
        <v>12450</v>
      </c>
      <c r="H1756" s="13" t="n">
        <f aca="false">IF(A1756="2025",INDEX(Customers!$D$2:$D$41,MATCH(C1756,Customers!$A$2:$A$41,0)),INDEX(Customers!$F$2:$F$41,MATCH(C1756,Customers!$A$2:$A$41,0)))</f>
        <v>0.048</v>
      </c>
      <c r="I1756" s="16" t="n">
        <f aca="false">F1756*G1756</f>
        <v>34860</v>
      </c>
      <c r="J1756" s="16" t="n">
        <f aca="false">I1756*(1-H1756)</f>
        <v>33186.72</v>
      </c>
      <c r="K1756" s="16" t="n">
        <f aca="false">J1756*INDEX(Customers!$G$2:$G$41,MATCH(C1756,Customers!$A$2:$A$41,0))</f>
        <v>995.6016</v>
      </c>
      <c r="L1756" s="16" t="n">
        <f aca="false">F1756*INDEX(Customers!$H$2:$H$41,MATCH(C1756,Customers!$A$2:$A$41,0))</f>
        <v>252</v>
      </c>
      <c r="M1756" s="16" t="n">
        <f aca="false">J1756*INDEX(Customers!$I$2:$I$41,MATCH(C1756,Customers!$A$2:$A$41,0))/365*Assumptions!$B$6</f>
        <v>218.214049315069</v>
      </c>
      <c r="N1756" s="16" t="n">
        <f aca="false">J1756-K1756-L1756-M1756</f>
        <v>31720.9043506849</v>
      </c>
      <c r="O1756" s="16" t="n">
        <f aca="false">F1756*IF(A1756="2025",INDEX(Products!$D$2:$D$13,MATCH(D1756,Products!$A$2:$A$13,0)),INDEX(Products!$F$2:$F$13,MATCH(D1756,Products!$A$2:$A$13,0)))</f>
        <v>21784</v>
      </c>
      <c r="P1756" s="16" t="n">
        <f aca="false">N1756-O1756</f>
        <v>9936.90435068493</v>
      </c>
    </row>
    <row r="1757" customFormat="false" ht="15" hidden="false" customHeight="false" outlineLevel="0" collapsed="false">
      <c r="A1757" s="2" t="s">
        <v>118</v>
      </c>
      <c r="B1757" s="2" t="n">
        <v>4</v>
      </c>
      <c r="C1757" s="2" t="s">
        <v>88</v>
      </c>
      <c r="D1757" s="2" t="s">
        <v>42</v>
      </c>
      <c r="E1757" s="2" t="str">
        <f aca="false">INDEX(Products!$B$2:$B$13,MATCH(D1757,Products!$A$2:$A$13,0))</f>
        <v>Hydroprocessing</v>
      </c>
      <c r="F1757" s="15" t="n">
        <v>3.3</v>
      </c>
      <c r="G1757" s="16" t="n">
        <f aca="false">IF(A1757="2025",INDEX(Products!$C$2:$C$13,MATCH(D1757,Products!$A$2:$A$13,0)),INDEX(Products!$E$2:$E$13,MATCH(D1757,Products!$A$2:$A$13,0)))</f>
        <v>12450</v>
      </c>
      <c r="H1757" s="13" t="n">
        <f aca="false">IF(A1757="2025",INDEX(Customers!$D$2:$D$41,MATCH(C1757,Customers!$A$2:$A$41,0)),INDEX(Customers!$F$2:$F$41,MATCH(C1757,Customers!$A$2:$A$41,0)))</f>
        <v>0.048</v>
      </c>
      <c r="I1757" s="16" t="n">
        <f aca="false">F1757*G1757</f>
        <v>41085</v>
      </c>
      <c r="J1757" s="16" t="n">
        <f aca="false">I1757*(1-H1757)</f>
        <v>39112.92</v>
      </c>
      <c r="K1757" s="16" t="n">
        <f aca="false">J1757*INDEX(Customers!$G$2:$G$41,MATCH(C1757,Customers!$A$2:$A$41,0))</f>
        <v>1173.3876</v>
      </c>
      <c r="L1757" s="16" t="n">
        <f aca="false">F1757*INDEX(Customers!$H$2:$H$41,MATCH(C1757,Customers!$A$2:$A$41,0))</f>
        <v>297</v>
      </c>
      <c r="M1757" s="16" t="n">
        <f aca="false">J1757*INDEX(Customers!$I$2:$I$41,MATCH(C1757,Customers!$A$2:$A$41,0))/365*Assumptions!$B$6</f>
        <v>257.180843835616</v>
      </c>
      <c r="N1757" s="16" t="n">
        <f aca="false">J1757-K1757-L1757-M1757</f>
        <v>37385.3515561644</v>
      </c>
      <c r="O1757" s="16" t="n">
        <f aca="false">F1757*IF(A1757="2025",INDEX(Products!$D$2:$D$13,MATCH(D1757,Products!$A$2:$A$13,0)),INDEX(Products!$F$2:$F$13,MATCH(D1757,Products!$A$2:$A$13,0)))</f>
        <v>25674</v>
      </c>
      <c r="P1757" s="16" t="n">
        <f aca="false">N1757-O1757</f>
        <v>11711.3515561644</v>
      </c>
    </row>
    <row r="1758" customFormat="false" ht="15" hidden="false" customHeight="false" outlineLevel="0" collapsed="false">
      <c r="A1758" s="2" t="s">
        <v>118</v>
      </c>
      <c r="B1758" s="2" t="n">
        <v>5</v>
      </c>
      <c r="C1758" s="2" t="s">
        <v>88</v>
      </c>
      <c r="D1758" s="2" t="s">
        <v>42</v>
      </c>
      <c r="E1758" s="2" t="str">
        <f aca="false">INDEX(Products!$B$2:$B$13,MATCH(D1758,Products!$A$2:$A$13,0))</f>
        <v>Hydroprocessing</v>
      </c>
      <c r="F1758" s="15" t="n">
        <v>3.6</v>
      </c>
      <c r="G1758" s="16" t="n">
        <f aca="false">IF(A1758="2025",INDEX(Products!$C$2:$C$13,MATCH(D1758,Products!$A$2:$A$13,0)),INDEX(Products!$E$2:$E$13,MATCH(D1758,Products!$A$2:$A$13,0)))</f>
        <v>12450</v>
      </c>
      <c r="H1758" s="13" t="n">
        <f aca="false">IF(A1758="2025",INDEX(Customers!$D$2:$D$41,MATCH(C1758,Customers!$A$2:$A$41,0)),INDEX(Customers!$F$2:$F$41,MATCH(C1758,Customers!$A$2:$A$41,0)))</f>
        <v>0.048</v>
      </c>
      <c r="I1758" s="16" t="n">
        <f aca="false">F1758*G1758</f>
        <v>44820</v>
      </c>
      <c r="J1758" s="16" t="n">
        <f aca="false">I1758*(1-H1758)</f>
        <v>42668.64</v>
      </c>
      <c r="K1758" s="16" t="n">
        <f aca="false">J1758*INDEX(Customers!$G$2:$G$41,MATCH(C1758,Customers!$A$2:$A$41,0))</f>
        <v>1280.0592</v>
      </c>
      <c r="L1758" s="16" t="n">
        <f aca="false">F1758*INDEX(Customers!$H$2:$H$41,MATCH(C1758,Customers!$A$2:$A$41,0))</f>
        <v>324</v>
      </c>
      <c r="M1758" s="16" t="n">
        <f aca="false">J1758*INDEX(Customers!$I$2:$I$41,MATCH(C1758,Customers!$A$2:$A$41,0))/365*Assumptions!$B$6</f>
        <v>280.560920547945</v>
      </c>
      <c r="N1758" s="16" t="n">
        <f aca="false">J1758-K1758-L1758-M1758</f>
        <v>40784.0198794521</v>
      </c>
      <c r="O1758" s="16" t="n">
        <f aca="false">F1758*IF(A1758="2025",INDEX(Products!$D$2:$D$13,MATCH(D1758,Products!$A$2:$A$13,0)),INDEX(Products!$F$2:$F$13,MATCH(D1758,Products!$A$2:$A$13,0)))</f>
        <v>28008</v>
      </c>
      <c r="P1758" s="16" t="n">
        <f aca="false">N1758-O1758</f>
        <v>12776.019879452</v>
      </c>
    </row>
    <row r="1759" customFormat="false" ht="15" hidden="false" customHeight="false" outlineLevel="0" collapsed="false">
      <c r="A1759" s="2" t="s">
        <v>118</v>
      </c>
      <c r="B1759" s="2" t="n">
        <v>6</v>
      </c>
      <c r="C1759" s="2" t="s">
        <v>88</v>
      </c>
      <c r="D1759" s="2" t="s">
        <v>42</v>
      </c>
      <c r="E1759" s="2" t="str">
        <f aca="false">INDEX(Products!$B$2:$B$13,MATCH(D1759,Products!$A$2:$A$13,0))</f>
        <v>Hydroprocessing</v>
      </c>
      <c r="F1759" s="15" t="n">
        <v>2.8</v>
      </c>
      <c r="G1759" s="16" t="n">
        <f aca="false">IF(A1759="2025",INDEX(Products!$C$2:$C$13,MATCH(D1759,Products!$A$2:$A$13,0)),INDEX(Products!$E$2:$E$13,MATCH(D1759,Products!$A$2:$A$13,0)))</f>
        <v>12450</v>
      </c>
      <c r="H1759" s="13" t="n">
        <f aca="false">IF(A1759="2025",INDEX(Customers!$D$2:$D$41,MATCH(C1759,Customers!$A$2:$A$41,0)),INDEX(Customers!$F$2:$F$41,MATCH(C1759,Customers!$A$2:$A$41,0)))</f>
        <v>0.048</v>
      </c>
      <c r="I1759" s="16" t="n">
        <f aca="false">F1759*G1759</f>
        <v>34860</v>
      </c>
      <c r="J1759" s="16" t="n">
        <f aca="false">I1759*(1-H1759)</f>
        <v>33186.72</v>
      </c>
      <c r="K1759" s="16" t="n">
        <f aca="false">J1759*INDEX(Customers!$G$2:$G$41,MATCH(C1759,Customers!$A$2:$A$41,0))</f>
        <v>995.6016</v>
      </c>
      <c r="L1759" s="16" t="n">
        <f aca="false">F1759*INDEX(Customers!$H$2:$H$41,MATCH(C1759,Customers!$A$2:$A$41,0))</f>
        <v>252</v>
      </c>
      <c r="M1759" s="16" t="n">
        <f aca="false">J1759*INDEX(Customers!$I$2:$I$41,MATCH(C1759,Customers!$A$2:$A$41,0))/365*Assumptions!$B$6</f>
        <v>218.214049315069</v>
      </c>
      <c r="N1759" s="16" t="n">
        <f aca="false">J1759-K1759-L1759-M1759</f>
        <v>31720.9043506849</v>
      </c>
      <c r="O1759" s="16" t="n">
        <f aca="false">F1759*IF(A1759="2025",INDEX(Products!$D$2:$D$13,MATCH(D1759,Products!$A$2:$A$13,0)),INDEX(Products!$F$2:$F$13,MATCH(D1759,Products!$A$2:$A$13,0)))</f>
        <v>21784</v>
      </c>
      <c r="P1759" s="16" t="n">
        <f aca="false">N1759-O1759</f>
        <v>9936.90435068493</v>
      </c>
    </row>
    <row r="1760" customFormat="false" ht="15" hidden="false" customHeight="false" outlineLevel="0" collapsed="false">
      <c r="A1760" s="2" t="s">
        <v>118</v>
      </c>
      <c r="B1760" s="2" t="n">
        <v>7</v>
      </c>
      <c r="C1760" s="2" t="s">
        <v>88</v>
      </c>
      <c r="D1760" s="2" t="s">
        <v>42</v>
      </c>
      <c r="E1760" s="2" t="str">
        <f aca="false">INDEX(Products!$B$2:$B$13,MATCH(D1760,Products!$A$2:$A$13,0))</f>
        <v>Hydroprocessing</v>
      </c>
      <c r="F1760" s="15" t="n">
        <v>2.6</v>
      </c>
      <c r="G1760" s="16" t="n">
        <f aca="false">IF(A1760="2025",INDEX(Products!$C$2:$C$13,MATCH(D1760,Products!$A$2:$A$13,0)),INDEX(Products!$E$2:$E$13,MATCH(D1760,Products!$A$2:$A$13,0)))</f>
        <v>12450</v>
      </c>
      <c r="H1760" s="13" t="n">
        <f aca="false">IF(A1760="2025",INDEX(Customers!$D$2:$D$41,MATCH(C1760,Customers!$A$2:$A$41,0)),INDEX(Customers!$F$2:$F$41,MATCH(C1760,Customers!$A$2:$A$41,0)))</f>
        <v>0.048</v>
      </c>
      <c r="I1760" s="16" t="n">
        <f aca="false">F1760*G1760</f>
        <v>32370</v>
      </c>
      <c r="J1760" s="16" t="n">
        <f aca="false">I1760*(1-H1760)</f>
        <v>30816.24</v>
      </c>
      <c r="K1760" s="16" t="n">
        <f aca="false">J1760*INDEX(Customers!$G$2:$G$41,MATCH(C1760,Customers!$A$2:$A$41,0))</f>
        <v>924.4872</v>
      </c>
      <c r="L1760" s="16" t="n">
        <f aca="false">F1760*INDEX(Customers!$H$2:$H$41,MATCH(C1760,Customers!$A$2:$A$41,0))</f>
        <v>234</v>
      </c>
      <c r="M1760" s="16" t="n">
        <f aca="false">J1760*INDEX(Customers!$I$2:$I$41,MATCH(C1760,Customers!$A$2:$A$41,0))/365*Assumptions!$B$6</f>
        <v>202.627331506849</v>
      </c>
      <c r="N1760" s="16" t="n">
        <f aca="false">J1760-K1760-L1760-M1760</f>
        <v>29455.1254684932</v>
      </c>
      <c r="O1760" s="16" t="n">
        <f aca="false">F1760*IF(A1760="2025",INDEX(Products!$D$2:$D$13,MATCH(D1760,Products!$A$2:$A$13,0)),INDEX(Products!$F$2:$F$13,MATCH(D1760,Products!$A$2:$A$13,0)))</f>
        <v>20228</v>
      </c>
      <c r="P1760" s="16" t="n">
        <f aca="false">N1760-O1760</f>
        <v>9227.12546849315</v>
      </c>
    </row>
    <row r="1761" customFormat="false" ht="15" hidden="false" customHeight="false" outlineLevel="0" collapsed="false">
      <c r="A1761" s="2" t="s">
        <v>118</v>
      </c>
      <c r="B1761" s="2" t="n">
        <v>8</v>
      </c>
      <c r="C1761" s="2" t="s">
        <v>88</v>
      </c>
      <c r="D1761" s="2" t="s">
        <v>42</v>
      </c>
      <c r="E1761" s="2" t="str">
        <f aca="false">INDEX(Products!$B$2:$B$13,MATCH(D1761,Products!$A$2:$A$13,0))</f>
        <v>Hydroprocessing</v>
      </c>
      <c r="F1761" s="15" t="n">
        <v>3.1</v>
      </c>
      <c r="G1761" s="16" t="n">
        <f aca="false">IF(A1761="2025",INDEX(Products!$C$2:$C$13,MATCH(D1761,Products!$A$2:$A$13,0)),INDEX(Products!$E$2:$E$13,MATCH(D1761,Products!$A$2:$A$13,0)))</f>
        <v>12450</v>
      </c>
      <c r="H1761" s="13" t="n">
        <f aca="false">IF(A1761="2025",INDEX(Customers!$D$2:$D$41,MATCH(C1761,Customers!$A$2:$A$41,0)),INDEX(Customers!$F$2:$F$41,MATCH(C1761,Customers!$A$2:$A$41,0)))</f>
        <v>0.048</v>
      </c>
      <c r="I1761" s="16" t="n">
        <f aca="false">F1761*G1761</f>
        <v>38595</v>
      </c>
      <c r="J1761" s="16" t="n">
        <f aca="false">I1761*(1-H1761)</f>
        <v>36742.44</v>
      </c>
      <c r="K1761" s="16" t="n">
        <f aca="false">J1761*INDEX(Customers!$G$2:$G$41,MATCH(C1761,Customers!$A$2:$A$41,0))</f>
        <v>1102.2732</v>
      </c>
      <c r="L1761" s="16" t="n">
        <f aca="false">F1761*INDEX(Customers!$H$2:$H$41,MATCH(C1761,Customers!$A$2:$A$41,0))</f>
        <v>279</v>
      </c>
      <c r="M1761" s="16" t="n">
        <f aca="false">J1761*INDEX(Customers!$I$2:$I$41,MATCH(C1761,Customers!$A$2:$A$41,0))/365*Assumptions!$B$6</f>
        <v>241.594126027397</v>
      </c>
      <c r="N1761" s="16" t="n">
        <f aca="false">J1761-K1761-L1761-M1761</f>
        <v>35119.5726739726</v>
      </c>
      <c r="O1761" s="16" t="n">
        <f aca="false">F1761*IF(A1761="2025",INDEX(Products!$D$2:$D$13,MATCH(D1761,Products!$A$2:$A$13,0)),INDEX(Products!$F$2:$F$13,MATCH(D1761,Products!$A$2:$A$13,0)))</f>
        <v>24118</v>
      </c>
      <c r="P1761" s="16" t="n">
        <f aca="false">N1761-O1761</f>
        <v>11001.5726739726</v>
      </c>
    </row>
    <row r="1762" customFormat="false" ht="15" hidden="false" customHeight="false" outlineLevel="0" collapsed="false">
      <c r="A1762" s="2" t="s">
        <v>118</v>
      </c>
      <c r="B1762" s="2" t="n">
        <v>9</v>
      </c>
      <c r="C1762" s="2" t="s">
        <v>88</v>
      </c>
      <c r="D1762" s="2" t="s">
        <v>42</v>
      </c>
      <c r="E1762" s="2" t="str">
        <f aca="false">INDEX(Products!$B$2:$B$13,MATCH(D1762,Products!$A$2:$A$13,0))</f>
        <v>Hydroprocessing</v>
      </c>
      <c r="F1762" s="15" t="n">
        <v>2.4</v>
      </c>
      <c r="G1762" s="16" t="n">
        <f aca="false">IF(A1762="2025",INDEX(Products!$C$2:$C$13,MATCH(D1762,Products!$A$2:$A$13,0)),INDEX(Products!$E$2:$E$13,MATCH(D1762,Products!$A$2:$A$13,0)))</f>
        <v>12450</v>
      </c>
      <c r="H1762" s="13" t="n">
        <f aca="false">IF(A1762="2025",INDEX(Customers!$D$2:$D$41,MATCH(C1762,Customers!$A$2:$A$41,0)),INDEX(Customers!$F$2:$F$41,MATCH(C1762,Customers!$A$2:$A$41,0)))</f>
        <v>0.048</v>
      </c>
      <c r="I1762" s="16" t="n">
        <f aca="false">F1762*G1762</f>
        <v>29880</v>
      </c>
      <c r="J1762" s="16" t="n">
        <f aca="false">I1762*(1-H1762)</f>
        <v>28445.76</v>
      </c>
      <c r="K1762" s="16" t="n">
        <f aca="false">J1762*INDEX(Customers!$G$2:$G$41,MATCH(C1762,Customers!$A$2:$A$41,0))</f>
        <v>853.3728</v>
      </c>
      <c r="L1762" s="16" t="n">
        <f aca="false">F1762*INDEX(Customers!$H$2:$H$41,MATCH(C1762,Customers!$A$2:$A$41,0))</f>
        <v>216</v>
      </c>
      <c r="M1762" s="16" t="n">
        <f aca="false">J1762*INDEX(Customers!$I$2:$I$41,MATCH(C1762,Customers!$A$2:$A$41,0))/365*Assumptions!$B$6</f>
        <v>187.04061369863</v>
      </c>
      <c r="N1762" s="16" t="n">
        <f aca="false">J1762-K1762-L1762-M1762</f>
        <v>27189.3465863014</v>
      </c>
      <c r="O1762" s="16" t="n">
        <f aca="false">F1762*IF(A1762="2025",INDEX(Products!$D$2:$D$13,MATCH(D1762,Products!$A$2:$A$13,0)),INDEX(Products!$F$2:$F$13,MATCH(D1762,Products!$A$2:$A$13,0)))</f>
        <v>18672</v>
      </c>
      <c r="P1762" s="16" t="n">
        <f aca="false">N1762-O1762</f>
        <v>8517.34658630137</v>
      </c>
    </row>
    <row r="1763" customFormat="false" ht="15" hidden="false" customHeight="false" outlineLevel="0" collapsed="false">
      <c r="A1763" s="2" t="s">
        <v>118</v>
      </c>
      <c r="B1763" s="2" t="n">
        <v>10</v>
      </c>
      <c r="C1763" s="2" t="s">
        <v>88</v>
      </c>
      <c r="D1763" s="2" t="s">
        <v>42</v>
      </c>
      <c r="E1763" s="2" t="str">
        <f aca="false">INDEX(Products!$B$2:$B$13,MATCH(D1763,Products!$A$2:$A$13,0))</f>
        <v>Hydroprocessing</v>
      </c>
      <c r="F1763" s="15" t="n">
        <v>2.4</v>
      </c>
      <c r="G1763" s="16" t="n">
        <f aca="false">IF(A1763="2025",INDEX(Products!$C$2:$C$13,MATCH(D1763,Products!$A$2:$A$13,0)),INDEX(Products!$E$2:$E$13,MATCH(D1763,Products!$A$2:$A$13,0)))</f>
        <v>12450</v>
      </c>
      <c r="H1763" s="13" t="n">
        <f aca="false">IF(A1763="2025",INDEX(Customers!$D$2:$D$41,MATCH(C1763,Customers!$A$2:$A$41,0)),INDEX(Customers!$F$2:$F$41,MATCH(C1763,Customers!$A$2:$A$41,0)))</f>
        <v>0.048</v>
      </c>
      <c r="I1763" s="16" t="n">
        <f aca="false">F1763*G1763</f>
        <v>29880</v>
      </c>
      <c r="J1763" s="16" t="n">
        <f aca="false">I1763*(1-H1763)</f>
        <v>28445.76</v>
      </c>
      <c r="K1763" s="16" t="n">
        <f aca="false">J1763*INDEX(Customers!$G$2:$G$41,MATCH(C1763,Customers!$A$2:$A$41,0))</f>
        <v>853.3728</v>
      </c>
      <c r="L1763" s="16" t="n">
        <f aca="false">F1763*INDEX(Customers!$H$2:$H$41,MATCH(C1763,Customers!$A$2:$A$41,0))</f>
        <v>216</v>
      </c>
      <c r="M1763" s="16" t="n">
        <f aca="false">J1763*INDEX(Customers!$I$2:$I$41,MATCH(C1763,Customers!$A$2:$A$41,0))/365*Assumptions!$B$6</f>
        <v>187.04061369863</v>
      </c>
      <c r="N1763" s="16" t="n">
        <f aca="false">J1763-K1763-L1763-M1763</f>
        <v>27189.3465863014</v>
      </c>
      <c r="O1763" s="16" t="n">
        <f aca="false">F1763*IF(A1763="2025",INDEX(Products!$D$2:$D$13,MATCH(D1763,Products!$A$2:$A$13,0)),INDEX(Products!$F$2:$F$13,MATCH(D1763,Products!$A$2:$A$13,0)))</f>
        <v>18672</v>
      </c>
      <c r="P1763" s="16" t="n">
        <f aca="false">N1763-O1763</f>
        <v>8517.34658630137</v>
      </c>
    </row>
    <row r="1764" customFormat="false" ht="15" hidden="false" customHeight="false" outlineLevel="0" collapsed="false">
      <c r="A1764" s="2" t="s">
        <v>118</v>
      </c>
      <c r="B1764" s="2" t="n">
        <v>11</v>
      </c>
      <c r="C1764" s="2" t="s">
        <v>88</v>
      </c>
      <c r="D1764" s="2" t="s">
        <v>42</v>
      </c>
      <c r="E1764" s="2" t="str">
        <f aca="false">INDEX(Products!$B$2:$B$13,MATCH(D1764,Products!$A$2:$A$13,0))</f>
        <v>Hydroprocessing</v>
      </c>
      <c r="F1764" s="15" t="n">
        <v>2.3</v>
      </c>
      <c r="G1764" s="16" t="n">
        <f aca="false">IF(A1764="2025",INDEX(Products!$C$2:$C$13,MATCH(D1764,Products!$A$2:$A$13,0)),INDEX(Products!$E$2:$E$13,MATCH(D1764,Products!$A$2:$A$13,0)))</f>
        <v>12450</v>
      </c>
      <c r="H1764" s="13" t="n">
        <f aca="false">IF(A1764="2025",INDEX(Customers!$D$2:$D$41,MATCH(C1764,Customers!$A$2:$A$41,0)),INDEX(Customers!$F$2:$F$41,MATCH(C1764,Customers!$A$2:$A$41,0)))</f>
        <v>0.048</v>
      </c>
      <c r="I1764" s="16" t="n">
        <f aca="false">F1764*G1764</f>
        <v>28635</v>
      </c>
      <c r="J1764" s="16" t="n">
        <f aca="false">I1764*(1-H1764)</f>
        <v>27260.52</v>
      </c>
      <c r="K1764" s="16" t="n">
        <f aca="false">J1764*INDEX(Customers!$G$2:$G$41,MATCH(C1764,Customers!$A$2:$A$41,0))</f>
        <v>817.8156</v>
      </c>
      <c r="L1764" s="16" t="n">
        <f aca="false">F1764*INDEX(Customers!$H$2:$H$41,MATCH(C1764,Customers!$A$2:$A$41,0))</f>
        <v>207</v>
      </c>
      <c r="M1764" s="16" t="n">
        <f aca="false">J1764*INDEX(Customers!$I$2:$I$41,MATCH(C1764,Customers!$A$2:$A$41,0))/365*Assumptions!$B$6</f>
        <v>179.247254794521</v>
      </c>
      <c r="N1764" s="16" t="n">
        <f aca="false">J1764-K1764-L1764-M1764</f>
        <v>26056.4571452055</v>
      </c>
      <c r="O1764" s="16" t="n">
        <f aca="false">F1764*IF(A1764="2025",INDEX(Products!$D$2:$D$13,MATCH(D1764,Products!$A$2:$A$13,0)),INDEX(Products!$F$2:$F$13,MATCH(D1764,Products!$A$2:$A$13,0)))</f>
        <v>17894</v>
      </c>
      <c r="P1764" s="16" t="n">
        <f aca="false">N1764-O1764</f>
        <v>8162.45714520547</v>
      </c>
    </row>
    <row r="1765" customFormat="false" ht="15" hidden="false" customHeight="false" outlineLevel="0" collapsed="false">
      <c r="A1765" s="2" t="s">
        <v>118</v>
      </c>
      <c r="B1765" s="2" t="n">
        <v>12</v>
      </c>
      <c r="C1765" s="2" t="s">
        <v>88</v>
      </c>
      <c r="D1765" s="2" t="s">
        <v>42</v>
      </c>
      <c r="E1765" s="2" t="str">
        <f aca="false">INDEX(Products!$B$2:$B$13,MATCH(D1765,Products!$A$2:$A$13,0))</f>
        <v>Hydroprocessing</v>
      </c>
      <c r="F1765" s="15" t="n">
        <v>2.5</v>
      </c>
      <c r="G1765" s="16" t="n">
        <f aca="false">IF(A1765="2025",INDEX(Products!$C$2:$C$13,MATCH(D1765,Products!$A$2:$A$13,0)),INDEX(Products!$E$2:$E$13,MATCH(D1765,Products!$A$2:$A$13,0)))</f>
        <v>12450</v>
      </c>
      <c r="H1765" s="13" t="n">
        <f aca="false">IF(A1765="2025",INDEX(Customers!$D$2:$D$41,MATCH(C1765,Customers!$A$2:$A$41,0)),INDEX(Customers!$F$2:$F$41,MATCH(C1765,Customers!$A$2:$A$41,0)))</f>
        <v>0.048</v>
      </c>
      <c r="I1765" s="16" t="n">
        <f aca="false">F1765*G1765</f>
        <v>31125</v>
      </c>
      <c r="J1765" s="16" t="n">
        <f aca="false">I1765*(1-H1765)</f>
        <v>29631</v>
      </c>
      <c r="K1765" s="16" t="n">
        <f aca="false">J1765*INDEX(Customers!$G$2:$G$41,MATCH(C1765,Customers!$A$2:$A$41,0))</f>
        <v>888.93</v>
      </c>
      <c r="L1765" s="16" t="n">
        <f aca="false">F1765*INDEX(Customers!$H$2:$H$41,MATCH(C1765,Customers!$A$2:$A$41,0))</f>
        <v>225</v>
      </c>
      <c r="M1765" s="16" t="n">
        <f aca="false">J1765*INDEX(Customers!$I$2:$I$41,MATCH(C1765,Customers!$A$2:$A$41,0))/365*Assumptions!$B$6</f>
        <v>194.83397260274</v>
      </c>
      <c r="N1765" s="16" t="n">
        <f aca="false">J1765-K1765-L1765-M1765</f>
        <v>28322.2360273973</v>
      </c>
      <c r="O1765" s="16" t="n">
        <f aca="false">F1765*IF(A1765="2025",INDEX(Products!$D$2:$D$13,MATCH(D1765,Products!$A$2:$A$13,0)),INDEX(Products!$F$2:$F$13,MATCH(D1765,Products!$A$2:$A$13,0)))</f>
        <v>19450</v>
      </c>
      <c r="P1765" s="16" t="n">
        <f aca="false">N1765-O1765</f>
        <v>8872.23602739726</v>
      </c>
    </row>
    <row r="1766" customFormat="false" ht="15" hidden="false" customHeight="false" outlineLevel="0" collapsed="false">
      <c r="A1766" s="2" t="s">
        <v>119</v>
      </c>
      <c r="B1766" s="2" t="n">
        <v>1</v>
      </c>
      <c r="C1766" s="2" t="s">
        <v>88</v>
      </c>
      <c r="D1766" s="2" t="s">
        <v>42</v>
      </c>
      <c r="E1766" s="2" t="str">
        <f aca="false">INDEX(Products!$B$2:$B$13,MATCH(D1766,Products!$A$2:$A$13,0))</f>
        <v>Hydroprocessing</v>
      </c>
      <c r="F1766" s="15" t="n">
        <v>2.5</v>
      </c>
      <c r="G1766" s="16" t="n">
        <f aca="false">IF(A1766="2025",INDEX(Products!$C$2:$C$13,MATCH(D1766,Products!$A$2:$A$13,0)),INDEX(Products!$E$2:$E$13,MATCH(D1766,Products!$A$2:$A$13,0)))</f>
        <v>13072.5</v>
      </c>
      <c r="H1766" s="13" t="n">
        <f aca="false">IF(A1766="2025",INDEX(Customers!$D$2:$D$41,MATCH(C1766,Customers!$A$2:$A$41,0)),INDEX(Customers!$F$2:$F$41,MATCH(C1766,Customers!$A$2:$A$41,0)))</f>
        <v>0.048</v>
      </c>
      <c r="I1766" s="16" t="n">
        <f aca="false">F1766*G1766</f>
        <v>32681.25</v>
      </c>
      <c r="J1766" s="16" t="n">
        <f aca="false">I1766*(1-H1766)</f>
        <v>31112.55</v>
      </c>
      <c r="K1766" s="16" t="n">
        <f aca="false">J1766*INDEX(Customers!$G$2:$G$41,MATCH(C1766,Customers!$A$2:$A$41,0))</f>
        <v>933.3765</v>
      </c>
      <c r="L1766" s="16" t="n">
        <f aca="false">F1766*INDEX(Customers!$H$2:$H$41,MATCH(C1766,Customers!$A$2:$A$41,0))</f>
        <v>225</v>
      </c>
      <c r="M1766" s="16" t="n">
        <f aca="false">J1766*INDEX(Customers!$I$2:$I$41,MATCH(C1766,Customers!$A$2:$A$41,0))/365*Assumptions!$B$6</f>
        <v>204.575671232877</v>
      </c>
      <c r="N1766" s="16" t="n">
        <f aca="false">J1766-K1766-L1766-M1766</f>
        <v>29749.5978287671</v>
      </c>
      <c r="O1766" s="16" t="n">
        <f aca="false">F1766*IF(A1766="2025",INDEX(Products!$D$2:$D$13,MATCH(D1766,Products!$A$2:$A$13,0)),INDEX(Products!$F$2:$F$13,MATCH(D1766,Products!$A$2:$A$13,0)))</f>
        <v>20033.5</v>
      </c>
      <c r="P1766" s="16" t="n">
        <f aca="false">N1766-O1766</f>
        <v>9716.09782876712</v>
      </c>
    </row>
    <row r="1767" customFormat="false" ht="15" hidden="false" customHeight="false" outlineLevel="0" collapsed="false">
      <c r="A1767" s="2" t="s">
        <v>119</v>
      </c>
      <c r="B1767" s="2" t="n">
        <v>2</v>
      </c>
      <c r="C1767" s="2" t="s">
        <v>88</v>
      </c>
      <c r="D1767" s="2" t="s">
        <v>42</v>
      </c>
      <c r="E1767" s="2" t="str">
        <f aca="false">INDEX(Products!$B$2:$B$13,MATCH(D1767,Products!$A$2:$A$13,0))</f>
        <v>Hydroprocessing</v>
      </c>
      <c r="F1767" s="15" t="n">
        <v>2.6</v>
      </c>
      <c r="G1767" s="16" t="n">
        <f aca="false">IF(A1767="2025",INDEX(Products!$C$2:$C$13,MATCH(D1767,Products!$A$2:$A$13,0)),INDEX(Products!$E$2:$E$13,MATCH(D1767,Products!$A$2:$A$13,0)))</f>
        <v>13072.5</v>
      </c>
      <c r="H1767" s="13" t="n">
        <f aca="false">IF(A1767="2025",INDEX(Customers!$D$2:$D$41,MATCH(C1767,Customers!$A$2:$A$41,0)),INDEX(Customers!$F$2:$F$41,MATCH(C1767,Customers!$A$2:$A$41,0)))</f>
        <v>0.048</v>
      </c>
      <c r="I1767" s="16" t="n">
        <f aca="false">F1767*G1767</f>
        <v>33988.5</v>
      </c>
      <c r="J1767" s="16" t="n">
        <f aca="false">I1767*(1-H1767)</f>
        <v>32357.052</v>
      </c>
      <c r="K1767" s="16" t="n">
        <f aca="false">J1767*INDEX(Customers!$G$2:$G$41,MATCH(C1767,Customers!$A$2:$A$41,0))</f>
        <v>970.71156</v>
      </c>
      <c r="L1767" s="16" t="n">
        <f aca="false">F1767*INDEX(Customers!$H$2:$H$41,MATCH(C1767,Customers!$A$2:$A$41,0))</f>
        <v>234</v>
      </c>
      <c r="M1767" s="16" t="n">
        <f aca="false">J1767*INDEX(Customers!$I$2:$I$41,MATCH(C1767,Customers!$A$2:$A$41,0))/365*Assumptions!$B$6</f>
        <v>212.758698082192</v>
      </c>
      <c r="N1767" s="16" t="n">
        <f aca="false">J1767-K1767-L1767-M1767</f>
        <v>30939.5817419178</v>
      </c>
      <c r="O1767" s="16" t="n">
        <f aca="false">F1767*IF(A1767="2025",INDEX(Products!$D$2:$D$13,MATCH(D1767,Products!$A$2:$A$13,0)),INDEX(Products!$F$2:$F$13,MATCH(D1767,Products!$A$2:$A$13,0)))</f>
        <v>20834.84</v>
      </c>
      <c r="P1767" s="16" t="n">
        <f aca="false">N1767-O1767</f>
        <v>10104.7417419178</v>
      </c>
    </row>
    <row r="1768" customFormat="false" ht="15" hidden="false" customHeight="false" outlineLevel="0" collapsed="false">
      <c r="A1768" s="2" t="s">
        <v>119</v>
      </c>
      <c r="B1768" s="2" t="n">
        <v>3</v>
      </c>
      <c r="C1768" s="2" t="s">
        <v>88</v>
      </c>
      <c r="D1768" s="2" t="s">
        <v>42</v>
      </c>
      <c r="E1768" s="2" t="str">
        <f aca="false">INDEX(Products!$B$2:$B$13,MATCH(D1768,Products!$A$2:$A$13,0))</f>
        <v>Hydroprocessing</v>
      </c>
      <c r="F1768" s="15" t="n">
        <v>3</v>
      </c>
      <c r="G1768" s="16" t="n">
        <f aca="false">IF(A1768="2025",INDEX(Products!$C$2:$C$13,MATCH(D1768,Products!$A$2:$A$13,0)),INDEX(Products!$E$2:$E$13,MATCH(D1768,Products!$A$2:$A$13,0)))</f>
        <v>13072.5</v>
      </c>
      <c r="H1768" s="13" t="n">
        <f aca="false">IF(A1768="2025",INDEX(Customers!$D$2:$D$41,MATCH(C1768,Customers!$A$2:$A$41,0)),INDEX(Customers!$F$2:$F$41,MATCH(C1768,Customers!$A$2:$A$41,0)))</f>
        <v>0.048</v>
      </c>
      <c r="I1768" s="16" t="n">
        <f aca="false">F1768*G1768</f>
        <v>39217.5</v>
      </c>
      <c r="J1768" s="16" t="n">
        <f aca="false">I1768*(1-H1768)</f>
        <v>37335.06</v>
      </c>
      <c r="K1768" s="16" t="n">
        <f aca="false">J1768*INDEX(Customers!$G$2:$G$41,MATCH(C1768,Customers!$A$2:$A$41,0))</f>
        <v>1120.0518</v>
      </c>
      <c r="L1768" s="16" t="n">
        <f aca="false">F1768*INDEX(Customers!$H$2:$H$41,MATCH(C1768,Customers!$A$2:$A$41,0))</f>
        <v>270</v>
      </c>
      <c r="M1768" s="16" t="n">
        <f aca="false">J1768*INDEX(Customers!$I$2:$I$41,MATCH(C1768,Customers!$A$2:$A$41,0))/365*Assumptions!$B$6</f>
        <v>245.490805479452</v>
      </c>
      <c r="N1768" s="16" t="n">
        <f aca="false">J1768-K1768-L1768-M1768</f>
        <v>35699.5173945205</v>
      </c>
      <c r="O1768" s="16" t="n">
        <f aca="false">F1768*IF(A1768="2025",INDEX(Products!$D$2:$D$13,MATCH(D1768,Products!$A$2:$A$13,0)),INDEX(Products!$F$2:$F$13,MATCH(D1768,Products!$A$2:$A$13,0)))</f>
        <v>24040.2</v>
      </c>
      <c r="P1768" s="16" t="n">
        <f aca="false">N1768-O1768</f>
        <v>11659.3173945205</v>
      </c>
    </row>
    <row r="1769" customFormat="false" ht="15" hidden="false" customHeight="false" outlineLevel="0" collapsed="false">
      <c r="A1769" s="2" t="s">
        <v>119</v>
      </c>
      <c r="B1769" s="2" t="n">
        <v>4</v>
      </c>
      <c r="C1769" s="2" t="s">
        <v>88</v>
      </c>
      <c r="D1769" s="2" t="s">
        <v>42</v>
      </c>
      <c r="E1769" s="2" t="str">
        <f aca="false">INDEX(Products!$B$2:$B$13,MATCH(D1769,Products!$A$2:$A$13,0))</f>
        <v>Hydroprocessing</v>
      </c>
      <c r="F1769" s="15" t="n">
        <v>2.1</v>
      </c>
      <c r="G1769" s="16" t="n">
        <f aca="false">IF(A1769="2025",INDEX(Products!$C$2:$C$13,MATCH(D1769,Products!$A$2:$A$13,0)),INDEX(Products!$E$2:$E$13,MATCH(D1769,Products!$A$2:$A$13,0)))</f>
        <v>13072.5</v>
      </c>
      <c r="H1769" s="13" t="n">
        <f aca="false">IF(A1769="2025",INDEX(Customers!$D$2:$D$41,MATCH(C1769,Customers!$A$2:$A$41,0)),INDEX(Customers!$F$2:$F$41,MATCH(C1769,Customers!$A$2:$A$41,0)))</f>
        <v>0.048</v>
      </c>
      <c r="I1769" s="16" t="n">
        <f aca="false">F1769*G1769</f>
        <v>27452.25</v>
      </c>
      <c r="J1769" s="16" t="n">
        <f aca="false">I1769*(1-H1769)</f>
        <v>26134.542</v>
      </c>
      <c r="K1769" s="16" t="n">
        <f aca="false">J1769*INDEX(Customers!$G$2:$G$41,MATCH(C1769,Customers!$A$2:$A$41,0))</f>
        <v>784.03626</v>
      </c>
      <c r="L1769" s="16" t="n">
        <f aca="false">F1769*INDEX(Customers!$H$2:$H$41,MATCH(C1769,Customers!$A$2:$A$41,0))</f>
        <v>189</v>
      </c>
      <c r="M1769" s="16" t="n">
        <f aca="false">J1769*INDEX(Customers!$I$2:$I$41,MATCH(C1769,Customers!$A$2:$A$41,0))/365*Assumptions!$B$6</f>
        <v>171.843563835616</v>
      </c>
      <c r="N1769" s="16" t="n">
        <f aca="false">J1769-K1769-L1769-M1769</f>
        <v>24989.6621761644</v>
      </c>
      <c r="O1769" s="16" t="n">
        <f aca="false">F1769*IF(A1769="2025",INDEX(Products!$D$2:$D$13,MATCH(D1769,Products!$A$2:$A$13,0)),INDEX(Products!$F$2:$F$13,MATCH(D1769,Products!$A$2:$A$13,0)))</f>
        <v>16828.14</v>
      </c>
      <c r="P1769" s="16" t="n">
        <f aca="false">N1769-O1769</f>
        <v>8161.52217616438</v>
      </c>
    </row>
    <row r="1770" customFormat="false" ht="15" hidden="false" customHeight="false" outlineLevel="0" collapsed="false">
      <c r="A1770" s="2" t="s">
        <v>119</v>
      </c>
      <c r="B1770" s="2" t="n">
        <v>5</v>
      </c>
      <c r="C1770" s="2" t="s">
        <v>88</v>
      </c>
      <c r="D1770" s="2" t="s">
        <v>42</v>
      </c>
      <c r="E1770" s="2" t="str">
        <f aca="false">INDEX(Products!$B$2:$B$13,MATCH(D1770,Products!$A$2:$A$13,0))</f>
        <v>Hydroprocessing</v>
      </c>
      <c r="F1770" s="15" t="n">
        <v>2.8</v>
      </c>
      <c r="G1770" s="16" t="n">
        <f aca="false">IF(A1770="2025",INDEX(Products!$C$2:$C$13,MATCH(D1770,Products!$A$2:$A$13,0)),INDEX(Products!$E$2:$E$13,MATCH(D1770,Products!$A$2:$A$13,0)))</f>
        <v>13072.5</v>
      </c>
      <c r="H1770" s="13" t="n">
        <f aca="false">IF(A1770="2025",INDEX(Customers!$D$2:$D$41,MATCH(C1770,Customers!$A$2:$A$41,0)),INDEX(Customers!$F$2:$F$41,MATCH(C1770,Customers!$A$2:$A$41,0)))</f>
        <v>0.048</v>
      </c>
      <c r="I1770" s="16" t="n">
        <f aca="false">F1770*G1770</f>
        <v>36603</v>
      </c>
      <c r="J1770" s="16" t="n">
        <f aca="false">I1770*(1-H1770)</f>
        <v>34846.056</v>
      </c>
      <c r="K1770" s="16" t="n">
        <f aca="false">J1770*INDEX(Customers!$G$2:$G$41,MATCH(C1770,Customers!$A$2:$A$41,0))</f>
        <v>1045.38168</v>
      </c>
      <c r="L1770" s="16" t="n">
        <f aca="false">F1770*INDEX(Customers!$H$2:$H$41,MATCH(C1770,Customers!$A$2:$A$41,0))</f>
        <v>252</v>
      </c>
      <c r="M1770" s="16" t="n">
        <f aca="false">J1770*INDEX(Customers!$I$2:$I$41,MATCH(C1770,Customers!$A$2:$A$41,0))/365*Assumptions!$B$6</f>
        <v>229.124751780822</v>
      </c>
      <c r="N1770" s="16" t="n">
        <f aca="false">J1770-K1770-L1770-M1770</f>
        <v>33319.5495682192</v>
      </c>
      <c r="O1770" s="16" t="n">
        <f aca="false">F1770*IF(A1770="2025",INDEX(Products!$D$2:$D$13,MATCH(D1770,Products!$A$2:$A$13,0)),INDEX(Products!$F$2:$F$13,MATCH(D1770,Products!$A$2:$A$13,0)))</f>
        <v>22437.52</v>
      </c>
      <c r="P1770" s="16" t="n">
        <f aca="false">N1770-O1770</f>
        <v>10882.0295682192</v>
      </c>
    </row>
    <row r="1771" customFormat="false" ht="15" hidden="false" customHeight="false" outlineLevel="0" collapsed="false">
      <c r="A1771" s="2" t="s">
        <v>119</v>
      </c>
      <c r="B1771" s="2" t="n">
        <v>6</v>
      </c>
      <c r="C1771" s="2" t="s">
        <v>88</v>
      </c>
      <c r="D1771" s="2" t="s">
        <v>42</v>
      </c>
      <c r="E1771" s="2" t="str">
        <f aca="false">INDEX(Products!$B$2:$B$13,MATCH(D1771,Products!$A$2:$A$13,0))</f>
        <v>Hydroprocessing</v>
      </c>
      <c r="F1771" s="15" t="n">
        <v>2.6</v>
      </c>
      <c r="G1771" s="16" t="n">
        <f aca="false">IF(A1771="2025",INDEX(Products!$C$2:$C$13,MATCH(D1771,Products!$A$2:$A$13,0)),INDEX(Products!$E$2:$E$13,MATCH(D1771,Products!$A$2:$A$13,0)))</f>
        <v>13072.5</v>
      </c>
      <c r="H1771" s="13" t="n">
        <f aca="false">IF(A1771="2025",INDEX(Customers!$D$2:$D$41,MATCH(C1771,Customers!$A$2:$A$41,0)),INDEX(Customers!$F$2:$F$41,MATCH(C1771,Customers!$A$2:$A$41,0)))</f>
        <v>0.048</v>
      </c>
      <c r="I1771" s="16" t="n">
        <f aca="false">F1771*G1771</f>
        <v>33988.5</v>
      </c>
      <c r="J1771" s="16" t="n">
        <f aca="false">I1771*(1-H1771)</f>
        <v>32357.052</v>
      </c>
      <c r="K1771" s="16" t="n">
        <f aca="false">J1771*INDEX(Customers!$G$2:$G$41,MATCH(C1771,Customers!$A$2:$A$41,0))</f>
        <v>970.71156</v>
      </c>
      <c r="L1771" s="16" t="n">
        <f aca="false">F1771*INDEX(Customers!$H$2:$H$41,MATCH(C1771,Customers!$A$2:$A$41,0))</f>
        <v>234</v>
      </c>
      <c r="M1771" s="16" t="n">
        <f aca="false">J1771*INDEX(Customers!$I$2:$I$41,MATCH(C1771,Customers!$A$2:$A$41,0))/365*Assumptions!$B$6</f>
        <v>212.758698082192</v>
      </c>
      <c r="N1771" s="16" t="n">
        <f aca="false">J1771-K1771-L1771-M1771</f>
        <v>30939.5817419178</v>
      </c>
      <c r="O1771" s="16" t="n">
        <f aca="false">F1771*IF(A1771="2025",INDEX(Products!$D$2:$D$13,MATCH(D1771,Products!$A$2:$A$13,0)),INDEX(Products!$F$2:$F$13,MATCH(D1771,Products!$A$2:$A$13,0)))</f>
        <v>20834.84</v>
      </c>
      <c r="P1771" s="16" t="n">
        <f aca="false">N1771-O1771</f>
        <v>10104.7417419178</v>
      </c>
    </row>
    <row r="1772" customFormat="false" ht="15" hidden="false" customHeight="false" outlineLevel="0" collapsed="false">
      <c r="A1772" s="2" t="s">
        <v>119</v>
      </c>
      <c r="B1772" s="2" t="n">
        <v>7</v>
      </c>
      <c r="C1772" s="2" t="s">
        <v>88</v>
      </c>
      <c r="D1772" s="2" t="s">
        <v>42</v>
      </c>
      <c r="E1772" s="2" t="str">
        <f aca="false">INDEX(Products!$B$2:$B$13,MATCH(D1772,Products!$A$2:$A$13,0))</f>
        <v>Hydroprocessing</v>
      </c>
      <c r="F1772" s="15" t="n">
        <v>3.1</v>
      </c>
      <c r="G1772" s="16" t="n">
        <f aca="false">IF(A1772="2025",INDEX(Products!$C$2:$C$13,MATCH(D1772,Products!$A$2:$A$13,0)),INDEX(Products!$E$2:$E$13,MATCH(D1772,Products!$A$2:$A$13,0)))</f>
        <v>13072.5</v>
      </c>
      <c r="H1772" s="13" t="n">
        <f aca="false">IF(A1772="2025",INDEX(Customers!$D$2:$D$41,MATCH(C1772,Customers!$A$2:$A$41,0)),INDEX(Customers!$F$2:$F$41,MATCH(C1772,Customers!$A$2:$A$41,0)))</f>
        <v>0.048</v>
      </c>
      <c r="I1772" s="16" t="n">
        <f aca="false">F1772*G1772</f>
        <v>40524.75</v>
      </c>
      <c r="J1772" s="16" t="n">
        <f aca="false">I1772*(1-H1772)</f>
        <v>38579.562</v>
      </c>
      <c r="K1772" s="16" t="n">
        <f aca="false">J1772*INDEX(Customers!$G$2:$G$41,MATCH(C1772,Customers!$A$2:$A$41,0))</f>
        <v>1157.38686</v>
      </c>
      <c r="L1772" s="16" t="n">
        <f aca="false">F1772*INDEX(Customers!$H$2:$H$41,MATCH(C1772,Customers!$A$2:$A$41,0))</f>
        <v>279</v>
      </c>
      <c r="M1772" s="16" t="n">
        <f aca="false">J1772*INDEX(Customers!$I$2:$I$41,MATCH(C1772,Customers!$A$2:$A$41,0))/365*Assumptions!$B$6</f>
        <v>253.673832328767</v>
      </c>
      <c r="N1772" s="16" t="n">
        <f aca="false">J1772-K1772-L1772-M1772</f>
        <v>36889.5013076712</v>
      </c>
      <c r="O1772" s="16" t="n">
        <f aca="false">F1772*IF(A1772="2025",INDEX(Products!$D$2:$D$13,MATCH(D1772,Products!$A$2:$A$13,0)),INDEX(Products!$F$2:$F$13,MATCH(D1772,Products!$A$2:$A$13,0)))</f>
        <v>24841.54</v>
      </c>
      <c r="P1772" s="16" t="n">
        <f aca="false">N1772-O1772</f>
        <v>12047.9613076712</v>
      </c>
    </row>
    <row r="1773" customFormat="false" ht="15" hidden="false" customHeight="false" outlineLevel="0" collapsed="false">
      <c r="A1773" s="2" t="s">
        <v>119</v>
      </c>
      <c r="B1773" s="2" t="n">
        <v>8</v>
      </c>
      <c r="C1773" s="2" t="s">
        <v>88</v>
      </c>
      <c r="D1773" s="2" t="s">
        <v>42</v>
      </c>
      <c r="E1773" s="2" t="str">
        <f aca="false">INDEX(Products!$B$2:$B$13,MATCH(D1773,Products!$A$2:$A$13,0))</f>
        <v>Hydroprocessing</v>
      </c>
      <c r="F1773" s="15" t="n">
        <v>3.1</v>
      </c>
      <c r="G1773" s="16" t="n">
        <f aca="false">IF(A1773="2025",INDEX(Products!$C$2:$C$13,MATCH(D1773,Products!$A$2:$A$13,0)),INDEX(Products!$E$2:$E$13,MATCH(D1773,Products!$A$2:$A$13,0)))</f>
        <v>13072.5</v>
      </c>
      <c r="H1773" s="13" t="n">
        <f aca="false">IF(A1773="2025",INDEX(Customers!$D$2:$D$41,MATCH(C1773,Customers!$A$2:$A$41,0)),INDEX(Customers!$F$2:$F$41,MATCH(C1773,Customers!$A$2:$A$41,0)))</f>
        <v>0.048</v>
      </c>
      <c r="I1773" s="16" t="n">
        <f aca="false">F1773*G1773</f>
        <v>40524.75</v>
      </c>
      <c r="J1773" s="16" t="n">
        <f aca="false">I1773*(1-H1773)</f>
        <v>38579.562</v>
      </c>
      <c r="K1773" s="16" t="n">
        <f aca="false">J1773*INDEX(Customers!$G$2:$G$41,MATCH(C1773,Customers!$A$2:$A$41,0))</f>
        <v>1157.38686</v>
      </c>
      <c r="L1773" s="16" t="n">
        <f aca="false">F1773*INDEX(Customers!$H$2:$H$41,MATCH(C1773,Customers!$A$2:$A$41,0))</f>
        <v>279</v>
      </c>
      <c r="M1773" s="16" t="n">
        <f aca="false">J1773*INDEX(Customers!$I$2:$I$41,MATCH(C1773,Customers!$A$2:$A$41,0))/365*Assumptions!$B$6</f>
        <v>253.673832328767</v>
      </c>
      <c r="N1773" s="16" t="n">
        <f aca="false">J1773-K1773-L1773-M1773</f>
        <v>36889.5013076712</v>
      </c>
      <c r="O1773" s="16" t="n">
        <f aca="false">F1773*IF(A1773="2025",INDEX(Products!$D$2:$D$13,MATCH(D1773,Products!$A$2:$A$13,0)),INDEX(Products!$F$2:$F$13,MATCH(D1773,Products!$A$2:$A$13,0)))</f>
        <v>24841.54</v>
      </c>
      <c r="P1773" s="16" t="n">
        <f aca="false">N1773-O1773</f>
        <v>12047.9613076712</v>
      </c>
    </row>
    <row r="1774" customFormat="false" ht="15" hidden="false" customHeight="false" outlineLevel="0" collapsed="false">
      <c r="A1774" s="2" t="s">
        <v>119</v>
      </c>
      <c r="B1774" s="2" t="n">
        <v>9</v>
      </c>
      <c r="C1774" s="2" t="s">
        <v>88</v>
      </c>
      <c r="D1774" s="2" t="s">
        <v>42</v>
      </c>
      <c r="E1774" s="2" t="str">
        <f aca="false">INDEX(Products!$B$2:$B$13,MATCH(D1774,Products!$A$2:$A$13,0))</f>
        <v>Hydroprocessing</v>
      </c>
      <c r="F1774" s="15" t="n">
        <v>2.4</v>
      </c>
      <c r="G1774" s="16" t="n">
        <f aca="false">IF(A1774="2025",INDEX(Products!$C$2:$C$13,MATCH(D1774,Products!$A$2:$A$13,0)),INDEX(Products!$E$2:$E$13,MATCH(D1774,Products!$A$2:$A$13,0)))</f>
        <v>13072.5</v>
      </c>
      <c r="H1774" s="13" t="n">
        <f aca="false">IF(A1774="2025",INDEX(Customers!$D$2:$D$41,MATCH(C1774,Customers!$A$2:$A$41,0)),INDEX(Customers!$F$2:$F$41,MATCH(C1774,Customers!$A$2:$A$41,0)))</f>
        <v>0.048</v>
      </c>
      <c r="I1774" s="16" t="n">
        <f aca="false">F1774*G1774</f>
        <v>31374</v>
      </c>
      <c r="J1774" s="16" t="n">
        <f aca="false">I1774*(1-H1774)</f>
        <v>29868.048</v>
      </c>
      <c r="K1774" s="16" t="n">
        <f aca="false">J1774*INDEX(Customers!$G$2:$G$41,MATCH(C1774,Customers!$A$2:$A$41,0))</f>
        <v>896.04144</v>
      </c>
      <c r="L1774" s="16" t="n">
        <f aca="false">F1774*INDEX(Customers!$H$2:$H$41,MATCH(C1774,Customers!$A$2:$A$41,0))</f>
        <v>216</v>
      </c>
      <c r="M1774" s="16" t="n">
        <f aca="false">J1774*INDEX(Customers!$I$2:$I$41,MATCH(C1774,Customers!$A$2:$A$41,0))/365*Assumptions!$B$6</f>
        <v>196.392644383562</v>
      </c>
      <c r="N1774" s="16" t="n">
        <f aca="false">J1774-K1774-L1774-M1774</f>
        <v>28559.6139156164</v>
      </c>
      <c r="O1774" s="16" t="n">
        <f aca="false">F1774*IF(A1774="2025",INDEX(Products!$D$2:$D$13,MATCH(D1774,Products!$A$2:$A$13,0)),INDEX(Products!$F$2:$F$13,MATCH(D1774,Products!$A$2:$A$13,0)))</f>
        <v>19232.16</v>
      </c>
      <c r="P1774" s="16" t="n">
        <f aca="false">N1774-O1774</f>
        <v>9327.45391561644</v>
      </c>
    </row>
    <row r="1775" customFormat="false" ht="15" hidden="false" customHeight="false" outlineLevel="0" collapsed="false">
      <c r="A1775" s="2" t="s">
        <v>119</v>
      </c>
      <c r="B1775" s="2" t="n">
        <v>10</v>
      </c>
      <c r="C1775" s="2" t="s">
        <v>88</v>
      </c>
      <c r="D1775" s="2" t="s">
        <v>42</v>
      </c>
      <c r="E1775" s="2" t="str">
        <f aca="false">INDEX(Products!$B$2:$B$13,MATCH(D1775,Products!$A$2:$A$13,0))</f>
        <v>Hydroprocessing</v>
      </c>
      <c r="F1775" s="15" t="n">
        <v>2.3</v>
      </c>
      <c r="G1775" s="16" t="n">
        <f aca="false">IF(A1775="2025",INDEX(Products!$C$2:$C$13,MATCH(D1775,Products!$A$2:$A$13,0)),INDEX(Products!$E$2:$E$13,MATCH(D1775,Products!$A$2:$A$13,0)))</f>
        <v>13072.5</v>
      </c>
      <c r="H1775" s="13" t="n">
        <f aca="false">IF(A1775="2025",INDEX(Customers!$D$2:$D$41,MATCH(C1775,Customers!$A$2:$A$41,0)),INDEX(Customers!$F$2:$F$41,MATCH(C1775,Customers!$A$2:$A$41,0)))</f>
        <v>0.048</v>
      </c>
      <c r="I1775" s="16" t="n">
        <f aca="false">F1775*G1775</f>
        <v>30066.75</v>
      </c>
      <c r="J1775" s="16" t="n">
        <f aca="false">I1775*(1-H1775)</f>
        <v>28623.546</v>
      </c>
      <c r="K1775" s="16" t="n">
        <f aca="false">J1775*INDEX(Customers!$G$2:$G$41,MATCH(C1775,Customers!$A$2:$A$41,0))</f>
        <v>858.70638</v>
      </c>
      <c r="L1775" s="16" t="n">
        <f aca="false">F1775*INDEX(Customers!$H$2:$H$41,MATCH(C1775,Customers!$A$2:$A$41,0))</f>
        <v>207</v>
      </c>
      <c r="M1775" s="16" t="n">
        <f aca="false">J1775*INDEX(Customers!$I$2:$I$41,MATCH(C1775,Customers!$A$2:$A$41,0))/365*Assumptions!$B$6</f>
        <v>188.209617534247</v>
      </c>
      <c r="N1775" s="16" t="n">
        <f aca="false">J1775-K1775-L1775-M1775</f>
        <v>27369.6300024658</v>
      </c>
      <c r="O1775" s="16" t="n">
        <f aca="false">F1775*IF(A1775="2025",INDEX(Products!$D$2:$D$13,MATCH(D1775,Products!$A$2:$A$13,0)),INDEX(Products!$F$2:$F$13,MATCH(D1775,Products!$A$2:$A$13,0)))</f>
        <v>18430.82</v>
      </c>
      <c r="P1775" s="16" t="n">
        <f aca="false">N1775-O1775</f>
        <v>8938.81000246575</v>
      </c>
    </row>
    <row r="1776" customFormat="false" ht="15" hidden="false" customHeight="false" outlineLevel="0" collapsed="false">
      <c r="A1776" s="2" t="s">
        <v>119</v>
      </c>
      <c r="B1776" s="2" t="n">
        <v>11</v>
      </c>
      <c r="C1776" s="2" t="s">
        <v>88</v>
      </c>
      <c r="D1776" s="2" t="s">
        <v>42</v>
      </c>
      <c r="E1776" s="2" t="str">
        <f aca="false">INDEX(Products!$B$2:$B$13,MATCH(D1776,Products!$A$2:$A$13,0))</f>
        <v>Hydroprocessing</v>
      </c>
      <c r="F1776" s="15" t="n">
        <v>2.9</v>
      </c>
      <c r="G1776" s="16" t="n">
        <f aca="false">IF(A1776="2025",INDEX(Products!$C$2:$C$13,MATCH(D1776,Products!$A$2:$A$13,0)),INDEX(Products!$E$2:$E$13,MATCH(D1776,Products!$A$2:$A$13,0)))</f>
        <v>13072.5</v>
      </c>
      <c r="H1776" s="13" t="n">
        <f aca="false">IF(A1776="2025",INDEX(Customers!$D$2:$D$41,MATCH(C1776,Customers!$A$2:$A$41,0)),INDEX(Customers!$F$2:$F$41,MATCH(C1776,Customers!$A$2:$A$41,0)))</f>
        <v>0.048</v>
      </c>
      <c r="I1776" s="16" t="n">
        <f aca="false">F1776*G1776</f>
        <v>37910.25</v>
      </c>
      <c r="J1776" s="16" t="n">
        <f aca="false">I1776*(1-H1776)</f>
        <v>36090.558</v>
      </c>
      <c r="K1776" s="16" t="n">
        <f aca="false">J1776*INDEX(Customers!$G$2:$G$41,MATCH(C1776,Customers!$A$2:$A$41,0))</f>
        <v>1082.71674</v>
      </c>
      <c r="L1776" s="16" t="n">
        <f aca="false">F1776*INDEX(Customers!$H$2:$H$41,MATCH(C1776,Customers!$A$2:$A$41,0))</f>
        <v>261</v>
      </c>
      <c r="M1776" s="16" t="n">
        <f aca="false">J1776*INDEX(Customers!$I$2:$I$41,MATCH(C1776,Customers!$A$2:$A$41,0))/365*Assumptions!$B$6</f>
        <v>237.307778630137</v>
      </c>
      <c r="N1776" s="16" t="n">
        <f aca="false">J1776-K1776-L1776-M1776</f>
        <v>34509.5334813699</v>
      </c>
      <c r="O1776" s="16" t="n">
        <f aca="false">F1776*IF(A1776="2025",INDEX(Products!$D$2:$D$13,MATCH(D1776,Products!$A$2:$A$13,0)),INDEX(Products!$F$2:$F$13,MATCH(D1776,Products!$A$2:$A$13,0)))</f>
        <v>23238.86</v>
      </c>
      <c r="P1776" s="16" t="n">
        <f aca="false">N1776-O1776</f>
        <v>11270.6734813699</v>
      </c>
    </row>
    <row r="1777" customFormat="false" ht="15" hidden="false" customHeight="false" outlineLevel="0" collapsed="false">
      <c r="A1777" s="2" t="s">
        <v>119</v>
      </c>
      <c r="B1777" s="2" t="n">
        <v>12</v>
      </c>
      <c r="C1777" s="2" t="s">
        <v>88</v>
      </c>
      <c r="D1777" s="2" t="s">
        <v>42</v>
      </c>
      <c r="E1777" s="2" t="str">
        <f aca="false">INDEX(Products!$B$2:$B$13,MATCH(D1777,Products!$A$2:$A$13,0))</f>
        <v>Hydroprocessing</v>
      </c>
      <c r="F1777" s="15" t="n">
        <v>1.7</v>
      </c>
      <c r="G1777" s="16" t="n">
        <f aca="false">IF(A1777="2025",INDEX(Products!$C$2:$C$13,MATCH(D1777,Products!$A$2:$A$13,0)),INDEX(Products!$E$2:$E$13,MATCH(D1777,Products!$A$2:$A$13,0)))</f>
        <v>13072.5</v>
      </c>
      <c r="H1777" s="13" t="n">
        <f aca="false">IF(A1777="2025",INDEX(Customers!$D$2:$D$41,MATCH(C1777,Customers!$A$2:$A$41,0)),INDEX(Customers!$F$2:$F$41,MATCH(C1777,Customers!$A$2:$A$41,0)))</f>
        <v>0.048</v>
      </c>
      <c r="I1777" s="16" t="n">
        <f aca="false">F1777*G1777</f>
        <v>22223.25</v>
      </c>
      <c r="J1777" s="16" t="n">
        <f aca="false">I1777*(1-H1777)</f>
        <v>21156.534</v>
      </c>
      <c r="K1777" s="16" t="n">
        <f aca="false">J1777*INDEX(Customers!$G$2:$G$41,MATCH(C1777,Customers!$A$2:$A$41,0))</f>
        <v>634.69602</v>
      </c>
      <c r="L1777" s="16" t="n">
        <f aca="false">F1777*INDEX(Customers!$H$2:$H$41,MATCH(C1777,Customers!$A$2:$A$41,0))</f>
        <v>153</v>
      </c>
      <c r="M1777" s="16" t="n">
        <f aca="false">J1777*INDEX(Customers!$I$2:$I$41,MATCH(C1777,Customers!$A$2:$A$41,0))/365*Assumptions!$B$6</f>
        <v>139.111456438356</v>
      </c>
      <c r="N1777" s="16" t="n">
        <f aca="false">J1777-K1777-L1777-M1777</f>
        <v>20229.7265235616</v>
      </c>
      <c r="O1777" s="16" t="n">
        <f aca="false">F1777*IF(A1777="2025",INDEX(Products!$D$2:$D$13,MATCH(D1777,Products!$A$2:$A$13,0)),INDEX(Products!$F$2:$F$13,MATCH(D1777,Products!$A$2:$A$13,0)))</f>
        <v>13622.78</v>
      </c>
      <c r="P1777" s="16" t="n">
        <f aca="false">N1777-O1777</f>
        <v>6606.94652356164</v>
      </c>
    </row>
    <row r="1778" customFormat="false" ht="15" hidden="false" customHeight="false" outlineLevel="0" collapsed="false">
      <c r="A1778" s="2" t="s">
        <v>118</v>
      </c>
      <c r="B1778" s="2" t="n">
        <v>1</v>
      </c>
      <c r="C1778" s="2" t="s">
        <v>88</v>
      </c>
      <c r="D1778" s="2" t="s">
        <v>48</v>
      </c>
      <c r="E1778" s="2" t="str">
        <f aca="false">INDEX(Products!$B$2:$B$13,MATCH(D1778,Products!$A$2:$A$13,0))</f>
        <v>Specialty</v>
      </c>
      <c r="F1778" s="15" t="n">
        <v>1.8</v>
      </c>
      <c r="G1778" s="16" t="n">
        <f aca="false">IF(A1778="2025",INDEX(Products!$C$2:$C$13,MATCH(D1778,Products!$A$2:$A$13,0)),INDEX(Products!$E$2:$E$13,MATCH(D1778,Products!$A$2:$A$13,0)))</f>
        <v>33260</v>
      </c>
      <c r="H1778" s="13" t="n">
        <f aca="false">IF(A1778="2025",INDEX(Customers!$D$2:$D$41,MATCH(C1778,Customers!$A$2:$A$41,0)),INDEX(Customers!$F$2:$F$41,MATCH(C1778,Customers!$A$2:$A$41,0)))</f>
        <v>0.048</v>
      </c>
      <c r="I1778" s="16" t="n">
        <f aca="false">F1778*G1778</f>
        <v>59868</v>
      </c>
      <c r="J1778" s="16" t="n">
        <f aca="false">I1778*(1-H1778)</f>
        <v>56994.336</v>
      </c>
      <c r="K1778" s="16" t="n">
        <f aca="false">J1778*INDEX(Customers!$G$2:$G$41,MATCH(C1778,Customers!$A$2:$A$41,0))</f>
        <v>1709.83008</v>
      </c>
      <c r="L1778" s="16" t="n">
        <f aca="false">F1778*INDEX(Customers!$H$2:$H$41,MATCH(C1778,Customers!$A$2:$A$41,0))</f>
        <v>162</v>
      </c>
      <c r="M1778" s="16" t="n">
        <f aca="false">J1778*INDEX(Customers!$I$2:$I$41,MATCH(C1778,Customers!$A$2:$A$41,0))/365*Assumptions!$B$6</f>
        <v>374.757277808219</v>
      </c>
      <c r="N1778" s="16" t="n">
        <f aca="false">J1778-K1778-L1778-M1778</f>
        <v>54747.7486421918</v>
      </c>
      <c r="O1778" s="16" t="n">
        <f aca="false">F1778*IF(A1778="2025",INDEX(Products!$D$2:$D$13,MATCH(D1778,Products!$A$2:$A$13,0)),INDEX(Products!$F$2:$F$13,MATCH(D1778,Products!$A$2:$A$13,0)))</f>
        <v>27036</v>
      </c>
      <c r="P1778" s="16" t="n">
        <f aca="false">N1778-O1778</f>
        <v>27711.7486421918</v>
      </c>
    </row>
    <row r="1779" customFormat="false" ht="15" hidden="false" customHeight="false" outlineLevel="0" collapsed="false">
      <c r="A1779" s="2" t="s">
        <v>118</v>
      </c>
      <c r="B1779" s="2" t="n">
        <v>2</v>
      </c>
      <c r="C1779" s="2" t="s">
        <v>88</v>
      </c>
      <c r="D1779" s="2" t="s">
        <v>48</v>
      </c>
      <c r="E1779" s="2" t="str">
        <f aca="false">INDEX(Products!$B$2:$B$13,MATCH(D1779,Products!$A$2:$A$13,0))</f>
        <v>Specialty</v>
      </c>
      <c r="F1779" s="15" t="n">
        <v>1.9</v>
      </c>
      <c r="G1779" s="16" t="n">
        <f aca="false">IF(A1779="2025",INDEX(Products!$C$2:$C$13,MATCH(D1779,Products!$A$2:$A$13,0)),INDEX(Products!$E$2:$E$13,MATCH(D1779,Products!$A$2:$A$13,0)))</f>
        <v>33260</v>
      </c>
      <c r="H1779" s="13" t="n">
        <f aca="false">IF(A1779="2025",INDEX(Customers!$D$2:$D$41,MATCH(C1779,Customers!$A$2:$A$41,0)),INDEX(Customers!$F$2:$F$41,MATCH(C1779,Customers!$A$2:$A$41,0)))</f>
        <v>0.048</v>
      </c>
      <c r="I1779" s="16" t="n">
        <f aca="false">F1779*G1779</f>
        <v>63194</v>
      </c>
      <c r="J1779" s="16" t="n">
        <f aca="false">I1779*(1-H1779)</f>
        <v>60160.688</v>
      </c>
      <c r="K1779" s="16" t="n">
        <f aca="false">J1779*INDEX(Customers!$G$2:$G$41,MATCH(C1779,Customers!$A$2:$A$41,0))</f>
        <v>1804.82064</v>
      </c>
      <c r="L1779" s="16" t="n">
        <f aca="false">F1779*INDEX(Customers!$H$2:$H$41,MATCH(C1779,Customers!$A$2:$A$41,0))</f>
        <v>171</v>
      </c>
      <c r="M1779" s="16" t="n">
        <f aca="false">J1779*INDEX(Customers!$I$2:$I$41,MATCH(C1779,Customers!$A$2:$A$41,0))/365*Assumptions!$B$6</f>
        <v>395.577126575342</v>
      </c>
      <c r="N1779" s="16" t="n">
        <f aca="false">J1779-K1779-L1779-M1779</f>
        <v>57789.2902334247</v>
      </c>
      <c r="O1779" s="16" t="n">
        <f aca="false">F1779*IF(A1779="2025",INDEX(Products!$D$2:$D$13,MATCH(D1779,Products!$A$2:$A$13,0)),INDEX(Products!$F$2:$F$13,MATCH(D1779,Products!$A$2:$A$13,0)))</f>
        <v>28538</v>
      </c>
      <c r="P1779" s="16" t="n">
        <f aca="false">N1779-O1779</f>
        <v>29251.2902334247</v>
      </c>
    </row>
    <row r="1780" customFormat="false" ht="15" hidden="false" customHeight="false" outlineLevel="0" collapsed="false">
      <c r="A1780" s="2" t="s">
        <v>118</v>
      </c>
      <c r="B1780" s="2" t="n">
        <v>3</v>
      </c>
      <c r="C1780" s="2" t="s">
        <v>88</v>
      </c>
      <c r="D1780" s="2" t="s">
        <v>48</v>
      </c>
      <c r="E1780" s="2" t="str">
        <f aca="false">INDEX(Products!$B$2:$B$13,MATCH(D1780,Products!$A$2:$A$13,0))</f>
        <v>Specialty</v>
      </c>
      <c r="F1780" s="15" t="n">
        <v>2</v>
      </c>
      <c r="G1780" s="16" t="n">
        <f aca="false">IF(A1780="2025",INDEX(Products!$C$2:$C$13,MATCH(D1780,Products!$A$2:$A$13,0)),INDEX(Products!$E$2:$E$13,MATCH(D1780,Products!$A$2:$A$13,0)))</f>
        <v>33260</v>
      </c>
      <c r="H1780" s="13" t="n">
        <f aca="false">IF(A1780="2025",INDEX(Customers!$D$2:$D$41,MATCH(C1780,Customers!$A$2:$A$41,0)),INDEX(Customers!$F$2:$F$41,MATCH(C1780,Customers!$A$2:$A$41,0)))</f>
        <v>0.048</v>
      </c>
      <c r="I1780" s="16" t="n">
        <f aca="false">F1780*G1780</f>
        <v>66520</v>
      </c>
      <c r="J1780" s="16" t="n">
        <f aca="false">I1780*(1-H1780)</f>
        <v>63327.04</v>
      </c>
      <c r="K1780" s="16" t="n">
        <f aca="false">J1780*INDEX(Customers!$G$2:$G$41,MATCH(C1780,Customers!$A$2:$A$41,0))</f>
        <v>1899.8112</v>
      </c>
      <c r="L1780" s="16" t="n">
        <f aca="false">F1780*INDEX(Customers!$H$2:$H$41,MATCH(C1780,Customers!$A$2:$A$41,0))</f>
        <v>180</v>
      </c>
      <c r="M1780" s="16" t="n">
        <f aca="false">J1780*INDEX(Customers!$I$2:$I$41,MATCH(C1780,Customers!$A$2:$A$41,0))/365*Assumptions!$B$6</f>
        <v>416.396975342466</v>
      </c>
      <c r="N1780" s="16" t="n">
        <f aca="false">J1780-K1780-L1780-M1780</f>
        <v>60830.8318246575</v>
      </c>
      <c r="O1780" s="16" t="n">
        <f aca="false">F1780*IF(A1780="2025",INDEX(Products!$D$2:$D$13,MATCH(D1780,Products!$A$2:$A$13,0)),INDEX(Products!$F$2:$F$13,MATCH(D1780,Products!$A$2:$A$13,0)))</f>
        <v>30040</v>
      </c>
      <c r="P1780" s="16" t="n">
        <f aca="false">N1780-O1780</f>
        <v>30790.8318246575</v>
      </c>
    </row>
    <row r="1781" customFormat="false" ht="15" hidden="false" customHeight="false" outlineLevel="0" collapsed="false">
      <c r="A1781" s="2" t="s">
        <v>118</v>
      </c>
      <c r="B1781" s="2" t="n">
        <v>4</v>
      </c>
      <c r="C1781" s="2" t="s">
        <v>88</v>
      </c>
      <c r="D1781" s="2" t="s">
        <v>48</v>
      </c>
      <c r="E1781" s="2" t="str">
        <f aca="false">INDEX(Products!$B$2:$B$13,MATCH(D1781,Products!$A$2:$A$13,0))</f>
        <v>Specialty</v>
      </c>
      <c r="F1781" s="15" t="n">
        <v>1.1</v>
      </c>
      <c r="G1781" s="16" t="n">
        <f aca="false">IF(A1781="2025",INDEX(Products!$C$2:$C$13,MATCH(D1781,Products!$A$2:$A$13,0)),INDEX(Products!$E$2:$E$13,MATCH(D1781,Products!$A$2:$A$13,0)))</f>
        <v>33260</v>
      </c>
      <c r="H1781" s="13" t="n">
        <f aca="false">IF(A1781="2025",INDEX(Customers!$D$2:$D$41,MATCH(C1781,Customers!$A$2:$A$41,0)),INDEX(Customers!$F$2:$F$41,MATCH(C1781,Customers!$A$2:$A$41,0)))</f>
        <v>0.048</v>
      </c>
      <c r="I1781" s="16" t="n">
        <f aca="false">F1781*G1781</f>
        <v>36586</v>
      </c>
      <c r="J1781" s="16" t="n">
        <f aca="false">I1781*(1-H1781)</f>
        <v>34829.872</v>
      </c>
      <c r="K1781" s="16" t="n">
        <f aca="false">J1781*INDEX(Customers!$G$2:$G$41,MATCH(C1781,Customers!$A$2:$A$41,0))</f>
        <v>1044.89616</v>
      </c>
      <c r="L1781" s="16" t="n">
        <f aca="false">F1781*INDEX(Customers!$H$2:$H$41,MATCH(C1781,Customers!$A$2:$A$41,0))</f>
        <v>99</v>
      </c>
      <c r="M1781" s="16" t="n">
        <f aca="false">J1781*INDEX(Customers!$I$2:$I$41,MATCH(C1781,Customers!$A$2:$A$41,0))/365*Assumptions!$B$6</f>
        <v>229.018336438356</v>
      </c>
      <c r="N1781" s="16" t="n">
        <f aca="false">J1781-K1781-L1781-M1781</f>
        <v>33456.9575035616</v>
      </c>
      <c r="O1781" s="16" t="n">
        <f aca="false">F1781*IF(A1781="2025",INDEX(Products!$D$2:$D$13,MATCH(D1781,Products!$A$2:$A$13,0)),INDEX(Products!$F$2:$F$13,MATCH(D1781,Products!$A$2:$A$13,0)))</f>
        <v>16522</v>
      </c>
      <c r="P1781" s="16" t="n">
        <f aca="false">N1781-O1781</f>
        <v>16934.9575035616</v>
      </c>
    </row>
    <row r="1782" customFormat="false" ht="15" hidden="false" customHeight="false" outlineLevel="0" collapsed="false">
      <c r="A1782" s="2" t="s">
        <v>118</v>
      </c>
      <c r="B1782" s="2" t="n">
        <v>5</v>
      </c>
      <c r="C1782" s="2" t="s">
        <v>88</v>
      </c>
      <c r="D1782" s="2" t="s">
        <v>48</v>
      </c>
      <c r="E1782" s="2" t="str">
        <f aca="false">INDEX(Products!$B$2:$B$13,MATCH(D1782,Products!$A$2:$A$13,0))</f>
        <v>Specialty</v>
      </c>
      <c r="F1782" s="15" t="n">
        <v>1.7</v>
      </c>
      <c r="G1782" s="16" t="n">
        <f aca="false">IF(A1782="2025",INDEX(Products!$C$2:$C$13,MATCH(D1782,Products!$A$2:$A$13,0)),INDEX(Products!$E$2:$E$13,MATCH(D1782,Products!$A$2:$A$13,0)))</f>
        <v>33260</v>
      </c>
      <c r="H1782" s="13" t="n">
        <f aca="false">IF(A1782="2025",INDEX(Customers!$D$2:$D$41,MATCH(C1782,Customers!$A$2:$A$41,0)),INDEX(Customers!$F$2:$F$41,MATCH(C1782,Customers!$A$2:$A$41,0)))</f>
        <v>0.048</v>
      </c>
      <c r="I1782" s="16" t="n">
        <f aca="false">F1782*G1782</f>
        <v>56542</v>
      </c>
      <c r="J1782" s="16" t="n">
        <f aca="false">I1782*(1-H1782)</f>
        <v>53827.984</v>
      </c>
      <c r="K1782" s="16" t="n">
        <f aca="false">J1782*INDEX(Customers!$G$2:$G$41,MATCH(C1782,Customers!$A$2:$A$41,0))</f>
        <v>1614.83952</v>
      </c>
      <c r="L1782" s="16" t="n">
        <f aca="false">F1782*INDEX(Customers!$H$2:$H$41,MATCH(C1782,Customers!$A$2:$A$41,0))</f>
        <v>153</v>
      </c>
      <c r="M1782" s="16" t="n">
        <f aca="false">J1782*INDEX(Customers!$I$2:$I$41,MATCH(C1782,Customers!$A$2:$A$41,0))/365*Assumptions!$B$6</f>
        <v>353.937429041096</v>
      </c>
      <c r="N1782" s="16" t="n">
        <f aca="false">J1782-K1782-L1782-M1782</f>
        <v>51706.2070509589</v>
      </c>
      <c r="O1782" s="16" t="n">
        <f aca="false">F1782*IF(A1782="2025",INDEX(Products!$D$2:$D$13,MATCH(D1782,Products!$A$2:$A$13,0)),INDEX(Products!$F$2:$F$13,MATCH(D1782,Products!$A$2:$A$13,0)))</f>
        <v>25534</v>
      </c>
      <c r="P1782" s="16" t="n">
        <f aca="false">N1782-O1782</f>
        <v>26172.2070509589</v>
      </c>
    </row>
    <row r="1783" customFormat="false" ht="15" hidden="false" customHeight="false" outlineLevel="0" collapsed="false">
      <c r="A1783" s="2" t="s">
        <v>118</v>
      </c>
      <c r="B1783" s="2" t="n">
        <v>6</v>
      </c>
      <c r="C1783" s="2" t="s">
        <v>88</v>
      </c>
      <c r="D1783" s="2" t="s">
        <v>48</v>
      </c>
      <c r="E1783" s="2" t="str">
        <f aca="false">INDEX(Products!$B$2:$B$13,MATCH(D1783,Products!$A$2:$A$13,0))</f>
        <v>Specialty</v>
      </c>
      <c r="F1783" s="15" t="n">
        <v>1.5</v>
      </c>
      <c r="G1783" s="16" t="n">
        <f aca="false">IF(A1783="2025",INDEX(Products!$C$2:$C$13,MATCH(D1783,Products!$A$2:$A$13,0)),INDEX(Products!$E$2:$E$13,MATCH(D1783,Products!$A$2:$A$13,0)))</f>
        <v>33260</v>
      </c>
      <c r="H1783" s="13" t="n">
        <f aca="false">IF(A1783="2025",INDEX(Customers!$D$2:$D$41,MATCH(C1783,Customers!$A$2:$A$41,0)),INDEX(Customers!$F$2:$F$41,MATCH(C1783,Customers!$A$2:$A$41,0)))</f>
        <v>0.048</v>
      </c>
      <c r="I1783" s="16" t="n">
        <f aca="false">F1783*G1783</f>
        <v>49890</v>
      </c>
      <c r="J1783" s="16" t="n">
        <f aca="false">I1783*(1-H1783)</f>
        <v>47495.28</v>
      </c>
      <c r="K1783" s="16" t="n">
        <f aca="false">J1783*INDEX(Customers!$G$2:$G$41,MATCH(C1783,Customers!$A$2:$A$41,0))</f>
        <v>1424.8584</v>
      </c>
      <c r="L1783" s="16" t="n">
        <f aca="false">F1783*INDEX(Customers!$H$2:$H$41,MATCH(C1783,Customers!$A$2:$A$41,0))</f>
        <v>135</v>
      </c>
      <c r="M1783" s="16" t="n">
        <f aca="false">J1783*INDEX(Customers!$I$2:$I$41,MATCH(C1783,Customers!$A$2:$A$41,0))/365*Assumptions!$B$6</f>
        <v>312.297731506849</v>
      </c>
      <c r="N1783" s="16" t="n">
        <f aca="false">J1783-K1783-L1783-M1783</f>
        <v>45623.1238684932</v>
      </c>
      <c r="O1783" s="16" t="n">
        <f aca="false">F1783*IF(A1783="2025",INDEX(Products!$D$2:$D$13,MATCH(D1783,Products!$A$2:$A$13,0)),INDEX(Products!$F$2:$F$13,MATCH(D1783,Products!$A$2:$A$13,0)))</f>
        <v>22530</v>
      </c>
      <c r="P1783" s="16" t="n">
        <f aca="false">N1783-O1783</f>
        <v>23093.1238684932</v>
      </c>
    </row>
    <row r="1784" customFormat="false" ht="15" hidden="false" customHeight="false" outlineLevel="0" collapsed="false">
      <c r="A1784" s="2" t="s">
        <v>118</v>
      </c>
      <c r="B1784" s="2" t="n">
        <v>7</v>
      </c>
      <c r="C1784" s="2" t="s">
        <v>88</v>
      </c>
      <c r="D1784" s="2" t="s">
        <v>48</v>
      </c>
      <c r="E1784" s="2" t="str">
        <f aca="false">INDEX(Products!$B$2:$B$13,MATCH(D1784,Products!$A$2:$A$13,0))</f>
        <v>Specialty</v>
      </c>
      <c r="F1784" s="15" t="n">
        <v>1.2</v>
      </c>
      <c r="G1784" s="16" t="n">
        <f aca="false">IF(A1784="2025",INDEX(Products!$C$2:$C$13,MATCH(D1784,Products!$A$2:$A$13,0)),INDEX(Products!$E$2:$E$13,MATCH(D1784,Products!$A$2:$A$13,0)))</f>
        <v>33260</v>
      </c>
      <c r="H1784" s="13" t="n">
        <f aca="false">IF(A1784="2025",INDEX(Customers!$D$2:$D$41,MATCH(C1784,Customers!$A$2:$A$41,0)),INDEX(Customers!$F$2:$F$41,MATCH(C1784,Customers!$A$2:$A$41,0)))</f>
        <v>0.048</v>
      </c>
      <c r="I1784" s="16" t="n">
        <f aca="false">F1784*G1784</f>
        <v>39912</v>
      </c>
      <c r="J1784" s="16" t="n">
        <f aca="false">I1784*(1-H1784)</f>
        <v>37996.224</v>
      </c>
      <c r="K1784" s="16" t="n">
        <f aca="false">J1784*INDEX(Customers!$G$2:$G$41,MATCH(C1784,Customers!$A$2:$A$41,0))</f>
        <v>1139.88672</v>
      </c>
      <c r="L1784" s="16" t="n">
        <f aca="false">F1784*INDEX(Customers!$H$2:$H$41,MATCH(C1784,Customers!$A$2:$A$41,0))</f>
        <v>108</v>
      </c>
      <c r="M1784" s="16" t="n">
        <f aca="false">J1784*INDEX(Customers!$I$2:$I$41,MATCH(C1784,Customers!$A$2:$A$41,0))/365*Assumptions!$B$6</f>
        <v>249.838185205479</v>
      </c>
      <c r="N1784" s="16" t="n">
        <f aca="false">J1784-K1784-L1784-M1784</f>
        <v>36498.4990947945</v>
      </c>
      <c r="O1784" s="16" t="n">
        <f aca="false">F1784*IF(A1784="2025",INDEX(Products!$D$2:$D$13,MATCH(D1784,Products!$A$2:$A$13,0)),INDEX(Products!$F$2:$F$13,MATCH(D1784,Products!$A$2:$A$13,0)))</f>
        <v>18024</v>
      </c>
      <c r="P1784" s="16" t="n">
        <f aca="false">N1784-O1784</f>
        <v>18474.4990947945</v>
      </c>
    </row>
    <row r="1785" customFormat="false" ht="15" hidden="false" customHeight="false" outlineLevel="0" collapsed="false">
      <c r="A1785" s="2" t="s">
        <v>118</v>
      </c>
      <c r="B1785" s="2" t="n">
        <v>8</v>
      </c>
      <c r="C1785" s="2" t="s">
        <v>88</v>
      </c>
      <c r="D1785" s="2" t="s">
        <v>48</v>
      </c>
      <c r="E1785" s="2" t="str">
        <f aca="false">INDEX(Products!$B$2:$B$13,MATCH(D1785,Products!$A$2:$A$13,0))</f>
        <v>Specialty</v>
      </c>
      <c r="F1785" s="15" t="n">
        <v>1.9</v>
      </c>
      <c r="G1785" s="16" t="n">
        <f aca="false">IF(A1785="2025",INDEX(Products!$C$2:$C$13,MATCH(D1785,Products!$A$2:$A$13,0)),INDEX(Products!$E$2:$E$13,MATCH(D1785,Products!$A$2:$A$13,0)))</f>
        <v>33260</v>
      </c>
      <c r="H1785" s="13" t="n">
        <f aca="false">IF(A1785="2025",INDEX(Customers!$D$2:$D$41,MATCH(C1785,Customers!$A$2:$A$41,0)),INDEX(Customers!$F$2:$F$41,MATCH(C1785,Customers!$A$2:$A$41,0)))</f>
        <v>0.048</v>
      </c>
      <c r="I1785" s="16" t="n">
        <f aca="false">F1785*G1785</f>
        <v>63194</v>
      </c>
      <c r="J1785" s="16" t="n">
        <f aca="false">I1785*(1-H1785)</f>
        <v>60160.688</v>
      </c>
      <c r="K1785" s="16" t="n">
        <f aca="false">J1785*INDEX(Customers!$G$2:$G$41,MATCH(C1785,Customers!$A$2:$A$41,0))</f>
        <v>1804.82064</v>
      </c>
      <c r="L1785" s="16" t="n">
        <f aca="false">F1785*INDEX(Customers!$H$2:$H$41,MATCH(C1785,Customers!$A$2:$A$41,0))</f>
        <v>171</v>
      </c>
      <c r="M1785" s="16" t="n">
        <f aca="false">J1785*INDEX(Customers!$I$2:$I$41,MATCH(C1785,Customers!$A$2:$A$41,0))/365*Assumptions!$B$6</f>
        <v>395.577126575342</v>
      </c>
      <c r="N1785" s="16" t="n">
        <f aca="false">J1785-K1785-L1785-M1785</f>
        <v>57789.2902334247</v>
      </c>
      <c r="O1785" s="16" t="n">
        <f aca="false">F1785*IF(A1785="2025",INDEX(Products!$D$2:$D$13,MATCH(D1785,Products!$A$2:$A$13,0)),INDEX(Products!$F$2:$F$13,MATCH(D1785,Products!$A$2:$A$13,0)))</f>
        <v>28538</v>
      </c>
      <c r="P1785" s="16" t="n">
        <f aca="false">N1785-O1785</f>
        <v>29251.2902334247</v>
      </c>
    </row>
    <row r="1786" customFormat="false" ht="15" hidden="false" customHeight="false" outlineLevel="0" collapsed="false">
      <c r="A1786" s="2" t="s">
        <v>118</v>
      </c>
      <c r="B1786" s="2" t="n">
        <v>9</v>
      </c>
      <c r="C1786" s="2" t="s">
        <v>88</v>
      </c>
      <c r="D1786" s="2" t="s">
        <v>48</v>
      </c>
      <c r="E1786" s="2" t="str">
        <f aca="false">INDEX(Products!$B$2:$B$13,MATCH(D1786,Products!$A$2:$A$13,0))</f>
        <v>Specialty</v>
      </c>
      <c r="F1786" s="15" t="n">
        <v>1.5</v>
      </c>
      <c r="G1786" s="16" t="n">
        <f aca="false">IF(A1786="2025",INDEX(Products!$C$2:$C$13,MATCH(D1786,Products!$A$2:$A$13,0)),INDEX(Products!$E$2:$E$13,MATCH(D1786,Products!$A$2:$A$13,0)))</f>
        <v>33260</v>
      </c>
      <c r="H1786" s="13" t="n">
        <f aca="false">IF(A1786="2025",INDEX(Customers!$D$2:$D$41,MATCH(C1786,Customers!$A$2:$A$41,0)),INDEX(Customers!$F$2:$F$41,MATCH(C1786,Customers!$A$2:$A$41,0)))</f>
        <v>0.048</v>
      </c>
      <c r="I1786" s="16" t="n">
        <f aca="false">F1786*G1786</f>
        <v>49890</v>
      </c>
      <c r="J1786" s="16" t="n">
        <f aca="false">I1786*(1-H1786)</f>
        <v>47495.28</v>
      </c>
      <c r="K1786" s="16" t="n">
        <f aca="false">J1786*INDEX(Customers!$G$2:$G$41,MATCH(C1786,Customers!$A$2:$A$41,0))</f>
        <v>1424.8584</v>
      </c>
      <c r="L1786" s="16" t="n">
        <f aca="false">F1786*INDEX(Customers!$H$2:$H$41,MATCH(C1786,Customers!$A$2:$A$41,0))</f>
        <v>135</v>
      </c>
      <c r="M1786" s="16" t="n">
        <f aca="false">J1786*INDEX(Customers!$I$2:$I$41,MATCH(C1786,Customers!$A$2:$A$41,0))/365*Assumptions!$B$6</f>
        <v>312.297731506849</v>
      </c>
      <c r="N1786" s="16" t="n">
        <f aca="false">J1786-K1786-L1786-M1786</f>
        <v>45623.1238684932</v>
      </c>
      <c r="O1786" s="16" t="n">
        <f aca="false">F1786*IF(A1786="2025",INDEX(Products!$D$2:$D$13,MATCH(D1786,Products!$A$2:$A$13,0)),INDEX(Products!$F$2:$F$13,MATCH(D1786,Products!$A$2:$A$13,0)))</f>
        <v>22530</v>
      </c>
      <c r="P1786" s="16" t="n">
        <f aca="false">N1786-O1786</f>
        <v>23093.1238684932</v>
      </c>
    </row>
    <row r="1787" customFormat="false" ht="15" hidden="false" customHeight="false" outlineLevel="0" collapsed="false">
      <c r="A1787" s="2" t="s">
        <v>118</v>
      </c>
      <c r="B1787" s="2" t="n">
        <v>10</v>
      </c>
      <c r="C1787" s="2" t="s">
        <v>88</v>
      </c>
      <c r="D1787" s="2" t="s">
        <v>48</v>
      </c>
      <c r="E1787" s="2" t="str">
        <f aca="false">INDEX(Products!$B$2:$B$13,MATCH(D1787,Products!$A$2:$A$13,0))</f>
        <v>Specialty</v>
      </c>
      <c r="F1787" s="15" t="n">
        <v>1.7</v>
      </c>
      <c r="G1787" s="16" t="n">
        <f aca="false">IF(A1787="2025",INDEX(Products!$C$2:$C$13,MATCH(D1787,Products!$A$2:$A$13,0)),INDEX(Products!$E$2:$E$13,MATCH(D1787,Products!$A$2:$A$13,0)))</f>
        <v>33260</v>
      </c>
      <c r="H1787" s="13" t="n">
        <f aca="false">IF(A1787="2025",INDEX(Customers!$D$2:$D$41,MATCH(C1787,Customers!$A$2:$A$41,0)),INDEX(Customers!$F$2:$F$41,MATCH(C1787,Customers!$A$2:$A$41,0)))</f>
        <v>0.048</v>
      </c>
      <c r="I1787" s="16" t="n">
        <f aca="false">F1787*G1787</f>
        <v>56542</v>
      </c>
      <c r="J1787" s="16" t="n">
        <f aca="false">I1787*(1-H1787)</f>
        <v>53827.984</v>
      </c>
      <c r="K1787" s="16" t="n">
        <f aca="false">J1787*INDEX(Customers!$G$2:$G$41,MATCH(C1787,Customers!$A$2:$A$41,0))</f>
        <v>1614.83952</v>
      </c>
      <c r="L1787" s="16" t="n">
        <f aca="false">F1787*INDEX(Customers!$H$2:$H$41,MATCH(C1787,Customers!$A$2:$A$41,0))</f>
        <v>153</v>
      </c>
      <c r="M1787" s="16" t="n">
        <f aca="false">J1787*INDEX(Customers!$I$2:$I$41,MATCH(C1787,Customers!$A$2:$A$41,0))/365*Assumptions!$B$6</f>
        <v>353.937429041096</v>
      </c>
      <c r="N1787" s="16" t="n">
        <f aca="false">J1787-K1787-L1787-M1787</f>
        <v>51706.2070509589</v>
      </c>
      <c r="O1787" s="16" t="n">
        <f aca="false">F1787*IF(A1787="2025",INDEX(Products!$D$2:$D$13,MATCH(D1787,Products!$A$2:$A$13,0)),INDEX(Products!$F$2:$F$13,MATCH(D1787,Products!$A$2:$A$13,0)))</f>
        <v>25534</v>
      </c>
      <c r="P1787" s="16" t="n">
        <f aca="false">N1787-O1787</f>
        <v>26172.2070509589</v>
      </c>
    </row>
    <row r="1788" customFormat="false" ht="15" hidden="false" customHeight="false" outlineLevel="0" collapsed="false">
      <c r="A1788" s="2" t="s">
        <v>118</v>
      </c>
      <c r="B1788" s="2" t="n">
        <v>11</v>
      </c>
      <c r="C1788" s="2" t="s">
        <v>88</v>
      </c>
      <c r="D1788" s="2" t="s">
        <v>48</v>
      </c>
      <c r="E1788" s="2" t="str">
        <f aca="false">INDEX(Products!$B$2:$B$13,MATCH(D1788,Products!$A$2:$A$13,0))</f>
        <v>Specialty</v>
      </c>
      <c r="F1788" s="15" t="n">
        <v>1.5</v>
      </c>
      <c r="G1788" s="16" t="n">
        <f aca="false">IF(A1788="2025",INDEX(Products!$C$2:$C$13,MATCH(D1788,Products!$A$2:$A$13,0)),INDEX(Products!$E$2:$E$13,MATCH(D1788,Products!$A$2:$A$13,0)))</f>
        <v>33260</v>
      </c>
      <c r="H1788" s="13" t="n">
        <f aca="false">IF(A1788="2025",INDEX(Customers!$D$2:$D$41,MATCH(C1788,Customers!$A$2:$A$41,0)),INDEX(Customers!$F$2:$F$41,MATCH(C1788,Customers!$A$2:$A$41,0)))</f>
        <v>0.048</v>
      </c>
      <c r="I1788" s="16" t="n">
        <f aca="false">F1788*G1788</f>
        <v>49890</v>
      </c>
      <c r="J1788" s="16" t="n">
        <f aca="false">I1788*(1-H1788)</f>
        <v>47495.28</v>
      </c>
      <c r="K1788" s="16" t="n">
        <f aca="false">J1788*INDEX(Customers!$G$2:$G$41,MATCH(C1788,Customers!$A$2:$A$41,0))</f>
        <v>1424.8584</v>
      </c>
      <c r="L1788" s="16" t="n">
        <f aca="false">F1788*INDEX(Customers!$H$2:$H$41,MATCH(C1788,Customers!$A$2:$A$41,0))</f>
        <v>135</v>
      </c>
      <c r="M1788" s="16" t="n">
        <f aca="false">J1788*INDEX(Customers!$I$2:$I$41,MATCH(C1788,Customers!$A$2:$A$41,0))/365*Assumptions!$B$6</f>
        <v>312.297731506849</v>
      </c>
      <c r="N1788" s="16" t="n">
        <f aca="false">J1788-K1788-L1788-M1788</f>
        <v>45623.1238684932</v>
      </c>
      <c r="O1788" s="16" t="n">
        <f aca="false">F1788*IF(A1788="2025",INDEX(Products!$D$2:$D$13,MATCH(D1788,Products!$A$2:$A$13,0)),INDEX(Products!$F$2:$F$13,MATCH(D1788,Products!$A$2:$A$13,0)))</f>
        <v>22530</v>
      </c>
      <c r="P1788" s="16" t="n">
        <f aca="false">N1788-O1788</f>
        <v>23093.1238684932</v>
      </c>
    </row>
    <row r="1789" customFormat="false" ht="15" hidden="false" customHeight="false" outlineLevel="0" collapsed="false">
      <c r="A1789" s="2" t="s">
        <v>118</v>
      </c>
      <c r="B1789" s="2" t="n">
        <v>12</v>
      </c>
      <c r="C1789" s="2" t="s">
        <v>88</v>
      </c>
      <c r="D1789" s="2" t="s">
        <v>48</v>
      </c>
      <c r="E1789" s="2" t="str">
        <f aca="false">INDEX(Products!$B$2:$B$13,MATCH(D1789,Products!$A$2:$A$13,0))</f>
        <v>Specialty</v>
      </c>
      <c r="F1789" s="15" t="n">
        <v>1.4</v>
      </c>
      <c r="G1789" s="16" t="n">
        <f aca="false">IF(A1789="2025",INDEX(Products!$C$2:$C$13,MATCH(D1789,Products!$A$2:$A$13,0)),INDEX(Products!$E$2:$E$13,MATCH(D1789,Products!$A$2:$A$13,0)))</f>
        <v>33260</v>
      </c>
      <c r="H1789" s="13" t="n">
        <f aca="false">IF(A1789="2025",INDEX(Customers!$D$2:$D$41,MATCH(C1789,Customers!$A$2:$A$41,0)),INDEX(Customers!$F$2:$F$41,MATCH(C1789,Customers!$A$2:$A$41,0)))</f>
        <v>0.048</v>
      </c>
      <c r="I1789" s="16" t="n">
        <f aca="false">F1789*G1789</f>
        <v>46564</v>
      </c>
      <c r="J1789" s="16" t="n">
        <f aca="false">I1789*(1-H1789)</f>
        <v>44328.928</v>
      </c>
      <c r="K1789" s="16" t="n">
        <f aca="false">J1789*INDEX(Customers!$G$2:$G$41,MATCH(C1789,Customers!$A$2:$A$41,0))</f>
        <v>1329.86784</v>
      </c>
      <c r="L1789" s="16" t="n">
        <f aca="false">F1789*INDEX(Customers!$H$2:$H$41,MATCH(C1789,Customers!$A$2:$A$41,0))</f>
        <v>126</v>
      </c>
      <c r="M1789" s="16" t="n">
        <f aca="false">J1789*INDEX(Customers!$I$2:$I$41,MATCH(C1789,Customers!$A$2:$A$41,0))/365*Assumptions!$B$6</f>
        <v>291.477882739726</v>
      </c>
      <c r="N1789" s="16" t="n">
        <f aca="false">J1789-K1789-L1789-M1789</f>
        <v>42581.5822772603</v>
      </c>
      <c r="O1789" s="16" t="n">
        <f aca="false">F1789*IF(A1789="2025",INDEX(Products!$D$2:$D$13,MATCH(D1789,Products!$A$2:$A$13,0)),INDEX(Products!$F$2:$F$13,MATCH(D1789,Products!$A$2:$A$13,0)))</f>
        <v>21028</v>
      </c>
      <c r="P1789" s="16" t="n">
        <f aca="false">N1789-O1789</f>
        <v>21553.5822772603</v>
      </c>
    </row>
    <row r="1790" customFormat="false" ht="15" hidden="false" customHeight="false" outlineLevel="0" collapsed="false">
      <c r="A1790" s="2" t="s">
        <v>119</v>
      </c>
      <c r="B1790" s="2" t="n">
        <v>1</v>
      </c>
      <c r="C1790" s="2" t="s">
        <v>88</v>
      </c>
      <c r="D1790" s="2" t="s">
        <v>48</v>
      </c>
      <c r="E1790" s="2" t="str">
        <f aca="false">INDEX(Products!$B$2:$B$13,MATCH(D1790,Products!$A$2:$A$13,0))</f>
        <v>Specialty</v>
      </c>
      <c r="F1790" s="15" t="n">
        <v>1.8</v>
      </c>
      <c r="G1790" s="16" t="n">
        <f aca="false">IF(A1790="2025",INDEX(Products!$C$2:$C$13,MATCH(D1790,Products!$A$2:$A$13,0)),INDEX(Products!$E$2:$E$13,MATCH(D1790,Products!$A$2:$A$13,0)))</f>
        <v>34923</v>
      </c>
      <c r="H1790" s="13" t="n">
        <f aca="false">IF(A1790="2025",INDEX(Customers!$D$2:$D$41,MATCH(C1790,Customers!$A$2:$A$41,0)),INDEX(Customers!$F$2:$F$41,MATCH(C1790,Customers!$A$2:$A$41,0)))</f>
        <v>0.048</v>
      </c>
      <c r="I1790" s="16" t="n">
        <f aca="false">F1790*G1790</f>
        <v>62861.4</v>
      </c>
      <c r="J1790" s="16" t="n">
        <f aca="false">I1790*(1-H1790)</f>
        <v>59844.0528</v>
      </c>
      <c r="K1790" s="16" t="n">
        <f aca="false">J1790*INDEX(Customers!$G$2:$G$41,MATCH(C1790,Customers!$A$2:$A$41,0))</f>
        <v>1795.321584</v>
      </c>
      <c r="L1790" s="16" t="n">
        <f aca="false">F1790*INDEX(Customers!$H$2:$H$41,MATCH(C1790,Customers!$A$2:$A$41,0))</f>
        <v>162</v>
      </c>
      <c r="M1790" s="16" t="n">
        <f aca="false">J1790*INDEX(Customers!$I$2:$I$41,MATCH(C1790,Customers!$A$2:$A$41,0))/365*Assumptions!$B$6</f>
        <v>393.49514169863</v>
      </c>
      <c r="N1790" s="16" t="n">
        <f aca="false">J1790-K1790-L1790-M1790</f>
        <v>57493.2360743014</v>
      </c>
      <c r="O1790" s="16" t="n">
        <f aca="false">F1790*IF(A1790="2025",INDEX(Products!$D$2:$D$13,MATCH(D1790,Products!$A$2:$A$13,0)),INDEX(Products!$F$2:$F$13,MATCH(D1790,Products!$A$2:$A$13,0)))</f>
        <v>27847.08</v>
      </c>
      <c r="P1790" s="16" t="n">
        <f aca="false">N1790-O1790</f>
        <v>29646.1560743014</v>
      </c>
    </row>
    <row r="1791" customFormat="false" ht="15" hidden="false" customHeight="false" outlineLevel="0" collapsed="false">
      <c r="A1791" s="2" t="s">
        <v>119</v>
      </c>
      <c r="B1791" s="2" t="n">
        <v>2</v>
      </c>
      <c r="C1791" s="2" t="s">
        <v>88</v>
      </c>
      <c r="D1791" s="2" t="s">
        <v>48</v>
      </c>
      <c r="E1791" s="2" t="str">
        <f aca="false">INDEX(Products!$B$2:$B$13,MATCH(D1791,Products!$A$2:$A$13,0))</f>
        <v>Specialty</v>
      </c>
      <c r="F1791" s="15" t="n">
        <v>1.8</v>
      </c>
      <c r="G1791" s="16" t="n">
        <f aca="false">IF(A1791="2025",INDEX(Products!$C$2:$C$13,MATCH(D1791,Products!$A$2:$A$13,0)),INDEX(Products!$E$2:$E$13,MATCH(D1791,Products!$A$2:$A$13,0)))</f>
        <v>34923</v>
      </c>
      <c r="H1791" s="13" t="n">
        <f aca="false">IF(A1791="2025",INDEX(Customers!$D$2:$D$41,MATCH(C1791,Customers!$A$2:$A$41,0)),INDEX(Customers!$F$2:$F$41,MATCH(C1791,Customers!$A$2:$A$41,0)))</f>
        <v>0.048</v>
      </c>
      <c r="I1791" s="16" t="n">
        <f aca="false">F1791*G1791</f>
        <v>62861.4</v>
      </c>
      <c r="J1791" s="16" t="n">
        <f aca="false">I1791*(1-H1791)</f>
        <v>59844.0528</v>
      </c>
      <c r="K1791" s="16" t="n">
        <f aca="false">J1791*INDEX(Customers!$G$2:$G$41,MATCH(C1791,Customers!$A$2:$A$41,0))</f>
        <v>1795.321584</v>
      </c>
      <c r="L1791" s="16" t="n">
        <f aca="false">F1791*INDEX(Customers!$H$2:$H$41,MATCH(C1791,Customers!$A$2:$A$41,0))</f>
        <v>162</v>
      </c>
      <c r="M1791" s="16" t="n">
        <f aca="false">J1791*INDEX(Customers!$I$2:$I$41,MATCH(C1791,Customers!$A$2:$A$41,0))/365*Assumptions!$B$6</f>
        <v>393.49514169863</v>
      </c>
      <c r="N1791" s="16" t="n">
        <f aca="false">J1791-K1791-L1791-M1791</f>
        <v>57493.2360743014</v>
      </c>
      <c r="O1791" s="16" t="n">
        <f aca="false">F1791*IF(A1791="2025",INDEX(Products!$D$2:$D$13,MATCH(D1791,Products!$A$2:$A$13,0)),INDEX(Products!$F$2:$F$13,MATCH(D1791,Products!$A$2:$A$13,0)))</f>
        <v>27847.08</v>
      </c>
      <c r="P1791" s="16" t="n">
        <f aca="false">N1791-O1791</f>
        <v>29646.1560743014</v>
      </c>
    </row>
    <row r="1792" customFormat="false" ht="15" hidden="false" customHeight="false" outlineLevel="0" collapsed="false">
      <c r="A1792" s="2" t="s">
        <v>119</v>
      </c>
      <c r="B1792" s="2" t="n">
        <v>3</v>
      </c>
      <c r="C1792" s="2" t="s">
        <v>88</v>
      </c>
      <c r="D1792" s="2" t="s">
        <v>48</v>
      </c>
      <c r="E1792" s="2" t="str">
        <f aca="false">INDEX(Products!$B$2:$B$13,MATCH(D1792,Products!$A$2:$A$13,0))</f>
        <v>Specialty</v>
      </c>
      <c r="F1792" s="15" t="n">
        <v>1.2</v>
      </c>
      <c r="G1792" s="16" t="n">
        <f aca="false">IF(A1792="2025",INDEX(Products!$C$2:$C$13,MATCH(D1792,Products!$A$2:$A$13,0)),INDEX(Products!$E$2:$E$13,MATCH(D1792,Products!$A$2:$A$13,0)))</f>
        <v>34923</v>
      </c>
      <c r="H1792" s="13" t="n">
        <f aca="false">IF(A1792="2025",INDEX(Customers!$D$2:$D$41,MATCH(C1792,Customers!$A$2:$A$41,0)),INDEX(Customers!$F$2:$F$41,MATCH(C1792,Customers!$A$2:$A$41,0)))</f>
        <v>0.048</v>
      </c>
      <c r="I1792" s="16" t="n">
        <f aca="false">F1792*G1792</f>
        <v>41907.6</v>
      </c>
      <c r="J1792" s="16" t="n">
        <f aca="false">I1792*(1-H1792)</f>
        <v>39896.0352</v>
      </c>
      <c r="K1792" s="16" t="n">
        <f aca="false">J1792*INDEX(Customers!$G$2:$G$41,MATCH(C1792,Customers!$A$2:$A$41,0))</f>
        <v>1196.881056</v>
      </c>
      <c r="L1792" s="16" t="n">
        <f aca="false">F1792*INDEX(Customers!$H$2:$H$41,MATCH(C1792,Customers!$A$2:$A$41,0))</f>
        <v>108</v>
      </c>
      <c r="M1792" s="16" t="n">
        <f aca="false">J1792*INDEX(Customers!$I$2:$I$41,MATCH(C1792,Customers!$A$2:$A$41,0))/365*Assumptions!$B$6</f>
        <v>262.330094465753</v>
      </c>
      <c r="N1792" s="16" t="n">
        <f aca="false">J1792-K1792-L1792-M1792</f>
        <v>38328.8240495343</v>
      </c>
      <c r="O1792" s="16" t="n">
        <f aca="false">F1792*IF(A1792="2025",INDEX(Products!$D$2:$D$13,MATCH(D1792,Products!$A$2:$A$13,0)),INDEX(Products!$F$2:$F$13,MATCH(D1792,Products!$A$2:$A$13,0)))</f>
        <v>18564.72</v>
      </c>
      <c r="P1792" s="16" t="n">
        <f aca="false">N1792-O1792</f>
        <v>19764.1040495342</v>
      </c>
    </row>
    <row r="1793" customFormat="false" ht="15" hidden="false" customHeight="false" outlineLevel="0" collapsed="false">
      <c r="A1793" s="2" t="s">
        <v>119</v>
      </c>
      <c r="B1793" s="2" t="n">
        <v>4</v>
      </c>
      <c r="C1793" s="2" t="s">
        <v>88</v>
      </c>
      <c r="D1793" s="2" t="s">
        <v>48</v>
      </c>
      <c r="E1793" s="2" t="str">
        <f aca="false">INDEX(Products!$B$2:$B$13,MATCH(D1793,Products!$A$2:$A$13,0))</f>
        <v>Specialty</v>
      </c>
      <c r="F1793" s="15" t="n">
        <v>1.5</v>
      </c>
      <c r="G1793" s="16" t="n">
        <f aca="false">IF(A1793="2025",INDEX(Products!$C$2:$C$13,MATCH(D1793,Products!$A$2:$A$13,0)),INDEX(Products!$E$2:$E$13,MATCH(D1793,Products!$A$2:$A$13,0)))</f>
        <v>34923</v>
      </c>
      <c r="H1793" s="13" t="n">
        <f aca="false">IF(A1793="2025",INDEX(Customers!$D$2:$D$41,MATCH(C1793,Customers!$A$2:$A$41,0)),INDEX(Customers!$F$2:$F$41,MATCH(C1793,Customers!$A$2:$A$41,0)))</f>
        <v>0.048</v>
      </c>
      <c r="I1793" s="16" t="n">
        <f aca="false">F1793*G1793</f>
        <v>52384.5</v>
      </c>
      <c r="J1793" s="16" t="n">
        <f aca="false">I1793*(1-H1793)</f>
        <v>49870.044</v>
      </c>
      <c r="K1793" s="16" t="n">
        <f aca="false">J1793*INDEX(Customers!$G$2:$G$41,MATCH(C1793,Customers!$A$2:$A$41,0))</f>
        <v>1496.10132</v>
      </c>
      <c r="L1793" s="16" t="n">
        <f aca="false">F1793*INDEX(Customers!$H$2:$H$41,MATCH(C1793,Customers!$A$2:$A$41,0))</f>
        <v>135</v>
      </c>
      <c r="M1793" s="16" t="n">
        <f aca="false">J1793*INDEX(Customers!$I$2:$I$41,MATCH(C1793,Customers!$A$2:$A$41,0))/365*Assumptions!$B$6</f>
        <v>327.912618082192</v>
      </c>
      <c r="N1793" s="16" t="n">
        <f aca="false">J1793-K1793-L1793-M1793</f>
        <v>47911.0300619178</v>
      </c>
      <c r="O1793" s="16" t="n">
        <f aca="false">F1793*IF(A1793="2025",INDEX(Products!$D$2:$D$13,MATCH(D1793,Products!$A$2:$A$13,0)),INDEX(Products!$F$2:$F$13,MATCH(D1793,Products!$A$2:$A$13,0)))</f>
        <v>23205.9</v>
      </c>
      <c r="P1793" s="16" t="n">
        <f aca="false">N1793-O1793</f>
        <v>24705.1300619178</v>
      </c>
    </row>
    <row r="1794" customFormat="false" ht="15" hidden="false" customHeight="false" outlineLevel="0" collapsed="false">
      <c r="A1794" s="2" t="s">
        <v>119</v>
      </c>
      <c r="B1794" s="2" t="n">
        <v>5</v>
      </c>
      <c r="C1794" s="2" t="s">
        <v>88</v>
      </c>
      <c r="D1794" s="2" t="s">
        <v>48</v>
      </c>
      <c r="E1794" s="2" t="str">
        <f aca="false">INDEX(Products!$B$2:$B$13,MATCH(D1794,Products!$A$2:$A$13,0))</f>
        <v>Specialty</v>
      </c>
      <c r="F1794" s="15" t="n">
        <v>1.2</v>
      </c>
      <c r="G1794" s="16" t="n">
        <f aca="false">IF(A1794="2025",INDEX(Products!$C$2:$C$13,MATCH(D1794,Products!$A$2:$A$13,0)),INDEX(Products!$E$2:$E$13,MATCH(D1794,Products!$A$2:$A$13,0)))</f>
        <v>34923</v>
      </c>
      <c r="H1794" s="13" t="n">
        <f aca="false">IF(A1794="2025",INDEX(Customers!$D$2:$D$41,MATCH(C1794,Customers!$A$2:$A$41,0)),INDEX(Customers!$F$2:$F$41,MATCH(C1794,Customers!$A$2:$A$41,0)))</f>
        <v>0.048</v>
      </c>
      <c r="I1794" s="16" t="n">
        <f aca="false">F1794*G1794</f>
        <v>41907.6</v>
      </c>
      <c r="J1794" s="16" t="n">
        <f aca="false">I1794*(1-H1794)</f>
        <v>39896.0352</v>
      </c>
      <c r="K1794" s="16" t="n">
        <f aca="false">J1794*INDEX(Customers!$G$2:$G$41,MATCH(C1794,Customers!$A$2:$A$41,0))</f>
        <v>1196.881056</v>
      </c>
      <c r="L1794" s="16" t="n">
        <f aca="false">F1794*INDEX(Customers!$H$2:$H$41,MATCH(C1794,Customers!$A$2:$A$41,0))</f>
        <v>108</v>
      </c>
      <c r="M1794" s="16" t="n">
        <f aca="false">J1794*INDEX(Customers!$I$2:$I$41,MATCH(C1794,Customers!$A$2:$A$41,0))/365*Assumptions!$B$6</f>
        <v>262.330094465753</v>
      </c>
      <c r="N1794" s="16" t="n">
        <f aca="false">J1794-K1794-L1794-M1794</f>
        <v>38328.8240495343</v>
      </c>
      <c r="O1794" s="16" t="n">
        <f aca="false">F1794*IF(A1794="2025",INDEX(Products!$D$2:$D$13,MATCH(D1794,Products!$A$2:$A$13,0)),INDEX(Products!$F$2:$F$13,MATCH(D1794,Products!$A$2:$A$13,0)))</f>
        <v>18564.72</v>
      </c>
      <c r="P1794" s="16" t="n">
        <f aca="false">N1794-O1794</f>
        <v>19764.1040495342</v>
      </c>
    </row>
    <row r="1795" customFormat="false" ht="15" hidden="false" customHeight="false" outlineLevel="0" collapsed="false">
      <c r="A1795" s="2" t="s">
        <v>119</v>
      </c>
      <c r="B1795" s="2" t="n">
        <v>6</v>
      </c>
      <c r="C1795" s="2" t="s">
        <v>88</v>
      </c>
      <c r="D1795" s="2" t="s">
        <v>48</v>
      </c>
      <c r="E1795" s="2" t="str">
        <f aca="false">INDEX(Products!$B$2:$B$13,MATCH(D1795,Products!$A$2:$A$13,0))</f>
        <v>Specialty</v>
      </c>
      <c r="F1795" s="15" t="n">
        <v>1.2</v>
      </c>
      <c r="G1795" s="16" t="n">
        <f aca="false">IF(A1795="2025",INDEX(Products!$C$2:$C$13,MATCH(D1795,Products!$A$2:$A$13,0)),INDEX(Products!$E$2:$E$13,MATCH(D1795,Products!$A$2:$A$13,0)))</f>
        <v>34923</v>
      </c>
      <c r="H1795" s="13" t="n">
        <f aca="false">IF(A1795="2025",INDEX(Customers!$D$2:$D$41,MATCH(C1795,Customers!$A$2:$A$41,0)),INDEX(Customers!$F$2:$F$41,MATCH(C1795,Customers!$A$2:$A$41,0)))</f>
        <v>0.048</v>
      </c>
      <c r="I1795" s="16" t="n">
        <f aca="false">F1795*G1795</f>
        <v>41907.6</v>
      </c>
      <c r="J1795" s="16" t="n">
        <f aca="false">I1795*(1-H1795)</f>
        <v>39896.0352</v>
      </c>
      <c r="K1795" s="16" t="n">
        <f aca="false">J1795*INDEX(Customers!$G$2:$G$41,MATCH(C1795,Customers!$A$2:$A$41,0))</f>
        <v>1196.881056</v>
      </c>
      <c r="L1795" s="16" t="n">
        <f aca="false">F1795*INDEX(Customers!$H$2:$H$41,MATCH(C1795,Customers!$A$2:$A$41,0))</f>
        <v>108</v>
      </c>
      <c r="M1795" s="16" t="n">
        <f aca="false">J1795*INDEX(Customers!$I$2:$I$41,MATCH(C1795,Customers!$A$2:$A$41,0))/365*Assumptions!$B$6</f>
        <v>262.330094465753</v>
      </c>
      <c r="N1795" s="16" t="n">
        <f aca="false">J1795-K1795-L1795-M1795</f>
        <v>38328.8240495343</v>
      </c>
      <c r="O1795" s="16" t="n">
        <f aca="false">F1795*IF(A1795="2025",INDEX(Products!$D$2:$D$13,MATCH(D1795,Products!$A$2:$A$13,0)),INDEX(Products!$F$2:$F$13,MATCH(D1795,Products!$A$2:$A$13,0)))</f>
        <v>18564.72</v>
      </c>
      <c r="P1795" s="16" t="n">
        <f aca="false">N1795-O1795</f>
        <v>19764.1040495342</v>
      </c>
    </row>
    <row r="1796" customFormat="false" ht="15" hidden="false" customHeight="false" outlineLevel="0" collapsed="false">
      <c r="A1796" s="2" t="s">
        <v>119</v>
      </c>
      <c r="B1796" s="2" t="n">
        <v>7</v>
      </c>
      <c r="C1796" s="2" t="s">
        <v>88</v>
      </c>
      <c r="D1796" s="2" t="s">
        <v>48</v>
      </c>
      <c r="E1796" s="2" t="str">
        <f aca="false">INDEX(Products!$B$2:$B$13,MATCH(D1796,Products!$A$2:$A$13,0))</f>
        <v>Specialty</v>
      </c>
      <c r="F1796" s="15" t="n">
        <v>1.2</v>
      </c>
      <c r="G1796" s="16" t="n">
        <f aca="false">IF(A1796="2025",INDEX(Products!$C$2:$C$13,MATCH(D1796,Products!$A$2:$A$13,0)),INDEX(Products!$E$2:$E$13,MATCH(D1796,Products!$A$2:$A$13,0)))</f>
        <v>34923</v>
      </c>
      <c r="H1796" s="13" t="n">
        <f aca="false">IF(A1796="2025",INDEX(Customers!$D$2:$D$41,MATCH(C1796,Customers!$A$2:$A$41,0)),INDEX(Customers!$F$2:$F$41,MATCH(C1796,Customers!$A$2:$A$41,0)))</f>
        <v>0.048</v>
      </c>
      <c r="I1796" s="16" t="n">
        <f aca="false">F1796*G1796</f>
        <v>41907.6</v>
      </c>
      <c r="J1796" s="16" t="n">
        <f aca="false">I1796*(1-H1796)</f>
        <v>39896.0352</v>
      </c>
      <c r="K1796" s="16" t="n">
        <f aca="false">J1796*INDEX(Customers!$G$2:$G$41,MATCH(C1796,Customers!$A$2:$A$41,0))</f>
        <v>1196.881056</v>
      </c>
      <c r="L1796" s="16" t="n">
        <f aca="false">F1796*INDEX(Customers!$H$2:$H$41,MATCH(C1796,Customers!$A$2:$A$41,0))</f>
        <v>108</v>
      </c>
      <c r="M1796" s="16" t="n">
        <f aca="false">J1796*INDEX(Customers!$I$2:$I$41,MATCH(C1796,Customers!$A$2:$A$41,0))/365*Assumptions!$B$6</f>
        <v>262.330094465753</v>
      </c>
      <c r="N1796" s="16" t="n">
        <f aca="false">J1796-K1796-L1796-M1796</f>
        <v>38328.8240495343</v>
      </c>
      <c r="O1796" s="16" t="n">
        <f aca="false">F1796*IF(A1796="2025",INDEX(Products!$D$2:$D$13,MATCH(D1796,Products!$A$2:$A$13,0)),INDEX(Products!$F$2:$F$13,MATCH(D1796,Products!$A$2:$A$13,0)))</f>
        <v>18564.72</v>
      </c>
      <c r="P1796" s="16" t="n">
        <f aca="false">N1796-O1796</f>
        <v>19764.1040495342</v>
      </c>
    </row>
    <row r="1797" customFormat="false" ht="15" hidden="false" customHeight="false" outlineLevel="0" collapsed="false">
      <c r="A1797" s="2" t="s">
        <v>119</v>
      </c>
      <c r="B1797" s="2" t="n">
        <v>8</v>
      </c>
      <c r="C1797" s="2" t="s">
        <v>88</v>
      </c>
      <c r="D1797" s="2" t="s">
        <v>48</v>
      </c>
      <c r="E1797" s="2" t="str">
        <f aca="false">INDEX(Products!$B$2:$B$13,MATCH(D1797,Products!$A$2:$A$13,0))</f>
        <v>Specialty</v>
      </c>
      <c r="F1797" s="15" t="n">
        <v>1.8</v>
      </c>
      <c r="G1797" s="16" t="n">
        <f aca="false">IF(A1797="2025",INDEX(Products!$C$2:$C$13,MATCH(D1797,Products!$A$2:$A$13,0)),INDEX(Products!$E$2:$E$13,MATCH(D1797,Products!$A$2:$A$13,0)))</f>
        <v>34923</v>
      </c>
      <c r="H1797" s="13" t="n">
        <f aca="false">IF(A1797="2025",INDEX(Customers!$D$2:$D$41,MATCH(C1797,Customers!$A$2:$A$41,0)),INDEX(Customers!$F$2:$F$41,MATCH(C1797,Customers!$A$2:$A$41,0)))</f>
        <v>0.048</v>
      </c>
      <c r="I1797" s="16" t="n">
        <f aca="false">F1797*G1797</f>
        <v>62861.4</v>
      </c>
      <c r="J1797" s="16" t="n">
        <f aca="false">I1797*(1-H1797)</f>
        <v>59844.0528</v>
      </c>
      <c r="K1797" s="16" t="n">
        <f aca="false">J1797*INDEX(Customers!$G$2:$G$41,MATCH(C1797,Customers!$A$2:$A$41,0))</f>
        <v>1795.321584</v>
      </c>
      <c r="L1797" s="16" t="n">
        <f aca="false">F1797*INDEX(Customers!$H$2:$H$41,MATCH(C1797,Customers!$A$2:$A$41,0))</f>
        <v>162</v>
      </c>
      <c r="M1797" s="16" t="n">
        <f aca="false">J1797*INDEX(Customers!$I$2:$I$41,MATCH(C1797,Customers!$A$2:$A$41,0))/365*Assumptions!$B$6</f>
        <v>393.49514169863</v>
      </c>
      <c r="N1797" s="16" t="n">
        <f aca="false">J1797-K1797-L1797-M1797</f>
        <v>57493.2360743014</v>
      </c>
      <c r="O1797" s="16" t="n">
        <f aca="false">F1797*IF(A1797="2025",INDEX(Products!$D$2:$D$13,MATCH(D1797,Products!$A$2:$A$13,0)),INDEX(Products!$F$2:$F$13,MATCH(D1797,Products!$A$2:$A$13,0)))</f>
        <v>27847.08</v>
      </c>
      <c r="P1797" s="16" t="n">
        <f aca="false">N1797-O1797</f>
        <v>29646.1560743014</v>
      </c>
    </row>
    <row r="1798" customFormat="false" ht="15" hidden="false" customHeight="false" outlineLevel="0" collapsed="false">
      <c r="A1798" s="2" t="s">
        <v>119</v>
      </c>
      <c r="B1798" s="2" t="n">
        <v>9</v>
      </c>
      <c r="C1798" s="2" t="s">
        <v>88</v>
      </c>
      <c r="D1798" s="2" t="s">
        <v>48</v>
      </c>
      <c r="E1798" s="2" t="str">
        <f aca="false">INDEX(Products!$B$2:$B$13,MATCH(D1798,Products!$A$2:$A$13,0))</f>
        <v>Specialty</v>
      </c>
      <c r="F1798" s="15" t="n">
        <v>1.8</v>
      </c>
      <c r="G1798" s="16" t="n">
        <f aca="false">IF(A1798="2025",INDEX(Products!$C$2:$C$13,MATCH(D1798,Products!$A$2:$A$13,0)),INDEX(Products!$E$2:$E$13,MATCH(D1798,Products!$A$2:$A$13,0)))</f>
        <v>34923</v>
      </c>
      <c r="H1798" s="13" t="n">
        <f aca="false">IF(A1798="2025",INDEX(Customers!$D$2:$D$41,MATCH(C1798,Customers!$A$2:$A$41,0)),INDEX(Customers!$F$2:$F$41,MATCH(C1798,Customers!$A$2:$A$41,0)))</f>
        <v>0.048</v>
      </c>
      <c r="I1798" s="16" t="n">
        <f aca="false">F1798*G1798</f>
        <v>62861.4</v>
      </c>
      <c r="J1798" s="16" t="n">
        <f aca="false">I1798*(1-H1798)</f>
        <v>59844.0528</v>
      </c>
      <c r="K1798" s="16" t="n">
        <f aca="false">J1798*INDEX(Customers!$G$2:$G$41,MATCH(C1798,Customers!$A$2:$A$41,0))</f>
        <v>1795.321584</v>
      </c>
      <c r="L1798" s="16" t="n">
        <f aca="false">F1798*INDEX(Customers!$H$2:$H$41,MATCH(C1798,Customers!$A$2:$A$41,0))</f>
        <v>162</v>
      </c>
      <c r="M1798" s="16" t="n">
        <f aca="false">J1798*INDEX(Customers!$I$2:$I$41,MATCH(C1798,Customers!$A$2:$A$41,0))/365*Assumptions!$B$6</f>
        <v>393.49514169863</v>
      </c>
      <c r="N1798" s="16" t="n">
        <f aca="false">J1798-K1798-L1798-M1798</f>
        <v>57493.2360743014</v>
      </c>
      <c r="O1798" s="16" t="n">
        <f aca="false">F1798*IF(A1798="2025",INDEX(Products!$D$2:$D$13,MATCH(D1798,Products!$A$2:$A$13,0)),INDEX(Products!$F$2:$F$13,MATCH(D1798,Products!$A$2:$A$13,0)))</f>
        <v>27847.08</v>
      </c>
      <c r="P1798" s="16" t="n">
        <f aca="false">N1798-O1798</f>
        <v>29646.1560743014</v>
      </c>
    </row>
    <row r="1799" customFormat="false" ht="15" hidden="false" customHeight="false" outlineLevel="0" collapsed="false">
      <c r="A1799" s="2" t="s">
        <v>119</v>
      </c>
      <c r="B1799" s="2" t="n">
        <v>10</v>
      </c>
      <c r="C1799" s="2" t="s">
        <v>88</v>
      </c>
      <c r="D1799" s="2" t="s">
        <v>48</v>
      </c>
      <c r="E1799" s="2" t="str">
        <f aca="false">INDEX(Products!$B$2:$B$13,MATCH(D1799,Products!$A$2:$A$13,0))</f>
        <v>Specialty</v>
      </c>
      <c r="F1799" s="15" t="n">
        <v>1.5</v>
      </c>
      <c r="G1799" s="16" t="n">
        <f aca="false">IF(A1799="2025",INDEX(Products!$C$2:$C$13,MATCH(D1799,Products!$A$2:$A$13,0)),INDEX(Products!$E$2:$E$13,MATCH(D1799,Products!$A$2:$A$13,0)))</f>
        <v>34923</v>
      </c>
      <c r="H1799" s="13" t="n">
        <f aca="false">IF(A1799="2025",INDEX(Customers!$D$2:$D$41,MATCH(C1799,Customers!$A$2:$A$41,0)),INDEX(Customers!$F$2:$F$41,MATCH(C1799,Customers!$A$2:$A$41,0)))</f>
        <v>0.048</v>
      </c>
      <c r="I1799" s="16" t="n">
        <f aca="false">F1799*G1799</f>
        <v>52384.5</v>
      </c>
      <c r="J1799" s="16" t="n">
        <f aca="false">I1799*(1-H1799)</f>
        <v>49870.044</v>
      </c>
      <c r="K1799" s="16" t="n">
        <f aca="false">J1799*INDEX(Customers!$G$2:$G$41,MATCH(C1799,Customers!$A$2:$A$41,0))</f>
        <v>1496.10132</v>
      </c>
      <c r="L1799" s="16" t="n">
        <f aca="false">F1799*INDEX(Customers!$H$2:$H$41,MATCH(C1799,Customers!$A$2:$A$41,0))</f>
        <v>135</v>
      </c>
      <c r="M1799" s="16" t="n">
        <f aca="false">J1799*INDEX(Customers!$I$2:$I$41,MATCH(C1799,Customers!$A$2:$A$41,0))/365*Assumptions!$B$6</f>
        <v>327.912618082192</v>
      </c>
      <c r="N1799" s="16" t="n">
        <f aca="false">J1799-K1799-L1799-M1799</f>
        <v>47911.0300619178</v>
      </c>
      <c r="O1799" s="16" t="n">
        <f aca="false">F1799*IF(A1799="2025",INDEX(Products!$D$2:$D$13,MATCH(D1799,Products!$A$2:$A$13,0)),INDEX(Products!$F$2:$F$13,MATCH(D1799,Products!$A$2:$A$13,0)))</f>
        <v>23205.9</v>
      </c>
      <c r="P1799" s="16" t="n">
        <f aca="false">N1799-O1799</f>
        <v>24705.1300619178</v>
      </c>
    </row>
    <row r="1800" customFormat="false" ht="15" hidden="false" customHeight="false" outlineLevel="0" collapsed="false">
      <c r="A1800" s="2" t="s">
        <v>119</v>
      </c>
      <c r="B1800" s="2" t="n">
        <v>11</v>
      </c>
      <c r="C1800" s="2" t="s">
        <v>88</v>
      </c>
      <c r="D1800" s="2" t="s">
        <v>48</v>
      </c>
      <c r="E1800" s="2" t="str">
        <f aca="false">INDEX(Products!$B$2:$B$13,MATCH(D1800,Products!$A$2:$A$13,0))</f>
        <v>Specialty</v>
      </c>
      <c r="F1800" s="15" t="n">
        <v>1.2</v>
      </c>
      <c r="G1800" s="16" t="n">
        <f aca="false">IF(A1800="2025",INDEX(Products!$C$2:$C$13,MATCH(D1800,Products!$A$2:$A$13,0)),INDEX(Products!$E$2:$E$13,MATCH(D1800,Products!$A$2:$A$13,0)))</f>
        <v>34923</v>
      </c>
      <c r="H1800" s="13" t="n">
        <f aca="false">IF(A1800="2025",INDEX(Customers!$D$2:$D$41,MATCH(C1800,Customers!$A$2:$A$41,0)),INDEX(Customers!$F$2:$F$41,MATCH(C1800,Customers!$A$2:$A$41,0)))</f>
        <v>0.048</v>
      </c>
      <c r="I1800" s="16" t="n">
        <f aca="false">F1800*G1800</f>
        <v>41907.6</v>
      </c>
      <c r="J1800" s="16" t="n">
        <f aca="false">I1800*(1-H1800)</f>
        <v>39896.0352</v>
      </c>
      <c r="K1800" s="16" t="n">
        <f aca="false">J1800*INDEX(Customers!$G$2:$G$41,MATCH(C1800,Customers!$A$2:$A$41,0))</f>
        <v>1196.881056</v>
      </c>
      <c r="L1800" s="16" t="n">
        <f aca="false">F1800*INDEX(Customers!$H$2:$H$41,MATCH(C1800,Customers!$A$2:$A$41,0))</f>
        <v>108</v>
      </c>
      <c r="M1800" s="16" t="n">
        <f aca="false">J1800*INDEX(Customers!$I$2:$I$41,MATCH(C1800,Customers!$A$2:$A$41,0))/365*Assumptions!$B$6</f>
        <v>262.330094465753</v>
      </c>
      <c r="N1800" s="16" t="n">
        <f aca="false">J1800-K1800-L1800-M1800</f>
        <v>38328.8240495343</v>
      </c>
      <c r="O1800" s="16" t="n">
        <f aca="false">F1800*IF(A1800="2025",INDEX(Products!$D$2:$D$13,MATCH(D1800,Products!$A$2:$A$13,0)),INDEX(Products!$F$2:$F$13,MATCH(D1800,Products!$A$2:$A$13,0)))</f>
        <v>18564.72</v>
      </c>
      <c r="P1800" s="16" t="n">
        <f aca="false">N1800-O1800</f>
        <v>19764.1040495342</v>
      </c>
    </row>
    <row r="1801" customFormat="false" ht="15" hidden="false" customHeight="false" outlineLevel="0" collapsed="false">
      <c r="A1801" s="2" t="s">
        <v>119</v>
      </c>
      <c r="B1801" s="2" t="n">
        <v>12</v>
      </c>
      <c r="C1801" s="2" t="s">
        <v>88</v>
      </c>
      <c r="D1801" s="2" t="s">
        <v>48</v>
      </c>
      <c r="E1801" s="2" t="str">
        <f aca="false">INDEX(Products!$B$2:$B$13,MATCH(D1801,Products!$A$2:$A$13,0))</f>
        <v>Specialty</v>
      </c>
      <c r="F1801" s="15" t="n">
        <v>1.1</v>
      </c>
      <c r="G1801" s="16" t="n">
        <f aca="false">IF(A1801="2025",INDEX(Products!$C$2:$C$13,MATCH(D1801,Products!$A$2:$A$13,0)),INDEX(Products!$E$2:$E$13,MATCH(D1801,Products!$A$2:$A$13,0)))</f>
        <v>34923</v>
      </c>
      <c r="H1801" s="13" t="n">
        <f aca="false">IF(A1801="2025",INDEX(Customers!$D$2:$D$41,MATCH(C1801,Customers!$A$2:$A$41,0)),INDEX(Customers!$F$2:$F$41,MATCH(C1801,Customers!$A$2:$A$41,0)))</f>
        <v>0.048</v>
      </c>
      <c r="I1801" s="16" t="n">
        <f aca="false">F1801*G1801</f>
        <v>38415.3</v>
      </c>
      <c r="J1801" s="16" t="n">
        <f aca="false">I1801*(1-H1801)</f>
        <v>36571.3656</v>
      </c>
      <c r="K1801" s="16" t="n">
        <f aca="false">J1801*INDEX(Customers!$G$2:$G$41,MATCH(C1801,Customers!$A$2:$A$41,0))</f>
        <v>1097.140968</v>
      </c>
      <c r="L1801" s="16" t="n">
        <f aca="false">F1801*INDEX(Customers!$H$2:$H$41,MATCH(C1801,Customers!$A$2:$A$41,0))</f>
        <v>99</v>
      </c>
      <c r="M1801" s="16" t="n">
        <f aca="false">J1801*INDEX(Customers!$I$2:$I$41,MATCH(C1801,Customers!$A$2:$A$41,0))/365*Assumptions!$B$6</f>
        <v>240.469253260274</v>
      </c>
      <c r="N1801" s="16" t="n">
        <f aca="false">J1801-K1801-L1801-M1801</f>
        <v>35134.7553787397</v>
      </c>
      <c r="O1801" s="16" t="n">
        <f aca="false">F1801*IF(A1801="2025",INDEX(Products!$D$2:$D$13,MATCH(D1801,Products!$A$2:$A$13,0)),INDEX(Products!$F$2:$F$13,MATCH(D1801,Products!$A$2:$A$13,0)))</f>
        <v>17017.66</v>
      </c>
      <c r="P1801" s="16" t="n">
        <f aca="false">N1801-O1801</f>
        <v>18117.0953787397</v>
      </c>
    </row>
    <row r="1802" customFormat="false" ht="15" hidden="false" customHeight="false" outlineLevel="0" collapsed="false">
      <c r="A1802" s="2" t="s">
        <v>118</v>
      </c>
      <c r="B1802" s="2" t="n">
        <v>1</v>
      </c>
      <c r="C1802" s="2" t="s">
        <v>89</v>
      </c>
      <c r="D1802" s="2" t="s">
        <v>34</v>
      </c>
      <c r="E1802" s="2" t="str">
        <f aca="false">INDEX(Products!$B$2:$B$13,MATCH(D1802,Products!$A$2:$A$13,0))</f>
        <v>FCC</v>
      </c>
      <c r="F1802" s="15" t="n">
        <v>33.8</v>
      </c>
      <c r="G1802" s="16" t="n">
        <f aca="false">IF(A1802="2025",INDEX(Products!$C$2:$C$13,MATCH(D1802,Products!$A$2:$A$13,0)),INDEX(Products!$E$2:$E$13,MATCH(D1802,Products!$A$2:$A$13,0)))</f>
        <v>3270</v>
      </c>
      <c r="H1802" s="13" t="n">
        <f aca="false">IF(A1802="2025",INDEX(Customers!$D$2:$D$41,MATCH(C1802,Customers!$A$2:$A$41,0)),INDEX(Customers!$F$2:$F$41,MATCH(C1802,Customers!$A$2:$A$41,0)))</f>
        <v>0.068</v>
      </c>
      <c r="I1802" s="16" t="n">
        <f aca="false">F1802*G1802</f>
        <v>110526</v>
      </c>
      <c r="J1802" s="16" t="n">
        <f aca="false">I1802*(1-H1802)</f>
        <v>103010.232</v>
      </c>
      <c r="K1802" s="16" t="n">
        <f aca="false">J1802*INDEX(Customers!$G$2:$G$41,MATCH(C1802,Customers!$A$2:$A$41,0))</f>
        <v>2060.20464</v>
      </c>
      <c r="L1802" s="16" t="n">
        <f aca="false">F1802*INDEX(Customers!$H$2:$H$41,MATCH(C1802,Customers!$A$2:$A$41,0))</f>
        <v>6760</v>
      </c>
      <c r="M1802" s="16" t="n">
        <f aca="false">J1802*INDEX(Customers!$I$2:$I$41,MATCH(C1802,Customers!$A$2:$A$41,0))/365*Assumptions!$B$6</f>
        <v>1354.65510575342</v>
      </c>
      <c r="N1802" s="16" t="n">
        <f aca="false">J1802-K1802-L1802-M1802</f>
        <v>92835.3722542466</v>
      </c>
      <c r="O1802" s="16" t="n">
        <f aca="false">F1802*IF(A1802="2025",INDEX(Products!$D$2:$D$13,MATCH(D1802,Products!$A$2:$A$13,0)),INDEX(Products!$F$2:$F$13,MATCH(D1802,Products!$A$2:$A$13,0)))</f>
        <v>74022</v>
      </c>
      <c r="P1802" s="16" t="n">
        <f aca="false">N1802-O1802</f>
        <v>18813.3722542466</v>
      </c>
    </row>
    <row r="1803" customFormat="false" ht="15" hidden="false" customHeight="false" outlineLevel="0" collapsed="false">
      <c r="A1803" s="2" t="s">
        <v>118</v>
      </c>
      <c r="B1803" s="2" t="n">
        <v>2</v>
      </c>
      <c r="C1803" s="2" t="s">
        <v>89</v>
      </c>
      <c r="D1803" s="2" t="s">
        <v>34</v>
      </c>
      <c r="E1803" s="2" t="str">
        <f aca="false">INDEX(Products!$B$2:$B$13,MATCH(D1803,Products!$A$2:$A$13,0))</f>
        <v>FCC</v>
      </c>
      <c r="F1803" s="15" t="n">
        <v>29.1</v>
      </c>
      <c r="G1803" s="16" t="n">
        <f aca="false">IF(A1803="2025",INDEX(Products!$C$2:$C$13,MATCH(D1803,Products!$A$2:$A$13,0)),INDEX(Products!$E$2:$E$13,MATCH(D1803,Products!$A$2:$A$13,0)))</f>
        <v>3270</v>
      </c>
      <c r="H1803" s="13" t="n">
        <f aca="false">IF(A1803="2025",INDEX(Customers!$D$2:$D$41,MATCH(C1803,Customers!$A$2:$A$41,0)),INDEX(Customers!$F$2:$F$41,MATCH(C1803,Customers!$A$2:$A$41,0)))</f>
        <v>0.068</v>
      </c>
      <c r="I1803" s="16" t="n">
        <f aca="false">F1803*G1803</f>
        <v>95157</v>
      </c>
      <c r="J1803" s="16" t="n">
        <f aca="false">I1803*(1-H1803)</f>
        <v>88686.324</v>
      </c>
      <c r="K1803" s="16" t="n">
        <f aca="false">J1803*INDEX(Customers!$G$2:$G$41,MATCH(C1803,Customers!$A$2:$A$41,0))</f>
        <v>1773.72648</v>
      </c>
      <c r="L1803" s="16" t="n">
        <f aca="false">F1803*INDEX(Customers!$H$2:$H$41,MATCH(C1803,Customers!$A$2:$A$41,0))</f>
        <v>5820</v>
      </c>
      <c r="M1803" s="16" t="n">
        <f aca="false">J1803*INDEX(Customers!$I$2:$I$41,MATCH(C1803,Customers!$A$2:$A$41,0))/365*Assumptions!$B$6</f>
        <v>1166.28590465753</v>
      </c>
      <c r="N1803" s="16" t="n">
        <f aca="false">J1803-K1803-L1803-M1803</f>
        <v>79926.3116153425</v>
      </c>
      <c r="O1803" s="16" t="n">
        <f aca="false">F1803*IF(A1803="2025",INDEX(Products!$D$2:$D$13,MATCH(D1803,Products!$A$2:$A$13,0)),INDEX(Products!$F$2:$F$13,MATCH(D1803,Products!$A$2:$A$13,0)))</f>
        <v>63729</v>
      </c>
      <c r="P1803" s="16" t="n">
        <f aca="false">N1803-O1803</f>
        <v>16197.3116153425</v>
      </c>
    </row>
    <row r="1804" customFormat="false" ht="15" hidden="false" customHeight="false" outlineLevel="0" collapsed="false">
      <c r="A1804" s="2" t="s">
        <v>118</v>
      </c>
      <c r="B1804" s="2" t="n">
        <v>3</v>
      </c>
      <c r="C1804" s="2" t="s">
        <v>89</v>
      </c>
      <c r="D1804" s="2" t="s">
        <v>34</v>
      </c>
      <c r="E1804" s="2" t="str">
        <f aca="false">INDEX(Products!$B$2:$B$13,MATCH(D1804,Products!$A$2:$A$13,0))</f>
        <v>FCC</v>
      </c>
      <c r="F1804" s="15" t="n">
        <v>47.3</v>
      </c>
      <c r="G1804" s="16" t="n">
        <f aca="false">IF(A1804="2025",INDEX(Products!$C$2:$C$13,MATCH(D1804,Products!$A$2:$A$13,0)),INDEX(Products!$E$2:$E$13,MATCH(D1804,Products!$A$2:$A$13,0)))</f>
        <v>3270</v>
      </c>
      <c r="H1804" s="13" t="n">
        <f aca="false">IF(A1804="2025",INDEX(Customers!$D$2:$D$41,MATCH(C1804,Customers!$A$2:$A$41,0)),INDEX(Customers!$F$2:$F$41,MATCH(C1804,Customers!$A$2:$A$41,0)))</f>
        <v>0.068</v>
      </c>
      <c r="I1804" s="16" t="n">
        <f aca="false">F1804*G1804</f>
        <v>154671</v>
      </c>
      <c r="J1804" s="16" t="n">
        <f aca="false">I1804*(1-H1804)</f>
        <v>144153.372</v>
      </c>
      <c r="K1804" s="16" t="n">
        <f aca="false">J1804*INDEX(Customers!$G$2:$G$41,MATCH(C1804,Customers!$A$2:$A$41,0))</f>
        <v>2883.06744</v>
      </c>
      <c r="L1804" s="16" t="n">
        <f aca="false">F1804*INDEX(Customers!$H$2:$H$41,MATCH(C1804,Customers!$A$2:$A$41,0))</f>
        <v>9460</v>
      </c>
      <c r="M1804" s="16" t="n">
        <f aca="false">J1804*INDEX(Customers!$I$2:$I$41,MATCH(C1804,Customers!$A$2:$A$41,0))/365*Assumptions!$B$6</f>
        <v>1895.7155769863</v>
      </c>
      <c r="N1804" s="16" t="n">
        <f aca="false">J1804-K1804-L1804-M1804</f>
        <v>129914.588983014</v>
      </c>
      <c r="O1804" s="16" t="n">
        <f aca="false">F1804*IF(A1804="2025",INDEX(Products!$D$2:$D$13,MATCH(D1804,Products!$A$2:$A$13,0)),INDEX(Products!$F$2:$F$13,MATCH(D1804,Products!$A$2:$A$13,0)))</f>
        <v>103587</v>
      </c>
      <c r="P1804" s="16" t="n">
        <f aca="false">N1804-O1804</f>
        <v>26327.5889830137</v>
      </c>
    </row>
    <row r="1805" customFormat="false" ht="15" hidden="false" customHeight="false" outlineLevel="0" collapsed="false">
      <c r="A1805" s="2" t="s">
        <v>118</v>
      </c>
      <c r="B1805" s="2" t="n">
        <v>4</v>
      </c>
      <c r="C1805" s="2" t="s">
        <v>89</v>
      </c>
      <c r="D1805" s="2" t="s">
        <v>34</v>
      </c>
      <c r="E1805" s="2" t="str">
        <f aca="false">INDEX(Products!$B$2:$B$13,MATCH(D1805,Products!$A$2:$A$13,0))</f>
        <v>FCC</v>
      </c>
      <c r="F1805" s="15" t="n">
        <v>47.3</v>
      </c>
      <c r="G1805" s="16" t="n">
        <f aca="false">IF(A1805="2025",INDEX(Products!$C$2:$C$13,MATCH(D1805,Products!$A$2:$A$13,0)),INDEX(Products!$E$2:$E$13,MATCH(D1805,Products!$A$2:$A$13,0)))</f>
        <v>3270</v>
      </c>
      <c r="H1805" s="13" t="n">
        <f aca="false">IF(A1805="2025",INDEX(Customers!$D$2:$D$41,MATCH(C1805,Customers!$A$2:$A$41,0)),INDEX(Customers!$F$2:$F$41,MATCH(C1805,Customers!$A$2:$A$41,0)))</f>
        <v>0.068</v>
      </c>
      <c r="I1805" s="16" t="n">
        <f aca="false">F1805*G1805</f>
        <v>154671</v>
      </c>
      <c r="J1805" s="16" t="n">
        <f aca="false">I1805*(1-H1805)</f>
        <v>144153.372</v>
      </c>
      <c r="K1805" s="16" t="n">
        <f aca="false">J1805*INDEX(Customers!$G$2:$G$41,MATCH(C1805,Customers!$A$2:$A$41,0))</f>
        <v>2883.06744</v>
      </c>
      <c r="L1805" s="16" t="n">
        <f aca="false">F1805*INDEX(Customers!$H$2:$H$41,MATCH(C1805,Customers!$A$2:$A$41,0))</f>
        <v>9460</v>
      </c>
      <c r="M1805" s="16" t="n">
        <f aca="false">J1805*INDEX(Customers!$I$2:$I$41,MATCH(C1805,Customers!$A$2:$A$41,0))/365*Assumptions!$B$6</f>
        <v>1895.7155769863</v>
      </c>
      <c r="N1805" s="16" t="n">
        <f aca="false">J1805-K1805-L1805-M1805</f>
        <v>129914.588983014</v>
      </c>
      <c r="O1805" s="16" t="n">
        <f aca="false">F1805*IF(A1805="2025",INDEX(Products!$D$2:$D$13,MATCH(D1805,Products!$A$2:$A$13,0)),INDEX(Products!$F$2:$F$13,MATCH(D1805,Products!$A$2:$A$13,0)))</f>
        <v>103587</v>
      </c>
      <c r="P1805" s="16" t="n">
        <f aca="false">N1805-O1805</f>
        <v>26327.5889830137</v>
      </c>
    </row>
    <row r="1806" customFormat="false" ht="15" hidden="false" customHeight="false" outlineLevel="0" collapsed="false">
      <c r="A1806" s="2" t="s">
        <v>118</v>
      </c>
      <c r="B1806" s="2" t="n">
        <v>5</v>
      </c>
      <c r="C1806" s="2" t="s">
        <v>89</v>
      </c>
      <c r="D1806" s="2" t="s">
        <v>34</v>
      </c>
      <c r="E1806" s="2" t="str">
        <f aca="false">INDEX(Products!$B$2:$B$13,MATCH(D1806,Products!$A$2:$A$13,0))</f>
        <v>FCC</v>
      </c>
      <c r="F1806" s="15" t="n">
        <v>36.2</v>
      </c>
      <c r="G1806" s="16" t="n">
        <f aca="false">IF(A1806="2025",INDEX(Products!$C$2:$C$13,MATCH(D1806,Products!$A$2:$A$13,0)),INDEX(Products!$E$2:$E$13,MATCH(D1806,Products!$A$2:$A$13,0)))</f>
        <v>3270</v>
      </c>
      <c r="H1806" s="13" t="n">
        <f aca="false">IF(A1806="2025",INDEX(Customers!$D$2:$D$41,MATCH(C1806,Customers!$A$2:$A$41,0)),INDEX(Customers!$F$2:$F$41,MATCH(C1806,Customers!$A$2:$A$41,0)))</f>
        <v>0.068</v>
      </c>
      <c r="I1806" s="16" t="n">
        <f aca="false">F1806*G1806</f>
        <v>118374</v>
      </c>
      <c r="J1806" s="16" t="n">
        <f aca="false">I1806*(1-H1806)</f>
        <v>110324.568</v>
      </c>
      <c r="K1806" s="16" t="n">
        <f aca="false">J1806*INDEX(Customers!$G$2:$G$41,MATCH(C1806,Customers!$A$2:$A$41,0))</f>
        <v>2206.49136</v>
      </c>
      <c r="L1806" s="16" t="n">
        <f aca="false">F1806*INDEX(Customers!$H$2:$H$41,MATCH(C1806,Customers!$A$2:$A$41,0))</f>
        <v>7240</v>
      </c>
      <c r="M1806" s="16" t="n">
        <f aca="false">J1806*INDEX(Customers!$I$2:$I$41,MATCH(C1806,Customers!$A$2:$A$41,0))/365*Assumptions!$B$6</f>
        <v>1450.8436339726</v>
      </c>
      <c r="N1806" s="16" t="n">
        <f aca="false">J1806-K1806-L1806-M1806</f>
        <v>99427.2330060274</v>
      </c>
      <c r="O1806" s="16" t="n">
        <f aca="false">F1806*IF(A1806="2025",INDEX(Products!$D$2:$D$13,MATCH(D1806,Products!$A$2:$A$13,0)),INDEX(Products!$F$2:$F$13,MATCH(D1806,Products!$A$2:$A$13,0)))</f>
        <v>79278</v>
      </c>
      <c r="P1806" s="16" t="n">
        <f aca="false">N1806-O1806</f>
        <v>20149.2330060274</v>
      </c>
    </row>
    <row r="1807" customFormat="false" ht="15" hidden="false" customHeight="false" outlineLevel="0" collapsed="false">
      <c r="A1807" s="2" t="s">
        <v>118</v>
      </c>
      <c r="B1807" s="2" t="n">
        <v>6</v>
      </c>
      <c r="C1807" s="2" t="s">
        <v>89</v>
      </c>
      <c r="D1807" s="2" t="s">
        <v>34</v>
      </c>
      <c r="E1807" s="2" t="str">
        <f aca="false">INDEX(Products!$B$2:$B$13,MATCH(D1807,Products!$A$2:$A$13,0))</f>
        <v>FCC</v>
      </c>
      <c r="F1807" s="15" t="n">
        <v>33.8</v>
      </c>
      <c r="G1807" s="16" t="n">
        <f aca="false">IF(A1807="2025",INDEX(Products!$C$2:$C$13,MATCH(D1807,Products!$A$2:$A$13,0)),INDEX(Products!$E$2:$E$13,MATCH(D1807,Products!$A$2:$A$13,0)))</f>
        <v>3270</v>
      </c>
      <c r="H1807" s="13" t="n">
        <f aca="false">IF(A1807="2025",INDEX(Customers!$D$2:$D$41,MATCH(C1807,Customers!$A$2:$A$41,0)),INDEX(Customers!$F$2:$F$41,MATCH(C1807,Customers!$A$2:$A$41,0)))</f>
        <v>0.068</v>
      </c>
      <c r="I1807" s="16" t="n">
        <f aca="false">F1807*G1807</f>
        <v>110526</v>
      </c>
      <c r="J1807" s="16" t="n">
        <f aca="false">I1807*(1-H1807)</f>
        <v>103010.232</v>
      </c>
      <c r="K1807" s="16" t="n">
        <f aca="false">J1807*INDEX(Customers!$G$2:$G$41,MATCH(C1807,Customers!$A$2:$A$41,0))</f>
        <v>2060.20464</v>
      </c>
      <c r="L1807" s="16" t="n">
        <f aca="false">F1807*INDEX(Customers!$H$2:$H$41,MATCH(C1807,Customers!$A$2:$A$41,0))</f>
        <v>6760</v>
      </c>
      <c r="M1807" s="16" t="n">
        <f aca="false">J1807*INDEX(Customers!$I$2:$I$41,MATCH(C1807,Customers!$A$2:$A$41,0))/365*Assumptions!$B$6</f>
        <v>1354.65510575342</v>
      </c>
      <c r="N1807" s="16" t="n">
        <f aca="false">J1807-K1807-L1807-M1807</f>
        <v>92835.3722542466</v>
      </c>
      <c r="O1807" s="16" t="n">
        <f aca="false">F1807*IF(A1807="2025",INDEX(Products!$D$2:$D$13,MATCH(D1807,Products!$A$2:$A$13,0)),INDEX(Products!$F$2:$F$13,MATCH(D1807,Products!$A$2:$A$13,0)))</f>
        <v>74022</v>
      </c>
      <c r="P1807" s="16" t="n">
        <f aca="false">N1807-O1807</f>
        <v>18813.3722542466</v>
      </c>
    </row>
    <row r="1808" customFormat="false" ht="15" hidden="false" customHeight="false" outlineLevel="0" collapsed="false">
      <c r="A1808" s="2" t="s">
        <v>118</v>
      </c>
      <c r="B1808" s="2" t="n">
        <v>7</v>
      </c>
      <c r="C1808" s="2" t="s">
        <v>89</v>
      </c>
      <c r="D1808" s="2" t="s">
        <v>34</v>
      </c>
      <c r="E1808" s="2" t="str">
        <f aca="false">INDEX(Products!$B$2:$B$13,MATCH(D1808,Products!$A$2:$A$13,0))</f>
        <v>FCC</v>
      </c>
      <c r="F1808" s="15" t="n">
        <v>31.6</v>
      </c>
      <c r="G1808" s="16" t="n">
        <f aca="false">IF(A1808="2025",INDEX(Products!$C$2:$C$13,MATCH(D1808,Products!$A$2:$A$13,0)),INDEX(Products!$E$2:$E$13,MATCH(D1808,Products!$A$2:$A$13,0)))</f>
        <v>3270</v>
      </c>
      <c r="H1808" s="13" t="n">
        <f aca="false">IF(A1808="2025",INDEX(Customers!$D$2:$D$41,MATCH(C1808,Customers!$A$2:$A$41,0)),INDEX(Customers!$F$2:$F$41,MATCH(C1808,Customers!$A$2:$A$41,0)))</f>
        <v>0.068</v>
      </c>
      <c r="I1808" s="16" t="n">
        <f aca="false">F1808*G1808</f>
        <v>103332</v>
      </c>
      <c r="J1808" s="16" t="n">
        <f aca="false">I1808*(1-H1808)</f>
        <v>96305.424</v>
      </c>
      <c r="K1808" s="16" t="n">
        <f aca="false">J1808*INDEX(Customers!$G$2:$G$41,MATCH(C1808,Customers!$A$2:$A$41,0))</f>
        <v>1926.10848</v>
      </c>
      <c r="L1808" s="16" t="n">
        <f aca="false">F1808*INDEX(Customers!$H$2:$H$41,MATCH(C1808,Customers!$A$2:$A$41,0))</f>
        <v>6320</v>
      </c>
      <c r="M1808" s="16" t="n">
        <f aca="false">J1808*INDEX(Customers!$I$2:$I$41,MATCH(C1808,Customers!$A$2:$A$41,0))/365*Assumptions!$B$6</f>
        <v>1266.48228821918</v>
      </c>
      <c r="N1808" s="16" t="n">
        <f aca="false">J1808-K1808-L1808-M1808</f>
        <v>86792.8332317808</v>
      </c>
      <c r="O1808" s="16" t="n">
        <f aca="false">F1808*IF(A1808="2025",INDEX(Products!$D$2:$D$13,MATCH(D1808,Products!$A$2:$A$13,0)),INDEX(Products!$F$2:$F$13,MATCH(D1808,Products!$A$2:$A$13,0)))</f>
        <v>69204</v>
      </c>
      <c r="P1808" s="16" t="n">
        <f aca="false">N1808-O1808</f>
        <v>17588.8332317808</v>
      </c>
    </row>
    <row r="1809" customFormat="false" ht="15" hidden="false" customHeight="false" outlineLevel="0" collapsed="false">
      <c r="A1809" s="2" t="s">
        <v>118</v>
      </c>
      <c r="B1809" s="2" t="n">
        <v>8</v>
      </c>
      <c r="C1809" s="2" t="s">
        <v>89</v>
      </c>
      <c r="D1809" s="2" t="s">
        <v>34</v>
      </c>
      <c r="E1809" s="2" t="str">
        <f aca="false">INDEX(Products!$B$2:$B$13,MATCH(D1809,Products!$A$2:$A$13,0))</f>
        <v>FCC</v>
      </c>
      <c r="F1809" s="15" t="n">
        <v>39.5</v>
      </c>
      <c r="G1809" s="16" t="n">
        <f aca="false">IF(A1809="2025",INDEX(Products!$C$2:$C$13,MATCH(D1809,Products!$A$2:$A$13,0)),INDEX(Products!$E$2:$E$13,MATCH(D1809,Products!$A$2:$A$13,0)))</f>
        <v>3270</v>
      </c>
      <c r="H1809" s="13" t="n">
        <f aca="false">IF(A1809="2025",INDEX(Customers!$D$2:$D$41,MATCH(C1809,Customers!$A$2:$A$41,0)),INDEX(Customers!$F$2:$F$41,MATCH(C1809,Customers!$A$2:$A$41,0)))</f>
        <v>0.068</v>
      </c>
      <c r="I1809" s="16" t="n">
        <f aca="false">F1809*G1809</f>
        <v>129165</v>
      </c>
      <c r="J1809" s="16" t="n">
        <f aca="false">I1809*(1-H1809)</f>
        <v>120381.78</v>
      </c>
      <c r="K1809" s="16" t="n">
        <f aca="false">J1809*INDEX(Customers!$G$2:$G$41,MATCH(C1809,Customers!$A$2:$A$41,0))</f>
        <v>2407.6356</v>
      </c>
      <c r="L1809" s="16" t="n">
        <f aca="false">F1809*INDEX(Customers!$H$2:$H$41,MATCH(C1809,Customers!$A$2:$A$41,0))</f>
        <v>7900</v>
      </c>
      <c r="M1809" s="16" t="n">
        <f aca="false">J1809*INDEX(Customers!$I$2:$I$41,MATCH(C1809,Customers!$A$2:$A$41,0))/365*Assumptions!$B$6</f>
        <v>1583.10286027397</v>
      </c>
      <c r="N1809" s="16" t="n">
        <f aca="false">J1809-K1809-L1809-M1809</f>
        <v>108491.041539726</v>
      </c>
      <c r="O1809" s="16" t="n">
        <f aca="false">F1809*IF(A1809="2025",INDEX(Products!$D$2:$D$13,MATCH(D1809,Products!$A$2:$A$13,0)),INDEX(Products!$F$2:$F$13,MATCH(D1809,Products!$A$2:$A$13,0)))</f>
        <v>86505</v>
      </c>
      <c r="P1809" s="16" t="n">
        <f aca="false">N1809-O1809</f>
        <v>21986.041539726</v>
      </c>
    </row>
    <row r="1810" customFormat="false" ht="15" hidden="false" customHeight="false" outlineLevel="0" collapsed="false">
      <c r="A1810" s="2" t="s">
        <v>118</v>
      </c>
      <c r="B1810" s="2" t="n">
        <v>9</v>
      </c>
      <c r="C1810" s="2" t="s">
        <v>89</v>
      </c>
      <c r="D1810" s="2" t="s">
        <v>34</v>
      </c>
      <c r="E1810" s="2" t="str">
        <f aca="false">INDEX(Products!$B$2:$B$13,MATCH(D1810,Products!$A$2:$A$13,0))</f>
        <v>FCC</v>
      </c>
      <c r="F1810" s="15" t="n">
        <v>31.6</v>
      </c>
      <c r="G1810" s="16" t="n">
        <f aca="false">IF(A1810="2025",INDEX(Products!$C$2:$C$13,MATCH(D1810,Products!$A$2:$A$13,0)),INDEX(Products!$E$2:$E$13,MATCH(D1810,Products!$A$2:$A$13,0)))</f>
        <v>3270</v>
      </c>
      <c r="H1810" s="13" t="n">
        <f aca="false">IF(A1810="2025",INDEX(Customers!$D$2:$D$41,MATCH(C1810,Customers!$A$2:$A$41,0)),INDEX(Customers!$F$2:$F$41,MATCH(C1810,Customers!$A$2:$A$41,0)))</f>
        <v>0.068</v>
      </c>
      <c r="I1810" s="16" t="n">
        <f aca="false">F1810*G1810</f>
        <v>103332</v>
      </c>
      <c r="J1810" s="16" t="n">
        <f aca="false">I1810*(1-H1810)</f>
        <v>96305.424</v>
      </c>
      <c r="K1810" s="16" t="n">
        <f aca="false">J1810*INDEX(Customers!$G$2:$G$41,MATCH(C1810,Customers!$A$2:$A$41,0))</f>
        <v>1926.10848</v>
      </c>
      <c r="L1810" s="16" t="n">
        <f aca="false">F1810*INDEX(Customers!$H$2:$H$41,MATCH(C1810,Customers!$A$2:$A$41,0))</f>
        <v>6320</v>
      </c>
      <c r="M1810" s="16" t="n">
        <f aca="false">J1810*INDEX(Customers!$I$2:$I$41,MATCH(C1810,Customers!$A$2:$A$41,0))/365*Assumptions!$B$6</f>
        <v>1266.48228821918</v>
      </c>
      <c r="N1810" s="16" t="n">
        <f aca="false">J1810-K1810-L1810-M1810</f>
        <v>86792.8332317808</v>
      </c>
      <c r="O1810" s="16" t="n">
        <f aca="false">F1810*IF(A1810="2025",INDEX(Products!$D$2:$D$13,MATCH(D1810,Products!$A$2:$A$13,0)),INDEX(Products!$F$2:$F$13,MATCH(D1810,Products!$A$2:$A$13,0)))</f>
        <v>69204</v>
      </c>
      <c r="P1810" s="16" t="n">
        <f aca="false">N1810-O1810</f>
        <v>17588.8332317808</v>
      </c>
    </row>
    <row r="1811" customFormat="false" ht="15" hidden="false" customHeight="false" outlineLevel="0" collapsed="false">
      <c r="A1811" s="2" t="s">
        <v>118</v>
      </c>
      <c r="B1811" s="2" t="n">
        <v>10</v>
      </c>
      <c r="C1811" s="2" t="s">
        <v>89</v>
      </c>
      <c r="D1811" s="2" t="s">
        <v>34</v>
      </c>
      <c r="E1811" s="2" t="str">
        <f aca="false">INDEX(Products!$B$2:$B$13,MATCH(D1811,Products!$A$2:$A$13,0))</f>
        <v>FCC</v>
      </c>
      <c r="F1811" s="15" t="n">
        <v>31.9</v>
      </c>
      <c r="G1811" s="16" t="n">
        <f aca="false">IF(A1811="2025",INDEX(Products!$C$2:$C$13,MATCH(D1811,Products!$A$2:$A$13,0)),INDEX(Products!$E$2:$E$13,MATCH(D1811,Products!$A$2:$A$13,0)))</f>
        <v>3270</v>
      </c>
      <c r="H1811" s="13" t="n">
        <f aca="false">IF(A1811="2025",INDEX(Customers!$D$2:$D$41,MATCH(C1811,Customers!$A$2:$A$41,0)),INDEX(Customers!$F$2:$F$41,MATCH(C1811,Customers!$A$2:$A$41,0)))</f>
        <v>0.068</v>
      </c>
      <c r="I1811" s="16" t="n">
        <f aca="false">F1811*G1811</f>
        <v>104313</v>
      </c>
      <c r="J1811" s="16" t="n">
        <f aca="false">I1811*(1-H1811)</f>
        <v>97219.716</v>
      </c>
      <c r="K1811" s="16" t="n">
        <f aca="false">J1811*INDEX(Customers!$G$2:$G$41,MATCH(C1811,Customers!$A$2:$A$41,0))</f>
        <v>1944.39432</v>
      </c>
      <c r="L1811" s="16" t="n">
        <f aca="false">F1811*INDEX(Customers!$H$2:$H$41,MATCH(C1811,Customers!$A$2:$A$41,0))</f>
        <v>6380</v>
      </c>
      <c r="M1811" s="16" t="n">
        <f aca="false">J1811*INDEX(Customers!$I$2:$I$41,MATCH(C1811,Customers!$A$2:$A$41,0))/365*Assumptions!$B$6</f>
        <v>1278.50585424658</v>
      </c>
      <c r="N1811" s="16" t="n">
        <f aca="false">J1811-K1811-L1811-M1811</f>
        <v>87616.8158257534</v>
      </c>
      <c r="O1811" s="16" t="n">
        <f aca="false">F1811*IF(A1811="2025",INDEX(Products!$D$2:$D$13,MATCH(D1811,Products!$A$2:$A$13,0)),INDEX(Products!$F$2:$F$13,MATCH(D1811,Products!$A$2:$A$13,0)))</f>
        <v>69861</v>
      </c>
      <c r="P1811" s="16" t="n">
        <f aca="false">N1811-O1811</f>
        <v>17755.8158257534</v>
      </c>
    </row>
    <row r="1812" customFormat="false" ht="15" hidden="false" customHeight="false" outlineLevel="0" collapsed="false">
      <c r="A1812" s="2" t="s">
        <v>118</v>
      </c>
      <c r="B1812" s="2" t="n">
        <v>11</v>
      </c>
      <c r="C1812" s="2" t="s">
        <v>89</v>
      </c>
      <c r="D1812" s="2" t="s">
        <v>34</v>
      </c>
      <c r="E1812" s="2" t="str">
        <f aca="false">INDEX(Products!$B$2:$B$13,MATCH(D1812,Products!$A$2:$A$13,0))</f>
        <v>FCC</v>
      </c>
      <c r="F1812" s="15" t="n">
        <v>47.4</v>
      </c>
      <c r="G1812" s="16" t="n">
        <f aca="false">IF(A1812="2025",INDEX(Products!$C$2:$C$13,MATCH(D1812,Products!$A$2:$A$13,0)),INDEX(Products!$E$2:$E$13,MATCH(D1812,Products!$A$2:$A$13,0)))</f>
        <v>3270</v>
      </c>
      <c r="H1812" s="13" t="n">
        <f aca="false">IF(A1812="2025",INDEX(Customers!$D$2:$D$41,MATCH(C1812,Customers!$A$2:$A$41,0)),INDEX(Customers!$F$2:$F$41,MATCH(C1812,Customers!$A$2:$A$41,0)))</f>
        <v>0.068</v>
      </c>
      <c r="I1812" s="16" t="n">
        <f aca="false">F1812*G1812</f>
        <v>154998</v>
      </c>
      <c r="J1812" s="16" t="n">
        <f aca="false">I1812*(1-H1812)</f>
        <v>144458.136</v>
      </c>
      <c r="K1812" s="16" t="n">
        <f aca="false">J1812*INDEX(Customers!$G$2:$G$41,MATCH(C1812,Customers!$A$2:$A$41,0))</f>
        <v>2889.16272</v>
      </c>
      <c r="L1812" s="16" t="n">
        <f aca="false">F1812*INDEX(Customers!$H$2:$H$41,MATCH(C1812,Customers!$A$2:$A$41,0))</f>
        <v>9480</v>
      </c>
      <c r="M1812" s="16" t="n">
        <f aca="false">J1812*INDEX(Customers!$I$2:$I$41,MATCH(C1812,Customers!$A$2:$A$41,0))/365*Assumptions!$B$6</f>
        <v>1899.72343232877</v>
      </c>
      <c r="N1812" s="16" t="n">
        <f aca="false">J1812-K1812-L1812-M1812</f>
        <v>130189.249847671</v>
      </c>
      <c r="O1812" s="16" t="n">
        <f aca="false">F1812*IF(A1812="2025",INDEX(Products!$D$2:$D$13,MATCH(D1812,Products!$A$2:$A$13,0)),INDEX(Products!$F$2:$F$13,MATCH(D1812,Products!$A$2:$A$13,0)))</f>
        <v>103806</v>
      </c>
      <c r="P1812" s="16" t="n">
        <f aca="false">N1812-O1812</f>
        <v>26383.2498476712</v>
      </c>
    </row>
    <row r="1813" customFormat="false" ht="15" hidden="false" customHeight="false" outlineLevel="0" collapsed="false">
      <c r="A1813" s="2" t="s">
        <v>118</v>
      </c>
      <c r="B1813" s="2" t="n">
        <v>12</v>
      </c>
      <c r="C1813" s="2" t="s">
        <v>89</v>
      </c>
      <c r="D1813" s="2" t="s">
        <v>34</v>
      </c>
      <c r="E1813" s="2" t="str">
        <f aca="false">INDEX(Products!$B$2:$B$13,MATCH(D1813,Products!$A$2:$A$13,0))</f>
        <v>FCC</v>
      </c>
      <c r="F1813" s="15" t="n">
        <v>27.7</v>
      </c>
      <c r="G1813" s="16" t="n">
        <f aca="false">IF(A1813="2025",INDEX(Products!$C$2:$C$13,MATCH(D1813,Products!$A$2:$A$13,0)),INDEX(Products!$E$2:$E$13,MATCH(D1813,Products!$A$2:$A$13,0)))</f>
        <v>3270</v>
      </c>
      <c r="H1813" s="13" t="n">
        <f aca="false">IF(A1813="2025",INDEX(Customers!$D$2:$D$41,MATCH(C1813,Customers!$A$2:$A$41,0)),INDEX(Customers!$F$2:$F$41,MATCH(C1813,Customers!$A$2:$A$41,0)))</f>
        <v>0.068</v>
      </c>
      <c r="I1813" s="16" t="n">
        <f aca="false">F1813*G1813</f>
        <v>90579</v>
      </c>
      <c r="J1813" s="16" t="n">
        <f aca="false">I1813*(1-H1813)</f>
        <v>84419.628</v>
      </c>
      <c r="K1813" s="16" t="n">
        <f aca="false">J1813*INDEX(Customers!$G$2:$G$41,MATCH(C1813,Customers!$A$2:$A$41,0))</f>
        <v>1688.39256</v>
      </c>
      <c r="L1813" s="16" t="n">
        <f aca="false">F1813*INDEX(Customers!$H$2:$H$41,MATCH(C1813,Customers!$A$2:$A$41,0))</f>
        <v>5540</v>
      </c>
      <c r="M1813" s="16" t="n">
        <f aca="false">J1813*INDEX(Customers!$I$2:$I$41,MATCH(C1813,Customers!$A$2:$A$41,0))/365*Assumptions!$B$6</f>
        <v>1110.17592986301</v>
      </c>
      <c r="N1813" s="16" t="n">
        <f aca="false">J1813-K1813-L1813-M1813</f>
        <v>76081.059510137</v>
      </c>
      <c r="O1813" s="16" t="n">
        <f aca="false">F1813*IF(A1813="2025",INDEX(Products!$D$2:$D$13,MATCH(D1813,Products!$A$2:$A$13,0)),INDEX(Products!$F$2:$F$13,MATCH(D1813,Products!$A$2:$A$13,0)))</f>
        <v>60663</v>
      </c>
      <c r="P1813" s="16" t="n">
        <f aca="false">N1813-O1813</f>
        <v>15418.059510137</v>
      </c>
    </row>
    <row r="1814" customFormat="false" ht="15" hidden="false" customHeight="false" outlineLevel="0" collapsed="false">
      <c r="A1814" s="2" t="s">
        <v>119</v>
      </c>
      <c r="B1814" s="2" t="n">
        <v>1</v>
      </c>
      <c r="C1814" s="2" t="s">
        <v>89</v>
      </c>
      <c r="D1814" s="2" t="s">
        <v>34</v>
      </c>
      <c r="E1814" s="2" t="str">
        <f aca="false">INDEX(Products!$B$2:$B$13,MATCH(D1814,Products!$A$2:$A$13,0))</f>
        <v>FCC</v>
      </c>
      <c r="F1814" s="15" t="n">
        <v>27.1</v>
      </c>
      <c r="G1814" s="16" t="n">
        <f aca="false">IF(A1814="2025",INDEX(Products!$C$2:$C$13,MATCH(D1814,Products!$A$2:$A$13,0)),INDEX(Products!$E$2:$E$13,MATCH(D1814,Products!$A$2:$A$13,0)))</f>
        <v>3433.5</v>
      </c>
      <c r="H1814" s="13" t="n">
        <f aca="false">IF(A1814="2025",INDEX(Customers!$D$2:$D$41,MATCH(C1814,Customers!$A$2:$A$41,0)),INDEX(Customers!$F$2:$F$41,MATCH(C1814,Customers!$A$2:$A$41,0)))</f>
        <v>0.068</v>
      </c>
      <c r="I1814" s="16" t="n">
        <f aca="false">F1814*G1814</f>
        <v>93047.85</v>
      </c>
      <c r="J1814" s="16" t="n">
        <f aca="false">I1814*(1-H1814)</f>
        <v>86720.5962</v>
      </c>
      <c r="K1814" s="16" t="n">
        <f aca="false">J1814*INDEX(Customers!$G$2:$G$41,MATCH(C1814,Customers!$A$2:$A$41,0))</f>
        <v>1734.411924</v>
      </c>
      <c r="L1814" s="16" t="n">
        <f aca="false">F1814*INDEX(Customers!$H$2:$H$41,MATCH(C1814,Customers!$A$2:$A$41,0))</f>
        <v>5420</v>
      </c>
      <c r="M1814" s="16" t="n">
        <f aca="false">J1814*INDEX(Customers!$I$2:$I$41,MATCH(C1814,Customers!$A$2:$A$41,0))/365*Assumptions!$B$6</f>
        <v>1140.43523769863</v>
      </c>
      <c r="N1814" s="16" t="n">
        <f aca="false">J1814-K1814-L1814-M1814</f>
        <v>78425.7490383014</v>
      </c>
      <c r="O1814" s="16" t="n">
        <f aca="false">F1814*IF(A1814="2025",INDEX(Products!$D$2:$D$13,MATCH(D1814,Products!$A$2:$A$13,0)),INDEX(Products!$F$2:$F$13,MATCH(D1814,Products!$A$2:$A$13,0)))</f>
        <v>61129.47</v>
      </c>
      <c r="P1814" s="16" t="n">
        <f aca="false">N1814-O1814</f>
        <v>17296.2790383014</v>
      </c>
    </row>
    <row r="1815" customFormat="false" ht="15" hidden="false" customHeight="false" outlineLevel="0" collapsed="false">
      <c r="A1815" s="2" t="s">
        <v>119</v>
      </c>
      <c r="B1815" s="2" t="n">
        <v>2</v>
      </c>
      <c r="C1815" s="2" t="s">
        <v>89</v>
      </c>
      <c r="D1815" s="2" t="s">
        <v>34</v>
      </c>
      <c r="E1815" s="2" t="str">
        <f aca="false">INDEX(Products!$B$2:$B$13,MATCH(D1815,Products!$A$2:$A$13,0))</f>
        <v>FCC</v>
      </c>
      <c r="F1815" s="15" t="n">
        <v>24.9</v>
      </c>
      <c r="G1815" s="16" t="n">
        <f aca="false">IF(A1815="2025",INDEX(Products!$C$2:$C$13,MATCH(D1815,Products!$A$2:$A$13,0)),INDEX(Products!$E$2:$E$13,MATCH(D1815,Products!$A$2:$A$13,0)))</f>
        <v>3433.5</v>
      </c>
      <c r="H1815" s="13" t="n">
        <f aca="false">IF(A1815="2025",INDEX(Customers!$D$2:$D$41,MATCH(C1815,Customers!$A$2:$A$41,0)),INDEX(Customers!$F$2:$F$41,MATCH(C1815,Customers!$A$2:$A$41,0)))</f>
        <v>0.068</v>
      </c>
      <c r="I1815" s="16" t="n">
        <f aca="false">F1815*G1815</f>
        <v>85494.15</v>
      </c>
      <c r="J1815" s="16" t="n">
        <f aca="false">I1815*(1-H1815)</f>
        <v>79680.5478</v>
      </c>
      <c r="K1815" s="16" t="n">
        <f aca="false">J1815*INDEX(Customers!$G$2:$G$41,MATCH(C1815,Customers!$A$2:$A$41,0))</f>
        <v>1593.610956</v>
      </c>
      <c r="L1815" s="16" t="n">
        <f aca="false">F1815*INDEX(Customers!$H$2:$H$41,MATCH(C1815,Customers!$A$2:$A$41,0))</f>
        <v>4980</v>
      </c>
      <c r="M1815" s="16" t="n">
        <f aca="false">J1815*INDEX(Customers!$I$2:$I$41,MATCH(C1815,Customers!$A$2:$A$41,0))/365*Assumptions!$B$6</f>
        <v>1047.85377928767</v>
      </c>
      <c r="N1815" s="16" t="n">
        <f aca="false">J1815-K1815-L1815-M1815</f>
        <v>72059.0830647123</v>
      </c>
      <c r="O1815" s="16" t="n">
        <f aca="false">F1815*IF(A1815="2025",INDEX(Products!$D$2:$D$13,MATCH(D1815,Products!$A$2:$A$13,0)),INDEX(Products!$F$2:$F$13,MATCH(D1815,Products!$A$2:$A$13,0)))</f>
        <v>56166.93</v>
      </c>
      <c r="P1815" s="16" t="n">
        <f aca="false">N1815-O1815</f>
        <v>15892.1530647123</v>
      </c>
    </row>
    <row r="1816" customFormat="false" ht="15" hidden="false" customHeight="false" outlineLevel="0" collapsed="false">
      <c r="A1816" s="2" t="s">
        <v>119</v>
      </c>
      <c r="B1816" s="2" t="n">
        <v>3</v>
      </c>
      <c r="C1816" s="2" t="s">
        <v>89</v>
      </c>
      <c r="D1816" s="2" t="s">
        <v>34</v>
      </c>
      <c r="E1816" s="2" t="str">
        <f aca="false">INDEX(Products!$B$2:$B$13,MATCH(D1816,Products!$A$2:$A$13,0))</f>
        <v>FCC</v>
      </c>
      <c r="F1816" s="15" t="n">
        <v>24.1</v>
      </c>
      <c r="G1816" s="16" t="n">
        <f aca="false">IF(A1816="2025",INDEX(Products!$C$2:$C$13,MATCH(D1816,Products!$A$2:$A$13,0)),INDEX(Products!$E$2:$E$13,MATCH(D1816,Products!$A$2:$A$13,0)))</f>
        <v>3433.5</v>
      </c>
      <c r="H1816" s="13" t="n">
        <f aca="false">IF(A1816="2025",INDEX(Customers!$D$2:$D$41,MATCH(C1816,Customers!$A$2:$A$41,0)),INDEX(Customers!$F$2:$F$41,MATCH(C1816,Customers!$A$2:$A$41,0)))</f>
        <v>0.068</v>
      </c>
      <c r="I1816" s="16" t="n">
        <f aca="false">F1816*G1816</f>
        <v>82747.35</v>
      </c>
      <c r="J1816" s="16" t="n">
        <f aca="false">I1816*(1-H1816)</f>
        <v>77120.5302</v>
      </c>
      <c r="K1816" s="16" t="n">
        <f aca="false">J1816*INDEX(Customers!$G$2:$G$41,MATCH(C1816,Customers!$A$2:$A$41,0))</f>
        <v>1542.410604</v>
      </c>
      <c r="L1816" s="16" t="n">
        <f aca="false">F1816*INDEX(Customers!$H$2:$H$41,MATCH(C1816,Customers!$A$2:$A$41,0))</f>
        <v>4820</v>
      </c>
      <c r="M1816" s="16" t="n">
        <f aca="false">J1816*INDEX(Customers!$I$2:$I$41,MATCH(C1816,Customers!$A$2:$A$41,0))/365*Assumptions!$B$6</f>
        <v>1014.18779441096</v>
      </c>
      <c r="N1816" s="16" t="n">
        <f aca="false">J1816-K1816-L1816-M1816</f>
        <v>69743.931801589</v>
      </c>
      <c r="O1816" s="16" t="n">
        <f aca="false">F1816*IF(A1816="2025",INDEX(Products!$D$2:$D$13,MATCH(D1816,Products!$A$2:$A$13,0)),INDEX(Products!$F$2:$F$13,MATCH(D1816,Products!$A$2:$A$13,0)))</f>
        <v>54362.37</v>
      </c>
      <c r="P1816" s="16" t="n">
        <f aca="false">N1816-O1816</f>
        <v>15381.561801589</v>
      </c>
    </row>
    <row r="1817" customFormat="false" ht="15" hidden="false" customHeight="false" outlineLevel="0" collapsed="false">
      <c r="A1817" s="2" t="s">
        <v>119</v>
      </c>
      <c r="B1817" s="2" t="n">
        <v>4</v>
      </c>
      <c r="C1817" s="2" t="s">
        <v>89</v>
      </c>
      <c r="D1817" s="2" t="s">
        <v>34</v>
      </c>
      <c r="E1817" s="2" t="str">
        <f aca="false">INDEX(Products!$B$2:$B$13,MATCH(D1817,Products!$A$2:$A$13,0))</f>
        <v>FCC</v>
      </c>
      <c r="F1817" s="15" t="n">
        <v>25.3</v>
      </c>
      <c r="G1817" s="16" t="n">
        <f aca="false">IF(A1817="2025",INDEX(Products!$C$2:$C$13,MATCH(D1817,Products!$A$2:$A$13,0)),INDEX(Products!$E$2:$E$13,MATCH(D1817,Products!$A$2:$A$13,0)))</f>
        <v>3433.5</v>
      </c>
      <c r="H1817" s="13" t="n">
        <f aca="false">IF(A1817="2025",INDEX(Customers!$D$2:$D$41,MATCH(C1817,Customers!$A$2:$A$41,0)),INDEX(Customers!$F$2:$F$41,MATCH(C1817,Customers!$A$2:$A$41,0)))</f>
        <v>0.068</v>
      </c>
      <c r="I1817" s="16" t="n">
        <f aca="false">F1817*G1817</f>
        <v>86867.55</v>
      </c>
      <c r="J1817" s="16" t="n">
        <f aca="false">I1817*(1-H1817)</f>
        <v>80960.5566</v>
      </c>
      <c r="K1817" s="16" t="n">
        <f aca="false">J1817*INDEX(Customers!$G$2:$G$41,MATCH(C1817,Customers!$A$2:$A$41,0))</f>
        <v>1619.211132</v>
      </c>
      <c r="L1817" s="16" t="n">
        <f aca="false">F1817*INDEX(Customers!$H$2:$H$41,MATCH(C1817,Customers!$A$2:$A$41,0))</f>
        <v>5060</v>
      </c>
      <c r="M1817" s="16" t="n">
        <f aca="false">J1817*INDEX(Customers!$I$2:$I$41,MATCH(C1817,Customers!$A$2:$A$41,0))/365*Assumptions!$B$6</f>
        <v>1064.68677172603</v>
      </c>
      <c r="N1817" s="16" t="n">
        <f aca="false">J1817-K1817-L1817-M1817</f>
        <v>73216.658696274</v>
      </c>
      <c r="O1817" s="16" t="n">
        <f aca="false">F1817*IF(A1817="2025",INDEX(Products!$D$2:$D$13,MATCH(D1817,Products!$A$2:$A$13,0)),INDEX(Products!$F$2:$F$13,MATCH(D1817,Products!$A$2:$A$13,0)))</f>
        <v>57069.21</v>
      </c>
      <c r="P1817" s="16" t="n">
        <f aca="false">N1817-O1817</f>
        <v>16147.448696274</v>
      </c>
    </row>
    <row r="1818" customFormat="false" ht="15" hidden="false" customHeight="false" outlineLevel="0" collapsed="false">
      <c r="A1818" s="2" t="s">
        <v>119</v>
      </c>
      <c r="B1818" s="2" t="n">
        <v>5</v>
      </c>
      <c r="C1818" s="2" t="s">
        <v>89</v>
      </c>
      <c r="D1818" s="2" t="s">
        <v>34</v>
      </c>
      <c r="E1818" s="2" t="str">
        <f aca="false">INDEX(Products!$B$2:$B$13,MATCH(D1818,Products!$A$2:$A$13,0))</f>
        <v>FCC</v>
      </c>
      <c r="F1818" s="15" t="n">
        <v>41.8</v>
      </c>
      <c r="G1818" s="16" t="n">
        <f aca="false">IF(A1818="2025",INDEX(Products!$C$2:$C$13,MATCH(D1818,Products!$A$2:$A$13,0)),INDEX(Products!$E$2:$E$13,MATCH(D1818,Products!$A$2:$A$13,0)))</f>
        <v>3433.5</v>
      </c>
      <c r="H1818" s="13" t="n">
        <f aca="false">IF(A1818="2025",INDEX(Customers!$D$2:$D$41,MATCH(C1818,Customers!$A$2:$A$41,0)),INDEX(Customers!$F$2:$F$41,MATCH(C1818,Customers!$A$2:$A$41,0)))</f>
        <v>0.068</v>
      </c>
      <c r="I1818" s="16" t="n">
        <f aca="false">F1818*G1818</f>
        <v>143520.3</v>
      </c>
      <c r="J1818" s="16" t="n">
        <f aca="false">I1818*(1-H1818)</f>
        <v>133760.9196</v>
      </c>
      <c r="K1818" s="16" t="n">
        <f aca="false">J1818*INDEX(Customers!$G$2:$G$41,MATCH(C1818,Customers!$A$2:$A$41,0))</f>
        <v>2675.218392</v>
      </c>
      <c r="L1818" s="16" t="n">
        <f aca="false">F1818*INDEX(Customers!$H$2:$H$41,MATCH(C1818,Customers!$A$2:$A$41,0))</f>
        <v>8360</v>
      </c>
      <c r="M1818" s="16" t="n">
        <f aca="false">J1818*INDEX(Customers!$I$2:$I$41,MATCH(C1818,Customers!$A$2:$A$41,0))/365*Assumptions!$B$6</f>
        <v>1759.04770980822</v>
      </c>
      <c r="N1818" s="16" t="n">
        <f aca="false">J1818-K1818-L1818-M1818</f>
        <v>120966.653498192</v>
      </c>
      <c r="O1818" s="16" t="n">
        <f aca="false">F1818*IF(A1818="2025",INDEX(Products!$D$2:$D$13,MATCH(D1818,Products!$A$2:$A$13,0)),INDEX(Products!$F$2:$F$13,MATCH(D1818,Products!$A$2:$A$13,0)))</f>
        <v>94288.26</v>
      </c>
      <c r="P1818" s="16" t="n">
        <f aca="false">N1818-O1818</f>
        <v>26678.3934981918</v>
      </c>
    </row>
    <row r="1819" customFormat="false" ht="15" hidden="false" customHeight="false" outlineLevel="0" collapsed="false">
      <c r="A1819" s="2" t="s">
        <v>119</v>
      </c>
      <c r="B1819" s="2" t="n">
        <v>6</v>
      </c>
      <c r="C1819" s="2" t="s">
        <v>89</v>
      </c>
      <c r="D1819" s="2" t="s">
        <v>34</v>
      </c>
      <c r="E1819" s="2" t="str">
        <f aca="false">INDEX(Products!$B$2:$B$13,MATCH(D1819,Products!$A$2:$A$13,0))</f>
        <v>FCC</v>
      </c>
      <c r="F1819" s="15" t="n">
        <v>42.3</v>
      </c>
      <c r="G1819" s="16" t="n">
        <f aca="false">IF(A1819="2025",INDEX(Products!$C$2:$C$13,MATCH(D1819,Products!$A$2:$A$13,0)),INDEX(Products!$E$2:$E$13,MATCH(D1819,Products!$A$2:$A$13,0)))</f>
        <v>3433.5</v>
      </c>
      <c r="H1819" s="13" t="n">
        <f aca="false">IF(A1819="2025",INDEX(Customers!$D$2:$D$41,MATCH(C1819,Customers!$A$2:$A$41,0)),INDEX(Customers!$F$2:$F$41,MATCH(C1819,Customers!$A$2:$A$41,0)))</f>
        <v>0.068</v>
      </c>
      <c r="I1819" s="16" t="n">
        <f aca="false">F1819*G1819</f>
        <v>145237.05</v>
      </c>
      <c r="J1819" s="16" t="n">
        <f aca="false">I1819*(1-H1819)</f>
        <v>135360.9306</v>
      </c>
      <c r="K1819" s="16" t="n">
        <f aca="false">J1819*INDEX(Customers!$G$2:$G$41,MATCH(C1819,Customers!$A$2:$A$41,0))</f>
        <v>2707.218612</v>
      </c>
      <c r="L1819" s="16" t="n">
        <f aca="false">F1819*INDEX(Customers!$H$2:$H$41,MATCH(C1819,Customers!$A$2:$A$41,0))</f>
        <v>8460</v>
      </c>
      <c r="M1819" s="16" t="n">
        <f aca="false">J1819*INDEX(Customers!$I$2:$I$41,MATCH(C1819,Customers!$A$2:$A$41,0))/365*Assumptions!$B$6</f>
        <v>1780.08895035616</v>
      </c>
      <c r="N1819" s="16" t="n">
        <f aca="false">J1819-K1819-L1819-M1819</f>
        <v>122413.623037644</v>
      </c>
      <c r="O1819" s="16" t="n">
        <f aca="false">F1819*IF(A1819="2025",INDEX(Products!$D$2:$D$13,MATCH(D1819,Products!$A$2:$A$13,0)),INDEX(Products!$F$2:$F$13,MATCH(D1819,Products!$A$2:$A$13,0)))</f>
        <v>95416.11</v>
      </c>
      <c r="P1819" s="16" t="n">
        <f aca="false">N1819-O1819</f>
        <v>26997.5130376438</v>
      </c>
    </row>
    <row r="1820" customFormat="false" ht="15" hidden="false" customHeight="false" outlineLevel="0" collapsed="false">
      <c r="A1820" s="2" t="s">
        <v>119</v>
      </c>
      <c r="B1820" s="2" t="n">
        <v>7</v>
      </c>
      <c r="C1820" s="2" t="s">
        <v>89</v>
      </c>
      <c r="D1820" s="2" t="s">
        <v>34</v>
      </c>
      <c r="E1820" s="2" t="str">
        <f aca="false">INDEX(Products!$B$2:$B$13,MATCH(D1820,Products!$A$2:$A$13,0))</f>
        <v>FCC</v>
      </c>
      <c r="F1820" s="15" t="n">
        <v>42.9</v>
      </c>
      <c r="G1820" s="16" t="n">
        <f aca="false">IF(A1820="2025",INDEX(Products!$C$2:$C$13,MATCH(D1820,Products!$A$2:$A$13,0)),INDEX(Products!$E$2:$E$13,MATCH(D1820,Products!$A$2:$A$13,0)))</f>
        <v>3433.5</v>
      </c>
      <c r="H1820" s="13" t="n">
        <f aca="false">IF(A1820="2025",INDEX(Customers!$D$2:$D$41,MATCH(C1820,Customers!$A$2:$A$41,0)),INDEX(Customers!$F$2:$F$41,MATCH(C1820,Customers!$A$2:$A$41,0)))</f>
        <v>0.068</v>
      </c>
      <c r="I1820" s="16" t="n">
        <f aca="false">F1820*G1820</f>
        <v>147297.15</v>
      </c>
      <c r="J1820" s="16" t="n">
        <f aca="false">I1820*(1-H1820)</f>
        <v>137280.9438</v>
      </c>
      <c r="K1820" s="16" t="n">
        <f aca="false">J1820*INDEX(Customers!$G$2:$G$41,MATCH(C1820,Customers!$A$2:$A$41,0))</f>
        <v>2745.618876</v>
      </c>
      <c r="L1820" s="16" t="n">
        <f aca="false">F1820*INDEX(Customers!$H$2:$H$41,MATCH(C1820,Customers!$A$2:$A$41,0))</f>
        <v>8580</v>
      </c>
      <c r="M1820" s="16" t="n">
        <f aca="false">J1820*INDEX(Customers!$I$2:$I$41,MATCH(C1820,Customers!$A$2:$A$41,0))/365*Assumptions!$B$6</f>
        <v>1805.3384390137</v>
      </c>
      <c r="N1820" s="16" t="n">
        <f aca="false">J1820-K1820-L1820-M1820</f>
        <v>124149.986484986</v>
      </c>
      <c r="O1820" s="16" t="n">
        <f aca="false">F1820*IF(A1820="2025",INDEX(Products!$D$2:$D$13,MATCH(D1820,Products!$A$2:$A$13,0)),INDEX(Products!$F$2:$F$13,MATCH(D1820,Products!$A$2:$A$13,0)))</f>
        <v>96769.53</v>
      </c>
      <c r="P1820" s="16" t="n">
        <f aca="false">N1820-O1820</f>
        <v>27380.4564849863</v>
      </c>
    </row>
    <row r="1821" customFormat="false" ht="15" hidden="false" customHeight="false" outlineLevel="0" collapsed="false">
      <c r="A1821" s="2" t="s">
        <v>119</v>
      </c>
      <c r="B1821" s="2" t="n">
        <v>8</v>
      </c>
      <c r="C1821" s="2" t="s">
        <v>89</v>
      </c>
      <c r="D1821" s="2" t="s">
        <v>34</v>
      </c>
      <c r="E1821" s="2" t="str">
        <f aca="false">INDEX(Products!$B$2:$B$13,MATCH(D1821,Products!$A$2:$A$13,0))</f>
        <v>FCC</v>
      </c>
      <c r="F1821" s="15" t="n">
        <v>30.2</v>
      </c>
      <c r="G1821" s="16" t="n">
        <f aca="false">IF(A1821="2025",INDEX(Products!$C$2:$C$13,MATCH(D1821,Products!$A$2:$A$13,0)),INDEX(Products!$E$2:$E$13,MATCH(D1821,Products!$A$2:$A$13,0)))</f>
        <v>3433.5</v>
      </c>
      <c r="H1821" s="13" t="n">
        <f aca="false">IF(A1821="2025",INDEX(Customers!$D$2:$D$41,MATCH(C1821,Customers!$A$2:$A$41,0)),INDEX(Customers!$F$2:$F$41,MATCH(C1821,Customers!$A$2:$A$41,0)))</f>
        <v>0.068</v>
      </c>
      <c r="I1821" s="16" t="n">
        <f aca="false">F1821*G1821</f>
        <v>103691.7</v>
      </c>
      <c r="J1821" s="16" t="n">
        <f aca="false">I1821*(1-H1821)</f>
        <v>96640.6644</v>
      </c>
      <c r="K1821" s="16" t="n">
        <f aca="false">J1821*INDEX(Customers!$G$2:$G$41,MATCH(C1821,Customers!$A$2:$A$41,0))</f>
        <v>1932.813288</v>
      </c>
      <c r="L1821" s="16" t="n">
        <f aca="false">F1821*INDEX(Customers!$H$2:$H$41,MATCH(C1821,Customers!$A$2:$A$41,0))</f>
        <v>6040</v>
      </c>
      <c r="M1821" s="16" t="n">
        <f aca="false">J1821*INDEX(Customers!$I$2:$I$41,MATCH(C1821,Customers!$A$2:$A$41,0))/365*Assumptions!$B$6</f>
        <v>1270.89092909589</v>
      </c>
      <c r="N1821" s="16" t="n">
        <f aca="false">J1821-K1821-L1821-M1821</f>
        <v>87396.9601829041</v>
      </c>
      <c r="O1821" s="16" t="n">
        <f aca="false">F1821*IF(A1821="2025",INDEX(Products!$D$2:$D$13,MATCH(D1821,Products!$A$2:$A$13,0)),INDEX(Products!$F$2:$F$13,MATCH(D1821,Products!$A$2:$A$13,0)))</f>
        <v>68122.14</v>
      </c>
      <c r="P1821" s="16" t="n">
        <f aca="false">N1821-O1821</f>
        <v>19274.8201829041</v>
      </c>
    </row>
    <row r="1822" customFormat="false" ht="15" hidden="false" customHeight="false" outlineLevel="0" collapsed="false">
      <c r="A1822" s="2" t="s">
        <v>119</v>
      </c>
      <c r="B1822" s="2" t="n">
        <v>9</v>
      </c>
      <c r="C1822" s="2" t="s">
        <v>89</v>
      </c>
      <c r="D1822" s="2" t="s">
        <v>34</v>
      </c>
      <c r="E1822" s="2" t="str">
        <f aca="false">INDEX(Products!$B$2:$B$13,MATCH(D1822,Products!$A$2:$A$13,0))</f>
        <v>FCC</v>
      </c>
      <c r="F1822" s="15" t="n">
        <v>42.9</v>
      </c>
      <c r="G1822" s="16" t="n">
        <f aca="false">IF(A1822="2025",INDEX(Products!$C$2:$C$13,MATCH(D1822,Products!$A$2:$A$13,0)),INDEX(Products!$E$2:$E$13,MATCH(D1822,Products!$A$2:$A$13,0)))</f>
        <v>3433.5</v>
      </c>
      <c r="H1822" s="13" t="n">
        <f aca="false">IF(A1822="2025",INDEX(Customers!$D$2:$D$41,MATCH(C1822,Customers!$A$2:$A$41,0)),INDEX(Customers!$F$2:$F$41,MATCH(C1822,Customers!$A$2:$A$41,0)))</f>
        <v>0.068</v>
      </c>
      <c r="I1822" s="16" t="n">
        <f aca="false">F1822*G1822</f>
        <v>147297.15</v>
      </c>
      <c r="J1822" s="16" t="n">
        <f aca="false">I1822*(1-H1822)</f>
        <v>137280.9438</v>
      </c>
      <c r="K1822" s="16" t="n">
        <f aca="false">J1822*INDEX(Customers!$G$2:$G$41,MATCH(C1822,Customers!$A$2:$A$41,0))</f>
        <v>2745.618876</v>
      </c>
      <c r="L1822" s="16" t="n">
        <f aca="false">F1822*INDEX(Customers!$H$2:$H$41,MATCH(C1822,Customers!$A$2:$A$41,0))</f>
        <v>8580</v>
      </c>
      <c r="M1822" s="16" t="n">
        <f aca="false">J1822*INDEX(Customers!$I$2:$I$41,MATCH(C1822,Customers!$A$2:$A$41,0))/365*Assumptions!$B$6</f>
        <v>1805.3384390137</v>
      </c>
      <c r="N1822" s="16" t="n">
        <f aca="false">J1822-K1822-L1822-M1822</f>
        <v>124149.986484986</v>
      </c>
      <c r="O1822" s="16" t="n">
        <f aca="false">F1822*IF(A1822="2025",INDEX(Products!$D$2:$D$13,MATCH(D1822,Products!$A$2:$A$13,0)),INDEX(Products!$F$2:$F$13,MATCH(D1822,Products!$A$2:$A$13,0)))</f>
        <v>96769.53</v>
      </c>
      <c r="P1822" s="16" t="n">
        <f aca="false">N1822-O1822</f>
        <v>27380.4564849863</v>
      </c>
    </row>
    <row r="1823" customFormat="false" ht="15" hidden="false" customHeight="false" outlineLevel="0" collapsed="false">
      <c r="A1823" s="2" t="s">
        <v>119</v>
      </c>
      <c r="B1823" s="2" t="n">
        <v>10</v>
      </c>
      <c r="C1823" s="2" t="s">
        <v>89</v>
      </c>
      <c r="D1823" s="2" t="s">
        <v>34</v>
      </c>
      <c r="E1823" s="2" t="str">
        <f aca="false">INDEX(Products!$B$2:$B$13,MATCH(D1823,Products!$A$2:$A$13,0))</f>
        <v>FCC</v>
      </c>
      <c r="F1823" s="15" t="n">
        <v>41.8</v>
      </c>
      <c r="G1823" s="16" t="n">
        <f aca="false">IF(A1823="2025",INDEX(Products!$C$2:$C$13,MATCH(D1823,Products!$A$2:$A$13,0)),INDEX(Products!$E$2:$E$13,MATCH(D1823,Products!$A$2:$A$13,0)))</f>
        <v>3433.5</v>
      </c>
      <c r="H1823" s="13" t="n">
        <f aca="false">IF(A1823="2025",INDEX(Customers!$D$2:$D$41,MATCH(C1823,Customers!$A$2:$A$41,0)),INDEX(Customers!$F$2:$F$41,MATCH(C1823,Customers!$A$2:$A$41,0)))</f>
        <v>0.068</v>
      </c>
      <c r="I1823" s="16" t="n">
        <f aca="false">F1823*G1823</f>
        <v>143520.3</v>
      </c>
      <c r="J1823" s="16" t="n">
        <f aca="false">I1823*(1-H1823)</f>
        <v>133760.9196</v>
      </c>
      <c r="K1823" s="16" t="n">
        <f aca="false">J1823*INDEX(Customers!$G$2:$G$41,MATCH(C1823,Customers!$A$2:$A$41,0))</f>
        <v>2675.218392</v>
      </c>
      <c r="L1823" s="16" t="n">
        <f aca="false">F1823*INDEX(Customers!$H$2:$H$41,MATCH(C1823,Customers!$A$2:$A$41,0))</f>
        <v>8360</v>
      </c>
      <c r="M1823" s="16" t="n">
        <f aca="false">J1823*INDEX(Customers!$I$2:$I$41,MATCH(C1823,Customers!$A$2:$A$41,0))/365*Assumptions!$B$6</f>
        <v>1759.04770980822</v>
      </c>
      <c r="N1823" s="16" t="n">
        <f aca="false">J1823-K1823-L1823-M1823</f>
        <v>120966.653498192</v>
      </c>
      <c r="O1823" s="16" t="n">
        <f aca="false">F1823*IF(A1823="2025",INDEX(Products!$D$2:$D$13,MATCH(D1823,Products!$A$2:$A$13,0)),INDEX(Products!$F$2:$F$13,MATCH(D1823,Products!$A$2:$A$13,0)))</f>
        <v>94288.26</v>
      </c>
      <c r="P1823" s="16" t="n">
        <f aca="false">N1823-O1823</f>
        <v>26678.3934981918</v>
      </c>
    </row>
    <row r="1824" customFormat="false" ht="15" hidden="false" customHeight="false" outlineLevel="0" collapsed="false">
      <c r="A1824" s="2" t="s">
        <v>119</v>
      </c>
      <c r="B1824" s="2" t="n">
        <v>11</v>
      </c>
      <c r="C1824" s="2" t="s">
        <v>89</v>
      </c>
      <c r="D1824" s="2" t="s">
        <v>34</v>
      </c>
      <c r="E1824" s="2" t="str">
        <f aca="false">INDEX(Products!$B$2:$B$13,MATCH(D1824,Products!$A$2:$A$13,0))</f>
        <v>FCC</v>
      </c>
      <c r="F1824" s="15" t="n">
        <v>29.8</v>
      </c>
      <c r="G1824" s="16" t="n">
        <f aca="false">IF(A1824="2025",INDEX(Products!$C$2:$C$13,MATCH(D1824,Products!$A$2:$A$13,0)),INDEX(Products!$E$2:$E$13,MATCH(D1824,Products!$A$2:$A$13,0)))</f>
        <v>3433.5</v>
      </c>
      <c r="H1824" s="13" t="n">
        <f aca="false">IF(A1824="2025",INDEX(Customers!$D$2:$D$41,MATCH(C1824,Customers!$A$2:$A$41,0)),INDEX(Customers!$F$2:$F$41,MATCH(C1824,Customers!$A$2:$A$41,0)))</f>
        <v>0.068</v>
      </c>
      <c r="I1824" s="16" t="n">
        <f aca="false">F1824*G1824</f>
        <v>102318.3</v>
      </c>
      <c r="J1824" s="16" t="n">
        <f aca="false">I1824*(1-H1824)</f>
        <v>95360.6556</v>
      </c>
      <c r="K1824" s="16" t="n">
        <f aca="false">J1824*INDEX(Customers!$G$2:$G$41,MATCH(C1824,Customers!$A$2:$A$41,0))</f>
        <v>1907.213112</v>
      </c>
      <c r="L1824" s="16" t="n">
        <f aca="false">F1824*INDEX(Customers!$H$2:$H$41,MATCH(C1824,Customers!$A$2:$A$41,0))</f>
        <v>5960</v>
      </c>
      <c r="M1824" s="16" t="n">
        <f aca="false">J1824*INDEX(Customers!$I$2:$I$41,MATCH(C1824,Customers!$A$2:$A$41,0))/365*Assumptions!$B$6</f>
        <v>1254.05793665753</v>
      </c>
      <c r="N1824" s="16" t="n">
        <f aca="false">J1824-K1824-L1824-M1824</f>
        <v>86239.3845513425</v>
      </c>
      <c r="O1824" s="16" t="n">
        <f aca="false">F1824*IF(A1824="2025",INDEX(Products!$D$2:$D$13,MATCH(D1824,Products!$A$2:$A$13,0)),INDEX(Products!$F$2:$F$13,MATCH(D1824,Products!$A$2:$A$13,0)))</f>
        <v>67219.86</v>
      </c>
      <c r="P1824" s="16" t="n">
        <f aca="false">N1824-O1824</f>
        <v>19019.5245513424</v>
      </c>
    </row>
    <row r="1825" customFormat="false" ht="15" hidden="false" customHeight="false" outlineLevel="0" collapsed="false">
      <c r="A1825" s="2" t="s">
        <v>119</v>
      </c>
      <c r="B1825" s="2" t="n">
        <v>12</v>
      </c>
      <c r="C1825" s="2" t="s">
        <v>89</v>
      </c>
      <c r="D1825" s="2" t="s">
        <v>34</v>
      </c>
      <c r="E1825" s="2" t="str">
        <f aca="false">INDEX(Products!$B$2:$B$13,MATCH(D1825,Products!$A$2:$A$13,0))</f>
        <v>FCC</v>
      </c>
      <c r="F1825" s="15" t="n">
        <v>35.1</v>
      </c>
      <c r="G1825" s="16" t="n">
        <f aca="false">IF(A1825="2025",INDEX(Products!$C$2:$C$13,MATCH(D1825,Products!$A$2:$A$13,0)),INDEX(Products!$E$2:$E$13,MATCH(D1825,Products!$A$2:$A$13,0)))</f>
        <v>3433.5</v>
      </c>
      <c r="H1825" s="13" t="n">
        <f aca="false">IF(A1825="2025",INDEX(Customers!$D$2:$D$41,MATCH(C1825,Customers!$A$2:$A$41,0)),INDEX(Customers!$F$2:$F$41,MATCH(C1825,Customers!$A$2:$A$41,0)))</f>
        <v>0.068</v>
      </c>
      <c r="I1825" s="16" t="n">
        <f aca="false">F1825*G1825</f>
        <v>120515.85</v>
      </c>
      <c r="J1825" s="16" t="n">
        <f aca="false">I1825*(1-H1825)</f>
        <v>112320.7722</v>
      </c>
      <c r="K1825" s="16" t="n">
        <f aca="false">J1825*INDEX(Customers!$G$2:$G$41,MATCH(C1825,Customers!$A$2:$A$41,0))</f>
        <v>2246.415444</v>
      </c>
      <c r="L1825" s="16" t="n">
        <f aca="false">F1825*INDEX(Customers!$H$2:$H$41,MATCH(C1825,Customers!$A$2:$A$41,0))</f>
        <v>7020</v>
      </c>
      <c r="M1825" s="16" t="n">
        <f aca="false">J1825*INDEX(Customers!$I$2:$I$41,MATCH(C1825,Customers!$A$2:$A$41,0))/365*Assumptions!$B$6</f>
        <v>1477.09508646575</v>
      </c>
      <c r="N1825" s="16" t="n">
        <f aca="false">J1825-K1825-L1825-M1825</f>
        <v>101577.261669534</v>
      </c>
      <c r="O1825" s="16" t="n">
        <f aca="false">F1825*IF(A1825="2025",INDEX(Products!$D$2:$D$13,MATCH(D1825,Products!$A$2:$A$13,0)),INDEX(Products!$F$2:$F$13,MATCH(D1825,Products!$A$2:$A$13,0)))</f>
        <v>79175.07</v>
      </c>
      <c r="P1825" s="16" t="n">
        <f aca="false">N1825-O1825</f>
        <v>22402.1916695342</v>
      </c>
    </row>
    <row r="1826" customFormat="false" ht="15" hidden="false" customHeight="false" outlineLevel="0" collapsed="false">
      <c r="A1826" s="2" t="s">
        <v>118</v>
      </c>
      <c r="B1826" s="2" t="n">
        <v>1</v>
      </c>
      <c r="C1826" s="2" t="s">
        <v>89</v>
      </c>
      <c r="D1826" s="2" t="s">
        <v>46</v>
      </c>
      <c r="E1826" s="2" t="str">
        <f aca="false">INDEX(Products!$B$2:$B$13,MATCH(D1826,Products!$A$2:$A$13,0))</f>
        <v>Specialty</v>
      </c>
      <c r="F1826" s="15" t="n">
        <v>11.8</v>
      </c>
      <c r="G1826" s="16" t="n">
        <f aca="false">IF(A1826="2025",INDEX(Products!$C$2:$C$13,MATCH(D1826,Products!$A$2:$A$13,0)),INDEX(Products!$E$2:$E$13,MATCH(D1826,Products!$A$2:$A$13,0)))</f>
        <v>25560</v>
      </c>
      <c r="H1826" s="13" t="n">
        <f aca="false">IF(A1826="2025",INDEX(Customers!$D$2:$D$41,MATCH(C1826,Customers!$A$2:$A$41,0)),INDEX(Customers!$F$2:$F$41,MATCH(C1826,Customers!$A$2:$A$41,0)))</f>
        <v>0.068</v>
      </c>
      <c r="I1826" s="16" t="n">
        <f aca="false">F1826*G1826</f>
        <v>301608</v>
      </c>
      <c r="J1826" s="16" t="n">
        <f aca="false">I1826*(1-H1826)</f>
        <v>281098.656</v>
      </c>
      <c r="K1826" s="16" t="n">
        <f aca="false">J1826*INDEX(Customers!$G$2:$G$41,MATCH(C1826,Customers!$A$2:$A$41,0))</f>
        <v>5621.97312</v>
      </c>
      <c r="L1826" s="16" t="n">
        <f aca="false">F1826*INDEX(Customers!$H$2:$H$41,MATCH(C1826,Customers!$A$2:$A$41,0))</f>
        <v>2360</v>
      </c>
      <c r="M1826" s="16" t="n">
        <f aca="false">J1826*INDEX(Customers!$I$2:$I$41,MATCH(C1826,Customers!$A$2:$A$41,0))/365*Assumptions!$B$6</f>
        <v>3696.63985972603</v>
      </c>
      <c r="N1826" s="16" t="n">
        <f aca="false">J1826-K1826-L1826-M1826</f>
        <v>269420.043020274</v>
      </c>
      <c r="O1826" s="16" t="n">
        <f aca="false">F1826*IF(A1826="2025",INDEX(Products!$D$2:$D$13,MATCH(D1826,Products!$A$2:$A$13,0)),INDEX(Products!$F$2:$F$13,MATCH(D1826,Products!$A$2:$A$13,0)))</f>
        <v>144550</v>
      </c>
      <c r="P1826" s="16" t="n">
        <f aca="false">N1826-O1826</f>
        <v>124870.043020274</v>
      </c>
    </row>
    <row r="1827" customFormat="false" ht="15" hidden="false" customHeight="false" outlineLevel="0" collapsed="false">
      <c r="A1827" s="2" t="s">
        <v>118</v>
      </c>
      <c r="B1827" s="2" t="n">
        <v>2</v>
      </c>
      <c r="C1827" s="2" t="s">
        <v>89</v>
      </c>
      <c r="D1827" s="2" t="s">
        <v>46</v>
      </c>
      <c r="E1827" s="2" t="str">
        <f aca="false">INDEX(Products!$B$2:$B$13,MATCH(D1827,Products!$A$2:$A$13,0))</f>
        <v>Specialty</v>
      </c>
      <c r="F1827" s="15" t="n">
        <v>8.8</v>
      </c>
      <c r="G1827" s="16" t="n">
        <f aca="false">IF(A1827="2025",INDEX(Products!$C$2:$C$13,MATCH(D1827,Products!$A$2:$A$13,0)),INDEX(Products!$E$2:$E$13,MATCH(D1827,Products!$A$2:$A$13,0)))</f>
        <v>25560</v>
      </c>
      <c r="H1827" s="13" t="n">
        <f aca="false">IF(A1827="2025",INDEX(Customers!$D$2:$D$41,MATCH(C1827,Customers!$A$2:$A$41,0)),INDEX(Customers!$F$2:$F$41,MATCH(C1827,Customers!$A$2:$A$41,0)))</f>
        <v>0.068</v>
      </c>
      <c r="I1827" s="16" t="n">
        <f aca="false">F1827*G1827</f>
        <v>224928</v>
      </c>
      <c r="J1827" s="16" t="n">
        <f aca="false">I1827*(1-H1827)</f>
        <v>209632.896</v>
      </c>
      <c r="K1827" s="16" t="n">
        <f aca="false">J1827*INDEX(Customers!$G$2:$G$41,MATCH(C1827,Customers!$A$2:$A$41,0))</f>
        <v>4192.65792</v>
      </c>
      <c r="L1827" s="16" t="n">
        <f aca="false">F1827*INDEX(Customers!$H$2:$H$41,MATCH(C1827,Customers!$A$2:$A$41,0))</f>
        <v>1760</v>
      </c>
      <c r="M1827" s="16" t="n">
        <f aca="false">J1827*INDEX(Customers!$I$2:$I$41,MATCH(C1827,Customers!$A$2:$A$41,0))/365*Assumptions!$B$6</f>
        <v>2756.81616657534</v>
      </c>
      <c r="N1827" s="16" t="n">
        <f aca="false">J1827-K1827-L1827-M1827</f>
        <v>200923.421913425</v>
      </c>
      <c r="O1827" s="16" t="n">
        <f aca="false">F1827*IF(A1827="2025",INDEX(Products!$D$2:$D$13,MATCH(D1827,Products!$A$2:$A$13,0)),INDEX(Products!$F$2:$F$13,MATCH(D1827,Products!$A$2:$A$13,0)))</f>
        <v>107800</v>
      </c>
      <c r="P1827" s="16" t="n">
        <f aca="false">N1827-O1827</f>
        <v>93123.4219134247</v>
      </c>
    </row>
    <row r="1828" customFormat="false" ht="15" hidden="false" customHeight="false" outlineLevel="0" collapsed="false">
      <c r="A1828" s="2" t="s">
        <v>118</v>
      </c>
      <c r="B1828" s="2" t="n">
        <v>3</v>
      </c>
      <c r="C1828" s="2" t="s">
        <v>89</v>
      </c>
      <c r="D1828" s="2" t="s">
        <v>46</v>
      </c>
      <c r="E1828" s="2" t="str">
        <f aca="false">INDEX(Products!$B$2:$B$13,MATCH(D1828,Products!$A$2:$A$13,0))</f>
        <v>Specialty</v>
      </c>
      <c r="F1828" s="15" t="n">
        <v>12.7</v>
      </c>
      <c r="G1828" s="16" t="n">
        <f aca="false">IF(A1828="2025",INDEX(Products!$C$2:$C$13,MATCH(D1828,Products!$A$2:$A$13,0)),INDEX(Products!$E$2:$E$13,MATCH(D1828,Products!$A$2:$A$13,0)))</f>
        <v>25560</v>
      </c>
      <c r="H1828" s="13" t="n">
        <f aca="false">IF(A1828="2025",INDEX(Customers!$D$2:$D$41,MATCH(C1828,Customers!$A$2:$A$41,0)),INDEX(Customers!$F$2:$F$41,MATCH(C1828,Customers!$A$2:$A$41,0)))</f>
        <v>0.068</v>
      </c>
      <c r="I1828" s="16" t="n">
        <f aca="false">F1828*G1828</f>
        <v>324612</v>
      </c>
      <c r="J1828" s="16" t="n">
        <f aca="false">I1828*(1-H1828)</f>
        <v>302538.384</v>
      </c>
      <c r="K1828" s="16" t="n">
        <f aca="false">J1828*INDEX(Customers!$G$2:$G$41,MATCH(C1828,Customers!$A$2:$A$41,0))</f>
        <v>6050.76768</v>
      </c>
      <c r="L1828" s="16" t="n">
        <f aca="false">F1828*INDEX(Customers!$H$2:$H$41,MATCH(C1828,Customers!$A$2:$A$41,0))</f>
        <v>2540</v>
      </c>
      <c r="M1828" s="16" t="n">
        <f aca="false">J1828*INDEX(Customers!$I$2:$I$41,MATCH(C1828,Customers!$A$2:$A$41,0))/365*Assumptions!$B$6</f>
        <v>3978.58696767123</v>
      </c>
      <c r="N1828" s="16" t="n">
        <f aca="false">J1828-K1828-L1828-M1828</f>
        <v>289969.029352329</v>
      </c>
      <c r="O1828" s="16" t="n">
        <f aca="false">F1828*IF(A1828="2025",INDEX(Products!$D$2:$D$13,MATCH(D1828,Products!$A$2:$A$13,0)),INDEX(Products!$F$2:$F$13,MATCH(D1828,Products!$A$2:$A$13,0)))</f>
        <v>155575</v>
      </c>
      <c r="P1828" s="16" t="n">
        <f aca="false">N1828-O1828</f>
        <v>134394.029352329</v>
      </c>
    </row>
    <row r="1829" customFormat="false" ht="15" hidden="false" customHeight="false" outlineLevel="0" collapsed="false">
      <c r="A1829" s="2" t="s">
        <v>118</v>
      </c>
      <c r="B1829" s="2" t="n">
        <v>4</v>
      </c>
      <c r="C1829" s="2" t="s">
        <v>89</v>
      </c>
      <c r="D1829" s="2" t="s">
        <v>46</v>
      </c>
      <c r="E1829" s="2" t="str">
        <f aca="false">INDEX(Products!$B$2:$B$13,MATCH(D1829,Products!$A$2:$A$13,0))</f>
        <v>Specialty</v>
      </c>
      <c r="F1829" s="15" t="n">
        <v>11.7</v>
      </c>
      <c r="G1829" s="16" t="n">
        <f aca="false">IF(A1829="2025",INDEX(Products!$C$2:$C$13,MATCH(D1829,Products!$A$2:$A$13,0)),INDEX(Products!$E$2:$E$13,MATCH(D1829,Products!$A$2:$A$13,0)))</f>
        <v>25560</v>
      </c>
      <c r="H1829" s="13" t="n">
        <f aca="false">IF(A1829="2025",INDEX(Customers!$D$2:$D$41,MATCH(C1829,Customers!$A$2:$A$41,0)),INDEX(Customers!$F$2:$F$41,MATCH(C1829,Customers!$A$2:$A$41,0)))</f>
        <v>0.068</v>
      </c>
      <c r="I1829" s="16" t="n">
        <f aca="false">F1829*G1829</f>
        <v>299052</v>
      </c>
      <c r="J1829" s="16" t="n">
        <f aca="false">I1829*(1-H1829)</f>
        <v>278716.464</v>
      </c>
      <c r="K1829" s="16" t="n">
        <f aca="false">J1829*INDEX(Customers!$G$2:$G$41,MATCH(C1829,Customers!$A$2:$A$41,0))</f>
        <v>5574.32928</v>
      </c>
      <c r="L1829" s="16" t="n">
        <f aca="false">F1829*INDEX(Customers!$H$2:$H$41,MATCH(C1829,Customers!$A$2:$A$41,0))</f>
        <v>2340</v>
      </c>
      <c r="M1829" s="16" t="n">
        <f aca="false">J1829*INDEX(Customers!$I$2:$I$41,MATCH(C1829,Customers!$A$2:$A$41,0))/365*Assumptions!$B$6</f>
        <v>3665.31240328767</v>
      </c>
      <c r="N1829" s="16" t="n">
        <f aca="false">J1829-K1829-L1829-M1829</f>
        <v>267136.822316712</v>
      </c>
      <c r="O1829" s="16" t="n">
        <f aca="false">F1829*IF(A1829="2025",INDEX(Products!$D$2:$D$13,MATCH(D1829,Products!$A$2:$A$13,0)),INDEX(Products!$F$2:$F$13,MATCH(D1829,Products!$A$2:$A$13,0)))</f>
        <v>143325</v>
      </c>
      <c r="P1829" s="16" t="n">
        <f aca="false">N1829-O1829</f>
        <v>123811.822316712</v>
      </c>
    </row>
    <row r="1830" customFormat="false" ht="15" hidden="false" customHeight="false" outlineLevel="0" collapsed="false">
      <c r="A1830" s="2" t="s">
        <v>118</v>
      </c>
      <c r="B1830" s="2" t="n">
        <v>5</v>
      </c>
      <c r="C1830" s="2" t="s">
        <v>89</v>
      </c>
      <c r="D1830" s="2" t="s">
        <v>46</v>
      </c>
      <c r="E1830" s="2" t="str">
        <f aca="false">INDEX(Products!$B$2:$B$13,MATCH(D1830,Products!$A$2:$A$13,0))</f>
        <v>Specialty</v>
      </c>
      <c r="F1830" s="15" t="n">
        <v>9.8</v>
      </c>
      <c r="G1830" s="16" t="n">
        <f aca="false">IF(A1830="2025",INDEX(Products!$C$2:$C$13,MATCH(D1830,Products!$A$2:$A$13,0)),INDEX(Products!$E$2:$E$13,MATCH(D1830,Products!$A$2:$A$13,0)))</f>
        <v>25560</v>
      </c>
      <c r="H1830" s="13" t="n">
        <f aca="false">IF(A1830="2025",INDEX(Customers!$D$2:$D$41,MATCH(C1830,Customers!$A$2:$A$41,0)),INDEX(Customers!$F$2:$F$41,MATCH(C1830,Customers!$A$2:$A$41,0)))</f>
        <v>0.068</v>
      </c>
      <c r="I1830" s="16" t="n">
        <f aca="false">F1830*G1830</f>
        <v>250488</v>
      </c>
      <c r="J1830" s="16" t="n">
        <f aca="false">I1830*(1-H1830)</f>
        <v>233454.816</v>
      </c>
      <c r="K1830" s="16" t="n">
        <f aca="false">J1830*INDEX(Customers!$G$2:$G$41,MATCH(C1830,Customers!$A$2:$A$41,0))</f>
        <v>4669.09632</v>
      </c>
      <c r="L1830" s="16" t="n">
        <f aca="false">F1830*INDEX(Customers!$H$2:$H$41,MATCH(C1830,Customers!$A$2:$A$41,0))</f>
        <v>1960</v>
      </c>
      <c r="M1830" s="16" t="n">
        <f aca="false">J1830*INDEX(Customers!$I$2:$I$41,MATCH(C1830,Customers!$A$2:$A$41,0))/365*Assumptions!$B$6</f>
        <v>3070.0907309589</v>
      </c>
      <c r="N1830" s="16" t="n">
        <f aca="false">J1830-K1830-L1830-M1830</f>
        <v>223755.628949041</v>
      </c>
      <c r="O1830" s="16" t="n">
        <f aca="false">F1830*IF(A1830="2025",INDEX(Products!$D$2:$D$13,MATCH(D1830,Products!$A$2:$A$13,0)),INDEX(Products!$F$2:$F$13,MATCH(D1830,Products!$A$2:$A$13,0)))</f>
        <v>120050</v>
      </c>
      <c r="P1830" s="16" t="n">
        <f aca="false">N1830-O1830</f>
        <v>103705.628949041</v>
      </c>
    </row>
    <row r="1831" customFormat="false" ht="15" hidden="false" customHeight="false" outlineLevel="0" collapsed="false">
      <c r="A1831" s="2" t="s">
        <v>118</v>
      </c>
      <c r="B1831" s="2" t="n">
        <v>6</v>
      </c>
      <c r="C1831" s="2" t="s">
        <v>89</v>
      </c>
      <c r="D1831" s="2" t="s">
        <v>46</v>
      </c>
      <c r="E1831" s="2" t="str">
        <f aca="false">INDEX(Products!$B$2:$B$13,MATCH(D1831,Products!$A$2:$A$13,0))</f>
        <v>Specialty</v>
      </c>
      <c r="F1831" s="15" t="n">
        <v>12.5</v>
      </c>
      <c r="G1831" s="16" t="n">
        <f aca="false">IF(A1831="2025",INDEX(Products!$C$2:$C$13,MATCH(D1831,Products!$A$2:$A$13,0)),INDEX(Products!$E$2:$E$13,MATCH(D1831,Products!$A$2:$A$13,0)))</f>
        <v>25560</v>
      </c>
      <c r="H1831" s="13" t="n">
        <f aca="false">IF(A1831="2025",INDEX(Customers!$D$2:$D$41,MATCH(C1831,Customers!$A$2:$A$41,0)),INDEX(Customers!$F$2:$F$41,MATCH(C1831,Customers!$A$2:$A$41,0)))</f>
        <v>0.068</v>
      </c>
      <c r="I1831" s="16" t="n">
        <f aca="false">F1831*G1831</f>
        <v>319500</v>
      </c>
      <c r="J1831" s="16" t="n">
        <f aca="false">I1831*(1-H1831)</f>
        <v>297774</v>
      </c>
      <c r="K1831" s="16" t="n">
        <f aca="false">J1831*INDEX(Customers!$G$2:$G$41,MATCH(C1831,Customers!$A$2:$A$41,0))</f>
        <v>5955.48</v>
      </c>
      <c r="L1831" s="16" t="n">
        <f aca="false">F1831*INDEX(Customers!$H$2:$H$41,MATCH(C1831,Customers!$A$2:$A$41,0))</f>
        <v>2500</v>
      </c>
      <c r="M1831" s="16" t="n">
        <f aca="false">J1831*INDEX(Customers!$I$2:$I$41,MATCH(C1831,Customers!$A$2:$A$41,0))/365*Assumptions!$B$6</f>
        <v>3915.93205479452</v>
      </c>
      <c r="N1831" s="16" t="n">
        <f aca="false">J1831-K1831-L1831-M1831</f>
        <v>285402.587945206</v>
      </c>
      <c r="O1831" s="16" t="n">
        <f aca="false">F1831*IF(A1831="2025",INDEX(Products!$D$2:$D$13,MATCH(D1831,Products!$A$2:$A$13,0)),INDEX(Products!$F$2:$F$13,MATCH(D1831,Products!$A$2:$A$13,0)))</f>
        <v>153125</v>
      </c>
      <c r="P1831" s="16" t="n">
        <f aca="false">N1831-O1831</f>
        <v>132277.587945206</v>
      </c>
    </row>
    <row r="1832" customFormat="false" ht="15" hidden="false" customHeight="false" outlineLevel="0" collapsed="false">
      <c r="A1832" s="2" t="s">
        <v>118</v>
      </c>
      <c r="B1832" s="2" t="n">
        <v>7</v>
      </c>
      <c r="C1832" s="2" t="s">
        <v>89</v>
      </c>
      <c r="D1832" s="2" t="s">
        <v>46</v>
      </c>
      <c r="E1832" s="2" t="str">
        <f aca="false">INDEX(Products!$B$2:$B$13,MATCH(D1832,Products!$A$2:$A$13,0))</f>
        <v>Specialty</v>
      </c>
      <c r="F1832" s="15" t="n">
        <v>10.7</v>
      </c>
      <c r="G1832" s="16" t="n">
        <f aca="false">IF(A1832="2025",INDEX(Products!$C$2:$C$13,MATCH(D1832,Products!$A$2:$A$13,0)),INDEX(Products!$E$2:$E$13,MATCH(D1832,Products!$A$2:$A$13,0)))</f>
        <v>25560</v>
      </c>
      <c r="H1832" s="13" t="n">
        <f aca="false">IF(A1832="2025",INDEX(Customers!$D$2:$D$41,MATCH(C1832,Customers!$A$2:$A$41,0)),INDEX(Customers!$F$2:$F$41,MATCH(C1832,Customers!$A$2:$A$41,0)))</f>
        <v>0.068</v>
      </c>
      <c r="I1832" s="16" t="n">
        <f aca="false">F1832*G1832</f>
        <v>273492</v>
      </c>
      <c r="J1832" s="16" t="n">
        <f aca="false">I1832*(1-H1832)</f>
        <v>254894.544</v>
      </c>
      <c r="K1832" s="16" t="n">
        <f aca="false">J1832*INDEX(Customers!$G$2:$G$41,MATCH(C1832,Customers!$A$2:$A$41,0))</f>
        <v>5097.89088</v>
      </c>
      <c r="L1832" s="16" t="n">
        <f aca="false">F1832*INDEX(Customers!$H$2:$H$41,MATCH(C1832,Customers!$A$2:$A$41,0))</f>
        <v>2140</v>
      </c>
      <c r="M1832" s="16" t="n">
        <f aca="false">J1832*INDEX(Customers!$I$2:$I$41,MATCH(C1832,Customers!$A$2:$A$41,0))/365*Assumptions!$B$6</f>
        <v>3352.03783890411</v>
      </c>
      <c r="N1832" s="16" t="n">
        <f aca="false">J1832-K1832-L1832-M1832</f>
        <v>244304.615281096</v>
      </c>
      <c r="O1832" s="16" t="n">
        <f aca="false">F1832*IF(A1832="2025",INDEX(Products!$D$2:$D$13,MATCH(D1832,Products!$A$2:$A$13,0)),INDEX(Products!$F$2:$F$13,MATCH(D1832,Products!$A$2:$A$13,0)))</f>
        <v>131075</v>
      </c>
      <c r="P1832" s="16" t="n">
        <f aca="false">N1832-O1832</f>
        <v>113229.615281096</v>
      </c>
    </row>
    <row r="1833" customFormat="false" ht="15" hidden="false" customHeight="false" outlineLevel="0" collapsed="false">
      <c r="A1833" s="2" t="s">
        <v>118</v>
      </c>
      <c r="B1833" s="2" t="n">
        <v>8</v>
      </c>
      <c r="C1833" s="2" t="s">
        <v>89</v>
      </c>
      <c r="D1833" s="2" t="s">
        <v>46</v>
      </c>
      <c r="E1833" s="2" t="str">
        <f aca="false">INDEX(Products!$B$2:$B$13,MATCH(D1833,Products!$A$2:$A$13,0))</f>
        <v>Specialty</v>
      </c>
      <c r="F1833" s="15" t="n">
        <v>8.5</v>
      </c>
      <c r="G1833" s="16" t="n">
        <f aca="false">IF(A1833="2025",INDEX(Products!$C$2:$C$13,MATCH(D1833,Products!$A$2:$A$13,0)),INDEX(Products!$E$2:$E$13,MATCH(D1833,Products!$A$2:$A$13,0)))</f>
        <v>25560</v>
      </c>
      <c r="H1833" s="13" t="n">
        <f aca="false">IF(A1833="2025",INDEX(Customers!$D$2:$D$41,MATCH(C1833,Customers!$A$2:$A$41,0)),INDEX(Customers!$F$2:$F$41,MATCH(C1833,Customers!$A$2:$A$41,0)))</f>
        <v>0.068</v>
      </c>
      <c r="I1833" s="16" t="n">
        <f aca="false">F1833*G1833</f>
        <v>217260</v>
      </c>
      <c r="J1833" s="16" t="n">
        <f aca="false">I1833*(1-H1833)</f>
        <v>202486.32</v>
      </c>
      <c r="K1833" s="16" t="n">
        <f aca="false">J1833*INDEX(Customers!$G$2:$G$41,MATCH(C1833,Customers!$A$2:$A$41,0))</f>
        <v>4049.7264</v>
      </c>
      <c r="L1833" s="16" t="n">
        <f aca="false">F1833*INDEX(Customers!$H$2:$H$41,MATCH(C1833,Customers!$A$2:$A$41,0))</f>
        <v>1700</v>
      </c>
      <c r="M1833" s="16" t="n">
        <f aca="false">J1833*INDEX(Customers!$I$2:$I$41,MATCH(C1833,Customers!$A$2:$A$41,0))/365*Assumptions!$B$6</f>
        <v>2662.83379726027</v>
      </c>
      <c r="N1833" s="16" t="n">
        <f aca="false">J1833-K1833-L1833-M1833</f>
        <v>194073.75980274</v>
      </c>
      <c r="O1833" s="16" t="n">
        <f aca="false">F1833*IF(A1833="2025",INDEX(Products!$D$2:$D$13,MATCH(D1833,Products!$A$2:$A$13,0)),INDEX(Products!$F$2:$F$13,MATCH(D1833,Products!$A$2:$A$13,0)))</f>
        <v>104125</v>
      </c>
      <c r="P1833" s="16" t="n">
        <f aca="false">N1833-O1833</f>
        <v>89948.7598027397</v>
      </c>
    </row>
    <row r="1834" customFormat="false" ht="15" hidden="false" customHeight="false" outlineLevel="0" collapsed="false">
      <c r="A1834" s="2" t="s">
        <v>118</v>
      </c>
      <c r="B1834" s="2" t="n">
        <v>9</v>
      </c>
      <c r="C1834" s="2" t="s">
        <v>89</v>
      </c>
      <c r="D1834" s="2" t="s">
        <v>46</v>
      </c>
      <c r="E1834" s="2" t="str">
        <f aca="false">INDEX(Products!$B$2:$B$13,MATCH(D1834,Products!$A$2:$A$13,0))</f>
        <v>Specialty</v>
      </c>
      <c r="F1834" s="15" t="n">
        <v>10.4</v>
      </c>
      <c r="G1834" s="16" t="n">
        <f aca="false">IF(A1834="2025",INDEX(Products!$C$2:$C$13,MATCH(D1834,Products!$A$2:$A$13,0)),INDEX(Products!$E$2:$E$13,MATCH(D1834,Products!$A$2:$A$13,0)))</f>
        <v>25560</v>
      </c>
      <c r="H1834" s="13" t="n">
        <f aca="false">IF(A1834="2025",INDEX(Customers!$D$2:$D$41,MATCH(C1834,Customers!$A$2:$A$41,0)),INDEX(Customers!$F$2:$F$41,MATCH(C1834,Customers!$A$2:$A$41,0)))</f>
        <v>0.068</v>
      </c>
      <c r="I1834" s="16" t="n">
        <f aca="false">F1834*G1834</f>
        <v>265824</v>
      </c>
      <c r="J1834" s="16" t="n">
        <f aca="false">I1834*(1-H1834)</f>
        <v>247747.968</v>
      </c>
      <c r="K1834" s="16" t="n">
        <f aca="false">J1834*INDEX(Customers!$G$2:$G$41,MATCH(C1834,Customers!$A$2:$A$41,0))</f>
        <v>4954.95936</v>
      </c>
      <c r="L1834" s="16" t="n">
        <f aca="false">F1834*INDEX(Customers!$H$2:$H$41,MATCH(C1834,Customers!$A$2:$A$41,0))</f>
        <v>2080</v>
      </c>
      <c r="M1834" s="16" t="n">
        <f aca="false">J1834*INDEX(Customers!$I$2:$I$41,MATCH(C1834,Customers!$A$2:$A$41,0))/365*Assumptions!$B$6</f>
        <v>3258.05546958904</v>
      </c>
      <c r="N1834" s="16" t="n">
        <f aca="false">J1834-K1834-L1834-M1834</f>
        <v>237454.953170411</v>
      </c>
      <c r="O1834" s="16" t="n">
        <f aca="false">F1834*IF(A1834="2025",INDEX(Products!$D$2:$D$13,MATCH(D1834,Products!$A$2:$A$13,0)),INDEX(Products!$F$2:$F$13,MATCH(D1834,Products!$A$2:$A$13,0)))</f>
        <v>127400</v>
      </c>
      <c r="P1834" s="16" t="n">
        <f aca="false">N1834-O1834</f>
        <v>110054.953170411</v>
      </c>
    </row>
    <row r="1835" customFormat="false" ht="15" hidden="false" customHeight="false" outlineLevel="0" collapsed="false">
      <c r="A1835" s="2" t="s">
        <v>118</v>
      </c>
      <c r="B1835" s="2" t="n">
        <v>10</v>
      </c>
      <c r="C1835" s="2" t="s">
        <v>89</v>
      </c>
      <c r="D1835" s="2" t="s">
        <v>46</v>
      </c>
      <c r="E1835" s="2" t="str">
        <f aca="false">INDEX(Products!$B$2:$B$13,MATCH(D1835,Products!$A$2:$A$13,0))</f>
        <v>Specialty</v>
      </c>
      <c r="F1835" s="15" t="n">
        <v>8.4</v>
      </c>
      <c r="G1835" s="16" t="n">
        <f aca="false">IF(A1835="2025",INDEX(Products!$C$2:$C$13,MATCH(D1835,Products!$A$2:$A$13,0)),INDEX(Products!$E$2:$E$13,MATCH(D1835,Products!$A$2:$A$13,0)))</f>
        <v>25560</v>
      </c>
      <c r="H1835" s="13" t="n">
        <f aca="false">IF(A1835="2025",INDEX(Customers!$D$2:$D$41,MATCH(C1835,Customers!$A$2:$A$41,0)),INDEX(Customers!$F$2:$F$41,MATCH(C1835,Customers!$A$2:$A$41,0)))</f>
        <v>0.068</v>
      </c>
      <c r="I1835" s="16" t="n">
        <f aca="false">F1835*G1835</f>
        <v>214704</v>
      </c>
      <c r="J1835" s="16" t="n">
        <f aca="false">I1835*(1-H1835)</f>
        <v>200104.128</v>
      </c>
      <c r="K1835" s="16" t="n">
        <f aca="false">J1835*INDEX(Customers!$G$2:$G$41,MATCH(C1835,Customers!$A$2:$A$41,0))</f>
        <v>4002.08256</v>
      </c>
      <c r="L1835" s="16" t="n">
        <f aca="false">F1835*INDEX(Customers!$H$2:$H$41,MATCH(C1835,Customers!$A$2:$A$41,0))</f>
        <v>1680</v>
      </c>
      <c r="M1835" s="16" t="n">
        <f aca="false">J1835*INDEX(Customers!$I$2:$I$41,MATCH(C1835,Customers!$A$2:$A$41,0))/365*Assumptions!$B$6</f>
        <v>2631.50634082192</v>
      </c>
      <c r="N1835" s="16" t="n">
        <f aca="false">J1835-K1835-L1835-M1835</f>
        <v>191790.539099178</v>
      </c>
      <c r="O1835" s="16" t="n">
        <f aca="false">F1835*IF(A1835="2025",INDEX(Products!$D$2:$D$13,MATCH(D1835,Products!$A$2:$A$13,0)),INDEX(Products!$F$2:$F$13,MATCH(D1835,Products!$A$2:$A$13,0)))</f>
        <v>102900</v>
      </c>
      <c r="P1835" s="16" t="n">
        <f aca="false">N1835-O1835</f>
        <v>88890.5390991781</v>
      </c>
    </row>
    <row r="1836" customFormat="false" ht="15" hidden="false" customHeight="false" outlineLevel="0" collapsed="false">
      <c r="A1836" s="2" t="s">
        <v>118</v>
      </c>
      <c r="B1836" s="2" t="n">
        <v>11</v>
      </c>
      <c r="C1836" s="2" t="s">
        <v>89</v>
      </c>
      <c r="D1836" s="2" t="s">
        <v>46</v>
      </c>
      <c r="E1836" s="2" t="str">
        <f aca="false">INDEX(Products!$B$2:$B$13,MATCH(D1836,Products!$A$2:$A$13,0))</f>
        <v>Specialty</v>
      </c>
      <c r="F1836" s="15" t="n">
        <v>10.4</v>
      </c>
      <c r="G1836" s="16" t="n">
        <f aca="false">IF(A1836="2025",INDEX(Products!$C$2:$C$13,MATCH(D1836,Products!$A$2:$A$13,0)),INDEX(Products!$E$2:$E$13,MATCH(D1836,Products!$A$2:$A$13,0)))</f>
        <v>25560</v>
      </c>
      <c r="H1836" s="13" t="n">
        <f aca="false">IF(A1836="2025",INDEX(Customers!$D$2:$D$41,MATCH(C1836,Customers!$A$2:$A$41,0)),INDEX(Customers!$F$2:$F$41,MATCH(C1836,Customers!$A$2:$A$41,0)))</f>
        <v>0.068</v>
      </c>
      <c r="I1836" s="16" t="n">
        <f aca="false">F1836*G1836</f>
        <v>265824</v>
      </c>
      <c r="J1836" s="16" t="n">
        <f aca="false">I1836*(1-H1836)</f>
        <v>247747.968</v>
      </c>
      <c r="K1836" s="16" t="n">
        <f aca="false">J1836*INDEX(Customers!$G$2:$G$41,MATCH(C1836,Customers!$A$2:$A$41,0))</f>
        <v>4954.95936</v>
      </c>
      <c r="L1836" s="16" t="n">
        <f aca="false">F1836*INDEX(Customers!$H$2:$H$41,MATCH(C1836,Customers!$A$2:$A$41,0))</f>
        <v>2080</v>
      </c>
      <c r="M1836" s="16" t="n">
        <f aca="false">J1836*INDEX(Customers!$I$2:$I$41,MATCH(C1836,Customers!$A$2:$A$41,0))/365*Assumptions!$B$6</f>
        <v>3258.05546958904</v>
      </c>
      <c r="N1836" s="16" t="n">
        <f aca="false">J1836-K1836-L1836-M1836</f>
        <v>237454.953170411</v>
      </c>
      <c r="O1836" s="16" t="n">
        <f aca="false">F1836*IF(A1836="2025",INDEX(Products!$D$2:$D$13,MATCH(D1836,Products!$A$2:$A$13,0)),INDEX(Products!$F$2:$F$13,MATCH(D1836,Products!$A$2:$A$13,0)))</f>
        <v>127400</v>
      </c>
      <c r="P1836" s="16" t="n">
        <f aca="false">N1836-O1836</f>
        <v>110054.953170411</v>
      </c>
    </row>
    <row r="1837" customFormat="false" ht="15" hidden="false" customHeight="false" outlineLevel="0" collapsed="false">
      <c r="A1837" s="2" t="s">
        <v>118</v>
      </c>
      <c r="B1837" s="2" t="n">
        <v>12</v>
      </c>
      <c r="C1837" s="2" t="s">
        <v>89</v>
      </c>
      <c r="D1837" s="2" t="s">
        <v>46</v>
      </c>
      <c r="E1837" s="2" t="str">
        <f aca="false">INDEX(Products!$B$2:$B$13,MATCH(D1837,Products!$A$2:$A$13,0))</f>
        <v>Specialty</v>
      </c>
      <c r="F1837" s="15" t="n">
        <v>9.3</v>
      </c>
      <c r="G1837" s="16" t="n">
        <f aca="false">IF(A1837="2025",INDEX(Products!$C$2:$C$13,MATCH(D1837,Products!$A$2:$A$13,0)),INDEX(Products!$E$2:$E$13,MATCH(D1837,Products!$A$2:$A$13,0)))</f>
        <v>25560</v>
      </c>
      <c r="H1837" s="13" t="n">
        <f aca="false">IF(A1837="2025",INDEX(Customers!$D$2:$D$41,MATCH(C1837,Customers!$A$2:$A$41,0)),INDEX(Customers!$F$2:$F$41,MATCH(C1837,Customers!$A$2:$A$41,0)))</f>
        <v>0.068</v>
      </c>
      <c r="I1837" s="16" t="n">
        <f aca="false">F1837*G1837</f>
        <v>237708</v>
      </c>
      <c r="J1837" s="16" t="n">
        <f aca="false">I1837*(1-H1837)</f>
        <v>221543.856</v>
      </c>
      <c r="K1837" s="16" t="n">
        <f aca="false">J1837*INDEX(Customers!$G$2:$G$41,MATCH(C1837,Customers!$A$2:$A$41,0))</f>
        <v>4430.87712</v>
      </c>
      <c r="L1837" s="16" t="n">
        <f aca="false">F1837*INDEX(Customers!$H$2:$H$41,MATCH(C1837,Customers!$A$2:$A$41,0))</f>
        <v>1860</v>
      </c>
      <c r="M1837" s="16" t="n">
        <f aca="false">J1837*INDEX(Customers!$I$2:$I$41,MATCH(C1837,Customers!$A$2:$A$41,0))/365*Assumptions!$B$6</f>
        <v>2913.45344876712</v>
      </c>
      <c r="N1837" s="16" t="n">
        <f aca="false">J1837-K1837-L1837-M1837</f>
        <v>212339.525431233</v>
      </c>
      <c r="O1837" s="16" t="n">
        <f aca="false">F1837*IF(A1837="2025",INDEX(Products!$D$2:$D$13,MATCH(D1837,Products!$A$2:$A$13,0)),INDEX(Products!$F$2:$F$13,MATCH(D1837,Products!$A$2:$A$13,0)))</f>
        <v>113925</v>
      </c>
      <c r="P1837" s="16" t="n">
        <f aca="false">N1837-O1837</f>
        <v>98414.5254312329</v>
      </c>
    </row>
    <row r="1838" customFormat="false" ht="15" hidden="false" customHeight="false" outlineLevel="0" collapsed="false">
      <c r="A1838" s="2" t="s">
        <v>119</v>
      </c>
      <c r="B1838" s="2" t="n">
        <v>1</v>
      </c>
      <c r="C1838" s="2" t="s">
        <v>89</v>
      </c>
      <c r="D1838" s="2" t="s">
        <v>46</v>
      </c>
      <c r="E1838" s="2" t="str">
        <f aca="false">INDEX(Products!$B$2:$B$13,MATCH(D1838,Products!$A$2:$A$13,0))</f>
        <v>Specialty</v>
      </c>
      <c r="F1838" s="15" t="n">
        <v>8.3</v>
      </c>
      <c r="G1838" s="16" t="n">
        <f aca="false">IF(A1838="2025",INDEX(Products!$C$2:$C$13,MATCH(D1838,Products!$A$2:$A$13,0)),INDEX(Products!$E$2:$E$13,MATCH(D1838,Products!$A$2:$A$13,0)))</f>
        <v>26838</v>
      </c>
      <c r="H1838" s="13" t="n">
        <f aca="false">IF(A1838="2025",INDEX(Customers!$D$2:$D$41,MATCH(C1838,Customers!$A$2:$A$41,0)),INDEX(Customers!$F$2:$F$41,MATCH(C1838,Customers!$A$2:$A$41,0)))</f>
        <v>0.068</v>
      </c>
      <c r="I1838" s="16" t="n">
        <f aca="false">F1838*G1838</f>
        <v>222755.4</v>
      </c>
      <c r="J1838" s="16" t="n">
        <f aca="false">I1838*(1-H1838)</f>
        <v>207608.0328</v>
      </c>
      <c r="K1838" s="16" t="n">
        <f aca="false">J1838*INDEX(Customers!$G$2:$G$41,MATCH(C1838,Customers!$A$2:$A$41,0))</f>
        <v>4152.160656</v>
      </c>
      <c r="L1838" s="16" t="n">
        <f aca="false">F1838*INDEX(Customers!$H$2:$H$41,MATCH(C1838,Customers!$A$2:$A$41,0))</f>
        <v>1660</v>
      </c>
      <c r="M1838" s="16" t="n">
        <f aca="false">J1838*INDEX(Customers!$I$2:$I$41,MATCH(C1838,Customers!$A$2:$A$41,0))/365*Assumptions!$B$6</f>
        <v>2730.18782860274</v>
      </c>
      <c r="N1838" s="16" t="n">
        <f aca="false">J1838-K1838-L1838-M1838</f>
        <v>199065.684315397</v>
      </c>
      <c r="O1838" s="16" t="n">
        <f aca="false">F1838*IF(A1838="2025",INDEX(Products!$D$2:$D$13,MATCH(D1838,Products!$A$2:$A$13,0)),INDEX(Products!$F$2:$F$13,MATCH(D1838,Products!$A$2:$A$13,0)))</f>
        <v>104725.25</v>
      </c>
      <c r="P1838" s="16" t="n">
        <f aca="false">N1838-O1838</f>
        <v>94340.4343153973</v>
      </c>
    </row>
    <row r="1839" customFormat="false" ht="15" hidden="false" customHeight="false" outlineLevel="0" collapsed="false">
      <c r="A1839" s="2" t="s">
        <v>119</v>
      </c>
      <c r="B1839" s="2" t="n">
        <v>2</v>
      </c>
      <c r="C1839" s="2" t="s">
        <v>89</v>
      </c>
      <c r="D1839" s="2" t="s">
        <v>46</v>
      </c>
      <c r="E1839" s="2" t="str">
        <f aca="false">INDEX(Products!$B$2:$B$13,MATCH(D1839,Products!$A$2:$A$13,0))</f>
        <v>Specialty</v>
      </c>
      <c r="F1839" s="15" t="n">
        <v>8.8</v>
      </c>
      <c r="G1839" s="16" t="n">
        <f aca="false">IF(A1839="2025",INDEX(Products!$C$2:$C$13,MATCH(D1839,Products!$A$2:$A$13,0)),INDEX(Products!$E$2:$E$13,MATCH(D1839,Products!$A$2:$A$13,0)))</f>
        <v>26838</v>
      </c>
      <c r="H1839" s="13" t="n">
        <f aca="false">IF(A1839="2025",INDEX(Customers!$D$2:$D$41,MATCH(C1839,Customers!$A$2:$A$41,0)),INDEX(Customers!$F$2:$F$41,MATCH(C1839,Customers!$A$2:$A$41,0)))</f>
        <v>0.068</v>
      </c>
      <c r="I1839" s="16" t="n">
        <f aca="false">F1839*G1839</f>
        <v>236174.4</v>
      </c>
      <c r="J1839" s="16" t="n">
        <f aca="false">I1839*(1-H1839)</f>
        <v>220114.5408</v>
      </c>
      <c r="K1839" s="16" t="n">
        <f aca="false">J1839*INDEX(Customers!$G$2:$G$41,MATCH(C1839,Customers!$A$2:$A$41,0))</f>
        <v>4402.290816</v>
      </c>
      <c r="L1839" s="16" t="n">
        <f aca="false">F1839*INDEX(Customers!$H$2:$H$41,MATCH(C1839,Customers!$A$2:$A$41,0))</f>
        <v>1760</v>
      </c>
      <c r="M1839" s="16" t="n">
        <f aca="false">J1839*INDEX(Customers!$I$2:$I$41,MATCH(C1839,Customers!$A$2:$A$41,0))/365*Assumptions!$B$6</f>
        <v>2894.65697490411</v>
      </c>
      <c r="N1839" s="16" t="n">
        <f aca="false">J1839-K1839-L1839-M1839</f>
        <v>211057.593009096</v>
      </c>
      <c r="O1839" s="16" t="n">
        <f aca="false">F1839*IF(A1839="2025",INDEX(Products!$D$2:$D$13,MATCH(D1839,Products!$A$2:$A$13,0)),INDEX(Products!$F$2:$F$13,MATCH(D1839,Products!$A$2:$A$13,0)))</f>
        <v>111034</v>
      </c>
      <c r="P1839" s="16" t="n">
        <f aca="false">N1839-O1839</f>
        <v>100023.593009096</v>
      </c>
    </row>
    <row r="1840" customFormat="false" ht="15" hidden="false" customHeight="false" outlineLevel="0" collapsed="false">
      <c r="A1840" s="2" t="s">
        <v>119</v>
      </c>
      <c r="B1840" s="2" t="n">
        <v>3</v>
      </c>
      <c r="C1840" s="2" t="s">
        <v>89</v>
      </c>
      <c r="D1840" s="2" t="s">
        <v>46</v>
      </c>
      <c r="E1840" s="2" t="str">
        <f aca="false">INDEX(Products!$B$2:$B$13,MATCH(D1840,Products!$A$2:$A$13,0))</f>
        <v>Specialty</v>
      </c>
      <c r="F1840" s="15" t="n">
        <v>8.5</v>
      </c>
      <c r="G1840" s="16" t="n">
        <f aca="false">IF(A1840="2025",INDEX(Products!$C$2:$C$13,MATCH(D1840,Products!$A$2:$A$13,0)),INDEX(Products!$E$2:$E$13,MATCH(D1840,Products!$A$2:$A$13,0)))</f>
        <v>26838</v>
      </c>
      <c r="H1840" s="13" t="n">
        <f aca="false">IF(A1840="2025",INDEX(Customers!$D$2:$D$41,MATCH(C1840,Customers!$A$2:$A$41,0)),INDEX(Customers!$F$2:$F$41,MATCH(C1840,Customers!$A$2:$A$41,0)))</f>
        <v>0.068</v>
      </c>
      <c r="I1840" s="16" t="n">
        <f aca="false">F1840*G1840</f>
        <v>228123</v>
      </c>
      <c r="J1840" s="16" t="n">
        <f aca="false">I1840*(1-H1840)</f>
        <v>212610.636</v>
      </c>
      <c r="K1840" s="16" t="n">
        <f aca="false">J1840*INDEX(Customers!$G$2:$G$41,MATCH(C1840,Customers!$A$2:$A$41,0))</f>
        <v>4252.21272</v>
      </c>
      <c r="L1840" s="16" t="n">
        <f aca="false">F1840*INDEX(Customers!$H$2:$H$41,MATCH(C1840,Customers!$A$2:$A$41,0))</f>
        <v>1700</v>
      </c>
      <c r="M1840" s="16" t="n">
        <f aca="false">J1840*INDEX(Customers!$I$2:$I$41,MATCH(C1840,Customers!$A$2:$A$41,0))/365*Assumptions!$B$6</f>
        <v>2795.97548712329</v>
      </c>
      <c r="N1840" s="16" t="n">
        <f aca="false">J1840-K1840-L1840-M1840</f>
        <v>203862.447792877</v>
      </c>
      <c r="O1840" s="16" t="n">
        <f aca="false">F1840*IF(A1840="2025",INDEX(Products!$D$2:$D$13,MATCH(D1840,Products!$A$2:$A$13,0)),INDEX(Products!$F$2:$F$13,MATCH(D1840,Products!$A$2:$A$13,0)))</f>
        <v>107248.75</v>
      </c>
      <c r="P1840" s="16" t="n">
        <f aca="false">N1840-O1840</f>
        <v>96613.6977928767</v>
      </c>
    </row>
    <row r="1841" customFormat="false" ht="15" hidden="false" customHeight="false" outlineLevel="0" collapsed="false">
      <c r="A1841" s="2" t="s">
        <v>119</v>
      </c>
      <c r="B1841" s="2" t="n">
        <v>4</v>
      </c>
      <c r="C1841" s="2" t="s">
        <v>89</v>
      </c>
      <c r="D1841" s="2" t="s">
        <v>46</v>
      </c>
      <c r="E1841" s="2" t="str">
        <f aca="false">INDEX(Products!$B$2:$B$13,MATCH(D1841,Products!$A$2:$A$13,0))</f>
        <v>Specialty</v>
      </c>
      <c r="F1841" s="15" t="n">
        <v>12.9</v>
      </c>
      <c r="G1841" s="16" t="n">
        <f aca="false">IF(A1841="2025",INDEX(Products!$C$2:$C$13,MATCH(D1841,Products!$A$2:$A$13,0)),INDEX(Products!$E$2:$E$13,MATCH(D1841,Products!$A$2:$A$13,0)))</f>
        <v>26838</v>
      </c>
      <c r="H1841" s="13" t="n">
        <f aca="false">IF(A1841="2025",INDEX(Customers!$D$2:$D$41,MATCH(C1841,Customers!$A$2:$A$41,0)),INDEX(Customers!$F$2:$F$41,MATCH(C1841,Customers!$A$2:$A$41,0)))</f>
        <v>0.068</v>
      </c>
      <c r="I1841" s="16" t="n">
        <f aca="false">F1841*G1841</f>
        <v>346210.2</v>
      </c>
      <c r="J1841" s="16" t="n">
        <f aca="false">I1841*(1-H1841)</f>
        <v>322667.9064</v>
      </c>
      <c r="K1841" s="16" t="n">
        <f aca="false">J1841*INDEX(Customers!$G$2:$G$41,MATCH(C1841,Customers!$A$2:$A$41,0))</f>
        <v>6453.358128</v>
      </c>
      <c r="L1841" s="16" t="n">
        <f aca="false">F1841*INDEX(Customers!$H$2:$H$41,MATCH(C1841,Customers!$A$2:$A$41,0))</f>
        <v>2580</v>
      </c>
      <c r="M1841" s="16" t="n">
        <f aca="false">J1841*INDEX(Customers!$I$2:$I$41,MATCH(C1841,Customers!$A$2:$A$41,0))/365*Assumptions!$B$6</f>
        <v>4243.30397457534</v>
      </c>
      <c r="N1841" s="16" t="n">
        <f aca="false">J1841-K1841-L1841-M1841</f>
        <v>309391.244297425</v>
      </c>
      <c r="O1841" s="16" t="n">
        <f aca="false">F1841*IF(A1841="2025",INDEX(Products!$D$2:$D$13,MATCH(D1841,Products!$A$2:$A$13,0)),INDEX(Products!$F$2:$F$13,MATCH(D1841,Products!$A$2:$A$13,0)))</f>
        <v>162765.75</v>
      </c>
      <c r="P1841" s="16" t="n">
        <f aca="false">N1841-O1841</f>
        <v>146625.494297425</v>
      </c>
    </row>
    <row r="1842" customFormat="false" ht="15" hidden="false" customHeight="false" outlineLevel="0" collapsed="false">
      <c r="A1842" s="2" t="s">
        <v>119</v>
      </c>
      <c r="B1842" s="2" t="n">
        <v>5</v>
      </c>
      <c r="C1842" s="2" t="s">
        <v>89</v>
      </c>
      <c r="D1842" s="2" t="s">
        <v>46</v>
      </c>
      <c r="E1842" s="2" t="str">
        <f aca="false">INDEX(Products!$B$2:$B$13,MATCH(D1842,Products!$A$2:$A$13,0))</f>
        <v>Specialty</v>
      </c>
      <c r="F1842" s="15" t="n">
        <v>13.7</v>
      </c>
      <c r="G1842" s="16" t="n">
        <f aca="false">IF(A1842="2025",INDEX(Products!$C$2:$C$13,MATCH(D1842,Products!$A$2:$A$13,0)),INDEX(Products!$E$2:$E$13,MATCH(D1842,Products!$A$2:$A$13,0)))</f>
        <v>26838</v>
      </c>
      <c r="H1842" s="13" t="n">
        <f aca="false">IF(A1842="2025",INDEX(Customers!$D$2:$D$41,MATCH(C1842,Customers!$A$2:$A$41,0)),INDEX(Customers!$F$2:$F$41,MATCH(C1842,Customers!$A$2:$A$41,0)))</f>
        <v>0.068</v>
      </c>
      <c r="I1842" s="16" t="n">
        <f aca="false">F1842*G1842</f>
        <v>367680.6</v>
      </c>
      <c r="J1842" s="16" t="n">
        <f aca="false">I1842*(1-H1842)</f>
        <v>342678.3192</v>
      </c>
      <c r="K1842" s="16" t="n">
        <f aca="false">J1842*INDEX(Customers!$G$2:$G$41,MATCH(C1842,Customers!$A$2:$A$41,0))</f>
        <v>6853.566384</v>
      </c>
      <c r="L1842" s="16" t="n">
        <f aca="false">F1842*INDEX(Customers!$H$2:$H$41,MATCH(C1842,Customers!$A$2:$A$41,0))</f>
        <v>2740</v>
      </c>
      <c r="M1842" s="16" t="n">
        <f aca="false">J1842*INDEX(Customers!$I$2:$I$41,MATCH(C1842,Customers!$A$2:$A$41,0))/365*Assumptions!$B$6</f>
        <v>4506.45460865754</v>
      </c>
      <c r="N1842" s="16" t="n">
        <f aca="false">J1842-K1842-L1842-M1842</f>
        <v>328578.298207342</v>
      </c>
      <c r="O1842" s="16" t="n">
        <f aca="false">F1842*IF(A1842="2025",INDEX(Products!$D$2:$D$13,MATCH(D1842,Products!$A$2:$A$13,0)),INDEX(Products!$F$2:$F$13,MATCH(D1842,Products!$A$2:$A$13,0)))</f>
        <v>172859.75</v>
      </c>
      <c r="P1842" s="16" t="n">
        <f aca="false">N1842-O1842</f>
        <v>155718.548207342</v>
      </c>
    </row>
    <row r="1843" customFormat="false" ht="15" hidden="false" customHeight="false" outlineLevel="0" collapsed="false">
      <c r="A1843" s="2" t="s">
        <v>119</v>
      </c>
      <c r="B1843" s="2" t="n">
        <v>6</v>
      </c>
      <c r="C1843" s="2" t="s">
        <v>89</v>
      </c>
      <c r="D1843" s="2" t="s">
        <v>46</v>
      </c>
      <c r="E1843" s="2" t="str">
        <f aca="false">INDEX(Products!$B$2:$B$13,MATCH(D1843,Products!$A$2:$A$13,0))</f>
        <v>Specialty</v>
      </c>
      <c r="F1843" s="15" t="n">
        <v>9.6</v>
      </c>
      <c r="G1843" s="16" t="n">
        <f aca="false">IF(A1843="2025",INDEX(Products!$C$2:$C$13,MATCH(D1843,Products!$A$2:$A$13,0)),INDEX(Products!$E$2:$E$13,MATCH(D1843,Products!$A$2:$A$13,0)))</f>
        <v>26838</v>
      </c>
      <c r="H1843" s="13" t="n">
        <f aca="false">IF(A1843="2025",INDEX(Customers!$D$2:$D$41,MATCH(C1843,Customers!$A$2:$A$41,0)),INDEX(Customers!$F$2:$F$41,MATCH(C1843,Customers!$A$2:$A$41,0)))</f>
        <v>0.068</v>
      </c>
      <c r="I1843" s="16" t="n">
        <f aca="false">F1843*G1843</f>
        <v>257644.8</v>
      </c>
      <c r="J1843" s="16" t="n">
        <f aca="false">I1843*(1-H1843)</f>
        <v>240124.9536</v>
      </c>
      <c r="K1843" s="16" t="n">
        <f aca="false">J1843*INDEX(Customers!$G$2:$G$41,MATCH(C1843,Customers!$A$2:$A$41,0))</f>
        <v>4802.499072</v>
      </c>
      <c r="L1843" s="16" t="n">
        <f aca="false">F1843*INDEX(Customers!$H$2:$H$41,MATCH(C1843,Customers!$A$2:$A$41,0))</f>
        <v>1920</v>
      </c>
      <c r="M1843" s="16" t="n">
        <f aca="false">J1843*INDEX(Customers!$I$2:$I$41,MATCH(C1843,Customers!$A$2:$A$41,0))/365*Assumptions!$B$6</f>
        <v>3157.8076089863</v>
      </c>
      <c r="N1843" s="16" t="n">
        <f aca="false">J1843-K1843-L1843-M1843</f>
        <v>230244.646919014</v>
      </c>
      <c r="O1843" s="16" t="n">
        <f aca="false">F1843*IF(A1843="2025",INDEX(Products!$D$2:$D$13,MATCH(D1843,Products!$A$2:$A$13,0)),INDEX(Products!$F$2:$F$13,MATCH(D1843,Products!$A$2:$A$13,0)))</f>
        <v>121128</v>
      </c>
      <c r="P1843" s="16" t="n">
        <f aca="false">N1843-O1843</f>
        <v>109116.646919014</v>
      </c>
    </row>
    <row r="1844" customFormat="false" ht="15" hidden="false" customHeight="false" outlineLevel="0" collapsed="false">
      <c r="A1844" s="2" t="s">
        <v>119</v>
      </c>
      <c r="B1844" s="2" t="n">
        <v>7</v>
      </c>
      <c r="C1844" s="2" t="s">
        <v>89</v>
      </c>
      <c r="D1844" s="2" t="s">
        <v>46</v>
      </c>
      <c r="E1844" s="2" t="str">
        <f aca="false">INDEX(Products!$B$2:$B$13,MATCH(D1844,Products!$A$2:$A$13,0))</f>
        <v>Specialty</v>
      </c>
      <c r="F1844" s="15" t="n">
        <v>10.6</v>
      </c>
      <c r="G1844" s="16" t="n">
        <f aca="false">IF(A1844="2025",INDEX(Products!$C$2:$C$13,MATCH(D1844,Products!$A$2:$A$13,0)),INDEX(Products!$E$2:$E$13,MATCH(D1844,Products!$A$2:$A$13,0)))</f>
        <v>26838</v>
      </c>
      <c r="H1844" s="13" t="n">
        <f aca="false">IF(A1844="2025",INDEX(Customers!$D$2:$D$41,MATCH(C1844,Customers!$A$2:$A$41,0)),INDEX(Customers!$F$2:$F$41,MATCH(C1844,Customers!$A$2:$A$41,0)))</f>
        <v>0.068</v>
      </c>
      <c r="I1844" s="16" t="n">
        <f aca="false">F1844*G1844</f>
        <v>284482.8</v>
      </c>
      <c r="J1844" s="16" t="n">
        <f aca="false">I1844*(1-H1844)</f>
        <v>265137.9696</v>
      </c>
      <c r="K1844" s="16" t="n">
        <f aca="false">J1844*INDEX(Customers!$G$2:$G$41,MATCH(C1844,Customers!$A$2:$A$41,0))</f>
        <v>5302.759392</v>
      </c>
      <c r="L1844" s="16" t="n">
        <f aca="false">F1844*INDEX(Customers!$H$2:$H$41,MATCH(C1844,Customers!$A$2:$A$41,0))</f>
        <v>2120</v>
      </c>
      <c r="M1844" s="16" t="n">
        <f aca="false">J1844*INDEX(Customers!$I$2:$I$41,MATCH(C1844,Customers!$A$2:$A$41,0))/365*Assumptions!$B$6</f>
        <v>3486.74590158904</v>
      </c>
      <c r="N1844" s="16" t="n">
        <f aca="false">J1844-K1844-L1844-M1844</f>
        <v>254228.464306411</v>
      </c>
      <c r="O1844" s="16" t="n">
        <f aca="false">F1844*IF(A1844="2025",INDEX(Products!$D$2:$D$13,MATCH(D1844,Products!$A$2:$A$13,0)),INDEX(Products!$F$2:$F$13,MATCH(D1844,Products!$A$2:$A$13,0)))</f>
        <v>133745.5</v>
      </c>
      <c r="P1844" s="16" t="n">
        <f aca="false">N1844-O1844</f>
        <v>120482.964306411</v>
      </c>
    </row>
    <row r="1845" customFormat="false" ht="15" hidden="false" customHeight="false" outlineLevel="0" collapsed="false">
      <c r="A1845" s="2" t="s">
        <v>119</v>
      </c>
      <c r="B1845" s="2" t="n">
        <v>8</v>
      </c>
      <c r="C1845" s="2" t="s">
        <v>89</v>
      </c>
      <c r="D1845" s="2" t="s">
        <v>46</v>
      </c>
      <c r="E1845" s="2" t="str">
        <f aca="false">INDEX(Products!$B$2:$B$13,MATCH(D1845,Products!$A$2:$A$13,0))</f>
        <v>Specialty</v>
      </c>
      <c r="F1845" s="15" t="n">
        <v>13.9</v>
      </c>
      <c r="G1845" s="16" t="n">
        <f aca="false">IF(A1845="2025",INDEX(Products!$C$2:$C$13,MATCH(D1845,Products!$A$2:$A$13,0)),INDEX(Products!$E$2:$E$13,MATCH(D1845,Products!$A$2:$A$13,0)))</f>
        <v>26838</v>
      </c>
      <c r="H1845" s="13" t="n">
        <f aca="false">IF(A1845="2025",INDEX(Customers!$D$2:$D$41,MATCH(C1845,Customers!$A$2:$A$41,0)),INDEX(Customers!$F$2:$F$41,MATCH(C1845,Customers!$A$2:$A$41,0)))</f>
        <v>0.068</v>
      </c>
      <c r="I1845" s="16" t="n">
        <f aca="false">F1845*G1845</f>
        <v>373048.2</v>
      </c>
      <c r="J1845" s="16" t="n">
        <f aca="false">I1845*(1-H1845)</f>
        <v>347680.9224</v>
      </c>
      <c r="K1845" s="16" t="n">
        <f aca="false">J1845*INDEX(Customers!$G$2:$G$41,MATCH(C1845,Customers!$A$2:$A$41,0))</f>
        <v>6953.618448</v>
      </c>
      <c r="L1845" s="16" t="n">
        <f aca="false">F1845*INDEX(Customers!$H$2:$H$41,MATCH(C1845,Customers!$A$2:$A$41,0))</f>
        <v>2780</v>
      </c>
      <c r="M1845" s="16" t="n">
        <f aca="false">J1845*INDEX(Customers!$I$2:$I$41,MATCH(C1845,Customers!$A$2:$A$41,0))/365*Assumptions!$B$6</f>
        <v>4572.24226717808</v>
      </c>
      <c r="N1845" s="16" t="n">
        <f aca="false">J1845-K1845-L1845-M1845</f>
        <v>333375.061684822</v>
      </c>
      <c r="O1845" s="16" t="n">
        <f aca="false">F1845*IF(A1845="2025",INDEX(Products!$D$2:$D$13,MATCH(D1845,Products!$A$2:$A$13,0)),INDEX(Products!$F$2:$F$13,MATCH(D1845,Products!$A$2:$A$13,0)))</f>
        <v>175383.25</v>
      </c>
      <c r="P1845" s="16" t="n">
        <f aca="false">N1845-O1845</f>
        <v>157991.811684822</v>
      </c>
    </row>
    <row r="1846" customFormat="false" ht="15" hidden="false" customHeight="false" outlineLevel="0" collapsed="false">
      <c r="A1846" s="2" t="s">
        <v>119</v>
      </c>
      <c r="B1846" s="2" t="n">
        <v>9</v>
      </c>
      <c r="C1846" s="2" t="s">
        <v>89</v>
      </c>
      <c r="D1846" s="2" t="s">
        <v>46</v>
      </c>
      <c r="E1846" s="2" t="str">
        <f aca="false">INDEX(Products!$B$2:$B$13,MATCH(D1846,Products!$A$2:$A$13,0))</f>
        <v>Specialty</v>
      </c>
      <c r="F1846" s="15" t="n">
        <v>10.1</v>
      </c>
      <c r="G1846" s="16" t="n">
        <f aca="false">IF(A1846="2025",INDEX(Products!$C$2:$C$13,MATCH(D1846,Products!$A$2:$A$13,0)),INDEX(Products!$E$2:$E$13,MATCH(D1846,Products!$A$2:$A$13,0)))</f>
        <v>26838</v>
      </c>
      <c r="H1846" s="13" t="n">
        <f aca="false">IF(A1846="2025",INDEX(Customers!$D$2:$D$41,MATCH(C1846,Customers!$A$2:$A$41,0)),INDEX(Customers!$F$2:$F$41,MATCH(C1846,Customers!$A$2:$A$41,0)))</f>
        <v>0.068</v>
      </c>
      <c r="I1846" s="16" t="n">
        <f aca="false">F1846*G1846</f>
        <v>271063.8</v>
      </c>
      <c r="J1846" s="16" t="n">
        <f aca="false">I1846*(1-H1846)</f>
        <v>252631.4616</v>
      </c>
      <c r="K1846" s="16" t="n">
        <f aca="false">J1846*INDEX(Customers!$G$2:$G$41,MATCH(C1846,Customers!$A$2:$A$41,0))</f>
        <v>5052.629232</v>
      </c>
      <c r="L1846" s="16" t="n">
        <f aca="false">F1846*INDEX(Customers!$H$2:$H$41,MATCH(C1846,Customers!$A$2:$A$41,0))</f>
        <v>2020</v>
      </c>
      <c r="M1846" s="16" t="n">
        <f aca="false">J1846*INDEX(Customers!$I$2:$I$41,MATCH(C1846,Customers!$A$2:$A$41,0))/365*Assumptions!$B$6</f>
        <v>3322.27675528767</v>
      </c>
      <c r="N1846" s="16" t="n">
        <f aca="false">J1846-K1846-L1846-M1846</f>
        <v>242236.555612712</v>
      </c>
      <c r="O1846" s="16" t="n">
        <f aca="false">F1846*IF(A1846="2025",INDEX(Products!$D$2:$D$13,MATCH(D1846,Products!$A$2:$A$13,0)),INDEX(Products!$F$2:$F$13,MATCH(D1846,Products!$A$2:$A$13,0)))</f>
        <v>127436.75</v>
      </c>
      <c r="P1846" s="16" t="n">
        <f aca="false">N1846-O1846</f>
        <v>114799.805612712</v>
      </c>
    </row>
    <row r="1847" customFormat="false" ht="15" hidden="false" customHeight="false" outlineLevel="0" collapsed="false">
      <c r="A1847" s="2" t="s">
        <v>119</v>
      </c>
      <c r="B1847" s="2" t="n">
        <v>10</v>
      </c>
      <c r="C1847" s="2" t="s">
        <v>89</v>
      </c>
      <c r="D1847" s="2" t="s">
        <v>46</v>
      </c>
      <c r="E1847" s="2" t="str">
        <f aca="false">INDEX(Products!$B$2:$B$13,MATCH(D1847,Products!$A$2:$A$13,0))</f>
        <v>Specialty</v>
      </c>
      <c r="F1847" s="15" t="n">
        <v>12</v>
      </c>
      <c r="G1847" s="16" t="n">
        <f aca="false">IF(A1847="2025",INDEX(Products!$C$2:$C$13,MATCH(D1847,Products!$A$2:$A$13,0)),INDEX(Products!$E$2:$E$13,MATCH(D1847,Products!$A$2:$A$13,0)))</f>
        <v>26838</v>
      </c>
      <c r="H1847" s="13" t="n">
        <f aca="false">IF(A1847="2025",INDEX(Customers!$D$2:$D$41,MATCH(C1847,Customers!$A$2:$A$41,0)),INDEX(Customers!$F$2:$F$41,MATCH(C1847,Customers!$A$2:$A$41,0)))</f>
        <v>0.068</v>
      </c>
      <c r="I1847" s="16" t="n">
        <f aca="false">F1847*G1847</f>
        <v>322056</v>
      </c>
      <c r="J1847" s="16" t="n">
        <f aca="false">I1847*(1-H1847)</f>
        <v>300156.192</v>
      </c>
      <c r="K1847" s="16" t="n">
        <f aca="false">J1847*INDEX(Customers!$G$2:$G$41,MATCH(C1847,Customers!$A$2:$A$41,0))</f>
        <v>6003.12384</v>
      </c>
      <c r="L1847" s="16" t="n">
        <f aca="false">F1847*INDEX(Customers!$H$2:$H$41,MATCH(C1847,Customers!$A$2:$A$41,0))</f>
        <v>2400</v>
      </c>
      <c r="M1847" s="16" t="n">
        <f aca="false">J1847*INDEX(Customers!$I$2:$I$41,MATCH(C1847,Customers!$A$2:$A$41,0))/365*Assumptions!$B$6</f>
        <v>3947.25951123288</v>
      </c>
      <c r="N1847" s="16" t="n">
        <f aca="false">J1847-K1847-L1847-M1847</f>
        <v>287805.808648767</v>
      </c>
      <c r="O1847" s="16" t="n">
        <f aca="false">F1847*IF(A1847="2025",INDEX(Products!$D$2:$D$13,MATCH(D1847,Products!$A$2:$A$13,0)),INDEX(Products!$F$2:$F$13,MATCH(D1847,Products!$A$2:$A$13,0)))</f>
        <v>151410</v>
      </c>
      <c r="P1847" s="16" t="n">
        <f aca="false">N1847-O1847</f>
        <v>136395.808648767</v>
      </c>
    </row>
    <row r="1848" customFormat="false" ht="15" hidden="false" customHeight="false" outlineLevel="0" collapsed="false">
      <c r="A1848" s="2" t="s">
        <v>119</v>
      </c>
      <c r="B1848" s="2" t="n">
        <v>11</v>
      </c>
      <c r="C1848" s="2" t="s">
        <v>89</v>
      </c>
      <c r="D1848" s="2" t="s">
        <v>46</v>
      </c>
      <c r="E1848" s="2" t="str">
        <f aca="false">INDEX(Products!$B$2:$B$13,MATCH(D1848,Products!$A$2:$A$13,0))</f>
        <v>Specialty</v>
      </c>
      <c r="F1848" s="15" t="n">
        <v>12.7</v>
      </c>
      <c r="G1848" s="16" t="n">
        <f aca="false">IF(A1848="2025",INDEX(Products!$C$2:$C$13,MATCH(D1848,Products!$A$2:$A$13,0)),INDEX(Products!$E$2:$E$13,MATCH(D1848,Products!$A$2:$A$13,0)))</f>
        <v>26838</v>
      </c>
      <c r="H1848" s="13" t="n">
        <f aca="false">IF(A1848="2025",INDEX(Customers!$D$2:$D$41,MATCH(C1848,Customers!$A$2:$A$41,0)),INDEX(Customers!$F$2:$F$41,MATCH(C1848,Customers!$A$2:$A$41,0)))</f>
        <v>0.068</v>
      </c>
      <c r="I1848" s="16" t="n">
        <f aca="false">F1848*G1848</f>
        <v>340842.6</v>
      </c>
      <c r="J1848" s="16" t="n">
        <f aca="false">I1848*(1-H1848)</f>
        <v>317665.3032</v>
      </c>
      <c r="K1848" s="16" t="n">
        <f aca="false">J1848*INDEX(Customers!$G$2:$G$41,MATCH(C1848,Customers!$A$2:$A$41,0))</f>
        <v>6353.306064</v>
      </c>
      <c r="L1848" s="16" t="n">
        <f aca="false">F1848*INDEX(Customers!$H$2:$H$41,MATCH(C1848,Customers!$A$2:$A$41,0))</f>
        <v>2540</v>
      </c>
      <c r="M1848" s="16" t="n">
        <f aca="false">J1848*INDEX(Customers!$I$2:$I$41,MATCH(C1848,Customers!$A$2:$A$41,0))/365*Assumptions!$B$6</f>
        <v>4177.51631605479</v>
      </c>
      <c r="N1848" s="16" t="n">
        <f aca="false">J1848-K1848-L1848-M1848</f>
        <v>304594.480819945</v>
      </c>
      <c r="O1848" s="16" t="n">
        <f aca="false">F1848*IF(A1848="2025",INDEX(Products!$D$2:$D$13,MATCH(D1848,Products!$A$2:$A$13,0)),INDEX(Products!$F$2:$F$13,MATCH(D1848,Products!$A$2:$A$13,0)))</f>
        <v>160242.25</v>
      </c>
      <c r="P1848" s="16" t="n">
        <f aca="false">N1848-O1848</f>
        <v>144352.230819945</v>
      </c>
    </row>
    <row r="1849" customFormat="false" ht="15" hidden="false" customHeight="false" outlineLevel="0" collapsed="false">
      <c r="A1849" s="2" t="s">
        <v>119</v>
      </c>
      <c r="B1849" s="2" t="n">
        <v>12</v>
      </c>
      <c r="C1849" s="2" t="s">
        <v>89</v>
      </c>
      <c r="D1849" s="2" t="s">
        <v>46</v>
      </c>
      <c r="E1849" s="2" t="str">
        <f aca="false">INDEX(Products!$B$2:$B$13,MATCH(D1849,Products!$A$2:$A$13,0))</f>
        <v>Specialty</v>
      </c>
      <c r="F1849" s="15" t="n">
        <v>11.9</v>
      </c>
      <c r="G1849" s="16" t="n">
        <f aca="false">IF(A1849="2025",INDEX(Products!$C$2:$C$13,MATCH(D1849,Products!$A$2:$A$13,0)),INDEX(Products!$E$2:$E$13,MATCH(D1849,Products!$A$2:$A$13,0)))</f>
        <v>26838</v>
      </c>
      <c r="H1849" s="13" t="n">
        <f aca="false">IF(A1849="2025",INDEX(Customers!$D$2:$D$41,MATCH(C1849,Customers!$A$2:$A$41,0)),INDEX(Customers!$F$2:$F$41,MATCH(C1849,Customers!$A$2:$A$41,0)))</f>
        <v>0.068</v>
      </c>
      <c r="I1849" s="16" t="n">
        <f aca="false">F1849*G1849</f>
        <v>319372.2</v>
      </c>
      <c r="J1849" s="16" t="n">
        <f aca="false">I1849*(1-H1849)</f>
        <v>297654.8904</v>
      </c>
      <c r="K1849" s="16" t="n">
        <f aca="false">J1849*INDEX(Customers!$G$2:$G$41,MATCH(C1849,Customers!$A$2:$A$41,0))</f>
        <v>5953.097808</v>
      </c>
      <c r="L1849" s="16" t="n">
        <f aca="false">F1849*INDEX(Customers!$H$2:$H$41,MATCH(C1849,Customers!$A$2:$A$41,0))</f>
        <v>2380</v>
      </c>
      <c r="M1849" s="16" t="n">
        <f aca="false">J1849*INDEX(Customers!$I$2:$I$41,MATCH(C1849,Customers!$A$2:$A$41,0))/365*Assumptions!$B$6</f>
        <v>3914.3656819726</v>
      </c>
      <c r="N1849" s="16" t="n">
        <f aca="false">J1849-K1849-L1849-M1849</f>
        <v>285407.426910027</v>
      </c>
      <c r="O1849" s="16" t="n">
        <f aca="false">F1849*IF(A1849="2025",INDEX(Products!$D$2:$D$13,MATCH(D1849,Products!$A$2:$A$13,0)),INDEX(Products!$F$2:$F$13,MATCH(D1849,Products!$A$2:$A$13,0)))</f>
        <v>150148.25</v>
      </c>
      <c r="P1849" s="16" t="n">
        <f aca="false">N1849-O1849</f>
        <v>135259.176910027</v>
      </c>
    </row>
    <row r="1850" customFormat="false" ht="15" hidden="false" customHeight="false" outlineLevel="0" collapsed="false">
      <c r="A1850" s="2" t="s">
        <v>118</v>
      </c>
      <c r="B1850" s="2" t="n">
        <v>1</v>
      </c>
      <c r="C1850" s="2" t="s">
        <v>90</v>
      </c>
      <c r="D1850" s="2" t="s">
        <v>42</v>
      </c>
      <c r="E1850" s="2" t="str">
        <f aca="false">INDEX(Products!$B$2:$B$13,MATCH(D1850,Products!$A$2:$A$13,0))</f>
        <v>Hydroprocessing</v>
      </c>
      <c r="F1850" s="15" t="n">
        <v>2.5</v>
      </c>
      <c r="G1850" s="16" t="n">
        <f aca="false">IF(A1850="2025",INDEX(Products!$C$2:$C$13,MATCH(D1850,Products!$A$2:$A$13,0)),INDEX(Products!$E$2:$E$13,MATCH(D1850,Products!$A$2:$A$13,0)))</f>
        <v>12450</v>
      </c>
      <c r="H1850" s="13" t="n">
        <f aca="false">IF(A1850="2025",INDEX(Customers!$D$2:$D$41,MATCH(C1850,Customers!$A$2:$A$41,0)),INDEX(Customers!$F$2:$F$41,MATCH(C1850,Customers!$A$2:$A$41,0)))</f>
        <v>0.058</v>
      </c>
      <c r="I1850" s="16" t="n">
        <f aca="false">F1850*G1850</f>
        <v>31125</v>
      </c>
      <c r="J1850" s="16" t="n">
        <f aca="false">I1850*(1-H1850)</f>
        <v>29319.75</v>
      </c>
      <c r="K1850" s="16" t="n">
        <f aca="false">J1850*INDEX(Customers!$G$2:$G$41,MATCH(C1850,Customers!$A$2:$A$41,0))</f>
        <v>0</v>
      </c>
      <c r="L1850" s="16" t="n">
        <f aca="false">F1850*INDEX(Customers!$H$2:$H$41,MATCH(C1850,Customers!$A$2:$A$41,0))</f>
        <v>625</v>
      </c>
      <c r="M1850" s="16" t="n">
        <f aca="false">J1850*INDEX(Customers!$I$2:$I$41,MATCH(C1850,Customers!$A$2:$A$41,0))/365*Assumptions!$B$6</f>
        <v>192.787397260274</v>
      </c>
      <c r="N1850" s="16" t="n">
        <f aca="false">J1850-K1850-L1850-M1850</f>
        <v>28501.9626027397</v>
      </c>
      <c r="O1850" s="16" t="n">
        <f aca="false">F1850*IF(A1850="2025",INDEX(Products!$D$2:$D$13,MATCH(D1850,Products!$A$2:$A$13,0)),INDEX(Products!$F$2:$F$13,MATCH(D1850,Products!$A$2:$A$13,0)))</f>
        <v>19450</v>
      </c>
      <c r="P1850" s="16" t="n">
        <f aca="false">N1850-O1850</f>
        <v>9051.96260273972</v>
      </c>
    </row>
    <row r="1851" customFormat="false" ht="15" hidden="false" customHeight="false" outlineLevel="0" collapsed="false">
      <c r="A1851" s="2" t="s">
        <v>118</v>
      </c>
      <c r="B1851" s="2" t="n">
        <v>2</v>
      </c>
      <c r="C1851" s="2" t="s">
        <v>90</v>
      </c>
      <c r="D1851" s="2" t="s">
        <v>42</v>
      </c>
      <c r="E1851" s="2" t="str">
        <f aca="false">INDEX(Products!$B$2:$B$13,MATCH(D1851,Products!$A$2:$A$13,0))</f>
        <v>Hydroprocessing</v>
      </c>
      <c r="F1851" s="15" t="n">
        <v>4.2</v>
      </c>
      <c r="G1851" s="16" t="n">
        <f aca="false">IF(A1851="2025",INDEX(Products!$C$2:$C$13,MATCH(D1851,Products!$A$2:$A$13,0)),INDEX(Products!$E$2:$E$13,MATCH(D1851,Products!$A$2:$A$13,0)))</f>
        <v>12450</v>
      </c>
      <c r="H1851" s="13" t="n">
        <f aca="false">IF(A1851="2025",INDEX(Customers!$D$2:$D$41,MATCH(C1851,Customers!$A$2:$A$41,0)),INDEX(Customers!$F$2:$F$41,MATCH(C1851,Customers!$A$2:$A$41,0)))</f>
        <v>0.058</v>
      </c>
      <c r="I1851" s="16" t="n">
        <f aca="false">F1851*G1851</f>
        <v>52290</v>
      </c>
      <c r="J1851" s="16" t="n">
        <f aca="false">I1851*(1-H1851)</f>
        <v>49257.18</v>
      </c>
      <c r="K1851" s="16" t="n">
        <f aca="false">J1851*INDEX(Customers!$G$2:$G$41,MATCH(C1851,Customers!$A$2:$A$41,0))</f>
        <v>0</v>
      </c>
      <c r="L1851" s="16" t="n">
        <f aca="false">F1851*INDEX(Customers!$H$2:$H$41,MATCH(C1851,Customers!$A$2:$A$41,0))</f>
        <v>1050</v>
      </c>
      <c r="M1851" s="16" t="n">
        <f aca="false">J1851*INDEX(Customers!$I$2:$I$41,MATCH(C1851,Customers!$A$2:$A$41,0))/365*Assumptions!$B$6</f>
        <v>323.88282739726</v>
      </c>
      <c r="N1851" s="16" t="n">
        <f aca="false">J1851-K1851-L1851-M1851</f>
        <v>47883.2971726027</v>
      </c>
      <c r="O1851" s="16" t="n">
        <f aca="false">F1851*IF(A1851="2025",INDEX(Products!$D$2:$D$13,MATCH(D1851,Products!$A$2:$A$13,0)),INDEX(Products!$F$2:$F$13,MATCH(D1851,Products!$A$2:$A$13,0)))</f>
        <v>32676</v>
      </c>
      <c r="P1851" s="16" t="n">
        <f aca="false">N1851-O1851</f>
        <v>15207.2971726027</v>
      </c>
    </row>
    <row r="1852" customFormat="false" ht="15" hidden="false" customHeight="false" outlineLevel="0" collapsed="false">
      <c r="A1852" s="2" t="s">
        <v>118</v>
      </c>
      <c r="B1852" s="2" t="n">
        <v>3</v>
      </c>
      <c r="C1852" s="2" t="s">
        <v>90</v>
      </c>
      <c r="D1852" s="2" t="s">
        <v>42</v>
      </c>
      <c r="E1852" s="2" t="str">
        <f aca="false">INDEX(Products!$B$2:$B$13,MATCH(D1852,Products!$A$2:$A$13,0))</f>
        <v>Hydroprocessing</v>
      </c>
      <c r="F1852" s="15" t="n">
        <v>3.4</v>
      </c>
      <c r="G1852" s="16" t="n">
        <f aca="false">IF(A1852="2025",INDEX(Products!$C$2:$C$13,MATCH(D1852,Products!$A$2:$A$13,0)),INDEX(Products!$E$2:$E$13,MATCH(D1852,Products!$A$2:$A$13,0)))</f>
        <v>12450</v>
      </c>
      <c r="H1852" s="13" t="n">
        <f aca="false">IF(A1852="2025",INDEX(Customers!$D$2:$D$41,MATCH(C1852,Customers!$A$2:$A$41,0)),INDEX(Customers!$F$2:$F$41,MATCH(C1852,Customers!$A$2:$A$41,0)))</f>
        <v>0.058</v>
      </c>
      <c r="I1852" s="16" t="n">
        <f aca="false">F1852*G1852</f>
        <v>42330</v>
      </c>
      <c r="J1852" s="16" t="n">
        <f aca="false">I1852*(1-H1852)</f>
        <v>39874.86</v>
      </c>
      <c r="K1852" s="16" t="n">
        <f aca="false">J1852*INDEX(Customers!$G$2:$G$41,MATCH(C1852,Customers!$A$2:$A$41,0))</f>
        <v>0</v>
      </c>
      <c r="L1852" s="16" t="n">
        <f aca="false">F1852*INDEX(Customers!$H$2:$H$41,MATCH(C1852,Customers!$A$2:$A$41,0))</f>
        <v>850</v>
      </c>
      <c r="M1852" s="16" t="n">
        <f aca="false">J1852*INDEX(Customers!$I$2:$I$41,MATCH(C1852,Customers!$A$2:$A$41,0))/365*Assumptions!$B$6</f>
        <v>262.190860273973</v>
      </c>
      <c r="N1852" s="16" t="n">
        <f aca="false">J1852-K1852-L1852-M1852</f>
        <v>38762.669139726</v>
      </c>
      <c r="O1852" s="16" t="n">
        <f aca="false">F1852*IF(A1852="2025",INDEX(Products!$D$2:$D$13,MATCH(D1852,Products!$A$2:$A$13,0)),INDEX(Products!$F$2:$F$13,MATCH(D1852,Products!$A$2:$A$13,0)))</f>
        <v>26452</v>
      </c>
      <c r="P1852" s="16" t="n">
        <f aca="false">N1852-O1852</f>
        <v>12310.669139726</v>
      </c>
    </row>
    <row r="1853" customFormat="false" ht="15" hidden="false" customHeight="false" outlineLevel="0" collapsed="false">
      <c r="A1853" s="2" t="s">
        <v>118</v>
      </c>
      <c r="B1853" s="2" t="n">
        <v>4</v>
      </c>
      <c r="C1853" s="2" t="s">
        <v>90</v>
      </c>
      <c r="D1853" s="2" t="s">
        <v>42</v>
      </c>
      <c r="E1853" s="2" t="str">
        <f aca="false">INDEX(Products!$B$2:$B$13,MATCH(D1853,Products!$A$2:$A$13,0))</f>
        <v>Hydroprocessing</v>
      </c>
      <c r="F1853" s="15" t="n">
        <v>3</v>
      </c>
      <c r="G1853" s="16" t="n">
        <f aca="false">IF(A1853="2025",INDEX(Products!$C$2:$C$13,MATCH(D1853,Products!$A$2:$A$13,0)),INDEX(Products!$E$2:$E$13,MATCH(D1853,Products!$A$2:$A$13,0)))</f>
        <v>12450</v>
      </c>
      <c r="H1853" s="13" t="n">
        <f aca="false">IF(A1853="2025",INDEX(Customers!$D$2:$D$41,MATCH(C1853,Customers!$A$2:$A$41,0)),INDEX(Customers!$F$2:$F$41,MATCH(C1853,Customers!$A$2:$A$41,0)))</f>
        <v>0.058</v>
      </c>
      <c r="I1853" s="16" t="n">
        <f aca="false">F1853*G1853</f>
        <v>37350</v>
      </c>
      <c r="J1853" s="16" t="n">
        <f aca="false">I1853*(1-H1853)</f>
        <v>35183.7</v>
      </c>
      <c r="K1853" s="16" t="n">
        <f aca="false">J1853*INDEX(Customers!$G$2:$G$41,MATCH(C1853,Customers!$A$2:$A$41,0))</f>
        <v>0</v>
      </c>
      <c r="L1853" s="16" t="n">
        <f aca="false">F1853*INDEX(Customers!$H$2:$H$41,MATCH(C1853,Customers!$A$2:$A$41,0))</f>
        <v>750</v>
      </c>
      <c r="M1853" s="16" t="n">
        <f aca="false">J1853*INDEX(Customers!$I$2:$I$41,MATCH(C1853,Customers!$A$2:$A$41,0))/365*Assumptions!$B$6</f>
        <v>231.344876712329</v>
      </c>
      <c r="N1853" s="16" t="n">
        <f aca="false">J1853-K1853-L1853-M1853</f>
        <v>34202.3551232877</v>
      </c>
      <c r="O1853" s="16" t="n">
        <f aca="false">F1853*IF(A1853="2025",INDEX(Products!$D$2:$D$13,MATCH(D1853,Products!$A$2:$A$13,0)),INDEX(Products!$F$2:$F$13,MATCH(D1853,Products!$A$2:$A$13,0)))</f>
        <v>23340</v>
      </c>
      <c r="P1853" s="16" t="n">
        <f aca="false">N1853-O1853</f>
        <v>10862.3551232877</v>
      </c>
    </row>
    <row r="1854" customFormat="false" ht="15" hidden="false" customHeight="false" outlineLevel="0" collapsed="false">
      <c r="A1854" s="2" t="s">
        <v>118</v>
      </c>
      <c r="B1854" s="2" t="n">
        <v>5</v>
      </c>
      <c r="C1854" s="2" t="s">
        <v>90</v>
      </c>
      <c r="D1854" s="2" t="s">
        <v>42</v>
      </c>
      <c r="E1854" s="2" t="str">
        <f aca="false">INDEX(Products!$B$2:$B$13,MATCH(D1854,Products!$A$2:$A$13,0))</f>
        <v>Hydroprocessing</v>
      </c>
      <c r="F1854" s="15" t="n">
        <v>4.1</v>
      </c>
      <c r="G1854" s="16" t="n">
        <f aca="false">IF(A1854="2025",INDEX(Products!$C$2:$C$13,MATCH(D1854,Products!$A$2:$A$13,0)),INDEX(Products!$E$2:$E$13,MATCH(D1854,Products!$A$2:$A$13,0)))</f>
        <v>12450</v>
      </c>
      <c r="H1854" s="13" t="n">
        <f aca="false">IF(A1854="2025",INDEX(Customers!$D$2:$D$41,MATCH(C1854,Customers!$A$2:$A$41,0)),INDEX(Customers!$F$2:$F$41,MATCH(C1854,Customers!$A$2:$A$41,0)))</f>
        <v>0.058</v>
      </c>
      <c r="I1854" s="16" t="n">
        <f aca="false">F1854*G1854</f>
        <v>51045</v>
      </c>
      <c r="J1854" s="16" t="n">
        <f aca="false">I1854*(1-H1854)</f>
        <v>48084.39</v>
      </c>
      <c r="K1854" s="16" t="n">
        <f aca="false">J1854*INDEX(Customers!$G$2:$G$41,MATCH(C1854,Customers!$A$2:$A$41,0))</f>
        <v>0</v>
      </c>
      <c r="L1854" s="16" t="n">
        <f aca="false">F1854*INDEX(Customers!$H$2:$H$41,MATCH(C1854,Customers!$A$2:$A$41,0))</f>
        <v>1025</v>
      </c>
      <c r="M1854" s="16" t="n">
        <f aca="false">J1854*INDEX(Customers!$I$2:$I$41,MATCH(C1854,Customers!$A$2:$A$41,0))/365*Assumptions!$B$6</f>
        <v>316.171331506849</v>
      </c>
      <c r="N1854" s="16" t="n">
        <f aca="false">J1854-K1854-L1854-M1854</f>
        <v>46743.2186684931</v>
      </c>
      <c r="O1854" s="16" t="n">
        <f aca="false">F1854*IF(A1854="2025",INDEX(Products!$D$2:$D$13,MATCH(D1854,Products!$A$2:$A$13,0)),INDEX(Products!$F$2:$F$13,MATCH(D1854,Products!$A$2:$A$13,0)))</f>
        <v>31898</v>
      </c>
      <c r="P1854" s="16" t="n">
        <f aca="false">N1854-O1854</f>
        <v>14845.2186684931</v>
      </c>
    </row>
    <row r="1855" customFormat="false" ht="15" hidden="false" customHeight="false" outlineLevel="0" collapsed="false">
      <c r="A1855" s="2" t="s">
        <v>118</v>
      </c>
      <c r="B1855" s="2" t="n">
        <v>6</v>
      </c>
      <c r="C1855" s="2" t="s">
        <v>90</v>
      </c>
      <c r="D1855" s="2" t="s">
        <v>42</v>
      </c>
      <c r="E1855" s="2" t="str">
        <f aca="false">INDEX(Products!$B$2:$B$13,MATCH(D1855,Products!$A$2:$A$13,0))</f>
        <v>Hydroprocessing</v>
      </c>
      <c r="F1855" s="15" t="n">
        <v>4.1</v>
      </c>
      <c r="G1855" s="16" t="n">
        <f aca="false">IF(A1855="2025",INDEX(Products!$C$2:$C$13,MATCH(D1855,Products!$A$2:$A$13,0)),INDEX(Products!$E$2:$E$13,MATCH(D1855,Products!$A$2:$A$13,0)))</f>
        <v>12450</v>
      </c>
      <c r="H1855" s="13" t="n">
        <f aca="false">IF(A1855="2025",INDEX(Customers!$D$2:$D$41,MATCH(C1855,Customers!$A$2:$A$41,0)),INDEX(Customers!$F$2:$F$41,MATCH(C1855,Customers!$A$2:$A$41,0)))</f>
        <v>0.058</v>
      </c>
      <c r="I1855" s="16" t="n">
        <f aca="false">F1855*G1855</f>
        <v>51045</v>
      </c>
      <c r="J1855" s="16" t="n">
        <f aca="false">I1855*(1-H1855)</f>
        <v>48084.39</v>
      </c>
      <c r="K1855" s="16" t="n">
        <f aca="false">J1855*INDEX(Customers!$G$2:$G$41,MATCH(C1855,Customers!$A$2:$A$41,0))</f>
        <v>0</v>
      </c>
      <c r="L1855" s="16" t="n">
        <f aca="false">F1855*INDEX(Customers!$H$2:$H$41,MATCH(C1855,Customers!$A$2:$A$41,0))</f>
        <v>1025</v>
      </c>
      <c r="M1855" s="16" t="n">
        <f aca="false">J1855*INDEX(Customers!$I$2:$I$41,MATCH(C1855,Customers!$A$2:$A$41,0))/365*Assumptions!$B$6</f>
        <v>316.171331506849</v>
      </c>
      <c r="N1855" s="16" t="n">
        <f aca="false">J1855-K1855-L1855-M1855</f>
        <v>46743.2186684931</v>
      </c>
      <c r="O1855" s="16" t="n">
        <f aca="false">F1855*IF(A1855="2025",INDEX(Products!$D$2:$D$13,MATCH(D1855,Products!$A$2:$A$13,0)),INDEX(Products!$F$2:$F$13,MATCH(D1855,Products!$A$2:$A$13,0)))</f>
        <v>31898</v>
      </c>
      <c r="P1855" s="16" t="n">
        <f aca="false">N1855-O1855</f>
        <v>14845.2186684931</v>
      </c>
    </row>
    <row r="1856" customFormat="false" ht="15" hidden="false" customHeight="false" outlineLevel="0" collapsed="false">
      <c r="A1856" s="2" t="s">
        <v>118</v>
      </c>
      <c r="B1856" s="2" t="n">
        <v>7</v>
      </c>
      <c r="C1856" s="2" t="s">
        <v>90</v>
      </c>
      <c r="D1856" s="2" t="s">
        <v>42</v>
      </c>
      <c r="E1856" s="2" t="str">
        <f aca="false">INDEX(Products!$B$2:$B$13,MATCH(D1856,Products!$A$2:$A$13,0))</f>
        <v>Hydroprocessing</v>
      </c>
      <c r="F1856" s="15" t="n">
        <v>4</v>
      </c>
      <c r="G1856" s="16" t="n">
        <f aca="false">IF(A1856="2025",INDEX(Products!$C$2:$C$13,MATCH(D1856,Products!$A$2:$A$13,0)),INDEX(Products!$E$2:$E$13,MATCH(D1856,Products!$A$2:$A$13,0)))</f>
        <v>12450</v>
      </c>
      <c r="H1856" s="13" t="n">
        <f aca="false">IF(A1856="2025",INDEX(Customers!$D$2:$D$41,MATCH(C1856,Customers!$A$2:$A$41,0)),INDEX(Customers!$F$2:$F$41,MATCH(C1856,Customers!$A$2:$A$41,0)))</f>
        <v>0.058</v>
      </c>
      <c r="I1856" s="16" t="n">
        <f aca="false">F1856*G1856</f>
        <v>49800</v>
      </c>
      <c r="J1856" s="16" t="n">
        <f aca="false">I1856*(1-H1856)</f>
        <v>46911.6</v>
      </c>
      <c r="K1856" s="16" t="n">
        <f aca="false">J1856*INDEX(Customers!$G$2:$G$41,MATCH(C1856,Customers!$A$2:$A$41,0))</f>
        <v>0</v>
      </c>
      <c r="L1856" s="16" t="n">
        <f aca="false">F1856*INDEX(Customers!$H$2:$H$41,MATCH(C1856,Customers!$A$2:$A$41,0))</f>
        <v>1000</v>
      </c>
      <c r="M1856" s="16" t="n">
        <f aca="false">J1856*INDEX(Customers!$I$2:$I$41,MATCH(C1856,Customers!$A$2:$A$41,0))/365*Assumptions!$B$6</f>
        <v>308.459835616438</v>
      </c>
      <c r="N1856" s="16" t="n">
        <f aca="false">J1856-K1856-L1856-M1856</f>
        <v>45603.1401643836</v>
      </c>
      <c r="O1856" s="16" t="n">
        <f aca="false">F1856*IF(A1856="2025",INDEX(Products!$D$2:$D$13,MATCH(D1856,Products!$A$2:$A$13,0)),INDEX(Products!$F$2:$F$13,MATCH(D1856,Products!$A$2:$A$13,0)))</f>
        <v>31120</v>
      </c>
      <c r="P1856" s="16" t="n">
        <f aca="false">N1856-O1856</f>
        <v>14483.1401643836</v>
      </c>
    </row>
    <row r="1857" customFormat="false" ht="15" hidden="false" customHeight="false" outlineLevel="0" collapsed="false">
      <c r="A1857" s="2" t="s">
        <v>118</v>
      </c>
      <c r="B1857" s="2" t="n">
        <v>8</v>
      </c>
      <c r="C1857" s="2" t="s">
        <v>90</v>
      </c>
      <c r="D1857" s="2" t="s">
        <v>42</v>
      </c>
      <c r="E1857" s="2" t="str">
        <f aca="false">INDEX(Products!$B$2:$B$13,MATCH(D1857,Products!$A$2:$A$13,0))</f>
        <v>Hydroprocessing</v>
      </c>
      <c r="F1857" s="15" t="n">
        <v>2.3</v>
      </c>
      <c r="G1857" s="16" t="n">
        <f aca="false">IF(A1857="2025",INDEX(Products!$C$2:$C$13,MATCH(D1857,Products!$A$2:$A$13,0)),INDEX(Products!$E$2:$E$13,MATCH(D1857,Products!$A$2:$A$13,0)))</f>
        <v>12450</v>
      </c>
      <c r="H1857" s="13" t="n">
        <f aca="false">IF(A1857="2025",INDEX(Customers!$D$2:$D$41,MATCH(C1857,Customers!$A$2:$A$41,0)),INDEX(Customers!$F$2:$F$41,MATCH(C1857,Customers!$A$2:$A$41,0)))</f>
        <v>0.058</v>
      </c>
      <c r="I1857" s="16" t="n">
        <f aca="false">F1857*G1857</f>
        <v>28635</v>
      </c>
      <c r="J1857" s="16" t="n">
        <f aca="false">I1857*(1-H1857)</f>
        <v>26974.17</v>
      </c>
      <c r="K1857" s="16" t="n">
        <f aca="false">J1857*INDEX(Customers!$G$2:$G$41,MATCH(C1857,Customers!$A$2:$A$41,0))</f>
        <v>0</v>
      </c>
      <c r="L1857" s="16" t="n">
        <f aca="false">F1857*INDEX(Customers!$H$2:$H$41,MATCH(C1857,Customers!$A$2:$A$41,0))</f>
        <v>575</v>
      </c>
      <c r="M1857" s="16" t="n">
        <f aca="false">J1857*INDEX(Customers!$I$2:$I$41,MATCH(C1857,Customers!$A$2:$A$41,0))/365*Assumptions!$B$6</f>
        <v>177.364405479452</v>
      </c>
      <c r="N1857" s="16" t="n">
        <f aca="false">J1857-K1857-L1857-M1857</f>
        <v>26221.8055945205</v>
      </c>
      <c r="O1857" s="16" t="n">
        <f aca="false">F1857*IF(A1857="2025",INDEX(Products!$D$2:$D$13,MATCH(D1857,Products!$A$2:$A$13,0)),INDEX(Products!$F$2:$F$13,MATCH(D1857,Products!$A$2:$A$13,0)))</f>
        <v>17894</v>
      </c>
      <c r="P1857" s="16" t="n">
        <f aca="false">N1857-O1857</f>
        <v>8327.80559452054</v>
      </c>
    </row>
    <row r="1858" customFormat="false" ht="15" hidden="false" customHeight="false" outlineLevel="0" collapsed="false">
      <c r="A1858" s="2" t="s">
        <v>118</v>
      </c>
      <c r="B1858" s="2" t="n">
        <v>9</v>
      </c>
      <c r="C1858" s="2" t="s">
        <v>90</v>
      </c>
      <c r="D1858" s="2" t="s">
        <v>42</v>
      </c>
      <c r="E1858" s="2" t="str">
        <f aca="false">INDEX(Products!$B$2:$B$13,MATCH(D1858,Products!$A$2:$A$13,0))</f>
        <v>Hydroprocessing</v>
      </c>
      <c r="F1858" s="15" t="n">
        <v>3.1</v>
      </c>
      <c r="G1858" s="16" t="n">
        <f aca="false">IF(A1858="2025",INDEX(Products!$C$2:$C$13,MATCH(D1858,Products!$A$2:$A$13,0)),INDEX(Products!$E$2:$E$13,MATCH(D1858,Products!$A$2:$A$13,0)))</f>
        <v>12450</v>
      </c>
      <c r="H1858" s="13" t="n">
        <f aca="false">IF(A1858="2025",INDEX(Customers!$D$2:$D$41,MATCH(C1858,Customers!$A$2:$A$41,0)),INDEX(Customers!$F$2:$F$41,MATCH(C1858,Customers!$A$2:$A$41,0)))</f>
        <v>0.058</v>
      </c>
      <c r="I1858" s="16" t="n">
        <f aca="false">F1858*G1858</f>
        <v>38595</v>
      </c>
      <c r="J1858" s="16" t="n">
        <f aca="false">I1858*(1-H1858)</f>
        <v>36356.49</v>
      </c>
      <c r="K1858" s="16" t="n">
        <f aca="false">J1858*INDEX(Customers!$G$2:$G$41,MATCH(C1858,Customers!$A$2:$A$41,0))</f>
        <v>0</v>
      </c>
      <c r="L1858" s="16" t="n">
        <f aca="false">F1858*INDEX(Customers!$H$2:$H$41,MATCH(C1858,Customers!$A$2:$A$41,0))</f>
        <v>775</v>
      </c>
      <c r="M1858" s="16" t="n">
        <f aca="false">J1858*INDEX(Customers!$I$2:$I$41,MATCH(C1858,Customers!$A$2:$A$41,0))/365*Assumptions!$B$6</f>
        <v>239.05637260274</v>
      </c>
      <c r="N1858" s="16" t="n">
        <f aca="false">J1858-K1858-L1858-M1858</f>
        <v>35342.4336273973</v>
      </c>
      <c r="O1858" s="16" t="n">
        <f aca="false">F1858*IF(A1858="2025",INDEX(Products!$D$2:$D$13,MATCH(D1858,Products!$A$2:$A$13,0)),INDEX(Products!$F$2:$F$13,MATCH(D1858,Products!$A$2:$A$13,0)))</f>
        <v>24118</v>
      </c>
      <c r="P1858" s="16" t="n">
        <f aca="false">N1858-O1858</f>
        <v>11224.4336273973</v>
      </c>
    </row>
    <row r="1859" customFormat="false" ht="15" hidden="false" customHeight="false" outlineLevel="0" collapsed="false">
      <c r="A1859" s="2" t="s">
        <v>118</v>
      </c>
      <c r="B1859" s="2" t="n">
        <v>10</v>
      </c>
      <c r="C1859" s="2" t="s">
        <v>90</v>
      </c>
      <c r="D1859" s="2" t="s">
        <v>42</v>
      </c>
      <c r="E1859" s="2" t="str">
        <f aca="false">INDEX(Products!$B$2:$B$13,MATCH(D1859,Products!$A$2:$A$13,0))</f>
        <v>Hydroprocessing</v>
      </c>
      <c r="F1859" s="15" t="n">
        <v>3.9</v>
      </c>
      <c r="G1859" s="16" t="n">
        <f aca="false">IF(A1859="2025",INDEX(Products!$C$2:$C$13,MATCH(D1859,Products!$A$2:$A$13,0)),INDEX(Products!$E$2:$E$13,MATCH(D1859,Products!$A$2:$A$13,0)))</f>
        <v>12450</v>
      </c>
      <c r="H1859" s="13" t="n">
        <f aca="false">IF(A1859="2025",INDEX(Customers!$D$2:$D$41,MATCH(C1859,Customers!$A$2:$A$41,0)),INDEX(Customers!$F$2:$F$41,MATCH(C1859,Customers!$A$2:$A$41,0)))</f>
        <v>0.058</v>
      </c>
      <c r="I1859" s="16" t="n">
        <f aca="false">F1859*G1859</f>
        <v>48555</v>
      </c>
      <c r="J1859" s="16" t="n">
        <f aca="false">I1859*(1-H1859)</f>
        <v>45738.81</v>
      </c>
      <c r="K1859" s="16" t="n">
        <f aca="false">J1859*INDEX(Customers!$G$2:$G$41,MATCH(C1859,Customers!$A$2:$A$41,0))</f>
        <v>0</v>
      </c>
      <c r="L1859" s="16" t="n">
        <f aca="false">F1859*INDEX(Customers!$H$2:$H$41,MATCH(C1859,Customers!$A$2:$A$41,0))</f>
        <v>975</v>
      </c>
      <c r="M1859" s="16" t="n">
        <f aca="false">J1859*INDEX(Customers!$I$2:$I$41,MATCH(C1859,Customers!$A$2:$A$41,0))/365*Assumptions!$B$6</f>
        <v>300.748339726027</v>
      </c>
      <c r="N1859" s="16" t="n">
        <f aca="false">J1859-K1859-L1859-M1859</f>
        <v>44463.061660274</v>
      </c>
      <c r="O1859" s="16" t="n">
        <f aca="false">F1859*IF(A1859="2025",INDEX(Products!$D$2:$D$13,MATCH(D1859,Products!$A$2:$A$13,0)),INDEX(Products!$F$2:$F$13,MATCH(D1859,Products!$A$2:$A$13,0)))</f>
        <v>30342</v>
      </c>
      <c r="P1859" s="16" t="n">
        <f aca="false">N1859-O1859</f>
        <v>14121.061660274</v>
      </c>
    </row>
    <row r="1860" customFormat="false" ht="15" hidden="false" customHeight="false" outlineLevel="0" collapsed="false">
      <c r="A1860" s="2" t="s">
        <v>118</v>
      </c>
      <c r="B1860" s="2" t="n">
        <v>11</v>
      </c>
      <c r="C1860" s="2" t="s">
        <v>90</v>
      </c>
      <c r="D1860" s="2" t="s">
        <v>42</v>
      </c>
      <c r="E1860" s="2" t="str">
        <f aca="false">INDEX(Products!$B$2:$B$13,MATCH(D1860,Products!$A$2:$A$13,0))</f>
        <v>Hydroprocessing</v>
      </c>
      <c r="F1860" s="15" t="n">
        <v>3.1</v>
      </c>
      <c r="G1860" s="16" t="n">
        <f aca="false">IF(A1860="2025",INDEX(Products!$C$2:$C$13,MATCH(D1860,Products!$A$2:$A$13,0)),INDEX(Products!$E$2:$E$13,MATCH(D1860,Products!$A$2:$A$13,0)))</f>
        <v>12450</v>
      </c>
      <c r="H1860" s="13" t="n">
        <f aca="false">IF(A1860="2025",INDEX(Customers!$D$2:$D$41,MATCH(C1860,Customers!$A$2:$A$41,0)),INDEX(Customers!$F$2:$F$41,MATCH(C1860,Customers!$A$2:$A$41,0)))</f>
        <v>0.058</v>
      </c>
      <c r="I1860" s="16" t="n">
        <f aca="false">F1860*G1860</f>
        <v>38595</v>
      </c>
      <c r="J1860" s="16" t="n">
        <f aca="false">I1860*(1-H1860)</f>
        <v>36356.49</v>
      </c>
      <c r="K1860" s="16" t="n">
        <f aca="false">J1860*INDEX(Customers!$G$2:$G$41,MATCH(C1860,Customers!$A$2:$A$41,0))</f>
        <v>0</v>
      </c>
      <c r="L1860" s="16" t="n">
        <f aca="false">F1860*INDEX(Customers!$H$2:$H$41,MATCH(C1860,Customers!$A$2:$A$41,0))</f>
        <v>775</v>
      </c>
      <c r="M1860" s="16" t="n">
        <f aca="false">J1860*INDEX(Customers!$I$2:$I$41,MATCH(C1860,Customers!$A$2:$A$41,0))/365*Assumptions!$B$6</f>
        <v>239.05637260274</v>
      </c>
      <c r="N1860" s="16" t="n">
        <f aca="false">J1860-K1860-L1860-M1860</f>
        <v>35342.4336273973</v>
      </c>
      <c r="O1860" s="16" t="n">
        <f aca="false">F1860*IF(A1860="2025",INDEX(Products!$D$2:$D$13,MATCH(D1860,Products!$A$2:$A$13,0)),INDEX(Products!$F$2:$F$13,MATCH(D1860,Products!$A$2:$A$13,0)))</f>
        <v>24118</v>
      </c>
      <c r="P1860" s="16" t="n">
        <f aca="false">N1860-O1860</f>
        <v>11224.4336273973</v>
      </c>
    </row>
    <row r="1861" customFormat="false" ht="15" hidden="false" customHeight="false" outlineLevel="0" collapsed="false">
      <c r="A1861" s="2" t="s">
        <v>118</v>
      </c>
      <c r="B1861" s="2" t="n">
        <v>12</v>
      </c>
      <c r="C1861" s="2" t="s">
        <v>90</v>
      </c>
      <c r="D1861" s="2" t="s">
        <v>42</v>
      </c>
      <c r="E1861" s="2" t="str">
        <f aca="false">INDEX(Products!$B$2:$B$13,MATCH(D1861,Products!$A$2:$A$13,0))</f>
        <v>Hydroprocessing</v>
      </c>
      <c r="F1861" s="15" t="n">
        <v>3.6</v>
      </c>
      <c r="G1861" s="16" t="n">
        <f aca="false">IF(A1861="2025",INDEX(Products!$C$2:$C$13,MATCH(D1861,Products!$A$2:$A$13,0)),INDEX(Products!$E$2:$E$13,MATCH(D1861,Products!$A$2:$A$13,0)))</f>
        <v>12450</v>
      </c>
      <c r="H1861" s="13" t="n">
        <f aca="false">IF(A1861="2025",INDEX(Customers!$D$2:$D$41,MATCH(C1861,Customers!$A$2:$A$41,0)),INDEX(Customers!$F$2:$F$41,MATCH(C1861,Customers!$A$2:$A$41,0)))</f>
        <v>0.058</v>
      </c>
      <c r="I1861" s="16" t="n">
        <f aca="false">F1861*G1861</f>
        <v>44820</v>
      </c>
      <c r="J1861" s="16" t="n">
        <f aca="false">I1861*(1-H1861)</f>
        <v>42220.44</v>
      </c>
      <c r="K1861" s="16" t="n">
        <f aca="false">J1861*INDEX(Customers!$G$2:$G$41,MATCH(C1861,Customers!$A$2:$A$41,0))</f>
        <v>0</v>
      </c>
      <c r="L1861" s="16" t="n">
        <f aca="false">F1861*INDEX(Customers!$H$2:$H$41,MATCH(C1861,Customers!$A$2:$A$41,0))</f>
        <v>900</v>
      </c>
      <c r="M1861" s="16" t="n">
        <f aca="false">J1861*INDEX(Customers!$I$2:$I$41,MATCH(C1861,Customers!$A$2:$A$41,0))/365*Assumptions!$B$6</f>
        <v>277.613852054795</v>
      </c>
      <c r="N1861" s="16" t="n">
        <f aca="false">J1861-K1861-L1861-M1861</f>
        <v>41042.8261479452</v>
      </c>
      <c r="O1861" s="16" t="n">
        <f aca="false">F1861*IF(A1861="2025",INDEX(Products!$D$2:$D$13,MATCH(D1861,Products!$A$2:$A$13,0)),INDEX(Products!$F$2:$F$13,MATCH(D1861,Products!$A$2:$A$13,0)))</f>
        <v>28008</v>
      </c>
      <c r="P1861" s="16" t="n">
        <f aca="false">N1861-O1861</f>
        <v>13034.8261479452</v>
      </c>
    </row>
    <row r="1862" customFormat="false" ht="15" hidden="false" customHeight="false" outlineLevel="0" collapsed="false">
      <c r="A1862" s="2" t="s">
        <v>119</v>
      </c>
      <c r="B1862" s="2" t="n">
        <v>1</v>
      </c>
      <c r="C1862" s="2" t="s">
        <v>90</v>
      </c>
      <c r="D1862" s="2" t="s">
        <v>42</v>
      </c>
      <c r="E1862" s="2" t="str">
        <f aca="false">INDEX(Products!$B$2:$B$13,MATCH(D1862,Products!$A$2:$A$13,0))</f>
        <v>Hydroprocessing</v>
      </c>
      <c r="F1862" s="15" t="n">
        <v>4.1</v>
      </c>
      <c r="G1862" s="16" t="n">
        <f aca="false">IF(A1862="2025",INDEX(Products!$C$2:$C$13,MATCH(D1862,Products!$A$2:$A$13,0)),INDEX(Products!$E$2:$E$13,MATCH(D1862,Products!$A$2:$A$13,0)))</f>
        <v>13072.5</v>
      </c>
      <c r="H1862" s="13" t="n">
        <f aca="false">IF(A1862="2025",INDEX(Customers!$D$2:$D$41,MATCH(C1862,Customers!$A$2:$A$41,0)),INDEX(Customers!$F$2:$F$41,MATCH(C1862,Customers!$A$2:$A$41,0)))</f>
        <v>0.058</v>
      </c>
      <c r="I1862" s="16" t="n">
        <f aca="false">F1862*G1862</f>
        <v>53597.25</v>
      </c>
      <c r="J1862" s="16" t="n">
        <f aca="false">I1862*(1-H1862)</f>
        <v>50488.6095</v>
      </c>
      <c r="K1862" s="16" t="n">
        <f aca="false">J1862*INDEX(Customers!$G$2:$G$41,MATCH(C1862,Customers!$A$2:$A$41,0))</f>
        <v>0</v>
      </c>
      <c r="L1862" s="16" t="n">
        <f aca="false">F1862*INDEX(Customers!$H$2:$H$41,MATCH(C1862,Customers!$A$2:$A$41,0))</f>
        <v>1025</v>
      </c>
      <c r="M1862" s="16" t="n">
        <f aca="false">J1862*INDEX(Customers!$I$2:$I$41,MATCH(C1862,Customers!$A$2:$A$41,0))/365*Assumptions!$B$6</f>
        <v>331.979898082192</v>
      </c>
      <c r="N1862" s="16" t="n">
        <f aca="false">J1862-K1862-L1862-M1862</f>
        <v>49131.6296019178</v>
      </c>
      <c r="O1862" s="16" t="n">
        <f aca="false">F1862*IF(A1862="2025",INDEX(Products!$D$2:$D$13,MATCH(D1862,Products!$A$2:$A$13,0)),INDEX(Products!$F$2:$F$13,MATCH(D1862,Products!$A$2:$A$13,0)))</f>
        <v>32854.94</v>
      </c>
      <c r="P1862" s="16" t="n">
        <f aca="false">N1862-O1862</f>
        <v>16276.6896019178</v>
      </c>
    </row>
    <row r="1863" customFormat="false" ht="15" hidden="false" customHeight="false" outlineLevel="0" collapsed="false">
      <c r="A1863" s="2" t="s">
        <v>119</v>
      </c>
      <c r="B1863" s="2" t="n">
        <v>2</v>
      </c>
      <c r="C1863" s="2" t="s">
        <v>90</v>
      </c>
      <c r="D1863" s="2" t="s">
        <v>42</v>
      </c>
      <c r="E1863" s="2" t="str">
        <f aca="false">INDEX(Products!$B$2:$B$13,MATCH(D1863,Products!$A$2:$A$13,0))</f>
        <v>Hydroprocessing</v>
      </c>
      <c r="F1863" s="15" t="n">
        <v>3.8</v>
      </c>
      <c r="G1863" s="16" t="n">
        <f aca="false">IF(A1863="2025",INDEX(Products!$C$2:$C$13,MATCH(D1863,Products!$A$2:$A$13,0)),INDEX(Products!$E$2:$E$13,MATCH(D1863,Products!$A$2:$A$13,0)))</f>
        <v>13072.5</v>
      </c>
      <c r="H1863" s="13" t="n">
        <f aca="false">IF(A1863="2025",INDEX(Customers!$D$2:$D$41,MATCH(C1863,Customers!$A$2:$A$41,0)),INDEX(Customers!$F$2:$F$41,MATCH(C1863,Customers!$A$2:$A$41,0)))</f>
        <v>0.058</v>
      </c>
      <c r="I1863" s="16" t="n">
        <f aca="false">F1863*G1863</f>
        <v>49675.5</v>
      </c>
      <c r="J1863" s="16" t="n">
        <f aca="false">I1863*(1-H1863)</f>
        <v>46794.321</v>
      </c>
      <c r="K1863" s="16" t="n">
        <f aca="false">J1863*INDEX(Customers!$G$2:$G$41,MATCH(C1863,Customers!$A$2:$A$41,0))</f>
        <v>0</v>
      </c>
      <c r="L1863" s="16" t="n">
        <f aca="false">F1863*INDEX(Customers!$H$2:$H$41,MATCH(C1863,Customers!$A$2:$A$41,0))</f>
        <v>950</v>
      </c>
      <c r="M1863" s="16" t="n">
        <f aca="false">J1863*INDEX(Customers!$I$2:$I$41,MATCH(C1863,Customers!$A$2:$A$41,0))/365*Assumptions!$B$6</f>
        <v>307.688686027397</v>
      </c>
      <c r="N1863" s="16" t="n">
        <f aca="false">J1863-K1863-L1863-M1863</f>
        <v>45536.6323139726</v>
      </c>
      <c r="O1863" s="16" t="n">
        <f aca="false">F1863*IF(A1863="2025",INDEX(Products!$D$2:$D$13,MATCH(D1863,Products!$A$2:$A$13,0)),INDEX(Products!$F$2:$F$13,MATCH(D1863,Products!$A$2:$A$13,0)))</f>
        <v>30450.92</v>
      </c>
      <c r="P1863" s="16" t="n">
        <f aca="false">N1863-O1863</f>
        <v>15085.7123139726</v>
      </c>
    </row>
    <row r="1864" customFormat="false" ht="15" hidden="false" customHeight="false" outlineLevel="0" collapsed="false">
      <c r="A1864" s="2" t="s">
        <v>119</v>
      </c>
      <c r="B1864" s="2" t="n">
        <v>3</v>
      </c>
      <c r="C1864" s="2" t="s">
        <v>90</v>
      </c>
      <c r="D1864" s="2" t="s">
        <v>42</v>
      </c>
      <c r="E1864" s="2" t="str">
        <f aca="false">INDEX(Products!$B$2:$B$13,MATCH(D1864,Products!$A$2:$A$13,0))</f>
        <v>Hydroprocessing</v>
      </c>
      <c r="F1864" s="15" t="n">
        <v>3</v>
      </c>
      <c r="G1864" s="16" t="n">
        <f aca="false">IF(A1864="2025",INDEX(Products!$C$2:$C$13,MATCH(D1864,Products!$A$2:$A$13,0)),INDEX(Products!$E$2:$E$13,MATCH(D1864,Products!$A$2:$A$13,0)))</f>
        <v>13072.5</v>
      </c>
      <c r="H1864" s="13" t="n">
        <f aca="false">IF(A1864="2025",INDEX(Customers!$D$2:$D$41,MATCH(C1864,Customers!$A$2:$A$41,0)),INDEX(Customers!$F$2:$F$41,MATCH(C1864,Customers!$A$2:$A$41,0)))</f>
        <v>0.058</v>
      </c>
      <c r="I1864" s="16" t="n">
        <f aca="false">F1864*G1864</f>
        <v>39217.5</v>
      </c>
      <c r="J1864" s="16" t="n">
        <f aca="false">I1864*(1-H1864)</f>
        <v>36942.885</v>
      </c>
      <c r="K1864" s="16" t="n">
        <f aca="false">J1864*INDEX(Customers!$G$2:$G$41,MATCH(C1864,Customers!$A$2:$A$41,0))</f>
        <v>0</v>
      </c>
      <c r="L1864" s="16" t="n">
        <f aca="false">F1864*INDEX(Customers!$H$2:$H$41,MATCH(C1864,Customers!$A$2:$A$41,0))</f>
        <v>750</v>
      </c>
      <c r="M1864" s="16" t="n">
        <f aca="false">J1864*INDEX(Customers!$I$2:$I$41,MATCH(C1864,Customers!$A$2:$A$41,0))/365*Assumptions!$B$6</f>
        <v>242.912120547945</v>
      </c>
      <c r="N1864" s="16" t="n">
        <f aca="false">J1864-K1864-L1864-M1864</f>
        <v>35949.9728794521</v>
      </c>
      <c r="O1864" s="16" t="n">
        <f aca="false">F1864*IF(A1864="2025",INDEX(Products!$D$2:$D$13,MATCH(D1864,Products!$A$2:$A$13,0)),INDEX(Products!$F$2:$F$13,MATCH(D1864,Products!$A$2:$A$13,0)))</f>
        <v>24040.2</v>
      </c>
      <c r="P1864" s="16" t="n">
        <f aca="false">N1864-O1864</f>
        <v>11909.772879452</v>
      </c>
    </row>
    <row r="1865" customFormat="false" ht="15" hidden="false" customHeight="false" outlineLevel="0" collapsed="false">
      <c r="A1865" s="2" t="s">
        <v>119</v>
      </c>
      <c r="B1865" s="2" t="n">
        <v>4</v>
      </c>
      <c r="C1865" s="2" t="s">
        <v>90</v>
      </c>
      <c r="D1865" s="2" t="s">
        <v>42</v>
      </c>
      <c r="E1865" s="2" t="str">
        <f aca="false">INDEX(Products!$B$2:$B$13,MATCH(D1865,Products!$A$2:$A$13,0))</f>
        <v>Hydroprocessing</v>
      </c>
      <c r="F1865" s="15" t="n">
        <v>3.9</v>
      </c>
      <c r="G1865" s="16" t="n">
        <f aca="false">IF(A1865="2025",INDEX(Products!$C$2:$C$13,MATCH(D1865,Products!$A$2:$A$13,0)),INDEX(Products!$E$2:$E$13,MATCH(D1865,Products!$A$2:$A$13,0)))</f>
        <v>13072.5</v>
      </c>
      <c r="H1865" s="13" t="n">
        <f aca="false">IF(A1865="2025",INDEX(Customers!$D$2:$D$41,MATCH(C1865,Customers!$A$2:$A$41,0)),INDEX(Customers!$F$2:$F$41,MATCH(C1865,Customers!$A$2:$A$41,0)))</f>
        <v>0.058</v>
      </c>
      <c r="I1865" s="16" t="n">
        <f aca="false">F1865*G1865</f>
        <v>50982.75</v>
      </c>
      <c r="J1865" s="16" t="n">
        <f aca="false">I1865*(1-H1865)</f>
        <v>48025.7505</v>
      </c>
      <c r="K1865" s="16" t="n">
        <f aca="false">J1865*INDEX(Customers!$G$2:$G$41,MATCH(C1865,Customers!$A$2:$A$41,0))</f>
        <v>0</v>
      </c>
      <c r="L1865" s="16" t="n">
        <f aca="false">F1865*INDEX(Customers!$H$2:$H$41,MATCH(C1865,Customers!$A$2:$A$41,0))</f>
        <v>975</v>
      </c>
      <c r="M1865" s="16" t="n">
        <f aca="false">J1865*INDEX(Customers!$I$2:$I$41,MATCH(C1865,Customers!$A$2:$A$41,0))/365*Assumptions!$B$6</f>
        <v>315.785756712329</v>
      </c>
      <c r="N1865" s="16" t="n">
        <f aca="false">J1865-K1865-L1865-M1865</f>
        <v>46734.9647432877</v>
      </c>
      <c r="O1865" s="16" t="n">
        <f aca="false">F1865*IF(A1865="2025",INDEX(Products!$D$2:$D$13,MATCH(D1865,Products!$A$2:$A$13,0)),INDEX(Products!$F$2:$F$13,MATCH(D1865,Products!$A$2:$A$13,0)))</f>
        <v>31252.26</v>
      </c>
      <c r="P1865" s="16" t="n">
        <f aca="false">N1865-O1865</f>
        <v>15482.7047432877</v>
      </c>
    </row>
    <row r="1866" customFormat="false" ht="15" hidden="false" customHeight="false" outlineLevel="0" collapsed="false">
      <c r="A1866" s="2" t="s">
        <v>119</v>
      </c>
      <c r="B1866" s="2" t="n">
        <v>5</v>
      </c>
      <c r="C1866" s="2" t="s">
        <v>90</v>
      </c>
      <c r="D1866" s="2" t="s">
        <v>42</v>
      </c>
      <c r="E1866" s="2" t="str">
        <f aca="false">INDEX(Products!$B$2:$B$13,MATCH(D1866,Products!$A$2:$A$13,0))</f>
        <v>Hydroprocessing</v>
      </c>
      <c r="F1866" s="15" t="n">
        <v>4.3</v>
      </c>
      <c r="G1866" s="16" t="n">
        <f aca="false">IF(A1866="2025",INDEX(Products!$C$2:$C$13,MATCH(D1866,Products!$A$2:$A$13,0)),INDEX(Products!$E$2:$E$13,MATCH(D1866,Products!$A$2:$A$13,0)))</f>
        <v>13072.5</v>
      </c>
      <c r="H1866" s="13" t="n">
        <f aca="false">IF(A1866="2025",INDEX(Customers!$D$2:$D$41,MATCH(C1866,Customers!$A$2:$A$41,0)),INDEX(Customers!$F$2:$F$41,MATCH(C1866,Customers!$A$2:$A$41,0)))</f>
        <v>0.058</v>
      </c>
      <c r="I1866" s="16" t="n">
        <f aca="false">F1866*G1866</f>
        <v>56211.75</v>
      </c>
      <c r="J1866" s="16" t="n">
        <f aca="false">I1866*(1-H1866)</f>
        <v>52951.4685</v>
      </c>
      <c r="K1866" s="16" t="n">
        <f aca="false">J1866*INDEX(Customers!$G$2:$G$41,MATCH(C1866,Customers!$A$2:$A$41,0))</f>
        <v>0</v>
      </c>
      <c r="L1866" s="16" t="n">
        <f aca="false">F1866*INDEX(Customers!$H$2:$H$41,MATCH(C1866,Customers!$A$2:$A$41,0))</f>
        <v>1075</v>
      </c>
      <c r="M1866" s="16" t="n">
        <f aca="false">J1866*INDEX(Customers!$I$2:$I$41,MATCH(C1866,Customers!$A$2:$A$41,0))/365*Assumptions!$B$6</f>
        <v>348.174039452055</v>
      </c>
      <c r="N1866" s="16" t="n">
        <f aca="false">J1866-K1866-L1866-M1866</f>
        <v>51528.2944605479</v>
      </c>
      <c r="O1866" s="16" t="n">
        <f aca="false">F1866*IF(A1866="2025",INDEX(Products!$D$2:$D$13,MATCH(D1866,Products!$A$2:$A$13,0)),INDEX(Products!$F$2:$F$13,MATCH(D1866,Products!$A$2:$A$13,0)))</f>
        <v>34457.62</v>
      </c>
      <c r="P1866" s="16" t="n">
        <f aca="false">N1866-O1866</f>
        <v>17070.6744605479</v>
      </c>
    </row>
    <row r="1867" customFormat="false" ht="15" hidden="false" customHeight="false" outlineLevel="0" collapsed="false">
      <c r="A1867" s="2" t="s">
        <v>119</v>
      </c>
      <c r="B1867" s="2" t="n">
        <v>6</v>
      </c>
      <c r="C1867" s="2" t="s">
        <v>90</v>
      </c>
      <c r="D1867" s="2" t="s">
        <v>42</v>
      </c>
      <c r="E1867" s="2" t="str">
        <f aca="false">INDEX(Products!$B$2:$B$13,MATCH(D1867,Products!$A$2:$A$13,0))</f>
        <v>Hydroprocessing</v>
      </c>
      <c r="F1867" s="15" t="n">
        <v>3.3</v>
      </c>
      <c r="G1867" s="16" t="n">
        <f aca="false">IF(A1867="2025",INDEX(Products!$C$2:$C$13,MATCH(D1867,Products!$A$2:$A$13,0)),INDEX(Products!$E$2:$E$13,MATCH(D1867,Products!$A$2:$A$13,0)))</f>
        <v>13072.5</v>
      </c>
      <c r="H1867" s="13" t="n">
        <f aca="false">IF(A1867="2025",INDEX(Customers!$D$2:$D$41,MATCH(C1867,Customers!$A$2:$A$41,0)),INDEX(Customers!$F$2:$F$41,MATCH(C1867,Customers!$A$2:$A$41,0)))</f>
        <v>0.058</v>
      </c>
      <c r="I1867" s="16" t="n">
        <f aca="false">F1867*G1867</f>
        <v>43139.25</v>
      </c>
      <c r="J1867" s="16" t="n">
        <f aca="false">I1867*(1-H1867)</f>
        <v>40637.1735</v>
      </c>
      <c r="K1867" s="16" t="n">
        <f aca="false">J1867*INDEX(Customers!$G$2:$G$41,MATCH(C1867,Customers!$A$2:$A$41,0))</f>
        <v>0</v>
      </c>
      <c r="L1867" s="16" t="n">
        <f aca="false">F1867*INDEX(Customers!$H$2:$H$41,MATCH(C1867,Customers!$A$2:$A$41,0))</f>
        <v>825</v>
      </c>
      <c r="M1867" s="16" t="n">
        <f aca="false">J1867*INDEX(Customers!$I$2:$I$41,MATCH(C1867,Customers!$A$2:$A$41,0))/365*Assumptions!$B$6</f>
        <v>267.20333260274</v>
      </c>
      <c r="N1867" s="16" t="n">
        <f aca="false">J1867-K1867-L1867-M1867</f>
        <v>39544.9701673973</v>
      </c>
      <c r="O1867" s="16" t="n">
        <f aca="false">F1867*IF(A1867="2025",INDEX(Products!$D$2:$D$13,MATCH(D1867,Products!$A$2:$A$13,0)),INDEX(Products!$F$2:$F$13,MATCH(D1867,Products!$A$2:$A$13,0)))</f>
        <v>26444.22</v>
      </c>
      <c r="P1867" s="16" t="n">
        <f aca="false">N1867-O1867</f>
        <v>13100.7501673973</v>
      </c>
    </row>
    <row r="1868" customFormat="false" ht="15" hidden="false" customHeight="false" outlineLevel="0" collapsed="false">
      <c r="A1868" s="2" t="s">
        <v>119</v>
      </c>
      <c r="B1868" s="2" t="n">
        <v>7</v>
      </c>
      <c r="C1868" s="2" t="s">
        <v>90</v>
      </c>
      <c r="D1868" s="2" t="s">
        <v>42</v>
      </c>
      <c r="E1868" s="2" t="str">
        <f aca="false">INDEX(Products!$B$2:$B$13,MATCH(D1868,Products!$A$2:$A$13,0))</f>
        <v>Hydroprocessing</v>
      </c>
      <c r="F1868" s="15" t="n">
        <v>3</v>
      </c>
      <c r="G1868" s="16" t="n">
        <f aca="false">IF(A1868="2025",INDEX(Products!$C$2:$C$13,MATCH(D1868,Products!$A$2:$A$13,0)),INDEX(Products!$E$2:$E$13,MATCH(D1868,Products!$A$2:$A$13,0)))</f>
        <v>13072.5</v>
      </c>
      <c r="H1868" s="13" t="n">
        <f aca="false">IF(A1868="2025",INDEX(Customers!$D$2:$D$41,MATCH(C1868,Customers!$A$2:$A$41,0)),INDEX(Customers!$F$2:$F$41,MATCH(C1868,Customers!$A$2:$A$41,0)))</f>
        <v>0.058</v>
      </c>
      <c r="I1868" s="16" t="n">
        <f aca="false">F1868*G1868</f>
        <v>39217.5</v>
      </c>
      <c r="J1868" s="16" t="n">
        <f aca="false">I1868*(1-H1868)</f>
        <v>36942.885</v>
      </c>
      <c r="K1868" s="16" t="n">
        <f aca="false">J1868*INDEX(Customers!$G$2:$G$41,MATCH(C1868,Customers!$A$2:$A$41,0))</f>
        <v>0</v>
      </c>
      <c r="L1868" s="16" t="n">
        <f aca="false">F1868*INDEX(Customers!$H$2:$H$41,MATCH(C1868,Customers!$A$2:$A$41,0))</f>
        <v>750</v>
      </c>
      <c r="M1868" s="16" t="n">
        <f aca="false">J1868*INDEX(Customers!$I$2:$I$41,MATCH(C1868,Customers!$A$2:$A$41,0))/365*Assumptions!$B$6</f>
        <v>242.912120547945</v>
      </c>
      <c r="N1868" s="16" t="n">
        <f aca="false">J1868-K1868-L1868-M1868</f>
        <v>35949.9728794521</v>
      </c>
      <c r="O1868" s="16" t="n">
        <f aca="false">F1868*IF(A1868="2025",INDEX(Products!$D$2:$D$13,MATCH(D1868,Products!$A$2:$A$13,0)),INDEX(Products!$F$2:$F$13,MATCH(D1868,Products!$A$2:$A$13,0)))</f>
        <v>24040.2</v>
      </c>
      <c r="P1868" s="16" t="n">
        <f aca="false">N1868-O1868</f>
        <v>11909.772879452</v>
      </c>
    </row>
    <row r="1869" customFormat="false" ht="15" hidden="false" customHeight="false" outlineLevel="0" collapsed="false">
      <c r="A1869" s="2" t="s">
        <v>119</v>
      </c>
      <c r="B1869" s="2" t="n">
        <v>8</v>
      </c>
      <c r="C1869" s="2" t="s">
        <v>90</v>
      </c>
      <c r="D1869" s="2" t="s">
        <v>42</v>
      </c>
      <c r="E1869" s="2" t="str">
        <f aca="false">INDEX(Products!$B$2:$B$13,MATCH(D1869,Products!$A$2:$A$13,0))</f>
        <v>Hydroprocessing</v>
      </c>
      <c r="F1869" s="15" t="n">
        <v>3.7</v>
      </c>
      <c r="G1869" s="16" t="n">
        <f aca="false">IF(A1869="2025",INDEX(Products!$C$2:$C$13,MATCH(D1869,Products!$A$2:$A$13,0)),INDEX(Products!$E$2:$E$13,MATCH(D1869,Products!$A$2:$A$13,0)))</f>
        <v>13072.5</v>
      </c>
      <c r="H1869" s="13" t="n">
        <f aca="false">IF(A1869="2025",INDEX(Customers!$D$2:$D$41,MATCH(C1869,Customers!$A$2:$A$41,0)),INDEX(Customers!$F$2:$F$41,MATCH(C1869,Customers!$A$2:$A$41,0)))</f>
        <v>0.058</v>
      </c>
      <c r="I1869" s="16" t="n">
        <f aca="false">F1869*G1869</f>
        <v>48368.25</v>
      </c>
      <c r="J1869" s="16" t="n">
        <f aca="false">I1869*(1-H1869)</f>
        <v>45562.8915</v>
      </c>
      <c r="K1869" s="16" t="n">
        <f aca="false">J1869*INDEX(Customers!$G$2:$G$41,MATCH(C1869,Customers!$A$2:$A$41,0))</f>
        <v>0</v>
      </c>
      <c r="L1869" s="16" t="n">
        <f aca="false">F1869*INDEX(Customers!$H$2:$H$41,MATCH(C1869,Customers!$A$2:$A$41,0))</f>
        <v>925</v>
      </c>
      <c r="M1869" s="16" t="n">
        <f aca="false">J1869*INDEX(Customers!$I$2:$I$41,MATCH(C1869,Customers!$A$2:$A$41,0))/365*Assumptions!$B$6</f>
        <v>299.591615342466</v>
      </c>
      <c r="N1869" s="16" t="n">
        <f aca="false">J1869-K1869-L1869-M1869</f>
        <v>44338.2998846575</v>
      </c>
      <c r="O1869" s="16" t="n">
        <f aca="false">F1869*IF(A1869="2025",INDEX(Products!$D$2:$D$13,MATCH(D1869,Products!$A$2:$A$13,0)),INDEX(Products!$F$2:$F$13,MATCH(D1869,Products!$A$2:$A$13,0)))</f>
        <v>29649.58</v>
      </c>
      <c r="P1869" s="16" t="n">
        <f aca="false">N1869-O1869</f>
        <v>14688.7198846575</v>
      </c>
    </row>
    <row r="1870" customFormat="false" ht="15" hidden="false" customHeight="false" outlineLevel="0" collapsed="false">
      <c r="A1870" s="2" t="s">
        <v>119</v>
      </c>
      <c r="B1870" s="2" t="n">
        <v>9</v>
      </c>
      <c r="C1870" s="2" t="s">
        <v>90</v>
      </c>
      <c r="D1870" s="2" t="s">
        <v>42</v>
      </c>
      <c r="E1870" s="2" t="str">
        <f aca="false">INDEX(Products!$B$2:$B$13,MATCH(D1870,Products!$A$2:$A$13,0))</f>
        <v>Hydroprocessing</v>
      </c>
      <c r="F1870" s="15" t="n">
        <v>2.9</v>
      </c>
      <c r="G1870" s="16" t="n">
        <f aca="false">IF(A1870="2025",INDEX(Products!$C$2:$C$13,MATCH(D1870,Products!$A$2:$A$13,0)),INDEX(Products!$E$2:$E$13,MATCH(D1870,Products!$A$2:$A$13,0)))</f>
        <v>13072.5</v>
      </c>
      <c r="H1870" s="13" t="n">
        <f aca="false">IF(A1870="2025",INDEX(Customers!$D$2:$D$41,MATCH(C1870,Customers!$A$2:$A$41,0)),INDEX(Customers!$F$2:$F$41,MATCH(C1870,Customers!$A$2:$A$41,0)))</f>
        <v>0.058</v>
      </c>
      <c r="I1870" s="16" t="n">
        <f aca="false">F1870*G1870</f>
        <v>37910.25</v>
      </c>
      <c r="J1870" s="16" t="n">
        <f aca="false">I1870*(1-H1870)</f>
        <v>35711.4555</v>
      </c>
      <c r="K1870" s="16" t="n">
        <f aca="false">J1870*INDEX(Customers!$G$2:$G$41,MATCH(C1870,Customers!$A$2:$A$41,0))</f>
        <v>0</v>
      </c>
      <c r="L1870" s="16" t="n">
        <f aca="false">F1870*INDEX(Customers!$H$2:$H$41,MATCH(C1870,Customers!$A$2:$A$41,0))</f>
        <v>725</v>
      </c>
      <c r="M1870" s="16" t="n">
        <f aca="false">J1870*INDEX(Customers!$I$2:$I$41,MATCH(C1870,Customers!$A$2:$A$41,0))/365*Assumptions!$B$6</f>
        <v>234.815049863014</v>
      </c>
      <c r="N1870" s="16" t="n">
        <f aca="false">J1870-K1870-L1870-M1870</f>
        <v>34751.640450137</v>
      </c>
      <c r="O1870" s="16" t="n">
        <f aca="false">F1870*IF(A1870="2025",INDEX(Products!$D$2:$D$13,MATCH(D1870,Products!$A$2:$A$13,0)),INDEX(Products!$F$2:$F$13,MATCH(D1870,Products!$A$2:$A$13,0)))</f>
        <v>23238.86</v>
      </c>
      <c r="P1870" s="16" t="n">
        <f aca="false">N1870-O1870</f>
        <v>11512.780450137</v>
      </c>
    </row>
    <row r="1871" customFormat="false" ht="15" hidden="false" customHeight="false" outlineLevel="0" collapsed="false">
      <c r="A1871" s="2" t="s">
        <v>119</v>
      </c>
      <c r="B1871" s="2" t="n">
        <v>10</v>
      </c>
      <c r="C1871" s="2" t="s">
        <v>90</v>
      </c>
      <c r="D1871" s="2" t="s">
        <v>42</v>
      </c>
      <c r="E1871" s="2" t="str">
        <f aca="false">INDEX(Products!$B$2:$B$13,MATCH(D1871,Products!$A$2:$A$13,0))</f>
        <v>Hydroprocessing</v>
      </c>
      <c r="F1871" s="15" t="n">
        <v>3.1</v>
      </c>
      <c r="G1871" s="16" t="n">
        <f aca="false">IF(A1871="2025",INDEX(Products!$C$2:$C$13,MATCH(D1871,Products!$A$2:$A$13,0)),INDEX(Products!$E$2:$E$13,MATCH(D1871,Products!$A$2:$A$13,0)))</f>
        <v>13072.5</v>
      </c>
      <c r="H1871" s="13" t="n">
        <f aca="false">IF(A1871="2025",INDEX(Customers!$D$2:$D$41,MATCH(C1871,Customers!$A$2:$A$41,0)),INDEX(Customers!$F$2:$F$41,MATCH(C1871,Customers!$A$2:$A$41,0)))</f>
        <v>0.058</v>
      </c>
      <c r="I1871" s="16" t="n">
        <f aca="false">F1871*G1871</f>
        <v>40524.75</v>
      </c>
      <c r="J1871" s="16" t="n">
        <f aca="false">I1871*(1-H1871)</f>
        <v>38174.3145</v>
      </c>
      <c r="K1871" s="16" t="n">
        <f aca="false">J1871*INDEX(Customers!$G$2:$G$41,MATCH(C1871,Customers!$A$2:$A$41,0))</f>
        <v>0</v>
      </c>
      <c r="L1871" s="16" t="n">
        <f aca="false">F1871*INDEX(Customers!$H$2:$H$41,MATCH(C1871,Customers!$A$2:$A$41,0))</f>
        <v>775</v>
      </c>
      <c r="M1871" s="16" t="n">
        <f aca="false">J1871*INDEX(Customers!$I$2:$I$41,MATCH(C1871,Customers!$A$2:$A$41,0))/365*Assumptions!$B$6</f>
        <v>251.009191232877</v>
      </c>
      <c r="N1871" s="16" t="n">
        <f aca="false">J1871-K1871-L1871-M1871</f>
        <v>37148.3053087671</v>
      </c>
      <c r="O1871" s="16" t="n">
        <f aca="false">F1871*IF(A1871="2025",INDEX(Products!$D$2:$D$13,MATCH(D1871,Products!$A$2:$A$13,0)),INDEX(Products!$F$2:$F$13,MATCH(D1871,Products!$A$2:$A$13,0)))</f>
        <v>24841.54</v>
      </c>
      <c r="P1871" s="16" t="n">
        <f aca="false">N1871-O1871</f>
        <v>12306.7653087671</v>
      </c>
    </row>
    <row r="1872" customFormat="false" ht="15" hidden="false" customHeight="false" outlineLevel="0" collapsed="false">
      <c r="A1872" s="2" t="s">
        <v>119</v>
      </c>
      <c r="B1872" s="2" t="n">
        <v>11</v>
      </c>
      <c r="C1872" s="2" t="s">
        <v>90</v>
      </c>
      <c r="D1872" s="2" t="s">
        <v>42</v>
      </c>
      <c r="E1872" s="2" t="str">
        <f aca="false">INDEX(Products!$B$2:$B$13,MATCH(D1872,Products!$A$2:$A$13,0))</f>
        <v>Hydroprocessing</v>
      </c>
      <c r="F1872" s="15" t="n">
        <v>3.2</v>
      </c>
      <c r="G1872" s="16" t="n">
        <f aca="false">IF(A1872="2025",INDEX(Products!$C$2:$C$13,MATCH(D1872,Products!$A$2:$A$13,0)),INDEX(Products!$E$2:$E$13,MATCH(D1872,Products!$A$2:$A$13,0)))</f>
        <v>13072.5</v>
      </c>
      <c r="H1872" s="13" t="n">
        <f aca="false">IF(A1872="2025",INDEX(Customers!$D$2:$D$41,MATCH(C1872,Customers!$A$2:$A$41,0)),INDEX(Customers!$F$2:$F$41,MATCH(C1872,Customers!$A$2:$A$41,0)))</f>
        <v>0.058</v>
      </c>
      <c r="I1872" s="16" t="n">
        <f aca="false">F1872*G1872</f>
        <v>41832</v>
      </c>
      <c r="J1872" s="16" t="n">
        <f aca="false">I1872*(1-H1872)</f>
        <v>39405.744</v>
      </c>
      <c r="K1872" s="16" t="n">
        <f aca="false">J1872*INDEX(Customers!$G$2:$G$41,MATCH(C1872,Customers!$A$2:$A$41,0))</f>
        <v>0</v>
      </c>
      <c r="L1872" s="16" t="n">
        <f aca="false">F1872*INDEX(Customers!$H$2:$H$41,MATCH(C1872,Customers!$A$2:$A$41,0))</f>
        <v>800</v>
      </c>
      <c r="M1872" s="16" t="n">
        <f aca="false">J1872*INDEX(Customers!$I$2:$I$41,MATCH(C1872,Customers!$A$2:$A$41,0))/365*Assumptions!$B$6</f>
        <v>259.106261917808</v>
      </c>
      <c r="N1872" s="16" t="n">
        <f aca="false">J1872-K1872-L1872-M1872</f>
        <v>38346.6377380822</v>
      </c>
      <c r="O1872" s="16" t="n">
        <f aca="false">F1872*IF(A1872="2025",INDEX(Products!$D$2:$D$13,MATCH(D1872,Products!$A$2:$A$13,0)),INDEX(Products!$F$2:$F$13,MATCH(D1872,Products!$A$2:$A$13,0)))</f>
        <v>25642.88</v>
      </c>
      <c r="P1872" s="16" t="n">
        <f aca="false">N1872-O1872</f>
        <v>12703.7577380822</v>
      </c>
    </row>
    <row r="1873" customFormat="false" ht="15" hidden="false" customHeight="false" outlineLevel="0" collapsed="false">
      <c r="A1873" s="2" t="s">
        <v>119</v>
      </c>
      <c r="B1873" s="2" t="n">
        <v>12</v>
      </c>
      <c r="C1873" s="2" t="s">
        <v>90</v>
      </c>
      <c r="D1873" s="2" t="s">
        <v>42</v>
      </c>
      <c r="E1873" s="2" t="str">
        <f aca="false">INDEX(Products!$B$2:$B$13,MATCH(D1873,Products!$A$2:$A$13,0))</f>
        <v>Hydroprocessing</v>
      </c>
      <c r="F1873" s="15" t="n">
        <v>4.1</v>
      </c>
      <c r="G1873" s="16" t="n">
        <f aca="false">IF(A1873="2025",INDEX(Products!$C$2:$C$13,MATCH(D1873,Products!$A$2:$A$13,0)),INDEX(Products!$E$2:$E$13,MATCH(D1873,Products!$A$2:$A$13,0)))</f>
        <v>13072.5</v>
      </c>
      <c r="H1873" s="13" t="n">
        <f aca="false">IF(A1873="2025",INDEX(Customers!$D$2:$D$41,MATCH(C1873,Customers!$A$2:$A$41,0)),INDEX(Customers!$F$2:$F$41,MATCH(C1873,Customers!$A$2:$A$41,0)))</f>
        <v>0.058</v>
      </c>
      <c r="I1873" s="16" t="n">
        <f aca="false">F1873*G1873</f>
        <v>53597.25</v>
      </c>
      <c r="J1873" s="16" t="n">
        <f aca="false">I1873*(1-H1873)</f>
        <v>50488.6095</v>
      </c>
      <c r="K1873" s="16" t="n">
        <f aca="false">J1873*INDEX(Customers!$G$2:$G$41,MATCH(C1873,Customers!$A$2:$A$41,0))</f>
        <v>0</v>
      </c>
      <c r="L1873" s="16" t="n">
        <f aca="false">F1873*INDEX(Customers!$H$2:$H$41,MATCH(C1873,Customers!$A$2:$A$41,0))</f>
        <v>1025</v>
      </c>
      <c r="M1873" s="16" t="n">
        <f aca="false">J1873*INDEX(Customers!$I$2:$I$41,MATCH(C1873,Customers!$A$2:$A$41,0))/365*Assumptions!$B$6</f>
        <v>331.979898082192</v>
      </c>
      <c r="N1873" s="16" t="n">
        <f aca="false">J1873-K1873-L1873-M1873</f>
        <v>49131.6296019178</v>
      </c>
      <c r="O1873" s="16" t="n">
        <f aca="false">F1873*IF(A1873="2025",INDEX(Products!$D$2:$D$13,MATCH(D1873,Products!$A$2:$A$13,0)),INDEX(Products!$F$2:$F$13,MATCH(D1873,Products!$A$2:$A$13,0)))</f>
        <v>32854.94</v>
      </c>
      <c r="P1873" s="16" t="n">
        <f aca="false">N1873-O1873</f>
        <v>16276.6896019178</v>
      </c>
    </row>
    <row r="1874" customFormat="false" ht="15" hidden="false" customHeight="false" outlineLevel="0" collapsed="false">
      <c r="A1874" s="2" t="s">
        <v>118</v>
      </c>
      <c r="B1874" s="2" t="n">
        <v>1</v>
      </c>
      <c r="C1874" s="2" t="s">
        <v>90</v>
      </c>
      <c r="D1874" s="2" t="s">
        <v>39</v>
      </c>
      <c r="E1874" s="2" t="str">
        <f aca="false">INDEX(Products!$B$2:$B$13,MATCH(D1874,Products!$A$2:$A$13,0))</f>
        <v>Hydroprocessing</v>
      </c>
      <c r="F1874" s="15" t="n">
        <v>3.7</v>
      </c>
      <c r="G1874" s="16" t="n">
        <f aca="false">IF(A1874="2025",INDEX(Products!$C$2:$C$13,MATCH(D1874,Products!$A$2:$A$13,0)),INDEX(Products!$E$2:$E$13,MATCH(D1874,Products!$A$2:$A$13,0)))</f>
        <v>12570</v>
      </c>
      <c r="H1874" s="13" t="n">
        <f aca="false">IF(A1874="2025",INDEX(Customers!$D$2:$D$41,MATCH(C1874,Customers!$A$2:$A$41,0)),INDEX(Customers!$F$2:$F$41,MATCH(C1874,Customers!$A$2:$A$41,0)))</f>
        <v>0.058</v>
      </c>
      <c r="I1874" s="16" t="n">
        <f aca="false">F1874*G1874</f>
        <v>46509</v>
      </c>
      <c r="J1874" s="16" t="n">
        <f aca="false">I1874*(1-H1874)</f>
        <v>43811.478</v>
      </c>
      <c r="K1874" s="16" t="n">
        <f aca="false">J1874*INDEX(Customers!$G$2:$G$41,MATCH(C1874,Customers!$A$2:$A$41,0))</f>
        <v>0</v>
      </c>
      <c r="L1874" s="16" t="n">
        <f aca="false">F1874*INDEX(Customers!$H$2:$H$41,MATCH(C1874,Customers!$A$2:$A$41,0))</f>
        <v>925</v>
      </c>
      <c r="M1874" s="16" t="n">
        <f aca="false">J1874*INDEX(Customers!$I$2:$I$41,MATCH(C1874,Customers!$A$2:$A$41,0))/365*Assumptions!$B$6</f>
        <v>288.075471780822</v>
      </c>
      <c r="N1874" s="16" t="n">
        <f aca="false">J1874-K1874-L1874-M1874</f>
        <v>42598.4025282192</v>
      </c>
      <c r="O1874" s="16" t="n">
        <f aca="false">F1874*IF(A1874="2025",INDEX(Products!$D$2:$D$13,MATCH(D1874,Products!$A$2:$A$13,0)),INDEX(Products!$F$2:$F$13,MATCH(D1874,Products!$A$2:$A$13,0)))</f>
        <v>26973</v>
      </c>
      <c r="P1874" s="16" t="n">
        <f aca="false">N1874-O1874</f>
        <v>15625.4025282192</v>
      </c>
    </row>
    <row r="1875" customFormat="false" ht="15" hidden="false" customHeight="false" outlineLevel="0" collapsed="false">
      <c r="A1875" s="2" t="s">
        <v>118</v>
      </c>
      <c r="B1875" s="2" t="n">
        <v>2</v>
      </c>
      <c r="C1875" s="2" t="s">
        <v>90</v>
      </c>
      <c r="D1875" s="2" t="s">
        <v>39</v>
      </c>
      <c r="E1875" s="2" t="str">
        <f aca="false">INDEX(Products!$B$2:$B$13,MATCH(D1875,Products!$A$2:$A$13,0))</f>
        <v>Hydroprocessing</v>
      </c>
      <c r="F1875" s="15" t="n">
        <v>4</v>
      </c>
      <c r="G1875" s="16" t="n">
        <f aca="false">IF(A1875="2025",INDEX(Products!$C$2:$C$13,MATCH(D1875,Products!$A$2:$A$13,0)),INDEX(Products!$E$2:$E$13,MATCH(D1875,Products!$A$2:$A$13,0)))</f>
        <v>12570</v>
      </c>
      <c r="H1875" s="13" t="n">
        <f aca="false">IF(A1875="2025",INDEX(Customers!$D$2:$D$41,MATCH(C1875,Customers!$A$2:$A$41,0)),INDEX(Customers!$F$2:$F$41,MATCH(C1875,Customers!$A$2:$A$41,0)))</f>
        <v>0.058</v>
      </c>
      <c r="I1875" s="16" t="n">
        <f aca="false">F1875*G1875</f>
        <v>50280</v>
      </c>
      <c r="J1875" s="16" t="n">
        <f aca="false">I1875*(1-H1875)</f>
        <v>47363.76</v>
      </c>
      <c r="K1875" s="16" t="n">
        <f aca="false">J1875*INDEX(Customers!$G$2:$G$41,MATCH(C1875,Customers!$A$2:$A$41,0))</f>
        <v>0</v>
      </c>
      <c r="L1875" s="16" t="n">
        <f aca="false">F1875*INDEX(Customers!$H$2:$H$41,MATCH(C1875,Customers!$A$2:$A$41,0))</f>
        <v>1000</v>
      </c>
      <c r="M1875" s="16" t="n">
        <f aca="false">J1875*INDEX(Customers!$I$2:$I$41,MATCH(C1875,Customers!$A$2:$A$41,0))/365*Assumptions!$B$6</f>
        <v>311.432942465753</v>
      </c>
      <c r="N1875" s="16" t="n">
        <f aca="false">J1875-K1875-L1875-M1875</f>
        <v>46052.3270575342</v>
      </c>
      <c r="O1875" s="16" t="n">
        <f aca="false">F1875*IF(A1875="2025",INDEX(Products!$D$2:$D$13,MATCH(D1875,Products!$A$2:$A$13,0)),INDEX(Products!$F$2:$F$13,MATCH(D1875,Products!$A$2:$A$13,0)))</f>
        <v>29160</v>
      </c>
      <c r="P1875" s="16" t="n">
        <f aca="false">N1875-O1875</f>
        <v>16892.3270575342</v>
      </c>
    </row>
    <row r="1876" customFormat="false" ht="15" hidden="false" customHeight="false" outlineLevel="0" collapsed="false">
      <c r="A1876" s="2" t="s">
        <v>118</v>
      </c>
      <c r="B1876" s="2" t="n">
        <v>3</v>
      </c>
      <c r="C1876" s="2" t="s">
        <v>90</v>
      </c>
      <c r="D1876" s="2" t="s">
        <v>39</v>
      </c>
      <c r="E1876" s="2" t="str">
        <f aca="false">INDEX(Products!$B$2:$B$13,MATCH(D1876,Products!$A$2:$A$13,0))</f>
        <v>Hydroprocessing</v>
      </c>
      <c r="F1876" s="15" t="n">
        <v>2.3</v>
      </c>
      <c r="G1876" s="16" t="n">
        <f aca="false">IF(A1876="2025",INDEX(Products!$C$2:$C$13,MATCH(D1876,Products!$A$2:$A$13,0)),INDEX(Products!$E$2:$E$13,MATCH(D1876,Products!$A$2:$A$13,0)))</f>
        <v>12570</v>
      </c>
      <c r="H1876" s="13" t="n">
        <f aca="false">IF(A1876="2025",INDEX(Customers!$D$2:$D$41,MATCH(C1876,Customers!$A$2:$A$41,0)),INDEX(Customers!$F$2:$F$41,MATCH(C1876,Customers!$A$2:$A$41,0)))</f>
        <v>0.058</v>
      </c>
      <c r="I1876" s="16" t="n">
        <f aca="false">F1876*G1876</f>
        <v>28911</v>
      </c>
      <c r="J1876" s="16" t="n">
        <f aca="false">I1876*(1-H1876)</f>
        <v>27234.162</v>
      </c>
      <c r="K1876" s="16" t="n">
        <f aca="false">J1876*INDEX(Customers!$G$2:$G$41,MATCH(C1876,Customers!$A$2:$A$41,0))</f>
        <v>0</v>
      </c>
      <c r="L1876" s="16" t="n">
        <f aca="false">F1876*INDEX(Customers!$H$2:$H$41,MATCH(C1876,Customers!$A$2:$A$41,0))</f>
        <v>575</v>
      </c>
      <c r="M1876" s="16" t="n">
        <f aca="false">J1876*INDEX(Customers!$I$2:$I$41,MATCH(C1876,Customers!$A$2:$A$41,0))/365*Assumptions!$B$6</f>
        <v>179.073941917808</v>
      </c>
      <c r="N1876" s="16" t="n">
        <f aca="false">J1876-K1876-L1876-M1876</f>
        <v>26480.0880580822</v>
      </c>
      <c r="O1876" s="16" t="n">
        <f aca="false">F1876*IF(A1876="2025",INDEX(Products!$D$2:$D$13,MATCH(D1876,Products!$A$2:$A$13,0)),INDEX(Products!$F$2:$F$13,MATCH(D1876,Products!$A$2:$A$13,0)))</f>
        <v>16767</v>
      </c>
      <c r="P1876" s="16" t="n">
        <f aca="false">N1876-O1876</f>
        <v>9713.08805808219</v>
      </c>
    </row>
    <row r="1877" customFormat="false" ht="15" hidden="false" customHeight="false" outlineLevel="0" collapsed="false">
      <c r="A1877" s="2" t="s">
        <v>118</v>
      </c>
      <c r="B1877" s="2" t="n">
        <v>4</v>
      </c>
      <c r="C1877" s="2" t="s">
        <v>90</v>
      </c>
      <c r="D1877" s="2" t="s">
        <v>39</v>
      </c>
      <c r="E1877" s="2" t="str">
        <f aca="false">INDEX(Products!$B$2:$B$13,MATCH(D1877,Products!$A$2:$A$13,0))</f>
        <v>Hydroprocessing</v>
      </c>
      <c r="F1877" s="15" t="n">
        <v>2.6</v>
      </c>
      <c r="G1877" s="16" t="n">
        <f aca="false">IF(A1877="2025",INDEX(Products!$C$2:$C$13,MATCH(D1877,Products!$A$2:$A$13,0)),INDEX(Products!$E$2:$E$13,MATCH(D1877,Products!$A$2:$A$13,0)))</f>
        <v>12570</v>
      </c>
      <c r="H1877" s="13" t="n">
        <f aca="false">IF(A1877="2025",INDEX(Customers!$D$2:$D$41,MATCH(C1877,Customers!$A$2:$A$41,0)),INDEX(Customers!$F$2:$F$41,MATCH(C1877,Customers!$A$2:$A$41,0)))</f>
        <v>0.058</v>
      </c>
      <c r="I1877" s="16" t="n">
        <f aca="false">F1877*G1877</f>
        <v>32682</v>
      </c>
      <c r="J1877" s="16" t="n">
        <f aca="false">I1877*(1-H1877)</f>
        <v>30786.444</v>
      </c>
      <c r="K1877" s="16" t="n">
        <f aca="false">J1877*INDEX(Customers!$G$2:$G$41,MATCH(C1877,Customers!$A$2:$A$41,0))</f>
        <v>0</v>
      </c>
      <c r="L1877" s="16" t="n">
        <f aca="false">F1877*INDEX(Customers!$H$2:$H$41,MATCH(C1877,Customers!$A$2:$A$41,0))</f>
        <v>650</v>
      </c>
      <c r="M1877" s="16" t="n">
        <f aca="false">J1877*INDEX(Customers!$I$2:$I$41,MATCH(C1877,Customers!$A$2:$A$41,0))/365*Assumptions!$B$6</f>
        <v>202.43141260274</v>
      </c>
      <c r="N1877" s="16" t="n">
        <f aca="false">J1877-K1877-L1877-M1877</f>
        <v>29934.0125873973</v>
      </c>
      <c r="O1877" s="16" t="n">
        <f aca="false">F1877*IF(A1877="2025",INDEX(Products!$D$2:$D$13,MATCH(D1877,Products!$A$2:$A$13,0)),INDEX(Products!$F$2:$F$13,MATCH(D1877,Products!$A$2:$A$13,0)))</f>
        <v>18954</v>
      </c>
      <c r="P1877" s="16" t="n">
        <f aca="false">N1877-O1877</f>
        <v>10980.0125873973</v>
      </c>
    </row>
    <row r="1878" customFormat="false" ht="15" hidden="false" customHeight="false" outlineLevel="0" collapsed="false">
      <c r="A1878" s="2" t="s">
        <v>118</v>
      </c>
      <c r="B1878" s="2" t="n">
        <v>5</v>
      </c>
      <c r="C1878" s="2" t="s">
        <v>90</v>
      </c>
      <c r="D1878" s="2" t="s">
        <v>39</v>
      </c>
      <c r="E1878" s="2" t="str">
        <f aca="false">INDEX(Products!$B$2:$B$13,MATCH(D1878,Products!$A$2:$A$13,0))</f>
        <v>Hydroprocessing</v>
      </c>
      <c r="F1878" s="15" t="n">
        <v>4.1</v>
      </c>
      <c r="G1878" s="16" t="n">
        <f aca="false">IF(A1878="2025",INDEX(Products!$C$2:$C$13,MATCH(D1878,Products!$A$2:$A$13,0)),INDEX(Products!$E$2:$E$13,MATCH(D1878,Products!$A$2:$A$13,0)))</f>
        <v>12570</v>
      </c>
      <c r="H1878" s="13" t="n">
        <f aca="false">IF(A1878="2025",INDEX(Customers!$D$2:$D$41,MATCH(C1878,Customers!$A$2:$A$41,0)),INDEX(Customers!$F$2:$F$41,MATCH(C1878,Customers!$A$2:$A$41,0)))</f>
        <v>0.058</v>
      </c>
      <c r="I1878" s="16" t="n">
        <f aca="false">F1878*G1878</f>
        <v>51537</v>
      </c>
      <c r="J1878" s="16" t="n">
        <f aca="false">I1878*(1-H1878)</f>
        <v>48547.854</v>
      </c>
      <c r="K1878" s="16" t="n">
        <f aca="false">J1878*INDEX(Customers!$G$2:$G$41,MATCH(C1878,Customers!$A$2:$A$41,0))</f>
        <v>0</v>
      </c>
      <c r="L1878" s="16" t="n">
        <f aca="false">F1878*INDEX(Customers!$H$2:$H$41,MATCH(C1878,Customers!$A$2:$A$41,0))</f>
        <v>1025</v>
      </c>
      <c r="M1878" s="16" t="n">
        <f aca="false">J1878*INDEX(Customers!$I$2:$I$41,MATCH(C1878,Customers!$A$2:$A$41,0))/365*Assumptions!$B$6</f>
        <v>319.218766027397</v>
      </c>
      <c r="N1878" s="16" t="n">
        <f aca="false">J1878-K1878-L1878-M1878</f>
        <v>47203.6352339726</v>
      </c>
      <c r="O1878" s="16" t="n">
        <f aca="false">F1878*IF(A1878="2025",INDEX(Products!$D$2:$D$13,MATCH(D1878,Products!$A$2:$A$13,0)),INDEX(Products!$F$2:$F$13,MATCH(D1878,Products!$A$2:$A$13,0)))</f>
        <v>29889</v>
      </c>
      <c r="P1878" s="16" t="n">
        <f aca="false">N1878-O1878</f>
        <v>17314.6352339726</v>
      </c>
    </row>
    <row r="1879" customFormat="false" ht="15" hidden="false" customHeight="false" outlineLevel="0" collapsed="false">
      <c r="A1879" s="2" t="s">
        <v>118</v>
      </c>
      <c r="B1879" s="2" t="n">
        <v>6</v>
      </c>
      <c r="C1879" s="2" t="s">
        <v>90</v>
      </c>
      <c r="D1879" s="2" t="s">
        <v>39</v>
      </c>
      <c r="E1879" s="2" t="str">
        <f aca="false">INDEX(Products!$B$2:$B$13,MATCH(D1879,Products!$A$2:$A$13,0))</f>
        <v>Hydroprocessing</v>
      </c>
      <c r="F1879" s="15" t="n">
        <v>3.4</v>
      </c>
      <c r="G1879" s="16" t="n">
        <f aca="false">IF(A1879="2025",INDEX(Products!$C$2:$C$13,MATCH(D1879,Products!$A$2:$A$13,0)),INDEX(Products!$E$2:$E$13,MATCH(D1879,Products!$A$2:$A$13,0)))</f>
        <v>12570</v>
      </c>
      <c r="H1879" s="13" t="n">
        <f aca="false">IF(A1879="2025",INDEX(Customers!$D$2:$D$41,MATCH(C1879,Customers!$A$2:$A$41,0)),INDEX(Customers!$F$2:$F$41,MATCH(C1879,Customers!$A$2:$A$41,0)))</f>
        <v>0.058</v>
      </c>
      <c r="I1879" s="16" t="n">
        <f aca="false">F1879*G1879</f>
        <v>42738</v>
      </c>
      <c r="J1879" s="16" t="n">
        <f aca="false">I1879*(1-H1879)</f>
        <v>40259.196</v>
      </c>
      <c r="K1879" s="16" t="n">
        <f aca="false">J1879*INDEX(Customers!$G$2:$G$41,MATCH(C1879,Customers!$A$2:$A$41,0))</f>
        <v>0</v>
      </c>
      <c r="L1879" s="16" t="n">
        <f aca="false">F1879*INDEX(Customers!$H$2:$H$41,MATCH(C1879,Customers!$A$2:$A$41,0))</f>
        <v>850</v>
      </c>
      <c r="M1879" s="16" t="n">
        <f aca="false">J1879*INDEX(Customers!$I$2:$I$41,MATCH(C1879,Customers!$A$2:$A$41,0))/365*Assumptions!$B$6</f>
        <v>264.71800109589</v>
      </c>
      <c r="N1879" s="16" t="n">
        <f aca="false">J1879-K1879-L1879-M1879</f>
        <v>39144.4779989041</v>
      </c>
      <c r="O1879" s="16" t="n">
        <f aca="false">F1879*IF(A1879="2025",INDEX(Products!$D$2:$D$13,MATCH(D1879,Products!$A$2:$A$13,0)),INDEX(Products!$F$2:$F$13,MATCH(D1879,Products!$A$2:$A$13,0)))</f>
        <v>24786</v>
      </c>
      <c r="P1879" s="16" t="n">
        <f aca="false">N1879-O1879</f>
        <v>14358.4779989041</v>
      </c>
    </row>
    <row r="1880" customFormat="false" ht="15" hidden="false" customHeight="false" outlineLevel="0" collapsed="false">
      <c r="A1880" s="2" t="s">
        <v>118</v>
      </c>
      <c r="B1880" s="2" t="n">
        <v>7</v>
      </c>
      <c r="C1880" s="2" t="s">
        <v>90</v>
      </c>
      <c r="D1880" s="2" t="s">
        <v>39</v>
      </c>
      <c r="E1880" s="2" t="str">
        <f aca="false">INDEX(Products!$B$2:$B$13,MATCH(D1880,Products!$A$2:$A$13,0))</f>
        <v>Hydroprocessing</v>
      </c>
      <c r="F1880" s="15" t="n">
        <v>4.1</v>
      </c>
      <c r="G1880" s="16" t="n">
        <f aca="false">IF(A1880="2025",INDEX(Products!$C$2:$C$13,MATCH(D1880,Products!$A$2:$A$13,0)),INDEX(Products!$E$2:$E$13,MATCH(D1880,Products!$A$2:$A$13,0)))</f>
        <v>12570</v>
      </c>
      <c r="H1880" s="13" t="n">
        <f aca="false">IF(A1880="2025",INDEX(Customers!$D$2:$D$41,MATCH(C1880,Customers!$A$2:$A$41,0)),INDEX(Customers!$F$2:$F$41,MATCH(C1880,Customers!$A$2:$A$41,0)))</f>
        <v>0.058</v>
      </c>
      <c r="I1880" s="16" t="n">
        <f aca="false">F1880*G1880</f>
        <v>51537</v>
      </c>
      <c r="J1880" s="16" t="n">
        <f aca="false">I1880*(1-H1880)</f>
        <v>48547.854</v>
      </c>
      <c r="K1880" s="16" t="n">
        <f aca="false">J1880*INDEX(Customers!$G$2:$G$41,MATCH(C1880,Customers!$A$2:$A$41,0))</f>
        <v>0</v>
      </c>
      <c r="L1880" s="16" t="n">
        <f aca="false">F1880*INDEX(Customers!$H$2:$H$41,MATCH(C1880,Customers!$A$2:$A$41,0))</f>
        <v>1025</v>
      </c>
      <c r="M1880" s="16" t="n">
        <f aca="false">J1880*INDEX(Customers!$I$2:$I$41,MATCH(C1880,Customers!$A$2:$A$41,0))/365*Assumptions!$B$6</f>
        <v>319.218766027397</v>
      </c>
      <c r="N1880" s="16" t="n">
        <f aca="false">J1880-K1880-L1880-M1880</f>
        <v>47203.6352339726</v>
      </c>
      <c r="O1880" s="16" t="n">
        <f aca="false">F1880*IF(A1880="2025",INDEX(Products!$D$2:$D$13,MATCH(D1880,Products!$A$2:$A$13,0)),INDEX(Products!$F$2:$F$13,MATCH(D1880,Products!$A$2:$A$13,0)))</f>
        <v>29889</v>
      </c>
      <c r="P1880" s="16" t="n">
        <f aca="false">N1880-O1880</f>
        <v>17314.6352339726</v>
      </c>
    </row>
    <row r="1881" customFormat="false" ht="15" hidden="false" customHeight="false" outlineLevel="0" collapsed="false">
      <c r="A1881" s="2" t="s">
        <v>118</v>
      </c>
      <c r="B1881" s="2" t="n">
        <v>8</v>
      </c>
      <c r="C1881" s="2" t="s">
        <v>90</v>
      </c>
      <c r="D1881" s="2" t="s">
        <v>39</v>
      </c>
      <c r="E1881" s="2" t="str">
        <f aca="false">INDEX(Products!$B$2:$B$13,MATCH(D1881,Products!$A$2:$A$13,0))</f>
        <v>Hydroprocessing</v>
      </c>
      <c r="F1881" s="15" t="n">
        <v>3</v>
      </c>
      <c r="G1881" s="16" t="n">
        <f aca="false">IF(A1881="2025",INDEX(Products!$C$2:$C$13,MATCH(D1881,Products!$A$2:$A$13,0)),INDEX(Products!$E$2:$E$13,MATCH(D1881,Products!$A$2:$A$13,0)))</f>
        <v>12570</v>
      </c>
      <c r="H1881" s="13" t="n">
        <f aca="false">IF(A1881="2025",INDEX(Customers!$D$2:$D$41,MATCH(C1881,Customers!$A$2:$A$41,0)),INDEX(Customers!$F$2:$F$41,MATCH(C1881,Customers!$A$2:$A$41,0)))</f>
        <v>0.058</v>
      </c>
      <c r="I1881" s="16" t="n">
        <f aca="false">F1881*G1881</f>
        <v>37710</v>
      </c>
      <c r="J1881" s="16" t="n">
        <f aca="false">I1881*(1-H1881)</f>
        <v>35522.82</v>
      </c>
      <c r="K1881" s="16" t="n">
        <f aca="false">J1881*INDEX(Customers!$G$2:$G$41,MATCH(C1881,Customers!$A$2:$A$41,0))</f>
        <v>0</v>
      </c>
      <c r="L1881" s="16" t="n">
        <f aca="false">F1881*INDEX(Customers!$H$2:$H$41,MATCH(C1881,Customers!$A$2:$A$41,0))</f>
        <v>750</v>
      </c>
      <c r="M1881" s="16" t="n">
        <f aca="false">J1881*INDEX(Customers!$I$2:$I$41,MATCH(C1881,Customers!$A$2:$A$41,0))/365*Assumptions!$B$6</f>
        <v>233.574706849315</v>
      </c>
      <c r="N1881" s="16" t="n">
        <f aca="false">J1881-K1881-L1881-M1881</f>
        <v>34539.2452931507</v>
      </c>
      <c r="O1881" s="16" t="n">
        <f aca="false">F1881*IF(A1881="2025",INDEX(Products!$D$2:$D$13,MATCH(D1881,Products!$A$2:$A$13,0)),INDEX(Products!$F$2:$F$13,MATCH(D1881,Products!$A$2:$A$13,0)))</f>
        <v>21870</v>
      </c>
      <c r="P1881" s="16" t="n">
        <f aca="false">N1881-O1881</f>
        <v>12669.2452931507</v>
      </c>
    </row>
    <row r="1882" customFormat="false" ht="15" hidden="false" customHeight="false" outlineLevel="0" collapsed="false">
      <c r="A1882" s="2" t="s">
        <v>118</v>
      </c>
      <c r="B1882" s="2" t="n">
        <v>9</v>
      </c>
      <c r="C1882" s="2" t="s">
        <v>90</v>
      </c>
      <c r="D1882" s="2" t="s">
        <v>39</v>
      </c>
      <c r="E1882" s="2" t="str">
        <f aca="false">INDEX(Products!$B$2:$B$13,MATCH(D1882,Products!$A$2:$A$13,0))</f>
        <v>Hydroprocessing</v>
      </c>
      <c r="F1882" s="15" t="n">
        <v>2.7</v>
      </c>
      <c r="G1882" s="16" t="n">
        <f aca="false">IF(A1882="2025",INDEX(Products!$C$2:$C$13,MATCH(D1882,Products!$A$2:$A$13,0)),INDEX(Products!$E$2:$E$13,MATCH(D1882,Products!$A$2:$A$13,0)))</f>
        <v>12570</v>
      </c>
      <c r="H1882" s="13" t="n">
        <f aca="false">IF(A1882="2025",INDEX(Customers!$D$2:$D$41,MATCH(C1882,Customers!$A$2:$A$41,0)),INDEX(Customers!$F$2:$F$41,MATCH(C1882,Customers!$A$2:$A$41,0)))</f>
        <v>0.058</v>
      </c>
      <c r="I1882" s="16" t="n">
        <f aca="false">F1882*G1882</f>
        <v>33939</v>
      </c>
      <c r="J1882" s="16" t="n">
        <f aca="false">I1882*(1-H1882)</f>
        <v>31970.538</v>
      </c>
      <c r="K1882" s="16" t="n">
        <f aca="false">J1882*INDEX(Customers!$G$2:$G$41,MATCH(C1882,Customers!$A$2:$A$41,0))</f>
        <v>0</v>
      </c>
      <c r="L1882" s="16" t="n">
        <f aca="false">F1882*INDEX(Customers!$H$2:$H$41,MATCH(C1882,Customers!$A$2:$A$41,0))</f>
        <v>675</v>
      </c>
      <c r="M1882" s="16" t="n">
        <f aca="false">J1882*INDEX(Customers!$I$2:$I$41,MATCH(C1882,Customers!$A$2:$A$41,0))/365*Assumptions!$B$6</f>
        <v>210.217236164384</v>
      </c>
      <c r="N1882" s="16" t="n">
        <f aca="false">J1882-K1882-L1882-M1882</f>
        <v>31085.3207638356</v>
      </c>
      <c r="O1882" s="16" t="n">
        <f aca="false">F1882*IF(A1882="2025",INDEX(Products!$D$2:$D$13,MATCH(D1882,Products!$A$2:$A$13,0)),INDEX(Products!$F$2:$F$13,MATCH(D1882,Products!$A$2:$A$13,0)))</f>
        <v>19683</v>
      </c>
      <c r="P1882" s="16" t="n">
        <f aca="false">N1882-O1882</f>
        <v>11402.3207638356</v>
      </c>
    </row>
    <row r="1883" customFormat="false" ht="15" hidden="false" customHeight="false" outlineLevel="0" collapsed="false">
      <c r="A1883" s="2" t="s">
        <v>118</v>
      </c>
      <c r="B1883" s="2" t="n">
        <v>10</v>
      </c>
      <c r="C1883" s="2" t="s">
        <v>90</v>
      </c>
      <c r="D1883" s="2" t="s">
        <v>39</v>
      </c>
      <c r="E1883" s="2" t="str">
        <f aca="false">INDEX(Products!$B$2:$B$13,MATCH(D1883,Products!$A$2:$A$13,0))</f>
        <v>Hydroprocessing</v>
      </c>
      <c r="F1883" s="15" t="n">
        <v>3.5</v>
      </c>
      <c r="G1883" s="16" t="n">
        <f aca="false">IF(A1883="2025",INDEX(Products!$C$2:$C$13,MATCH(D1883,Products!$A$2:$A$13,0)),INDEX(Products!$E$2:$E$13,MATCH(D1883,Products!$A$2:$A$13,0)))</f>
        <v>12570</v>
      </c>
      <c r="H1883" s="13" t="n">
        <f aca="false">IF(A1883="2025",INDEX(Customers!$D$2:$D$41,MATCH(C1883,Customers!$A$2:$A$41,0)),INDEX(Customers!$F$2:$F$41,MATCH(C1883,Customers!$A$2:$A$41,0)))</f>
        <v>0.058</v>
      </c>
      <c r="I1883" s="16" t="n">
        <f aca="false">F1883*G1883</f>
        <v>43995</v>
      </c>
      <c r="J1883" s="16" t="n">
        <f aca="false">I1883*(1-H1883)</f>
        <v>41443.29</v>
      </c>
      <c r="K1883" s="16" t="n">
        <f aca="false">J1883*INDEX(Customers!$G$2:$G$41,MATCH(C1883,Customers!$A$2:$A$41,0))</f>
        <v>0</v>
      </c>
      <c r="L1883" s="16" t="n">
        <f aca="false">F1883*INDEX(Customers!$H$2:$H$41,MATCH(C1883,Customers!$A$2:$A$41,0))</f>
        <v>875</v>
      </c>
      <c r="M1883" s="16" t="n">
        <f aca="false">J1883*INDEX(Customers!$I$2:$I$41,MATCH(C1883,Customers!$A$2:$A$41,0))/365*Assumptions!$B$6</f>
        <v>272.503824657534</v>
      </c>
      <c r="N1883" s="16" t="n">
        <f aca="false">J1883-K1883-L1883-M1883</f>
        <v>40295.7861753425</v>
      </c>
      <c r="O1883" s="16" t="n">
        <f aca="false">F1883*IF(A1883="2025",INDEX(Products!$D$2:$D$13,MATCH(D1883,Products!$A$2:$A$13,0)),INDEX(Products!$F$2:$F$13,MATCH(D1883,Products!$A$2:$A$13,0)))</f>
        <v>25515</v>
      </c>
      <c r="P1883" s="16" t="n">
        <f aca="false">N1883-O1883</f>
        <v>14780.7861753425</v>
      </c>
    </row>
    <row r="1884" customFormat="false" ht="15" hidden="false" customHeight="false" outlineLevel="0" collapsed="false">
      <c r="A1884" s="2" t="s">
        <v>118</v>
      </c>
      <c r="B1884" s="2" t="n">
        <v>11</v>
      </c>
      <c r="C1884" s="2" t="s">
        <v>90</v>
      </c>
      <c r="D1884" s="2" t="s">
        <v>39</v>
      </c>
      <c r="E1884" s="2" t="str">
        <f aca="false">INDEX(Products!$B$2:$B$13,MATCH(D1884,Products!$A$2:$A$13,0))</f>
        <v>Hydroprocessing</v>
      </c>
      <c r="F1884" s="15" t="n">
        <v>2.7</v>
      </c>
      <c r="G1884" s="16" t="n">
        <f aca="false">IF(A1884="2025",INDEX(Products!$C$2:$C$13,MATCH(D1884,Products!$A$2:$A$13,0)),INDEX(Products!$E$2:$E$13,MATCH(D1884,Products!$A$2:$A$13,0)))</f>
        <v>12570</v>
      </c>
      <c r="H1884" s="13" t="n">
        <f aca="false">IF(A1884="2025",INDEX(Customers!$D$2:$D$41,MATCH(C1884,Customers!$A$2:$A$41,0)),INDEX(Customers!$F$2:$F$41,MATCH(C1884,Customers!$A$2:$A$41,0)))</f>
        <v>0.058</v>
      </c>
      <c r="I1884" s="16" t="n">
        <f aca="false">F1884*G1884</f>
        <v>33939</v>
      </c>
      <c r="J1884" s="16" t="n">
        <f aca="false">I1884*(1-H1884)</f>
        <v>31970.538</v>
      </c>
      <c r="K1884" s="16" t="n">
        <f aca="false">J1884*INDEX(Customers!$G$2:$G$41,MATCH(C1884,Customers!$A$2:$A$41,0))</f>
        <v>0</v>
      </c>
      <c r="L1884" s="16" t="n">
        <f aca="false">F1884*INDEX(Customers!$H$2:$H$41,MATCH(C1884,Customers!$A$2:$A$41,0))</f>
        <v>675</v>
      </c>
      <c r="M1884" s="16" t="n">
        <f aca="false">J1884*INDEX(Customers!$I$2:$I$41,MATCH(C1884,Customers!$A$2:$A$41,0))/365*Assumptions!$B$6</f>
        <v>210.217236164384</v>
      </c>
      <c r="N1884" s="16" t="n">
        <f aca="false">J1884-K1884-L1884-M1884</f>
        <v>31085.3207638356</v>
      </c>
      <c r="O1884" s="16" t="n">
        <f aca="false">F1884*IF(A1884="2025",INDEX(Products!$D$2:$D$13,MATCH(D1884,Products!$A$2:$A$13,0)),INDEX(Products!$F$2:$F$13,MATCH(D1884,Products!$A$2:$A$13,0)))</f>
        <v>19683</v>
      </c>
      <c r="P1884" s="16" t="n">
        <f aca="false">N1884-O1884</f>
        <v>11402.3207638356</v>
      </c>
    </row>
    <row r="1885" customFormat="false" ht="15" hidden="false" customHeight="false" outlineLevel="0" collapsed="false">
      <c r="A1885" s="2" t="s">
        <v>118</v>
      </c>
      <c r="B1885" s="2" t="n">
        <v>12</v>
      </c>
      <c r="C1885" s="2" t="s">
        <v>90</v>
      </c>
      <c r="D1885" s="2" t="s">
        <v>39</v>
      </c>
      <c r="E1885" s="2" t="str">
        <f aca="false">INDEX(Products!$B$2:$B$13,MATCH(D1885,Products!$A$2:$A$13,0))</f>
        <v>Hydroprocessing</v>
      </c>
      <c r="F1885" s="15" t="n">
        <v>2.8</v>
      </c>
      <c r="G1885" s="16" t="n">
        <f aca="false">IF(A1885="2025",INDEX(Products!$C$2:$C$13,MATCH(D1885,Products!$A$2:$A$13,0)),INDEX(Products!$E$2:$E$13,MATCH(D1885,Products!$A$2:$A$13,0)))</f>
        <v>12570</v>
      </c>
      <c r="H1885" s="13" t="n">
        <f aca="false">IF(A1885="2025",INDEX(Customers!$D$2:$D$41,MATCH(C1885,Customers!$A$2:$A$41,0)),INDEX(Customers!$F$2:$F$41,MATCH(C1885,Customers!$A$2:$A$41,0)))</f>
        <v>0.058</v>
      </c>
      <c r="I1885" s="16" t="n">
        <f aca="false">F1885*G1885</f>
        <v>35196</v>
      </c>
      <c r="J1885" s="16" t="n">
        <f aca="false">I1885*(1-H1885)</f>
        <v>33154.632</v>
      </c>
      <c r="K1885" s="16" t="n">
        <f aca="false">J1885*INDEX(Customers!$G$2:$G$41,MATCH(C1885,Customers!$A$2:$A$41,0))</f>
        <v>0</v>
      </c>
      <c r="L1885" s="16" t="n">
        <f aca="false">F1885*INDEX(Customers!$H$2:$H$41,MATCH(C1885,Customers!$A$2:$A$41,0))</f>
        <v>700</v>
      </c>
      <c r="M1885" s="16" t="n">
        <f aca="false">J1885*INDEX(Customers!$I$2:$I$41,MATCH(C1885,Customers!$A$2:$A$41,0))/365*Assumptions!$B$6</f>
        <v>218.003059726027</v>
      </c>
      <c r="N1885" s="16" t="n">
        <f aca="false">J1885-K1885-L1885-M1885</f>
        <v>32236.628940274</v>
      </c>
      <c r="O1885" s="16" t="n">
        <f aca="false">F1885*IF(A1885="2025",INDEX(Products!$D$2:$D$13,MATCH(D1885,Products!$A$2:$A$13,0)),INDEX(Products!$F$2:$F$13,MATCH(D1885,Products!$A$2:$A$13,0)))</f>
        <v>20412</v>
      </c>
      <c r="P1885" s="16" t="n">
        <f aca="false">N1885-O1885</f>
        <v>11824.628940274</v>
      </c>
    </row>
    <row r="1886" customFormat="false" ht="15" hidden="false" customHeight="false" outlineLevel="0" collapsed="false">
      <c r="A1886" s="2" t="s">
        <v>119</v>
      </c>
      <c r="B1886" s="2" t="n">
        <v>1</v>
      </c>
      <c r="C1886" s="2" t="s">
        <v>90</v>
      </c>
      <c r="D1886" s="2" t="s">
        <v>39</v>
      </c>
      <c r="E1886" s="2" t="str">
        <f aca="false">INDEX(Products!$B$2:$B$13,MATCH(D1886,Products!$A$2:$A$13,0))</f>
        <v>Hydroprocessing</v>
      </c>
      <c r="F1886" s="15" t="n">
        <v>3.2</v>
      </c>
      <c r="G1886" s="16" t="n">
        <f aca="false">IF(A1886="2025",INDEX(Products!$C$2:$C$13,MATCH(D1886,Products!$A$2:$A$13,0)),INDEX(Products!$E$2:$E$13,MATCH(D1886,Products!$A$2:$A$13,0)))</f>
        <v>13198.5</v>
      </c>
      <c r="H1886" s="13" t="n">
        <f aca="false">IF(A1886="2025",INDEX(Customers!$D$2:$D$41,MATCH(C1886,Customers!$A$2:$A$41,0)),INDEX(Customers!$F$2:$F$41,MATCH(C1886,Customers!$A$2:$A$41,0)))</f>
        <v>0.058</v>
      </c>
      <c r="I1886" s="16" t="n">
        <f aca="false">F1886*G1886</f>
        <v>42235.2</v>
      </c>
      <c r="J1886" s="16" t="n">
        <f aca="false">I1886*(1-H1886)</f>
        <v>39785.5584</v>
      </c>
      <c r="K1886" s="16" t="n">
        <f aca="false">J1886*INDEX(Customers!$G$2:$G$41,MATCH(C1886,Customers!$A$2:$A$41,0))</f>
        <v>0</v>
      </c>
      <c r="L1886" s="16" t="n">
        <f aca="false">F1886*INDEX(Customers!$H$2:$H$41,MATCH(C1886,Customers!$A$2:$A$41,0))</f>
        <v>800</v>
      </c>
      <c r="M1886" s="16" t="n">
        <f aca="false">J1886*INDEX(Customers!$I$2:$I$41,MATCH(C1886,Customers!$A$2:$A$41,0))/365*Assumptions!$B$6</f>
        <v>261.603671671233</v>
      </c>
      <c r="N1886" s="16" t="n">
        <f aca="false">J1886-K1886-L1886-M1886</f>
        <v>38723.9547283288</v>
      </c>
      <c r="O1886" s="16" t="n">
        <f aca="false">F1886*IF(A1886="2025",INDEX(Products!$D$2:$D$13,MATCH(D1886,Products!$A$2:$A$13,0)),INDEX(Products!$F$2:$F$13,MATCH(D1886,Products!$A$2:$A$13,0)))</f>
        <v>24027.84</v>
      </c>
      <c r="P1886" s="16" t="n">
        <f aca="false">N1886-O1886</f>
        <v>14696.1147283288</v>
      </c>
    </row>
    <row r="1887" customFormat="false" ht="15" hidden="false" customHeight="false" outlineLevel="0" collapsed="false">
      <c r="A1887" s="2" t="s">
        <v>119</v>
      </c>
      <c r="B1887" s="2" t="n">
        <v>2</v>
      </c>
      <c r="C1887" s="2" t="s">
        <v>90</v>
      </c>
      <c r="D1887" s="2" t="s">
        <v>39</v>
      </c>
      <c r="E1887" s="2" t="str">
        <f aca="false">INDEX(Products!$B$2:$B$13,MATCH(D1887,Products!$A$2:$A$13,0))</f>
        <v>Hydroprocessing</v>
      </c>
      <c r="F1887" s="15" t="n">
        <v>3.9</v>
      </c>
      <c r="G1887" s="16" t="n">
        <f aca="false">IF(A1887="2025",INDEX(Products!$C$2:$C$13,MATCH(D1887,Products!$A$2:$A$13,0)),INDEX(Products!$E$2:$E$13,MATCH(D1887,Products!$A$2:$A$13,0)))</f>
        <v>13198.5</v>
      </c>
      <c r="H1887" s="13" t="n">
        <f aca="false">IF(A1887="2025",INDEX(Customers!$D$2:$D$41,MATCH(C1887,Customers!$A$2:$A$41,0)),INDEX(Customers!$F$2:$F$41,MATCH(C1887,Customers!$A$2:$A$41,0)))</f>
        <v>0.058</v>
      </c>
      <c r="I1887" s="16" t="n">
        <f aca="false">F1887*G1887</f>
        <v>51474.15</v>
      </c>
      <c r="J1887" s="16" t="n">
        <f aca="false">I1887*(1-H1887)</f>
        <v>48488.6493</v>
      </c>
      <c r="K1887" s="16" t="n">
        <f aca="false">J1887*INDEX(Customers!$G$2:$G$41,MATCH(C1887,Customers!$A$2:$A$41,0))</f>
        <v>0</v>
      </c>
      <c r="L1887" s="16" t="n">
        <f aca="false">F1887*INDEX(Customers!$H$2:$H$41,MATCH(C1887,Customers!$A$2:$A$41,0))</f>
        <v>975</v>
      </c>
      <c r="M1887" s="16" t="n">
        <f aca="false">J1887*INDEX(Customers!$I$2:$I$41,MATCH(C1887,Customers!$A$2:$A$41,0))/365*Assumptions!$B$6</f>
        <v>318.829474849315</v>
      </c>
      <c r="N1887" s="16" t="n">
        <f aca="false">J1887-K1887-L1887-M1887</f>
        <v>47194.8198251507</v>
      </c>
      <c r="O1887" s="16" t="n">
        <f aca="false">F1887*IF(A1887="2025",INDEX(Products!$D$2:$D$13,MATCH(D1887,Products!$A$2:$A$13,0)),INDEX(Products!$F$2:$F$13,MATCH(D1887,Products!$A$2:$A$13,0)))</f>
        <v>29283.93</v>
      </c>
      <c r="P1887" s="16" t="n">
        <f aca="false">N1887-O1887</f>
        <v>17910.8898251507</v>
      </c>
    </row>
    <row r="1888" customFormat="false" ht="15" hidden="false" customHeight="false" outlineLevel="0" collapsed="false">
      <c r="A1888" s="2" t="s">
        <v>119</v>
      </c>
      <c r="B1888" s="2" t="n">
        <v>3</v>
      </c>
      <c r="C1888" s="2" t="s">
        <v>90</v>
      </c>
      <c r="D1888" s="2" t="s">
        <v>39</v>
      </c>
      <c r="E1888" s="2" t="str">
        <f aca="false">INDEX(Products!$B$2:$B$13,MATCH(D1888,Products!$A$2:$A$13,0))</f>
        <v>Hydroprocessing</v>
      </c>
      <c r="F1888" s="15" t="n">
        <v>3.5</v>
      </c>
      <c r="G1888" s="16" t="n">
        <f aca="false">IF(A1888="2025",INDEX(Products!$C$2:$C$13,MATCH(D1888,Products!$A$2:$A$13,0)),INDEX(Products!$E$2:$E$13,MATCH(D1888,Products!$A$2:$A$13,0)))</f>
        <v>13198.5</v>
      </c>
      <c r="H1888" s="13" t="n">
        <f aca="false">IF(A1888="2025",INDEX(Customers!$D$2:$D$41,MATCH(C1888,Customers!$A$2:$A$41,0)),INDEX(Customers!$F$2:$F$41,MATCH(C1888,Customers!$A$2:$A$41,0)))</f>
        <v>0.058</v>
      </c>
      <c r="I1888" s="16" t="n">
        <f aca="false">F1888*G1888</f>
        <v>46194.75</v>
      </c>
      <c r="J1888" s="16" t="n">
        <f aca="false">I1888*(1-H1888)</f>
        <v>43515.4545</v>
      </c>
      <c r="K1888" s="16" t="n">
        <f aca="false">J1888*INDEX(Customers!$G$2:$G$41,MATCH(C1888,Customers!$A$2:$A$41,0))</f>
        <v>0</v>
      </c>
      <c r="L1888" s="16" t="n">
        <f aca="false">F1888*INDEX(Customers!$H$2:$H$41,MATCH(C1888,Customers!$A$2:$A$41,0))</f>
        <v>875</v>
      </c>
      <c r="M1888" s="16" t="n">
        <f aca="false">J1888*INDEX(Customers!$I$2:$I$41,MATCH(C1888,Customers!$A$2:$A$41,0))/365*Assumptions!$B$6</f>
        <v>286.129015890411</v>
      </c>
      <c r="N1888" s="16" t="n">
        <f aca="false">J1888-K1888-L1888-M1888</f>
        <v>42354.3254841096</v>
      </c>
      <c r="O1888" s="16" t="n">
        <f aca="false">F1888*IF(A1888="2025",INDEX(Products!$D$2:$D$13,MATCH(D1888,Products!$A$2:$A$13,0)),INDEX(Products!$F$2:$F$13,MATCH(D1888,Products!$A$2:$A$13,0)))</f>
        <v>26280.45</v>
      </c>
      <c r="P1888" s="16" t="n">
        <f aca="false">N1888-O1888</f>
        <v>16073.8754841096</v>
      </c>
    </row>
    <row r="1889" customFormat="false" ht="15" hidden="false" customHeight="false" outlineLevel="0" collapsed="false">
      <c r="A1889" s="2" t="s">
        <v>119</v>
      </c>
      <c r="B1889" s="2" t="n">
        <v>4</v>
      </c>
      <c r="C1889" s="2" t="s">
        <v>90</v>
      </c>
      <c r="D1889" s="2" t="s">
        <v>39</v>
      </c>
      <c r="E1889" s="2" t="str">
        <f aca="false">INDEX(Products!$B$2:$B$13,MATCH(D1889,Products!$A$2:$A$13,0))</f>
        <v>Hydroprocessing</v>
      </c>
      <c r="F1889" s="15" t="n">
        <v>3.5</v>
      </c>
      <c r="G1889" s="16" t="n">
        <f aca="false">IF(A1889="2025",INDEX(Products!$C$2:$C$13,MATCH(D1889,Products!$A$2:$A$13,0)),INDEX(Products!$E$2:$E$13,MATCH(D1889,Products!$A$2:$A$13,0)))</f>
        <v>13198.5</v>
      </c>
      <c r="H1889" s="13" t="n">
        <f aca="false">IF(A1889="2025",INDEX(Customers!$D$2:$D$41,MATCH(C1889,Customers!$A$2:$A$41,0)),INDEX(Customers!$F$2:$F$41,MATCH(C1889,Customers!$A$2:$A$41,0)))</f>
        <v>0.058</v>
      </c>
      <c r="I1889" s="16" t="n">
        <f aca="false">F1889*G1889</f>
        <v>46194.75</v>
      </c>
      <c r="J1889" s="16" t="n">
        <f aca="false">I1889*(1-H1889)</f>
        <v>43515.4545</v>
      </c>
      <c r="K1889" s="16" t="n">
        <f aca="false">J1889*INDEX(Customers!$G$2:$G$41,MATCH(C1889,Customers!$A$2:$A$41,0))</f>
        <v>0</v>
      </c>
      <c r="L1889" s="16" t="n">
        <f aca="false">F1889*INDEX(Customers!$H$2:$H$41,MATCH(C1889,Customers!$A$2:$A$41,0))</f>
        <v>875</v>
      </c>
      <c r="M1889" s="16" t="n">
        <f aca="false">J1889*INDEX(Customers!$I$2:$I$41,MATCH(C1889,Customers!$A$2:$A$41,0))/365*Assumptions!$B$6</f>
        <v>286.129015890411</v>
      </c>
      <c r="N1889" s="16" t="n">
        <f aca="false">J1889-K1889-L1889-M1889</f>
        <v>42354.3254841096</v>
      </c>
      <c r="O1889" s="16" t="n">
        <f aca="false">F1889*IF(A1889="2025",INDEX(Products!$D$2:$D$13,MATCH(D1889,Products!$A$2:$A$13,0)),INDEX(Products!$F$2:$F$13,MATCH(D1889,Products!$A$2:$A$13,0)))</f>
        <v>26280.45</v>
      </c>
      <c r="P1889" s="16" t="n">
        <f aca="false">N1889-O1889</f>
        <v>16073.8754841096</v>
      </c>
    </row>
    <row r="1890" customFormat="false" ht="15" hidden="false" customHeight="false" outlineLevel="0" collapsed="false">
      <c r="A1890" s="2" t="s">
        <v>119</v>
      </c>
      <c r="B1890" s="2" t="n">
        <v>5</v>
      </c>
      <c r="C1890" s="2" t="s">
        <v>90</v>
      </c>
      <c r="D1890" s="2" t="s">
        <v>39</v>
      </c>
      <c r="E1890" s="2" t="str">
        <f aca="false">INDEX(Products!$B$2:$B$13,MATCH(D1890,Products!$A$2:$A$13,0))</f>
        <v>Hydroprocessing</v>
      </c>
      <c r="F1890" s="15" t="n">
        <v>3.4</v>
      </c>
      <c r="G1890" s="16" t="n">
        <f aca="false">IF(A1890="2025",INDEX(Products!$C$2:$C$13,MATCH(D1890,Products!$A$2:$A$13,0)),INDEX(Products!$E$2:$E$13,MATCH(D1890,Products!$A$2:$A$13,0)))</f>
        <v>13198.5</v>
      </c>
      <c r="H1890" s="13" t="n">
        <f aca="false">IF(A1890="2025",INDEX(Customers!$D$2:$D$41,MATCH(C1890,Customers!$A$2:$A$41,0)),INDEX(Customers!$F$2:$F$41,MATCH(C1890,Customers!$A$2:$A$41,0)))</f>
        <v>0.058</v>
      </c>
      <c r="I1890" s="16" t="n">
        <f aca="false">F1890*G1890</f>
        <v>44874.9</v>
      </c>
      <c r="J1890" s="16" t="n">
        <f aca="false">I1890*(1-H1890)</f>
        <v>42272.1558</v>
      </c>
      <c r="K1890" s="16" t="n">
        <f aca="false">J1890*INDEX(Customers!$G$2:$G$41,MATCH(C1890,Customers!$A$2:$A$41,0))</f>
        <v>0</v>
      </c>
      <c r="L1890" s="16" t="n">
        <f aca="false">F1890*INDEX(Customers!$H$2:$H$41,MATCH(C1890,Customers!$A$2:$A$41,0))</f>
        <v>850</v>
      </c>
      <c r="M1890" s="16" t="n">
        <f aca="false">J1890*INDEX(Customers!$I$2:$I$41,MATCH(C1890,Customers!$A$2:$A$41,0))/365*Assumptions!$B$6</f>
        <v>277.953901150685</v>
      </c>
      <c r="N1890" s="16" t="n">
        <f aca="false">J1890-K1890-L1890-M1890</f>
        <v>41144.2018988493</v>
      </c>
      <c r="O1890" s="16" t="n">
        <f aca="false">F1890*IF(A1890="2025",INDEX(Products!$D$2:$D$13,MATCH(D1890,Products!$A$2:$A$13,0)),INDEX(Products!$F$2:$F$13,MATCH(D1890,Products!$A$2:$A$13,0)))</f>
        <v>25529.58</v>
      </c>
      <c r="P1890" s="16" t="n">
        <f aca="false">N1890-O1890</f>
        <v>15614.6218988493</v>
      </c>
    </row>
    <row r="1891" customFormat="false" ht="15" hidden="false" customHeight="false" outlineLevel="0" collapsed="false">
      <c r="A1891" s="2" t="s">
        <v>119</v>
      </c>
      <c r="B1891" s="2" t="n">
        <v>6</v>
      </c>
      <c r="C1891" s="2" t="s">
        <v>90</v>
      </c>
      <c r="D1891" s="2" t="s">
        <v>39</v>
      </c>
      <c r="E1891" s="2" t="str">
        <f aca="false">INDEX(Products!$B$2:$B$13,MATCH(D1891,Products!$A$2:$A$13,0))</f>
        <v>Hydroprocessing</v>
      </c>
      <c r="F1891" s="15" t="n">
        <v>4.3</v>
      </c>
      <c r="G1891" s="16" t="n">
        <f aca="false">IF(A1891="2025",INDEX(Products!$C$2:$C$13,MATCH(D1891,Products!$A$2:$A$13,0)),INDEX(Products!$E$2:$E$13,MATCH(D1891,Products!$A$2:$A$13,0)))</f>
        <v>13198.5</v>
      </c>
      <c r="H1891" s="13" t="n">
        <f aca="false">IF(A1891="2025",INDEX(Customers!$D$2:$D$41,MATCH(C1891,Customers!$A$2:$A$41,0)),INDEX(Customers!$F$2:$F$41,MATCH(C1891,Customers!$A$2:$A$41,0)))</f>
        <v>0.058</v>
      </c>
      <c r="I1891" s="16" t="n">
        <f aca="false">F1891*G1891</f>
        <v>56753.55</v>
      </c>
      <c r="J1891" s="16" t="n">
        <f aca="false">I1891*(1-H1891)</f>
        <v>53461.8441</v>
      </c>
      <c r="K1891" s="16" t="n">
        <f aca="false">J1891*INDEX(Customers!$G$2:$G$41,MATCH(C1891,Customers!$A$2:$A$41,0))</f>
        <v>0</v>
      </c>
      <c r="L1891" s="16" t="n">
        <f aca="false">F1891*INDEX(Customers!$H$2:$H$41,MATCH(C1891,Customers!$A$2:$A$41,0))</f>
        <v>1075</v>
      </c>
      <c r="M1891" s="16" t="n">
        <f aca="false">J1891*INDEX(Customers!$I$2:$I$41,MATCH(C1891,Customers!$A$2:$A$41,0))/365*Assumptions!$B$6</f>
        <v>351.529933808219</v>
      </c>
      <c r="N1891" s="16" t="n">
        <f aca="false">J1891-K1891-L1891-M1891</f>
        <v>52035.3141661918</v>
      </c>
      <c r="O1891" s="16" t="n">
        <f aca="false">F1891*IF(A1891="2025",INDEX(Products!$D$2:$D$13,MATCH(D1891,Products!$A$2:$A$13,0)),INDEX(Products!$F$2:$F$13,MATCH(D1891,Products!$A$2:$A$13,0)))</f>
        <v>32287.41</v>
      </c>
      <c r="P1891" s="16" t="n">
        <f aca="false">N1891-O1891</f>
        <v>19747.9041661918</v>
      </c>
    </row>
    <row r="1892" customFormat="false" ht="15" hidden="false" customHeight="false" outlineLevel="0" collapsed="false">
      <c r="A1892" s="2" t="s">
        <v>119</v>
      </c>
      <c r="B1892" s="2" t="n">
        <v>7</v>
      </c>
      <c r="C1892" s="2" t="s">
        <v>90</v>
      </c>
      <c r="D1892" s="2" t="s">
        <v>39</v>
      </c>
      <c r="E1892" s="2" t="str">
        <f aca="false">INDEX(Products!$B$2:$B$13,MATCH(D1892,Products!$A$2:$A$13,0))</f>
        <v>Hydroprocessing</v>
      </c>
      <c r="F1892" s="15" t="n">
        <v>4.4</v>
      </c>
      <c r="G1892" s="16" t="n">
        <f aca="false">IF(A1892="2025",INDEX(Products!$C$2:$C$13,MATCH(D1892,Products!$A$2:$A$13,0)),INDEX(Products!$E$2:$E$13,MATCH(D1892,Products!$A$2:$A$13,0)))</f>
        <v>13198.5</v>
      </c>
      <c r="H1892" s="13" t="n">
        <f aca="false">IF(A1892="2025",INDEX(Customers!$D$2:$D$41,MATCH(C1892,Customers!$A$2:$A$41,0)),INDEX(Customers!$F$2:$F$41,MATCH(C1892,Customers!$A$2:$A$41,0)))</f>
        <v>0.058</v>
      </c>
      <c r="I1892" s="16" t="n">
        <f aca="false">F1892*G1892</f>
        <v>58073.4</v>
      </c>
      <c r="J1892" s="16" t="n">
        <f aca="false">I1892*(1-H1892)</f>
        <v>54705.1428</v>
      </c>
      <c r="K1892" s="16" t="n">
        <f aca="false">J1892*INDEX(Customers!$G$2:$G$41,MATCH(C1892,Customers!$A$2:$A$41,0))</f>
        <v>0</v>
      </c>
      <c r="L1892" s="16" t="n">
        <f aca="false">F1892*INDEX(Customers!$H$2:$H$41,MATCH(C1892,Customers!$A$2:$A$41,0))</f>
        <v>1100</v>
      </c>
      <c r="M1892" s="16" t="n">
        <f aca="false">J1892*INDEX(Customers!$I$2:$I$41,MATCH(C1892,Customers!$A$2:$A$41,0))/365*Assumptions!$B$6</f>
        <v>359.705048547945</v>
      </c>
      <c r="N1892" s="16" t="n">
        <f aca="false">J1892-K1892-L1892-M1892</f>
        <v>53245.4377514521</v>
      </c>
      <c r="O1892" s="16" t="n">
        <f aca="false">F1892*IF(A1892="2025",INDEX(Products!$D$2:$D$13,MATCH(D1892,Products!$A$2:$A$13,0)),INDEX(Products!$F$2:$F$13,MATCH(D1892,Products!$A$2:$A$13,0)))</f>
        <v>33038.28</v>
      </c>
      <c r="P1892" s="16" t="n">
        <f aca="false">N1892-O1892</f>
        <v>20207.1577514521</v>
      </c>
    </row>
    <row r="1893" customFormat="false" ht="15" hidden="false" customHeight="false" outlineLevel="0" collapsed="false">
      <c r="A1893" s="2" t="s">
        <v>119</v>
      </c>
      <c r="B1893" s="2" t="n">
        <v>8</v>
      </c>
      <c r="C1893" s="2" t="s">
        <v>90</v>
      </c>
      <c r="D1893" s="2" t="s">
        <v>39</v>
      </c>
      <c r="E1893" s="2" t="str">
        <f aca="false">INDEX(Products!$B$2:$B$13,MATCH(D1893,Products!$A$2:$A$13,0))</f>
        <v>Hydroprocessing</v>
      </c>
      <c r="F1893" s="15" t="n">
        <v>3.4</v>
      </c>
      <c r="G1893" s="16" t="n">
        <f aca="false">IF(A1893="2025",INDEX(Products!$C$2:$C$13,MATCH(D1893,Products!$A$2:$A$13,0)),INDEX(Products!$E$2:$E$13,MATCH(D1893,Products!$A$2:$A$13,0)))</f>
        <v>13198.5</v>
      </c>
      <c r="H1893" s="13" t="n">
        <f aca="false">IF(A1893="2025",INDEX(Customers!$D$2:$D$41,MATCH(C1893,Customers!$A$2:$A$41,0)),INDEX(Customers!$F$2:$F$41,MATCH(C1893,Customers!$A$2:$A$41,0)))</f>
        <v>0.058</v>
      </c>
      <c r="I1893" s="16" t="n">
        <f aca="false">F1893*G1893</f>
        <v>44874.9</v>
      </c>
      <c r="J1893" s="16" t="n">
        <f aca="false">I1893*(1-H1893)</f>
        <v>42272.1558</v>
      </c>
      <c r="K1893" s="16" t="n">
        <f aca="false">J1893*INDEX(Customers!$G$2:$G$41,MATCH(C1893,Customers!$A$2:$A$41,0))</f>
        <v>0</v>
      </c>
      <c r="L1893" s="16" t="n">
        <f aca="false">F1893*INDEX(Customers!$H$2:$H$41,MATCH(C1893,Customers!$A$2:$A$41,0))</f>
        <v>850</v>
      </c>
      <c r="M1893" s="16" t="n">
        <f aca="false">J1893*INDEX(Customers!$I$2:$I$41,MATCH(C1893,Customers!$A$2:$A$41,0))/365*Assumptions!$B$6</f>
        <v>277.953901150685</v>
      </c>
      <c r="N1893" s="16" t="n">
        <f aca="false">J1893-K1893-L1893-M1893</f>
        <v>41144.2018988493</v>
      </c>
      <c r="O1893" s="16" t="n">
        <f aca="false">F1893*IF(A1893="2025",INDEX(Products!$D$2:$D$13,MATCH(D1893,Products!$A$2:$A$13,0)),INDEX(Products!$F$2:$F$13,MATCH(D1893,Products!$A$2:$A$13,0)))</f>
        <v>25529.58</v>
      </c>
      <c r="P1893" s="16" t="n">
        <f aca="false">N1893-O1893</f>
        <v>15614.6218988493</v>
      </c>
    </row>
    <row r="1894" customFormat="false" ht="15" hidden="false" customHeight="false" outlineLevel="0" collapsed="false">
      <c r="A1894" s="2" t="s">
        <v>119</v>
      </c>
      <c r="B1894" s="2" t="n">
        <v>9</v>
      </c>
      <c r="C1894" s="2" t="s">
        <v>90</v>
      </c>
      <c r="D1894" s="2" t="s">
        <v>39</v>
      </c>
      <c r="E1894" s="2" t="str">
        <f aca="false">INDEX(Products!$B$2:$B$13,MATCH(D1894,Products!$A$2:$A$13,0))</f>
        <v>Hydroprocessing</v>
      </c>
      <c r="F1894" s="15" t="n">
        <v>3.5</v>
      </c>
      <c r="G1894" s="16" t="n">
        <f aca="false">IF(A1894="2025",INDEX(Products!$C$2:$C$13,MATCH(D1894,Products!$A$2:$A$13,0)),INDEX(Products!$E$2:$E$13,MATCH(D1894,Products!$A$2:$A$13,0)))</f>
        <v>13198.5</v>
      </c>
      <c r="H1894" s="13" t="n">
        <f aca="false">IF(A1894="2025",INDEX(Customers!$D$2:$D$41,MATCH(C1894,Customers!$A$2:$A$41,0)),INDEX(Customers!$F$2:$F$41,MATCH(C1894,Customers!$A$2:$A$41,0)))</f>
        <v>0.058</v>
      </c>
      <c r="I1894" s="16" t="n">
        <f aca="false">F1894*G1894</f>
        <v>46194.75</v>
      </c>
      <c r="J1894" s="16" t="n">
        <f aca="false">I1894*(1-H1894)</f>
        <v>43515.4545</v>
      </c>
      <c r="K1894" s="16" t="n">
        <f aca="false">J1894*INDEX(Customers!$G$2:$G$41,MATCH(C1894,Customers!$A$2:$A$41,0))</f>
        <v>0</v>
      </c>
      <c r="L1894" s="16" t="n">
        <f aca="false">F1894*INDEX(Customers!$H$2:$H$41,MATCH(C1894,Customers!$A$2:$A$41,0))</f>
        <v>875</v>
      </c>
      <c r="M1894" s="16" t="n">
        <f aca="false">J1894*INDEX(Customers!$I$2:$I$41,MATCH(C1894,Customers!$A$2:$A$41,0))/365*Assumptions!$B$6</f>
        <v>286.129015890411</v>
      </c>
      <c r="N1894" s="16" t="n">
        <f aca="false">J1894-K1894-L1894-M1894</f>
        <v>42354.3254841096</v>
      </c>
      <c r="O1894" s="16" t="n">
        <f aca="false">F1894*IF(A1894="2025",INDEX(Products!$D$2:$D$13,MATCH(D1894,Products!$A$2:$A$13,0)),INDEX(Products!$F$2:$F$13,MATCH(D1894,Products!$A$2:$A$13,0)))</f>
        <v>26280.45</v>
      </c>
      <c r="P1894" s="16" t="n">
        <f aca="false">N1894-O1894</f>
        <v>16073.8754841096</v>
      </c>
    </row>
    <row r="1895" customFormat="false" ht="15" hidden="false" customHeight="false" outlineLevel="0" collapsed="false">
      <c r="A1895" s="2" t="s">
        <v>119</v>
      </c>
      <c r="B1895" s="2" t="n">
        <v>10</v>
      </c>
      <c r="C1895" s="2" t="s">
        <v>90</v>
      </c>
      <c r="D1895" s="2" t="s">
        <v>39</v>
      </c>
      <c r="E1895" s="2" t="str">
        <f aca="false">INDEX(Products!$B$2:$B$13,MATCH(D1895,Products!$A$2:$A$13,0))</f>
        <v>Hydroprocessing</v>
      </c>
      <c r="F1895" s="15" t="n">
        <v>2.4</v>
      </c>
      <c r="G1895" s="16" t="n">
        <f aca="false">IF(A1895="2025",INDEX(Products!$C$2:$C$13,MATCH(D1895,Products!$A$2:$A$13,0)),INDEX(Products!$E$2:$E$13,MATCH(D1895,Products!$A$2:$A$13,0)))</f>
        <v>13198.5</v>
      </c>
      <c r="H1895" s="13" t="n">
        <f aca="false">IF(A1895="2025",INDEX(Customers!$D$2:$D$41,MATCH(C1895,Customers!$A$2:$A$41,0)),INDEX(Customers!$F$2:$F$41,MATCH(C1895,Customers!$A$2:$A$41,0)))</f>
        <v>0.058</v>
      </c>
      <c r="I1895" s="16" t="n">
        <f aca="false">F1895*G1895</f>
        <v>31676.4</v>
      </c>
      <c r="J1895" s="16" t="n">
        <f aca="false">I1895*(1-H1895)</f>
        <v>29839.1688</v>
      </c>
      <c r="K1895" s="16" t="n">
        <f aca="false">J1895*INDEX(Customers!$G$2:$G$41,MATCH(C1895,Customers!$A$2:$A$41,0))</f>
        <v>0</v>
      </c>
      <c r="L1895" s="16" t="n">
        <f aca="false">F1895*INDEX(Customers!$H$2:$H$41,MATCH(C1895,Customers!$A$2:$A$41,0))</f>
        <v>600</v>
      </c>
      <c r="M1895" s="16" t="n">
        <f aca="false">J1895*INDEX(Customers!$I$2:$I$41,MATCH(C1895,Customers!$A$2:$A$41,0))/365*Assumptions!$B$6</f>
        <v>196.202753753425</v>
      </c>
      <c r="N1895" s="16" t="n">
        <f aca="false">J1895-K1895-L1895-M1895</f>
        <v>29042.9660462466</v>
      </c>
      <c r="O1895" s="16" t="n">
        <f aca="false">F1895*IF(A1895="2025",INDEX(Products!$D$2:$D$13,MATCH(D1895,Products!$A$2:$A$13,0)),INDEX(Products!$F$2:$F$13,MATCH(D1895,Products!$A$2:$A$13,0)))</f>
        <v>18020.88</v>
      </c>
      <c r="P1895" s="16" t="n">
        <f aca="false">N1895-O1895</f>
        <v>11022.0860462466</v>
      </c>
    </row>
    <row r="1896" customFormat="false" ht="15" hidden="false" customHeight="false" outlineLevel="0" collapsed="false">
      <c r="A1896" s="2" t="s">
        <v>119</v>
      </c>
      <c r="B1896" s="2" t="n">
        <v>11</v>
      </c>
      <c r="C1896" s="2" t="s">
        <v>90</v>
      </c>
      <c r="D1896" s="2" t="s">
        <v>39</v>
      </c>
      <c r="E1896" s="2" t="str">
        <f aca="false">INDEX(Products!$B$2:$B$13,MATCH(D1896,Products!$A$2:$A$13,0))</f>
        <v>Hydroprocessing</v>
      </c>
      <c r="F1896" s="15" t="n">
        <v>4</v>
      </c>
      <c r="G1896" s="16" t="n">
        <f aca="false">IF(A1896="2025",INDEX(Products!$C$2:$C$13,MATCH(D1896,Products!$A$2:$A$13,0)),INDEX(Products!$E$2:$E$13,MATCH(D1896,Products!$A$2:$A$13,0)))</f>
        <v>13198.5</v>
      </c>
      <c r="H1896" s="13" t="n">
        <f aca="false">IF(A1896="2025",INDEX(Customers!$D$2:$D$41,MATCH(C1896,Customers!$A$2:$A$41,0)),INDEX(Customers!$F$2:$F$41,MATCH(C1896,Customers!$A$2:$A$41,0)))</f>
        <v>0.058</v>
      </c>
      <c r="I1896" s="16" t="n">
        <f aca="false">F1896*G1896</f>
        <v>52794</v>
      </c>
      <c r="J1896" s="16" t="n">
        <f aca="false">I1896*(1-H1896)</f>
        <v>49731.948</v>
      </c>
      <c r="K1896" s="16" t="n">
        <f aca="false">J1896*INDEX(Customers!$G$2:$G$41,MATCH(C1896,Customers!$A$2:$A$41,0))</f>
        <v>0</v>
      </c>
      <c r="L1896" s="16" t="n">
        <f aca="false">F1896*INDEX(Customers!$H$2:$H$41,MATCH(C1896,Customers!$A$2:$A$41,0))</f>
        <v>1000</v>
      </c>
      <c r="M1896" s="16" t="n">
        <f aca="false">J1896*INDEX(Customers!$I$2:$I$41,MATCH(C1896,Customers!$A$2:$A$41,0))/365*Assumptions!$B$6</f>
        <v>327.004589589041</v>
      </c>
      <c r="N1896" s="16" t="n">
        <f aca="false">J1896-K1896-L1896-M1896</f>
        <v>48404.943410411</v>
      </c>
      <c r="O1896" s="16" t="n">
        <f aca="false">F1896*IF(A1896="2025",INDEX(Products!$D$2:$D$13,MATCH(D1896,Products!$A$2:$A$13,0)),INDEX(Products!$F$2:$F$13,MATCH(D1896,Products!$A$2:$A$13,0)))</f>
        <v>30034.8</v>
      </c>
      <c r="P1896" s="16" t="n">
        <f aca="false">N1896-O1896</f>
        <v>18370.143410411</v>
      </c>
    </row>
    <row r="1897" customFormat="false" ht="15" hidden="false" customHeight="false" outlineLevel="0" collapsed="false">
      <c r="A1897" s="2" t="s">
        <v>119</v>
      </c>
      <c r="B1897" s="2" t="n">
        <v>12</v>
      </c>
      <c r="C1897" s="2" t="s">
        <v>90</v>
      </c>
      <c r="D1897" s="2" t="s">
        <v>39</v>
      </c>
      <c r="E1897" s="2" t="str">
        <f aca="false">INDEX(Products!$B$2:$B$13,MATCH(D1897,Products!$A$2:$A$13,0))</f>
        <v>Hydroprocessing</v>
      </c>
      <c r="F1897" s="15" t="n">
        <v>3.8</v>
      </c>
      <c r="G1897" s="16" t="n">
        <f aca="false">IF(A1897="2025",INDEX(Products!$C$2:$C$13,MATCH(D1897,Products!$A$2:$A$13,0)),INDEX(Products!$E$2:$E$13,MATCH(D1897,Products!$A$2:$A$13,0)))</f>
        <v>13198.5</v>
      </c>
      <c r="H1897" s="13" t="n">
        <f aca="false">IF(A1897="2025",INDEX(Customers!$D$2:$D$41,MATCH(C1897,Customers!$A$2:$A$41,0)),INDEX(Customers!$F$2:$F$41,MATCH(C1897,Customers!$A$2:$A$41,0)))</f>
        <v>0.058</v>
      </c>
      <c r="I1897" s="16" t="n">
        <f aca="false">F1897*G1897</f>
        <v>50154.3</v>
      </c>
      <c r="J1897" s="16" t="n">
        <f aca="false">I1897*(1-H1897)</f>
        <v>47245.3506</v>
      </c>
      <c r="K1897" s="16" t="n">
        <f aca="false">J1897*INDEX(Customers!$G$2:$G$41,MATCH(C1897,Customers!$A$2:$A$41,0))</f>
        <v>0</v>
      </c>
      <c r="L1897" s="16" t="n">
        <f aca="false">F1897*INDEX(Customers!$H$2:$H$41,MATCH(C1897,Customers!$A$2:$A$41,0))</f>
        <v>950</v>
      </c>
      <c r="M1897" s="16" t="n">
        <f aca="false">J1897*INDEX(Customers!$I$2:$I$41,MATCH(C1897,Customers!$A$2:$A$41,0))/365*Assumptions!$B$6</f>
        <v>310.654360109589</v>
      </c>
      <c r="N1897" s="16" t="n">
        <f aca="false">J1897-K1897-L1897-M1897</f>
        <v>45984.6962398904</v>
      </c>
      <c r="O1897" s="16" t="n">
        <f aca="false">F1897*IF(A1897="2025",INDEX(Products!$D$2:$D$13,MATCH(D1897,Products!$A$2:$A$13,0)),INDEX(Products!$F$2:$F$13,MATCH(D1897,Products!$A$2:$A$13,0)))</f>
        <v>28533.06</v>
      </c>
      <c r="P1897" s="16" t="n">
        <f aca="false">N1897-O1897</f>
        <v>17451.6362398904</v>
      </c>
    </row>
    <row r="1898" customFormat="false" ht="15" hidden="false" customHeight="false" outlineLevel="0" collapsed="false">
      <c r="A1898" s="2" t="s">
        <v>118</v>
      </c>
      <c r="B1898" s="2" t="n">
        <v>1</v>
      </c>
      <c r="C1898" s="2" t="s">
        <v>90</v>
      </c>
      <c r="D1898" s="2" t="s">
        <v>48</v>
      </c>
      <c r="E1898" s="2" t="str">
        <f aca="false">INDEX(Products!$B$2:$B$13,MATCH(D1898,Products!$A$2:$A$13,0))</f>
        <v>Specialty</v>
      </c>
      <c r="F1898" s="15" t="n">
        <v>1.4</v>
      </c>
      <c r="G1898" s="16" t="n">
        <f aca="false">IF(A1898="2025",INDEX(Products!$C$2:$C$13,MATCH(D1898,Products!$A$2:$A$13,0)),INDEX(Products!$E$2:$E$13,MATCH(D1898,Products!$A$2:$A$13,0)))</f>
        <v>33260</v>
      </c>
      <c r="H1898" s="13" t="n">
        <f aca="false">IF(A1898="2025",INDEX(Customers!$D$2:$D$41,MATCH(C1898,Customers!$A$2:$A$41,0)),INDEX(Customers!$F$2:$F$41,MATCH(C1898,Customers!$A$2:$A$41,0)))</f>
        <v>0.058</v>
      </c>
      <c r="I1898" s="16" t="n">
        <f aca="false">F1898*G1898</f>
        <v>46564</v>
      </c>
      <c r="J1898" s="16" t="n">
        <f aca="false">I1898*(1-H1898)</f>
        <v>43863.288</v>
      </c>
      <c r="K1898" s="16" t="n">
        <f aca="false">J1898*INDEX(Customers!$G$2:$G$41,MATCH(C1898,Customers!$A$2:$A$41,0))</f>
        <v>0</v>
      </c>
      <c r="L1898" s="16" t="n">
        <f aca="false">F1898*INDEX(Customers!$H$2:$H$41,MATCH(C1898,Customers!$A$2:$A$41,0))</f>
        <v>350</v>
      </c>
      <c r="M1898" s="16" t="n">
        <f aca="false">J1898*INDEX(Customers!$I$2:$I$41,MATCH(C1898,Customers!$A$2:$A$41,0))/365*Assumptions!$B$6</f>
        <v>288.416140273973</v>
      </c>
      <c r="N1898" s="16" t="n">
        <f aca="false">J1898-K1898-L1898-M1898</f>
        <v>43224.871859726</v>
      </c>
      <c r="O1898" s="16" t="n">
        <f aca="false">F1898*IF(A1898="2025",INDEX(Products!$D$2:$D$13,MATCH(D1898,Products!$A$2:$A$13,0)),INDEX(Products!$F$2:$F$13,MATCH(D1898,Products!$A$2:$A$13,0)))</f>
        <v>21028</v>
      </c>
      <c r="P1898" s="16" t="n">
        <f aca="false">N1898-O1898</f>
        <v>22196.871859726</v>
      </c>
    </row>
    <row r="1899" customFormat="false" ht="15" hidden="false" customHeight="false" outlineLevel="0" collapsed="false">
      <c r="A1899" s="2" t="s">
        <v>118</v>
      </c>
      <c r="B1899" s="2" t="n">
        <v>2</v>
      </c>
      <c r="C1899" s="2" t="s">
        <v>90</v>
      </c>
      <c r="D1899" s="2" t="s">
        <v>48</v>
      </c>
      <c r="E1899" s="2" t="str">
        <f aca="false">INDEX(Products!$B$2:$B$13,MATCH(D1899,Products!$A$2:$A$13,0))</f>
        <v>Specialty</v>
      </c>
      <c r="F1899" s="15" t="n">
        <v>1.4</v>
      </c>
      <c r="G1899" s="16" t="n">
        <f aca="false">IF(A1899="2025",INDEX(Products!$C$2:$C$13,MATCH(D1899,Products!$A$2:$A$13,0)),INDEX(Products!$E$2:$E$13,MATCH(D1899,Products!$A$2:$A$13,0)))</f>
        <v>33260</v>
      </c>
      <c r="H1899" s="13" t="n">
        <f aca="false">IF(A1899="2025",INDEX(Customers!$D$2:$D$41,MATCH(C1899,Customers!$A$2:$A$41,0)),INDEX(Customers!$F$2:$F$41,MATCH(C1899,Customers!$A$2:$A$41,0)))</f>
        <v>0.058</v>
      </c>
      <c r="I1899" s="16" t="n">
        <f aca="false">F1899*G1899</f>
        <v>46564</v>
      </c>
      <c r="J1899" s="16" t="n">
        <f aca="false">I1899*(1-H1899)</f>
        <v>43863.288</v>
      </c>
      <c r="K1899" s="16" t="n">
        <f aca="false">J1899*INDEX(Customers!$G$2:$G$41,MATCH(C1899,Customers!$A$2:$A$41,0))</f>
        <v>0</v>
      </c>
      <c r="L1899" s="16" t="n">
        <f aca="false">F1899*INDEX(Customers!$H$2:$H$41,MATCH(C1899,Customers!$A$2:$A$41,0))</f>
        <v>350</v>
      </c>
      <c r="M1899" s="16" t="n">
        <f aca="false">J1899*INDEX(Customers!$I$2:$I$41,MATCH(C1899,Customers!$A$2:$A$41,0))/365*Assumptions!$B$6</f>
        <v>288.416140273973</v>
      </c>
      <c r="N1899" s="16" t="n">
        <f aca="false">J1899-K1899-L1899-M1899</f>
        <v>43224.871859726</v>
      </c>
      <c r="O1899" s="16" t="n">
        <f aca="false">F1899*IF(A1899="2025",INDEX(Products!$D$2:$D$13,MATCH(D1899,Products!$A$2:$A$13,0)),INDEX(Products!$F$2:$F$13,MATCH(D1899,Products!$A$2:$A$13,0)))</f>
        <v>21028</v>
      </c>
      <c r="P1899" s="16" t="n">
        <f aca="false">N1899-O1899</f>
        <v>22196.871859726</v>
      </c>
    </row>
    <row r="1900" customFormat="false" ht="15" hidden="false" customHeight="false" outlineLevel="0" collapsed="false">
      <c r="A1900" s="2" t="s">
        <v>118</v>
      </c>
      <c r="B1900" s="2" t="n">
        <v>3</v>
      </c>
      <c r="C1900" s="2" t="s">
        <v>90</v>
      </c>
      <c r="D1900" s="2" t="s">
        <v>48</v>
      </c>
      <c r="E1900" s="2" t="str">
        <f aca="false">INDEX(Products!$B$2:$B$13,MATCH(D1900,Products!$A$2:$A$13,0))</f>
        <v>Specialty</v>
      </c>
      <c r="F1900" s="15" t="n">
        <v>1.3</v>
      </c>
      <c r="G1900" s="16" t="n">
        <f aca="false">IF(A1900="2025",INDEX(Products!$C$2:$C$13,MATCH(D1900,Products!$A$2:$A$13,0)),INDEX(Products!$E$2:$E$13,MATCH(D1900,Products!$A$2:$A$13,0)))</f>
        <v>33260</v>
      </c>
      <c r="H1900" s="13" t="n">
        <f aca="false">IF(A1900="2025",INDEX(Customers!$D$2:$D$41,MATCH(C1900,Customers!$A$2:$A$41,0)),INDEX(Customers!$F$2:$F$41,MATCH(C1900,Customers!$A$2:$A$41,0)))</f>
        <v>0.058</v>
      </c>
      <c r="I1900" s="16" t="n">
        <f aca="false">F1900*G1900</f>
        <v>43238</v>
      </c>
      <c r="J1900" s="16" t="n">
        <f aca="false">I1900*(1-H1900)</f>
        <v>40730.196</v>
      </c>
      <c r="K1900" s="16" t="n">
        <f aca="false">J1900*INDEX(Customers!$G$2:$G$41,MATCH(C1900,Customers!$A$2:$A$41,0))</f>
        <v>0</v>
      </c>
      <c r="L1900" s="16" t="n">
        <f aca="false">F1900*INDEX(Customers!$H$2:$H$41,MATCH(C1900,Customers!$A$2:$A$41,0))</f>
        <v>325</v>
      </c>
      <c r="M1900" s="16" t="n">
        <f aca="false">J1900*INDEX(Customers!$I$2:$I$41,MATCH(C1900,Customers!$A$2:$A$41,0))/365*Assumptions!$B$6</f>
        <v>267.81498739726</v>
      </c>
      <c r="N1900" s="16" t="n">
        <f aca="false">J1900-K1900-L1900-M1900</f>
        <v>40137.3810126027</v>
      </c>
      <c r="O1900" s="16" t="n">
        <f aca="false">F1900*IF(A1900="2025",INDEX(Products!$D$2:$D$13,MATCH(D1900,Products!$A$2:$A$13,0)),INDEX(Products!$F$2:$F$13,MATCH(D1900,Products!$A$2:$A$13,0)))</f>
        <v>19526</v>
      </c>
      <c r="P1900" s="16" t="n">
        <f aca="false">N1900-O1900</f>
        <v>20611.3810126027</v>
      </c>
    </row>
    <row r="1901" customFormat="false" ht="15" hidden="false" customHeight="false" outlineLevel="0" collapsed="false">
      <c r="A1901" s="2" t="s">
        <v>118</v>
      </c>
      <c r="B1901" s="2" t="n">
        <v>4</v>
      </c>
      <c r="C1901" s="2" t="s">
        <v>90</v>
      </c>
      <c r="D1901" s="2" t="s">
        <v>48</v>
      </c>
      <c r="E1901" s="2" t="str">
        <f aca="false">INDEX(Products!$B$2:$B$13,MATCH(D1901,Products!$A$2:$A$13,0))</f>
        <v>Specialty</v>
      </c>
      <c r="F1901" s="15" t="n">
        <v>1.7</v>
      </c>
      <c r="G1901" s="16" t="n">
        <f aca="false">IF(A1901="2025",INDEX(Products!$C$2:$C$13,MATCH(D1901,Products!$A$2:$A$13,0)),INDEX(Products!$E$2:$E$13,MATCH(D1901,Products!$A$2:$A$13,0)))</f>
        <v>33260</v>
      </c>
      <c r="H1901" s="13" t="n">
        <f aca="false">IF(A1901="2025",INDEX(Customers!$D$2:$D$41,MATCH(C1901,Customers!$A$2:$A$41,0)),INDEX(Customers!$F$2:$F$41,MATCH(C1901,Customers!$A$2:$A$41,0)))</f>
        <v>0.058</v>
      </c>
      <c r="I1901" s="16" t="n">
        <f aca="false">F1901*G1901</f>
        <v>56542</v>
      </c>
      <c r="J1901" s="16" t="n">
        <f aca="false">I1901*(1-H1901)</f>
        <v>53262.564</v>
      </c>
      <c r="K1901" s="16" t="n">
        <f aca="false">J1901*INDEX(Customers!$G$2:$G$41,MATCH(C1901,Customers!$A$2:$A$41,0))</f>
        <v>0</v>
      </c>
      <c r="L1901" s="16" t="n">
        <f aca="false">F1901*INDEX(Customers!$H$2:$H$41,MATCH(C1901,Customers!$A$2:$A$41,0))</f>
        <v>425</v>
      </c>
      <c r="M1901" s="16" t="n">
        <f aca="false">J1901*INDEX(Customers!$I$2:$I$41,MATCH(C1901,Customers!$A$2:$A$41,0))/365*Assumptions!$B$6</f>
        <v>350.21959890411</v>
      </c>
      <c r="N1901" s="16" t="n">
        <f aca="false">J1901-K1901-L1901-M1901</f>
        <v>52487.3444010959</v>
      </c>
      <c r="O1901" s="16" t="n">
        <f aca="false">F1901*IF(A1901="2025",INDEX(Products!$D$2:$D$13,MATCH(D1901,Products!$A$2:$A$13,0)),INDEX(Products!$F$2:$F$13,MATCH(D1901,Products!$A$2:$A$13,0)))</f>
        <v>25534</v>
      </c>
      <c r="P1901" s="16" t="n">
        <f aca="false">N1901-O1901</f>
        <v>26953.3444010959</v>
      </c>
    </row>
    <row r="1902" customFormat="false" ht="15" hidden="false" customHeight="false" outlineLevel="0" collapsed="false">
      <c r="A1902" s="2" t="s">
        <v>118</v>
      </c>
      <c r="B1902" s="2" t="n">
        <v>5</v>
      </c>
      <c r="C1902" s="2" t="s">
        <v>90</v>
      </c>
      <c r="D1902" s="2" t="s">
        <v>48</v>
      </c>
      <c r="E1902" s="2" t="str">
        <f aca="false">INDEX(Products!$B$2:$B$13,MATCH(D1902,Products!$A$2:$A$13,0))</f>
        <v>Specialty</v>
      </c>
      <c r="F1902" s="15" t="n">
        <v>1.9</v>
      </c>
      <c r="G1902" s="16" t="n">
        <f aca="false">IF(A1902="2025",INDEX(Products!$C$2:$C$13,MATCH(D1902,Products!$A$2:$A$13,0)),INDEX(Products!$E$2:$E$13,MATCH(D1902,Products!$A$2:$A$13,0)))</f>
        <v>33260</v>
      </c>
      <c r="H1902" s="13" t="n">
        <f aca="false">IF(A1902="2025",INDEX(Customers!$D$2:$D$41,MATCH(C1902,Customers!$A$2:$A$41,0)),INDEX(Customers!$F$2:$F$41,MATCH(C1902,Customers!$A$2:$A$41,0)))</f>
        <v>0.058</v>
      </c>
      <c r="I1902" s="16" t="n">
        <f aca="false">F1902*G1902</f>
        <v>63194</v>
      </c>
      <c r="J1902" s="16" t="n">
        <f aca="false">I1902*(1-H1902)</f>
        <v>59528.748</v>
      </c>
      <c r="K1902" s="16" t="n">
        <f aca="false">J1902*INDEX(Customers!$G$2:$G$41,MATCH(C1902,Customers!$A$2:$A$41,0))</f>
        <v>0</v>
      </c>
      <c r="L1902" s="16" t="n">
        <f aca="false">F1902*INDEX(Customers!$H$2:$H$41,MATCH(C1902,Customers!$A$2:$A$41,0))</f>
        <v>475</v>
      </c>
      <c r="M1902" s="16" t="n">
        <f aca="false">J1902*INDEX(Customers!$I$2:$I$41,MATCH(C1902,Customers!$A$2:$A$41,0))/365*Assumptions!$B$6</f>
        <v>391.421904657534</v>
      </c>
      <c r="N1902" s="16" t="n">
        <f aca="false">J1902-K1902-L1902-M1902</f>
        <v>58662.3260953425</v>
      </c>
      <c r="O1902" s="16" t="n">
        <f aca="false">F1902*IF(A1902="2025",INDEX(Products!$D$2:$D$13,MATCH(D1902,Products!$A$2:$A$13,0)),INDEX(Products!$F$2:$F$13,MATCH(D1902,Products!$A$2:$A$13,0)))</f>
        <v>28538</v>
      </c>
      <c r="P1902" s="16" t="n">
        <f aca="false">N1902-O1902</f>
        <v>30124.3260953425</v>
      </c>
    </row>
    <row r="1903" customFormat="false" ht="15" hidden="false" customHeight="false" outlineLevel="0" collapsed="false">
      <c r="A1903" s="2" t="s">
        <v>118</v>
      </c>
      <c r="B1903" s="2" t="n">
        <v>6</v>
      </c>
      <c r="C1903" s="2" t="s">
        <v>90</v>
      </c>
      <c r="D1903" s="2" t="s">
        <v>48</v>
      </c>
      <c r="E1903" s="2" t="str">
        <f aca="false">INDEX(Products!$B$2:$B$13,MATCH(D1903,Products!$A$2:$A$13,0))</f>
        <v>Specialty</v>
      </c>
      <c r="F1903" s="15" t="n">
        <v>1.4</v>
      </c>
      <c r="G1903" s="16" t="n">
        <f aca="false">IF(A1903="2025",INDEX(Products!$C$2:$C$13,MATCH(D1903,Products!$A$2:$A$13,0)),INDEX(Products!$E$2:$E$13,MATCH(D1903,Products!$A$2:$A$13,0)))</f>
        <v>33260</v>
      </c>
      <c r="H1903" s="13" t="n">
        <f aca="false">IF(A1903="2025",INDEX(Customers!$D$2:$D$41,MATCH(C1903,Customers!$A$2:$A$41,0)),INDEX(Customers!$F$2:$F$41,MATCH(C1903,Customers!$A$2:$A$41,0)))</f>
        <v>0.058</v>
      </c>
      <c r="I1903" s="16" t="n">
        <f aca="false">F1903*G1903</f>
        <v>46564</v>
      </c>
      <c r="J1903" s="16" t="n">
        <f aca="false">I1903*(1-H1903)</f>
        <v>43863.288</v>
      </c>
      <c r="K1903" s="16" t="n">
        <f aca="false">J1903*INDEX(Customers!$G$2:$G$41,MATCH(C1903,Customers!$A$2:$A$41,0))</f>
        <v>0</v>
      </c>
      <c r="L1903" s="16" t="n">
        <f aca="false">F1903*INDEX(Customers!$H$2:$H$41,MATCH(C1903,Customers!$A$2:$A$41,0))</f>
        <v>350</v>
      </c>
      <c r="M1903" s="16" t="n">
        <f aca="false">J1903*INDEX(Customers!$I$2:$I$41,MATCH(C1903,Customers!$A$2:$A$41,0))/365*Assumptions!$B$6</f>
        <v>288.416140273973</v>
      </c>
      <c r="N1903" s="16" t="n">
        <f aca="false">J1903-K1903-L1903-M1903</f>
        <v>43224.871859726</v>
      </c>
      <c r="O1903" s="16" t="n">
        <f aca="false">F1903*IF(A1903="2025",INDEX(Products!$D$2:$D$13,MATCH(D1903,Products!$A$2:$A$13,0)),INDEX(Products!$F$2:$F$13,MATCH(D1903,Products!$A$2:$A$13,0)))</f>
        <v>21028</v>
      </c>
      <c r="P1903" s="16" t="n">
        <f aca="false">N1903-O1903</f>
        <v>22196.871859726</v>
      </c>
    </row>
    <row r="1904" customFormat="false" ht="15" hidden="false" customHeight="false" outlineLevel="0" collapsed="false">
      <c r="A1904" s="2" t="s">
        <v>118</v>
      </c>
      <c r="B1904" s="2" t="n">
        <v>7</v>
      </c>
      <c r="C1904" s="2" t="s">
        <v>90</v>
      </c>
      <c r="D1904" s="2" t="s">
        <v>48</v>
      </c>
      <c r="E1904" s="2" t="str">
        <f aca="false">INDEX(Products!$B$2:$B$13,MATCH(D1904,Products!$A$2:$A$13,0))</f>
        <v>Specialty</v>
      </c>
      <c r="F1904" s="15" t="n">
        <v>2.3</v>
      </c>
      <c r="G1904" s="16" t="n">
        <f aca="false">IF(A1904="2025",INDEX(Products!$C$2:$C$13,MATCH(D1904,Products!$A$2:$A$13,0)),INDEX(Products!$E$2:$E$13,MATCH(D1904,Products!$A$2:$A$13,0)))</f>
        <v>33260</v>
      </c>
      <c r="H1904" s="13" t="n">
        <f aca="false">IF(A1904="2025",INDEX(Customers!$D$2:$D$41,MATCH(C1904,Customers!$A$2:$A$41,0)),INDEX(Customers!$F$2:$F$41,MATCH(C1904,Customers!$A$2:$A$41,0)))</f>
        <v>0.058</v>
      </c>
      <c r="I1904" s="16" t="n">
        <f aca="false">F1904*G1904</f>
        <v>76498</v>
      </c>
      <c r="J1904" s="16" t="n">
        <f aca="false">I1904*(1-H1904)</f>
        <v>72061.116</v>
      </c>
      <c r="K1904" s="16" t="n">
        <f aca="false">J1904*INDEX(Customers!$G$2:$G$41,MATCH(C1904,Customers!$A$2:$A$41,0))</f>
        <v>0</v>
      </c>
      <c r="L1904" s="16" t="n">
        <f aca="false">F1904*INDEX(Customers!$H$2:$H$41,MATCH(C1904,Customers!$A$2:$A$41,0))</f>
        <v>575</v>
      </c>
      <c r="M1904" s="16" t="n">
        <f aca="false">J1904*INDEX(Customers!$I$2:$I$41,MATCH(C1904,Customers!$A$2:$A$41,0))/365*Assumptions!$B$6</f>
        <v>473.826516164384</v>
      </c>
      <c r="N1904" s="16" t="n">
        <f aca="false">J1904-K1904-L1904-M1904</f>
        <v>71012.2894838356</v>
      </c>
      <c r="O1904" s="16" t="n">
        <f aca="false">F1904*IF(A1904="2025",INDEX(Products!$D$2:$D$13,MATCH(D1904,Products!$A$2:$A$13,0)),INDEX(Products!$F$2:$F$13,MATCH(D1904,Products!$A$2:$A$13,0)))</f>
        <v>34546</v>
      </c>
      <c r="P1904" s="16" t="n">
        <f aca="false">N1904-O1904</f>
        <v>36466.2894838356</v>
      </c>
    </row>
    <row r="1905" customFormat="false" ht="15" hidden="false" customHeight="false" outlineLevel="0" collapsed="false">
      <c r="A1905" s="2" t="s">
        <v>118</v>
      </c>
      <c r="B1905" s="2" t="n">
        <v>8</v>
      </c>
      <c r="C1905" s="2" t="s">
        <v>90</v>
      </c>
      <c r="D1905" s="2" t="s">
        <v>48</v>
      </c>
      <c r="E1905" s="2" t="str">
        <f aca="false">INDEX(Products!$B$2:$B$13,MATCH(D1905,Products!$A$2:$A$13,0))</f>
        <v>Specialty</v>
      </c>
      <c r="F1905" s="15" t="n">
        <v>1.3</v>
      </c>
      <c r="G1905" s="16" t="n">
        <f aca="false">IF(A1905="2025",INDEX(Products!$C$2:$C$13,MATCH(D1905,Products!$A$2:$A$13,0)),INDEX(Products!$E$2:$E$13,MATCH(D1905,Products!$A$2:$A$13,0)))</f>
        <v>33260</v>
      </c>
      <c r="H1905" s="13" t="n">
        <f aca="false">IF(A1905="2025",INDEX(Customers!$D$2:$D$41,MATCH(C1905,Customers!$A$2:$A$41,0)),INDEX(Customers!$F$2:$F$41,MATCH(C1905,Customers!$A$2:$A$41,0)))</f>
        <v>0.058</v>
      </c>
      <c r="I1905" s="16" t="n">
        <f aca="false">F1905*G1905</f>
        <v>43238</v>
      </c>
      <c r="J1905" s="16" t="n">
        <f aca="false">I1905*(1-H1905)</f>
        <v>40730.196</v>
      </c>
      <c r="K1905" s="16" t="n">
        <f aca="false">J1905*INDEX(Customers!$G$2:$G$41,MATCH(C1905,Customers!$A$2:$A$41,0))</f>
        <v>0</v>
      </c>
      <c r="L1905" s="16" t="n">
        <f aca="false">F1905*INDEX(Customers!$H$2:$H$41,MATCH(C1905,Customers!$A$2:$A$41,0))</f>
        <v>325</v>
      </c>
      <c r="M1905" s="16" t="n">
        <f aca="false">J1905*INDEX(Customers!$I$2:$I$41,MATCH(C1905,Customers!$A$2:$A$41,0))/365*Assumptions!$B$6</f>
        <v>267.81498739726</v>
      </c>
      <c r="N1905" s="16" t="n">
        <f aca="false">J1905-K1905-L1905-M1905</f>
        <v>40137.3810126027</v>
      </c>
      <c r="O1905" s="16" t="n">
        <f aca="false">F1905*IF(A1905="2025",INDEX(Products!$D$2:$D$13,MATCH(D1905,Products!$A$2:$A$13,0)),INDEX(Products!$F$2:$F$13,MATCH(D1905,Products!$A$2:$A$13,0)))</f>
        <v>19526</v>
      </c>
      <c r="P1905" s="16" t="n">
        <f aca="false">N1905-O1905</f>
        <v>20611.3810126027</v>
      </c>
    </row>
    <row r="1906" customFormat="false" ht="15" hidden="false" customHeight="false" outlineLevel="0" collapsed="false">
      <c r="A1906" s="2" t="s">
        <v>118</v>
      </c>
      <c r="B1906" s="2" t="n">
        <v>9</v>
      </c>
      <c r="C1906" s="2" t="s">
        <v>90</v>
      </c>
      <c r="D1906" s="2" t="s">
        <v>48</v>
      </c>
      <c r="E1906" s="2" t="str">
        <f aca="false">INDEX(Products!$B$2:$B$13,MATCH(D1906,Products!$A$2:$A$13,0))</f>
        <v>Specialty</v>
      </c>
      <c r="F1906" s="15" t="n">
        <v>1.4</v>
      </c>
      <c r="G1906" s="16" t="n">
        <f aca="false">IF(A1906="2025",INDEX(Products!$C$2:$C$13,MATCH(D1906,Products!$A$2:$A$13,0)),INDEX(Products!$E$2:$E$13,MATCH(D1906,Products!$A$2:$A$13,0)))</f>
        <v>33260</v>
      </c>
      <c r="H1906" s="13" t="n">
        <f aca="false">IF(A1906="2025",INDEX(Customers!$D$2:$D$41,MATCH(C1906,Customers!$A$2:$A$41,0)),INDEX(Customers!$F$2:$F$41,MATCH(C1906,Customers!$A$2:$A$41,0)))</f>
        <v>0.058</v>
      </c>
      <c r="I1906" s="16" t="n">
        <f aca="false">F1906*G1906</f>
        <v>46564</v>
      </c>
      <c r="J1906" s="16" t="n">
        <f aca="false">I1906*(1-H1906)</f>
        <v>43863.288</v>
      </c>
      <c r="K1906" s="16" t="n">
        <f aca="false">J1906*INDEX(Customers!$G$2:$G$41,MATCH(C1906,Customers!$A$2:$A$41,0))</f>
        <v>0</v>
      </c>
      <c r="L1906" s="16" t="n">
        <f aca="false">F1906*INDEX(Customers!$H$2:$H$41,MATCH(C1906,Customers!$A$2:$A$41,0))</f>
        <v>350</v>
      </c>
      <c r="M1906" s="16" t="n">
        <f aca="false">J1906*INDEX(Customers!$I$2:$I$41,MATCH(C1906,Customers!$A$2:$A$41,0))/365*Assumptions!$B$6</f>
        <v>288.416140273973</v>
      </c>
      <c r="N1906" s="16" t="n">
        <f aca="false">J1906-K1906-L1906-M1906</f>
        <v>43224.871859726</v>
      </c>
      <c r="O1906" s="16" t="n">
        <f aca="false">F1906*IF(A1906="2025",INDEX(Products!$D$2:$D$13,MATCH(D1906,Products!$A$2:$A$13,0)),INDEX(Products!$F$2:$F$13,MATCH(D1906,Products!$A$2:$A$13,0)))</f>
        <v>21028</v>
      </c>
      <c r="P1906" s="16" t="n">
        <f aca="false">N1906-O1906</f>
        <v>22196.871859726</v>
      </c>
    </row>
    <row r="1907" customFormat="false" ht="15" hidden="false" customHeight="false" outlineLevel="0" collapsed="false">
      <c r="A1907" s="2" t="s">
        <v>118</v>
      </c>
      <c r="B1907" s="2" t="n">
        <v>10</v>
      </c>
      <c r="C1907" s="2" t="s">
        <v>90</v>
      </c>
      <c r="D1907" s="2" t="s">
        <v>48</v>
      </c>
      <c r="E1907" s="2" t="str">
        <f aca="false">INDEX(Products!$B$2:$B$13,MATCH(D1907,Products!$A$2:$A$13,0))</f>
        <v>Specialty</v>
      </c>
      <c r="F1907" s="15" t="n">
        <v>2.1</v>
      </c>
      <c r="G1907" s="16" t="n">
        <f aca="false">IF(A1907="2025",INDEX(Products!$C$2:$C$13,MATCH(D1907,Products!$A$2:$A$13,0)),INDEX(Products!$E$2:$E$13,MATCH(D1907,Products!$A$2:$A$13,0)))</f>
        <v>33260</v>
      </c>
      <c r="H1907" s="13" t="n">
        <f aca="false">IF(A1907="2025",INDEX(Customers!$D$2:$D$41,MATCH(C1907,Customers!$A$2:$A$41,0)),INDEX(Customers!$F$2:$F$41,MATCH(C1907,Customers!$A$2:$A$41,0)))</f>
        <v>0.058</v>
      </c>
      <c r="I1907" s="16" t="n">
        <f aca="false">F1907*G1907</f>
        <v>69846</v>
      </c>
      <c r="J1907" s="16" t="n">
        <f aca="false">I1907*(1-H1907)</f>
        <v>65794.932</v>
      </c>
      <c r="K1907" s="16" t="n">
        <f aca="false">J1907*INDEX(Customers!$G$2:$G$41,MATCH(C1907,Customers!$A$2:$A$41,0))</f>
        <v>0</v>
      </c>
      <c r="L1907" s="16" t="n">
        <f aca="false">F1907*INDEX(Customers!$H$2:$H$41,MATCH(C1907,Customers!$A$2:$A$41,0))</f>
        <v>525</v>
      </c>
      <c r="M1907" s="16" t="n">
        <f aca="false">J1907*INDEX(Customers!$I$2:$I$41,MATCH(C1907,Customers!$A$2:$A$41,0))/365*Assumptions!$B$6</f>
        <v>432.624210410959</v>
      </c>
      <c r="N1907" s="16" t="n">
        <f aca="false">J1907-K1907-L1907-M1907</f>
        <v>64837.307789589</v>
      </c>
      <c r="O1907" s="16" t="n">
        <f aca="false">F1907*IF(A1907="2025",INDEX(Products!$D$2:$D$13,MATCH(D1907,Products!$A$2:$A$13,0)),INDEX(Products!$F$2:$F$13,MATCH(D1907,Products!$A$2:$A$13,0)))</f>
        <v>31542</v>
      </c>
      <c r="P1907" s="16" t="n">
        <f aca="false">N1907-O1907</f>
        <v>33295.307789589</v>
      </c>
    </row>
    <row r="1908" customFormat="false" ht="15" hidden="false" customHeight="false" outlineLevel="0" collapsed="false">
      <c r="A1908" s="2" t="s">
        <v>118</v>
      </c>
      <c r="B1908" s="2" t="n">
        <v>11</v>
      </c>
      <c r="C1908" s="2" t="s">
        <v>90</v>
      </c>
      <c r="D1908" s="2" t="s">
        <v>48</v>
      </c>
      <c r="E1908" s="2" t="str">
        <f aca="false">INDEX(Products!$B$2:$B$13,MATCH(D1908,Products!$A$2:$A$13,0))</f>
        <v>Specialty</v>
      </c>
      <c r="F1908" s="15" t="n">
        <v>2</v>
      </c>
      <c r="G1908" s="16" t="n">
        <f aca="false">IF(A1908="2025",INDEX(Products!$C$2:$C$13,MATCH(D1908,Products!$A$2:$A$13,0)),INDEX(Products!$E$2:$E$13,MATCH(D1908,Products!$A$2:$A$13,0)))</f>
        <v>33260</v>
      </c>
      <c r="H1908" s="13" t="n">
        <f aca="false">IF(A1908="2025",INDEX(Customers!$D$2:$D$41,MATCH(C1908,Customers!$A$2:$A$41,0)),INDEX(Customers!$F$2:$F$41,MATCH(C1908,Customers!$A$2:$A$41,0)))</f>
        <v>0.058</v>
      </c>
      <c r="I1908" s="16" t="n">
        <f aca="false">F1908*G1908</f>
        <v>66520</v>
      </c>
      <c r="J1908" s="16" t="n">
        <f aca="false">I1908*(1-H1908)</f>
        <v>62661.84</v>
      </c>
      <c r="K1908" s="16" t="n">
        <f aca="false">J1908*INDEX(Customers!$G$2:$G$41,MATCH(C1908,Customers!$A$2:$A$41,0))</f>
        <v>0</v>
      </c>
      <c r="L1908" s="16" t="n">
        <f aca="false">F1908*INDEX(Customers!$H$2:$H$41,MATCH(C1908,Customers!$A$2:$A$41,0))</f>
        <v>500</v>
      </c>
      <c r="M1908" s="16" t="n">
        <f aca="false">J1908*INDEX(Customers!$I$2:$I$41,MATCH(C1908,Customers!$A$2:$A$41,0))/365*Assumptions!$B$6</f>
        <v>412.023057534247</v>
      </c>
      <c r="N1908" s="16" t="n">
        <f aca="false">J1908-K1908-L1908-M1908</f>
        <v>61749.8169424658</v>
      </c>
      <c r="O1908" s="16" t="n">
        <f aca="false">F1908*IF(A1908="2025",INDEX(Products!$D$2:$D$13,MATCH(D1908,Products!$A$2:$A$13,0)),INDEX(Products!$F$2:$F$13,MATCH(D1908,Products!$A$2:$A$13,0)))</f>
        <v>30040</v>
      </c>
      <c r="P1908" s="16" t="n">
        <f aca="false">N1908-O1908</f>
        <v>31709.8169424658</v>
      </c>
    </row>
    <row r="1909" customFormat="false" ht="15" hidden="false" customHeight="false" outlineLevel="0" collapsed="false">
      <c r="A1909" s="2" t="s">
        <v>118</v>
      </c>
      <c r="B1909" s="2" t="n">
        <v>12</v>
      </c>
      <c r="C1909" s="2" t="s">
        <v>90</v>
      </c>
      <c r="D1909" s="2" t="s">
        <v>48</v>
      </c>
      <c r="E1909" s="2" t="str">
        <f aca="false">INDEX(Products!$B$2:$B$13,MATCH(D1909,Products!$A$2:$A$13,0))</f>
        <v>Specialty</v>
      </c>
      <c r="F1909" s="15" t="n">
        <v>2.2</v>
      </c>
      <c r="G1909" s="16" t="n">
        <f aca="false">IF(A1909="2025",INDEX(Products!$C$2:$C$13,MATCH(D1909,Products!$A$2:$A$13,0)),INDEX(Products!$E$2:$E$13,MATCH(D1909,Products!$A$2:$A$13,0)))</f>
        <v>33260</v>
      </c>
      <c r="H1909" s="13" t="n">
        <f aca="false">IF(A1909="2025",INDEX(Customers!$D$2:$D$41,MATCH(C1909,Customers!$A$2:$A$41,0)),INDEX(Customers!$F$2:$F$41,MATCH(C1909,Customers!$A$2:$A$41,0)))</f>
        <v>0.058</v>
      </c>
      <c r="I1909" s="16" t="n">
        <f aca="false">F1909*G1909</f>
        <v>73172</v>
      </c>
      <c r="J1909" s="16" t="n">
        <f aca="false">I1909*(1-H1909)</f>
        <v>68928.024</v>
      </c>
      <c r="K1909" s="16" t="n">
        <f aca="false">J1909*INDEX(Customers!$G$2:$G$41,MATCH(C1909,Customers!$A$2:$A$41,0))</f>
        <v>0</v>
      </c>
      <c r="L1909" s="16" t="n">
        <f aca="false">F1909*INDEX(Customers!$H$2:$H$41,MATCH(C1909,Customers!$A$2:$A$41,0))</f>
        <v>550</v>
      </c>
      <c r="M1909" s="16" t="n">
        <f aca="false">J1909*INDEX(Customers!$I$2:$I$41,MATCH(C1909,Customers!$A$2:$A$41,0))/365*Assumptions!$B$6</f>
        <v>453.225363287671</v>
      </c>
      <c r="N1909" s="16" t="n">
        <f aca="false">J1909-K1909-L1909-M1909</f>
        <v>67924.7986367123</v>
      </c>
      <c r="O1909" s="16" t="n">
        <f aca="false">F1909*IF(A1909="2025",INDEX(Products!$D$2:$D$13,MATCH(D1909,Products!$A$2:$A$13,0)),INDEX(Products!$F$2:$F$13,MATCH(D1909,Products!$A$2:$A$13,0)))</f>
        <v>33044</v>
      </c>
      <c r="P1909" s="16" t="n">
        <f aca="false">N1909-O1909</f>
        <v>34880.7986367123</v>
      </c>
    </row>
    <row r="1910" customFormat="false" ht="15" hidden="false" customHeight="false" outlineLevel="0" collapsed="false">
      <c r="A1910" s="2" t="s">
        <v>119</v>
      </c>
      <c r="B1910" s="2" t="n">
        <v>1</v>
      </c>
      <c r="C1910" s="2" t="s">
        <v>90</v>
      </c>
      <c r="D1910" s="2" t="s">
        <v>48</v>
      </c>
      <c r="E1910" s="2" t="str">
        <f aca="false">INDEX(Products!$B$2:$B$13,MATCH(D1910,Products!$A$2:$A$13,0))</f>
        <v>Specialty</v>
      </c>
      <c r="F1910" s="15" t="n">
        <v>2.7</v>
      </c>
      <c r="G1910" s="16" t="n">
        <f aca="false">IF(A1910="2025",INDEX(Products!$C$2:$C$13,MATCH(D1910,Products!$A$2:$A$13,0)),INDEX(Products!$E$2:$E$13,MATCH(D1910,Products!$A$2:$A$13,0)))</f>
        <v>34923</v>
      </c>
      <c r="H1910" s="13" t="n">
        <f aca="false">IF(A1910="2025",INDEX(Customers!$D$2:$D$41,MATCH(C1910,Customers!$A$2:$A$41,0)),INDEX(Customers!$F$2:$F$41,MATCH(C1910,Customers!$A$2:$A$41,0)))</f>
        <v>0.058</v>
      </c>
      <c r="I1910" s="16" t="n">
        <f aca="false">F1910*G1910</f>
        <v>94292.1</v>
      </c>
      <c r="J1910" s="16" t="n">
        <f aca="false">I1910*(1-H1910)</f>
        <v>88823.1582</v>
      </c>
      <c r="K1910" s="16" t="n">
        <f aca="false">J1910*INDEX(Customers!$G$2:$G$41,MATCH(C1910,Customers!$A$2:$A$41,0))</f>
        <v>0</v>
      </c>
      <c r="L1910" s="16" t="n">
        <f aca="false">F1910*INDEX(Customers!$H$2:$H$41,MATCH(C1910,Customers!$A$2:$A$41,0))</f>
        <v>675</v>
      </c>
      <c r="M1910" s="16" t="n">
        <f aca="false">J1910*INDEX(Customers!$I$2:$I$41,MATCH(C1910,Customers!$A$2:$A$41,0))/365*Assumptions!$B$6</f>
        <v>584.042684054795</v>
      </c>
      <c r="N1910" s="16" t="n">
        <f aca="false">J1910-K1910-L1910-M1910</f>
        <v>87564.1155159452</v>
      </c>
      <c r="O1910" s="16" t="n">
        <f aca="false">F1910*IF(A1910="2025",INDEX(Products!$D$2:$D$13,MATCH(D1910,Products!$A$2:$A$13,0)),INDEX(Products!$F$2:$F$13,MATCH(D1910,Products!$A$2:$A$13,0)))</f>
        <v>41770.62</v>
      </c>
      <c r="P1910" s="16" t="n">
        <f aca="false">N1910-O1910</f>
        <v>45793.4955159452</v>
      </c>
    </row>
    <row r="1911" customFormat="false" ht="15" hidden="false" customHeight="false" outlineLevel="0" collapsed="false">
      <c r="A1911" s="2" t="s">
        <v>119</v>
      </c>
      <c r="B1911" s="2" t="n">
        <v>2</v>
      </c>
      <c r="C1911" s="2" t="s">
        <v>90</v>
      </c>
      <c r="D1911" s="2" t="s">
        <v>48</v>
      </c>
      <c r="E1911" s="2" t="str">
        <f aca="false">INDEX(Products!$B$2:$B$13,MATCH(D1911,Products!$A$2:$A$13,0))</f>
        <v>Specialty</v>
      </c>
      <c r="F1911" s="15" t="n">
        <v>2.8</v>
      </c>
      <c r="G1911" s="16" t="n">
        <f aca="false">IF(A1911="2025",INDEX(Products!$C$2:$C$13,MATCH(D1911,Products!$A$2:$A$13,0)),INDEX(Products!$E$2:$E$13,MATCH(D1911,Products!$A$2:$A$13,0)))</f>
        <v>34923</v>
      </c>
      <c r="H1911" s="13" t="n">
        <f aca="false">IF(A1911="2025",INDEX(Customers!$D$2:$D$41,MATCH(C1911,Customers!$A$2:$A$41,0)),INDEX(Customers!$F$2:$F$41,MATCH(C1911,Customers!$A$2:$A$41,0)))</f>
        <v>0.058</v>
      </c>
      <c r="I1911" s="16" t="n">
        <f aca="false">F1911*G1911</f>
        <v>97784.4</v>
      </c>
      <c r="J1911" s="16" t="n">
        <f aca="false">I1911*(1-H1911)</f>
        <v>92112.9048</v>
      </c>
      <c r="K1911" s="16" t="n">
        <f aca="false">J1911*INDEX(Customers!$G$2:$G$41,MATCH(C1911,Customers!$A$2:$A$41,0))</f>
        <v>0</v>
      </c>
      <c r="L1911" s="16" t="n">
        <f aca="false">F1911*INDEX(Customers!$H$2:$H$41,MATCH(C1911,Customers!$A$2:$A$41,0))</f>
        <v>700</v>
      </c>
      <c r="M1911" s="16" t="n">
        <f aca="false">J1911*INDEX(Customers!$I$2:$I$41,MATCH(C1911,Customers!$A$2:$A$41,0))/365*Assumptions!$B$6</f>
        <v>605.673894575342</v>
      </c>
      <c r="N1911" s="16" t="n">
        <f aca="false">J1911-K1911-L1911-M1911</f>
        <v>90807.2309054246</v>
      </c>
      <c r="O1911" s="16" t="n">
        <f aca="false">F1911*IF(A1911="2025",INDEX(Products!$D$2:$D$13,MATCH(D1911,Products!$A$2:$A$13,0)),INDEX(Products!$F$2:$F$13,MATCH(D1911,Products!$A$2:$A$13,0)))</f>
        <v>43317.68</v>
      </c>
      <c r="P1911" s="16" t="n">
        <f aca="false">N1911-O1911</f>
        <v>47489.5509054246</v>
      </c>
    </row>
    <row r="1912" customFormat="false" ht="15" hidden="false" customHeight="false" outlineLevel="0" collapsed="false">
      <c r="A1912" s="2" t="s">
        <v>119</v>
      </c>
      <c r="B1912" s="2" t="n">
        <v>3</v>
      </c>
      <c r="C1912" s="2" t="s">
        <v>90</v>
      </c>
      <c r="D1912" s="2" t="s">
        <v>48</v>
      </c>
      <c r="E1912" s="2" t="str">
        <f aca="false">INDEX(Products!$B$2:$B$13,MATCH(D1912,Products!$A$2:$A$13,0))</f>
        <v>Specialty</v>
      </c>
      <c r="F1912" s="15" t="n">
        <v>2.3</v>
      </c>
      <c r="G1912" s="16" t="n">
        <f aca="false">IF(A1912="2025",INDEX(Products!$C$2:$C$13,MATCH(D1912,Products!$A$2:$A$13,0)),INDEX(Products!$E$2:$E$13,MATCH(D1912,Products!$A$2:$A$13,0)))</f>
        <v>34923</v>
      </c>
      <c r="H1912" s="13" t="n">
        <f aca="false">IF(A1912="2025",INDEX(Customers!$D$2:$D$41,MATCH(C1912,Customers!$A$2:$A$41,0)),INDEX(Customers!$F$2:$F$41,MATCH(C1912,Customers!$A$2:$A$41,0)))</f>
        <v>0.058</v>
      </c>
      <c r="I1912" s="16" t="n">
        <f aca="false">F1912*G1912</f>
        <v>80322.9</v>
      </c>
      <c r="J1912" s="16" t="n">
        <f aca="false">I1912*(1-H1912)</f>
        <v>75664.1718</v>
      </c>
      <c r="K1912" s="16" t="n">
        <f aca="false">J1912*INDEX(Customers!$G$2:$G$41,MATCH(C1912,Customers!$A$2:$A$41,0))</f>
        <v>0</v>
      </c>
      <c r="L1912" s="16" t="n">
        <f aca="false">F1912*INDEX(Customers!$H$2:$H$41,MATCH(C1912,Customers!$A$2:$A$41,0))</f>
        <v>575</v>
      </c>
      <c r="M1912" s="16" t="n">
        <f aca="false">J1912*INDEX(Customers!$I$2:$I$41,MATCH(C1912,Customers!$A$2:$A$41,0))/365*Assumptions!$B$6</f>
        <v>497.517841972603</v>
      </c>
      <c r="N1912" s="16" t="n">
        <f aca="false">J1912-K1912-L1912-M1912</f>
        <v>74591.6539580274</v>
      </c>
      <c r="O1912" s="16" t="n">
        <f aca="false">F1912*IF(A1912="2025",INDEX(Products!$D$2:$D$13,MATCH(D1912,Products!$A$2:$A$13,0)),INDEX(Products!$F$2:$F$13,MATCH(D1912,Products!$A$2:$A$13,0)))</f>
        <v>35582.38</v>
      </c>
      <c r="P1912" s="16" t="n">
        <f aca="false">N1912-O1912</f>
        <v>39009.2739580274</v>
      </c>
    </row>
    <row r="1913" customFormat="false" ht="15" hidden="false" customHeight="false" outlineLevel="0" collapsed="false">
      <c r="A1913" s="2" t="s">
        <v>119</v>
      </c>
      <c r="B1913" s="2" t="n">
        <v>4</v>
      </c>
      <c r="C1913" s="2" t="s">
        <v>90</v>
      </c>
      <c r="D1913" s="2" t="s">
        <v>48</v>
      </c>
      <c r="E1913" s="2" t="str">
        <f aca="false">INDEX(Products!$B$2:$B$13,MATCH(D1913,Products!$A$2:$A$13,0))</f>
        <v>Specialty</v>
      </c>
      <c r="F1913" s="15" t="n">
        <v>2.3</v>
      </c>
      <c r="G1913" s="16" t="n">
        <f aca="false">IF(A1913="2025",INDEX(Products!$C$2:$C$13,MATCH(D1913,Products!$A$2:$A$13,0)),INDEX(Products!$E$2:$E$13,MATCH(D1913,Products!$A$2:$A$13,0)))</f>
        <v>34923</v>
      </c>
      <c r="H1913" s="13" t="n">
        <f aca="false">IF(A1913="2025",INDEX(Customers!$D$2:$D$41,MATCH(C1913,Customers!$A$2:$A$41,0)),INDEX(Customers!$F$2:$F$41,MATCH(C1913,Customers!$A$2:$A$41,0)))</f>
        <v>0.058</v>
      </c>
      <c r="I1913" s="16" t="n">
        <f aca="false">F1913*G1913</f>
        <v>80322.9</v>
      </c>
      <c r="J1913" s="16" t="n">
        <f aca="false">I1913*(1-H1913)</f>
        <v>75664.1718</v>
      </c>
      <c r="K1913" s="16" t="n">
        <f aca="false">J1913*INDEX(Customers!$G$2:$G$41,MATCH(C1913,Customers!$A$2:$A$41,0))</f>
        <v>0</v>
      </c>
      <c r="L1913" s="16" t="n">
        <f aca="false">F1913*INDEX(Customers!$H$2:$H$41,MATCH(C1913,Customers!$A$2:$A$41,0))</f>
        <v>575</v>
      </c>
      <c r="M1913" s="16" t="n">
        <f aca="false">J1913*INDEX(Customers!$I$2:$I$41,MATCH(C1913,Customers!$A$2:$A$41,0))/365*Assumptions!$B$6</f>
        <v>497.517841972603</v>
      </c>
      <c r="N1913" s="16" t="n">
        <f aca="false">J1913-K1913-L1913-M1913</f>
        <v>74591.6539580274</v>
      </c>
      <c r="O1913" s="16" t="n">
        <f aca="false">F1913*IF(A1913="2025",INDEX(Products!$D$2:$D$13,MATCH(D1913,Products!$A$2:$A$13,0)),INDEX(Products!$F$2:$F$13,MATCH(D1913,Products!$A$2:$A$13,0)))</f>
        <v>35582.38</v>
      </c>
      <c r="P1913" s="16" t="n">
        <f aca="false">N1913-O1913</f>
        <v>39009.2739580274</v>
      </c>
    </row>
    <row r="1914" customFormat="false" ht="15" hidden="false" customHeight="false" outlineLevel="0" collapsed="false">
      <c r="A1914" s="2" t="s">
        <v>119</v>
      </c>
      <c r="B1914" s="2" t="n">
        <v>5</v>
      </c>
      <c r="C1914" s="2" t="s">
        <v>90</v>
      </c>
      <c r="D1914" s="2" t="s">
        <v>48</v>
      </c>
      <c r="E1914" s="2" t="str">
        <f aca="false">INDEX(Products!$B$2:$B$13,MATCH(D1914,Products!$A$2:$A$13,0))</f>
        <v>Specialty</v>
      </c>
      <c r="F1914" s="15" t="n">
        <v>1.6</v>
      </c>
      <c r="G1914" s="16" t="n">
        <f aca="false">IF(A1914="2025",INDEX(Products!$C$2:$C$13,MATCH(D1914,Products!$A$2:$A$13,0)),INDEX(Products!$E$2:$E$13,MATCH(D1914,Products!$A$2:$A$13,0)))</f>
        <v>34923</v>
      </c>
      <c r="H1914" s="13" t="n">
        <f aca="false">IF(A1914="2025",INDEX(Customers!$D$2:$D$41,MATCH(C1914,Customers!$A$2:$A$41,0)),INDEX(Customers!$F$2:$F$41,MATCH(C1914,Customers!$A$2:$A$41,0)))</f>
        <v>0.058</v>
      </c>
      <c r="I1914" s="16" t="n">
        <f aca="false">F1914*G1914</f>
        <v>55876.8</v>
      </c>
      <c r="J1914" s="16" t="n">
        <f aca="false">I1914*(1-H1914)</f>
        <v>52635.9456</v>
      </c>
      <c r="K1914" s="16" t="n">
        <f aca="false">J1914*INDEX(Customers!$G$2:$G$41,MATCH(C1914,Customers!$A$2:$A$41,0))</f>
        <v>0</v>
      </c>
      <c r="L1914" s="16" t="n">
        <f aca="false">F1914*INDEX(Customers!$H$2:$H$41,MATCH(C1914,Customers!$A$2:$A$41,0))</f>
        <v>400</v>
      </c>
      <c r="M1914" s="16" t="n">
        <f aca="false">J1914*INDEX(Customers!$I$2:$I$41,MATCH(C1914,Customers!$A$2:$A$41,0))/365*Assumptions!$B$6</f>
        <v>346.099368328767</v>
      </c>
      <c r="N1914" s="16" t="n">
        <f aca="false">J1914-K1914-L1914-M1914</f>
        <v>51889.8462316712</v>
      </c>
      <c r="O1914" s="16" t="n">
        <f aca="false">F1914*IF(A1914="2025",INDEX(Products!$D$2:$D$13,MATCH(D1914,Products!$A$2:$A$13,0)),INDEX(Products!$F$2:$F$13,MATCH(D1914,Products!$A$2:$A$13,0)))</f>
        <v>24752.96</v>
      </c>
      <c r="P1914" s="16" t="n">
        <f aca="false">N1914-O1914</f>
        <v>27136.8862316712</v>
      </c>
    </row>
    <row r="1915" customFormat="false" ht="15" hidden="false" customHeight="false" outlineLevel="0" collapsed="false">
      <c r="A1915" s="2" t="s">
        <v>119</v>
      </c>
      <c r="B1915" s="2" t="n">
        <v>6</v>
      </c>
      <c r="C1915" s="2" t="s">
        <v>90</v>
      </c>
      <c r="D1915" s="2" t="s">
        <v>48</v>
      </c>
      <c r="E1915" s="2" t="str">
        <f aca="false">INDEX(Products!$B$2:$B$13,MATCH(D1915,Products!$A$2:$A$13,0))</f>
        <v>Specialty</v>
      </c>
      <c r="F1915" s="15" t="n">
        <v>2.2</v>
      </c>
      <c r="G1915" s="16" t="n">
        <f aca="false">IF(A1915="2025",INDEX(Products!$C$2:$C$13,MATCH(D1915,Products!$A$2:$A$13,0)),INDEX(Products!$E$2:$E$13,MATCH(D1915,Products!$A$2:$A$13,0)))</f>
        <v>34923</v>
      </c>
      <c r="H1915" s="13" t="n">
        <f aca="false">IF(A1915="2025",INDEX(Customers!$D$2:$D$41,MATCH(C1915,Customers!$A$2:$A$41,0)),INDEX(Customers!$F$2:$F$41,MATCH(C1915,Customers!$A$2:$A$41,0)))</f>
        <v>0.058</v>
      </c>
      <c r="I1915" s="16" t="n">
        <f aca="false">F1915*G1915</f>
        <v>76830.6</v>
      </c>
      <c r="J1915" s="16" t="n">
        <f aca="false">I1915*(1-H1915)</f>
        <v>72374.4252</v>
      </c>
      <c r="K1915" s="16" t="n">
        <f aca="false">J1915*INDEX(Customers!$G$2:$G$41,MATCH(C1915,Customers!$A$2:$A$41,0))</f>
        <v>0</v>
      </c>
      <c r="L1915" s="16" t="n">
        <f aca="false">F1915*INDEX(Customers!$H$2:$H$41,MATCH(C1915,Customers!$A$2:$A$41,0))</f>
        <v>550</v>
      </c>
      <c r="M1915" s="16" t="n">
        <f aca="false">J1915*INDEX(Customers!$I$2:$I$41,MATCH(C1915,Customers!$A$2:$A$41,0))/365*Assumptions!$B$6</f>
        <v>475.886631452055</v>
      </c>
      <c r="N1915" s="16" t="n">
        <f aca="false">J1915-K1915-L1915-M1915</f>
        <v>71348.5385685479</v>
      </c>
      <c r="O1915" s="16" t="n">
        <f aca="false">F1915*IF(A1915="2025",INDEX(Products!$D$2:$D$13,MATCH(D1915,Products!$A$2:$A$13,0)),INDEX(Products!$F$2:$F$13,MATCH(D1915,Products!$A$2:$A$13,0)))</f>
        <v>34035.32</v>
      </c>
      <c r="P1915" s="16" t="n">
        <f aca="false">N1915-O1915</f>
        <v>37313.2185685479</v>
      </c>
    </row>
    <row r="1916" customFormat="false" ht="15" hidden="false" customHeight="false" outlineLevel="0" collapsed="false">
      <c r="A1916" s="2" t="s">
        <v>119</v>
      </c>
      <c r="B1916" s="2" t="n">
        <v>7</v>
      </c>
      <c r="C1916" s="2" t="s">
        <v>90</v>
      </c>
      <c r="D1916" s="2" t="s">
        <v>48</v>
      </c>
      <c r="E1916" s="2" t="str">
        <f aca="false">INDEX(Products!$B$2:$B$13,MATCH(D1916,Products!$A$2:$A$13,0))</f>
        <v>Specialty</v>
      </c>
      <c r="F1916" s="15" t="n">
        <v>1.9</v>
      </c>
      <c r="G1916" s="16" t="n">
        <f aca="false">IF(A1916="2025",INDEX(Products!$C$2:$C$13,MATCH(D1916,Products!$A$2:$A$13,0)),INDEX(Products!$E$2:$E$13,MATCH(D1916,Products!$A$2:$A$13,0)))</f>
        <v>34923</v>
      </c>
      <c r="H1916" s="13" t="n">
        <f aca="false">IF(A1916="2025",INDEX(Customers!$D$2:$D$41,MATCH(C1916,Customers!$A$2:$A$41,0)),INDEX(Customers!$F$2:$F$41,MATCH(C1916,Customers!$A$2:$A$41,0)))</f>
        <v>0.058</v>
      </c>
      <c r="I1916" s="16" t="n">
        <f aca="false">F1916*G1916</f>
        <v>66353.7</v>
      </c>
      <c r="J1916" s="16" t="n">
        <f aca="false">I1916*(1-H1916)</f>
        <v>62505.1854</v>
      </c>
      <c r="K1916" s="16" t="n">
        <f aca="false">J1916*INDEX(Customers!$G$2:$G$41,MATCH(C1916,Customers!$A$2:$A$41,0))</f>
        <v>0</v>
      </c>
      <c r="L1916" s="16" t="n">
        <f aca="false">F1916*INDEX(Customers!$H$2:$H$41,MATCH(C1916,Customers!$A$2:$A$41,0))</f>
        <v>475</v>
      </c>
      <c r="M1916" s="16" t="n">
        <f aca="false">J1916*INDEX(Customers!$I$2:$I$41,MATCH(C1916,Customers!$A$2:$A$41,0))/365*Assumptions!$B$6</f>
        <v>410.992999890411</v>
      </c>
      <c r="N1916" s="16" t="n">
        <f aca="false">J1916-K1916-L1916-M1916</f>
        <v>61619.1924001096</v>
      </c>
      <c r="O1916" s="16" t="n">
        <f aca="false">F1916*IF(A1916="2025",INDEX(Products!$D$2:$D$13,MATCH(D1916,Products!$A$2:$A$13,0)),INDEX(Products!$F$2:$F$13,MATCH(D1916,Products!$A$2:$A$13,0)))</f>
        <v>29394.14</v>
      </c>
      <c r="P1916" s="16" t="n">
        <f aca="false">N1916-O1916</f>
        <v>32225.0524001096</v>
      </c>
    </row>
    <row r="1917" customFormat="false" ht="15" hidden="false" customHeight="false" outlineLevel="0" collapsed="false">
      <c r="A1917" s="2" t="s">
        <v>119</v>
      </c>
      <c r="B1917" s="2" t="n">
        <v>8</v>
      </c>
      <c r="C1917" s="2" t="s">
        <v>90</v>
      </c>
      <c r="D1917" s="2" t="s">
        <v>48</v>
      </c>
      <c r="E1917" s="2" t="str">
        <f aca="false">INDEX(Products!$B$2:$B$13,MATCH(D1917,Products!$A$2:$A$13,0))</f>
        <v>Specialty</v>
      </c>
      <c r="F1917" s="15" t="n">
        <v>1.6</v>
      </c>
      <c r="G1917" s="16" t="n">
        <f aca="false">IF(A1917="2025",INDEX(Products!$C$2:$C$13,MATCH(D1917,Products!$A$2:$A$13,0)),INDEX(Products!$E$2:$E$13,MATCH(D1917,Products!$A$2:$A$13,0)))</f>
        <v>34923</v>
      </c>
      <c r="H1917" s="13" t="n">
        <f aca="false">IF(A1917="2025",INDEX(Customers!$D$2:$D$41,MATCH(C1917,Customers!$A$2:$A$41,0)),INDEX(Customers!$F$2:$F$41,MATCH(C1917,Customers!$A$2:$A$41,0)))</f>
        <v>0.058</v>
      </c>
      <c r="I1917" s="16" t="n">
        <f aca="false">F1917*G1917</f>
        <v>55876.8</v>
      </c>
      <c r="J1917" s="16" t="n">
        <f aca="false">I1917*(1-H1917)</f>
        <v>52635.9456</v>
      </c>
      <c r="K1917" s="16" t="n">
        <f aca="false">J1917*INDEX(Customers!$G$2:$G$41,MATCH(C1917,Customers!$A$2:$A$41,0))</f>
        <v>0</v>
      </c>
      <c r="L1917" s="16" t="n">
        <f aca="false">F1917*INDEX(Customers!$H$2:$H$41,MATCH(C1917,Customers!$A$2:$A$41,0))</f>
        <v>400</v>
      </c>
      <c r="M1917" s="16" t="n">
        <f aca="false">J1917*INDEX(Customers!$I$2:$I$41,MATCH(C1917,Customers!$A$2:$A$41,0))/365*Assumptions!$B$6</f>
        <v>346.099368328767</v>
      </c>
      <c r="N1917" s="16" t="n">
        <f aca="false">J1917-K1917-L1917-M1917</f>
        <v>51889.8462316712</v>
      </c>
      <c r="O1917" s="16" t="n">
        <f aca="false">F1917*IF(A1917="2025",INDEX(Products!$D$2:$D$13,MATCH(D1917,Products!$A$2:$A$13,0)),INDEX(Products!$F$2:$F$13,MATCH(D1917,Products!$A$2:$A$13,0)))</f>
        <v>24752.96</v>
      </c>
      <c r="P1917" s="16" t="n">
        <f aca="false">N1917-O1917</f>
        <v>27136.8862316712</v>
      </c>
    </row>
    <row r="1918" customFormat="false" ht="15" hidden="false" customHeight="false" outlineLevel="0" collapsed="false">
      <c r="A1918" s="2" t="s">
        <v>119</v>
      </c>
      <c r="B1918" s="2" t="n">
        <v>9</v>
      </c>
      <c r="C1918" s="2" t="s">
        <v>90</v>
      </c>
      <c r="D1918" s="2" t="s">
        <v>48</v>
      </c>
      <c r="E1918" s="2" t="str">
        <f aca="false">INDEX(Products!$B$2:$B$13,MATCH(D1918,Products!$A$2:$A$13,0))</f>
        <v>Specialty</v>
      </c>
      <c r="F1918" s="15" t="n">
        <v>2.4</v>
      </c>
      <c r="G1918" s="16" t="n">
        <f aca="false">IF(A1918="2025",INDEX(Products!$C$2:$C$13,MATCH(D1918,Products!$A$2:$A$13,0)),INDEX(Products!$E$2:$E$13,MATCH(D1918,Products!$A$2:$A$13,0)))</f>
        <v>34923</v>
      </c>
      <c r="H1918" s="13" t="n">
        <f aca="false">IF(A1918="2025",INDEX(Customers!$D$2:$D$41,MATCH(C1918,Customers!$A$2:$A$41,0)),INDEX(Customers!$F$2:$F$41,MATCH(C1918,Customers!$A$2:$A$41,0)))</f>
        <v>0.058</v>
      </c>
      <c r="I1918" s="16" t="n">
        <f aca="false">F1918*G1918</f>
        <v>83815.2</v>
      </c>
      <c r="J1918" s="16" t="n">
        <f aca="false">I1918*(1-H1918)</f>
        <v>78953.9184</v>
      </c>
      <c r="K1918" s="16" t="n">
        <f aca="false">J1918*INDEX(Customers!$G$2:$G$41,MATCH(C1918,Customers!$A$2:$A$41,0))</f>
        <v>0</v>
      </c>
      <c r="L1918" s="16" t="n">
        <f aca="false">F1918*INDEX(Customers!$H$2:$H$41,MATCH(C1918,Customers!$A$2:$A$41,0))</f>
        <v>600</v>
      </c>
      <c r="M1918" s="16" t="n">
        <f aca="false">J1918*INDEX(Customers!$I$2:$I$41,MATCH(C1918,Customers!$A$2:$A$41,0))/365*Assumptions!$B$6</f>
        <v>519.149052493151</v>
      </c>
      <c r="N1918" s="16" t="n">
        <f aca="false">J1918-K1918-L1918-M1918</f>
        <v>77834.7693475068</v>
      </c>
      <c r="O1918" s="16" t="n">
        <f aca="false">F1918*IF(A1918="2025",INDEX(Products!$D$2:$D$13,MATCH(D1918,Products!$A$2:$A$13,0)),INDEX(Products!$F$2:$F$13,MATCH(D1918,Products!$A$2:$A$13,0)))</f>
        <v>37129.44</v>
      </c>
      <c r="P1918" s="16" t="n">
        <f aca="false">N1918-O1918</f>
        <v>40705.3293475068</v>
      </c>
    </row>
    <row r="1919" customFormat="false" ht="15" hidden="false" customHeight="false" outlineLevel="0" collapsed="false">
      <c r="A1919" s="2" t="s">
        <v>119</v>
      </c>
      <c r="B1919" s="2" t="n">
        <v>10</v>
      </c>
      <c r="C1919" s="2" t="s">
        <v>90</v>
      </c>
      <c r="D1919" s="2" t="s">
        <v>48</v>
      </c>
      <c r="E1919" s="2" t="str">
        <f aca="false">INDEX(Products!$B$2:$B$13,MATCH(D1919,Products!$A$2:$A$13,0))</f>
        <v>Specialty</v>
      </c>
      <c r="F1919" s="15" t="n">
        <v>1.6</v>
      </c>
      <c r="G1919" s="16" t="n">
        <f aca="false">IF(A1919="2025",INDEX(Products!$C$2:$C$13,MATCH(D1919,Products!$A$2:$A$13,0)),INDEX(Products!$E$2:$E$13,MATCH(D1919,Products!$A$2:$A$13,0)))</f>
        <v>34923</v>
      </c>
      <c r="H1919" s="13" t="n">
        <f aca="false">IF(A1919="2025",INDEX(Customers!$D$2:$D$41,MATCH(C1919,Customers!$A$2:$A$41,0)),INDEX(Customers!$F$2:$F$41,MATCH(C1919,Customers!$A$2:$A$41,0)))</f>
        <v>0.058</v>
      </c>
      <c r="I1919" s="16" t="n">
        <f aca="false">F1919*G1919</f>
        <v>55876.8</v>
      </c>
      <c r="J1919" s="16" t="n">
        <f aca="false">I1919*(1-H1919)</f>
        <v>52635.9456</v>
      </c>
      <c r="K1919" s="16" t="n">
        <f aca="false">J1919*INDEX(Customers!$G$2:$G$41,MATCH(C1919,Customers!$A$2:$A$41,0))</f>
        <v>0</v>
      </c>
      <c r="L1919" s="16" t="n">
        <f aca="false">F1919*INDEX(Customers!$H$2:$H$41,MATCH(C1919,Customers!$A$2:$A$41,0))</f>
        <v>400</v>
      </c>
      <c r="M1919" s="16" t="n">
        <f aca="false">J1919*INDEX(Customers!$I$2:$I$41,MATCH(C1919,Customers!$A$2:$A$41,0))/365*Assumptions!$B$6</f>
        <v>346.099368328767</v>
      </c>
      <c r="N1919" s="16" t="n">
        <f aca="false">J1919-K1919-L1919-M1919</f>
        <v>51889.8462316712</v>
      </c>
      <c r="O1919" s="16" t="n">
        <f aca="false">F1919*IF(A1919="2025",INDEX(Products!$D$2:$D$13,MATCH(D1919,Products!$A$2:$A$13,0)),INDEX(Products!$F$2:$F$13,MATCH(D1919,Products!$A$2:$A$13,0)))</f>
        <v>24752.96</v>
      </c>
      <c r="P1919" s="16" t="n">
        <f aca="false">N1919-O1919</f>
        <v>27136.8862316712</v>
      </c>
    </row>
    <row r="1920" customFormat="false" ht="15" hidden="false" customHeight="false" outlineLevel="0" collapsed="false">
      <c r="A1920" s="2" t="s">
        <v>119</v>
      </c>
      <c r="B1920" s="2" t="n">
        <v>11</v>
      </c>
      <c r="C1920" s="2" t="s">
        <v>90</v>
      </c>
      <c r="D1920" s="2" t="s">
        <v>48</v>
      </c>
      <c r="E1920" s="2" t="str">
        <f aca="false">INDEX(Products!$B$2:$B$13,MATCH(D1920,Products!$A$2:$A$13,0))</f>
        <v>Specialty</v>
      </c>
      <c r="F1920" s="15" t="n">
        <v>2.4</v>
      </c>
      <c r="G1920" s="16" t="n">
        <f aca="false">IF(A1920="2025",INDEX(Products!$C$2:$C$13,MATCH(D1920,Products!$A$2:$A$13,0)),INDEX(Products!$E$2:$E$13,MATCH(D1920,Products!$A$2:$A$13,0)))</f>
        <v>34923</v>
      </c>
      <c r="H1920" s="13" t="n">
        <f aca="false">IF(A1920="2025",INDEX(Customers!$D$2:$D$41,MATCH(C1920,Customers!$A$2:$A$41,0)),INDEX(Customers!$F$2:$F$41,MATCH(C1920,Customers!$A$2:$A$41,0)))</f>
        <v>0.058</v>
      </c>
      <c r="I1920" s="16" t="n">
        <f aca="false">F1920*G1920</f>
        <v>83815.2</v>
      </c>
      <c r="J1920" s="16" t="n">
        <f aca="false">I1920*(1-H1920)</f>
        <v>78953.9184</v>
      </c>
      <c r="K1920" s="16" t="n">
        <f aca="false">J1920*INDEX(Customers!$G$2:$G$41,MATCH(C1920,Customers!$A$2:$A$41,0))</f>
        <v>0</v>
      </c>
      <c r="L1920" s="16" t="n">
        <f aca="false">F1920*INDEX(Customers!$H$2:$H$41,MATCH(C1920,Customers!$A$2:$A$41,0))</f>
        <v>600</v>
      </c>
      <c r="M1920" s="16" t="n">
        <f aca="false">J1920*INDEX(Customers!$I$2:$I$41,MATCH(C1920,Customers!$A$2:$A$41,0))/365*Assumptions!$B$6</f>
        <v>519.149052493151</v>
      </c>
      <c r="N1920" s="16" t="n">
        <f aca="false">J1920-K1920-L1920-M1920</f>
        <v>77834.7693475068</v>
      </c>
      <c r="O1920" s="16" t="n">
        <f aca="false">F1920*IF(A1920="2025",INDEX(Products!$D$2:$D$13,MATCH(D1920,Products!$A$2:$A$13,0)),INDEX(Products!$F$2:$F$13,MATCH(D1920,Products!$A$2:$A$13,0)))</f>
        <v>37129.44</v>
      </c>
      <c r="P1920" s="16" t="n">
        <f aca="false">N1920-O1920</f>
        <v>40705.3293475068</v>
      </c>
    </row>
    <row r="1921" customFormat="false" ht="15" hidden="false" customHeight="false" outlineLevel="0" collapsed="false">
      <c r="A1921" s="2" t="s">
        <v>119</v>
      </c>
      <c r="B1921" s="2" t="n">
        <v>12</v>
      </c>
      <c r="C1921" s="2" t="s">
        <v>90</v>
      </c>
      <c r="D1921" s="2" t="s">
        <v>48</v>
      </c>
      <c r="E1921" s="2" t="str">
        <f aca="false">INDEX(Products!$B$2:$B$13,MATCH(D1921,Products!$A$2:$A$13,0))</f>
        <v>Specialty</v>
      </c>
      <c r="F1921" s="15" t="n">
        <v>2.8</v>
      </c>
      <c r="G1921" s="16" t="n">
        <f aca="false">IF(A1921="2025",INDEX(Products!$C$2:$C$13,MATCH(D1921,Products!$A$2:$A$13,0)),INDEX(Products!$E$2:$E$13,MATCH(D1921,Products!$A$2:$A$13,0)))</f>
        <v>34923</v>
      </c>
      <c r="H1921" s="13" t="n">
        <f aca="false">IF(A1921="2025",INDEX(Customers!$D$2:$D$41,MATCH(C1921,Customers!$A$2:$A$41,0)),INDEX(Customers!$F$2:$F$41,MATCH(C1921,Customers!$A$2:$A$41,0)))</f>
        <v>0.058</v>
      </c>
      <c r="I1921" s="16" t="n">
        <f aca="false">F1921*G1921</f>
        <v>97784.4</v>
      </c>
      <c r="J1921" s="16" t="n">
        <f aca="false">I1921*(1-H1921)</f>
        <v>92112.9048</v>
      </c>
      <c r="K1921" s="16" t="n">
        <f aca="false">J1921*INDEX(Customers!$G$2:$G$41,MATCH(C1921,Customers!$A$2:$A$41,0))</f>
        <v>0</v>
      </c>
      <c r="L1921" s="16" t="n">
        <f aca="false">F1921*INDEX(Customers!$H$2:$H$41,MATCH(C1921,Customers!$A$2:$A$41,0))</f>
        <v>700</v>
      </c>
      <c r="M1921" s="16" t="n">
        <f aca="false">J1921*INDEX(Customers!$I$2:$I$41,MATCH(C1921,Customers!$A$2:$A$41,0))/365*Assumptions!$B$6</f>
        <v>605.673894575342</v>
      </c>
      <c r="N1921" s="16" t="n">
        <f aca="false">J1921-K1921-L1921-M1921</f>
        <v>90807.2309054246</v>
      </c>
      <c r="O1921" s="16" t="n">
        <f aca="false">F1921*IF(A1921="2025",INDEX(Products!$D$2:$D$13,MATCH(D1921,Products!$A$2:$A$13,0)),INDEX(Products!$F$2:$F$13,MATCH(D1921,Products!$A$2:$A$13,0)))</f>
        <v>43317.68</v>
      </c>
      <c r="P1921" s="16" t="n">
        <f aca="false">N1921-O1921</f>
        <v>47489.5509054246</v>
      </c>
    </row>
    <row r="1922" customFormat="false" ht="15" hidden="false" customHeight="false" outlineLevel="0" collapsed="false">
      <c r="A1922" s="2" t="s">
        <v>118</v>
      </c>
      <c r="B1922" s="2" t="n">
        <v>1</v>
      </c>
      <c r="C1922" s="2" t="s">
        <v>90</v>
      </c>
      <c r="D1922" s="2" t="s">
        <v>44</v>
      </c>
      <c r="E1922" s="2" t="str">
        <f aca="false">INDEX(Products!$B$2:$B$13,MATCH(D1922,Products!$A$2:$A$13,0))</f>
        <v>Specialty</v>
      </c>
      <c r="F1922" s="15" t="n">
        <v>1.9</v>
      </c>
      <c r="G1922" s="16" t="n">
        <f aca="false">IF(A1922="2025",INDEX(Products!$C$2:$C$13,MATCH(D1922,Products!$A$2:$A$13,0)),INDEX(Products!$E$2:$E$13,MATCH(D1922,Products!$A$2:$A$13,0)))</f>
        <v>28970</v>
      </c>
      <c r="H1922" s="13" t="n">
        <f aca="false">IF(A1922="2025",INDEX(Customers!$D$2:$D$41,MATCH(C1922,Customers!$A$2:$A$41,0)),INDEX(Customers!$F$2:$F$41,MATCH(C1922,Customers!$A$2:$A$41,0)))</f>
        <v>0.058</v>
      </c>
      <c r="I1922" s="16" t="n">
        <f aca="false">F1922*G1922</f>
        <v>55043</v>
      </c>
      <c r="J1922" s="16" t="n">
        <f aca="false">I1922*(1-H1922)</f>
        <v>51850.506</v>
      </c>
      <c r="K1922" s="16" t="n">
        <f aca="false">J1922*INDEX(Customers!$G$2:$G$41,MATCH(C1922,Customers!$A$2:$A$41,0))</f>
        <v>0</v>
      </c>
      <c r="L1922" s="16" t="n">
        <f aca="false">F1922*INDEX(Customers!$H$2:$H$41,MATCH(C1922,Customers!$A$2:$A$41,0))</f>
        <v>475</v>
      </c>
      <c r="M1922" s="16" t="n">
        <f aca="false">J1922*INDEX(Customers!$I$2:$I$41,MATCH(C1922,Customers!$A$2:$A$41,0))/365*Assumptions!$B$6</f>
        <v>340.934833972603</v>
      </c>
      <c r="N1922" s="16" t="n">
        <f aca="false">J1922-K1922-L1922-M1922</f>
        <v>51034.5711660274</v>
      </c>
      <c r="O1922" s="16" t="n">
        <f aca="false">F1922*IF(A1922="2025",INDEX(Products!$D$2:$D$13,MATCH(D1922,Products!$A$2:$A$13,0)),INDEX(Products!$F$2:$F$13,MATCH(D1922,Products!$A$2:$A$13,0)))</f>
        <v>27189</v>
      </c>
      <c r="P1922" s="16" t="n">
        <f aca="false">N1922-O1922</f>
        <v>23845.5711660274</v>
      </c>
    </row>
    <row r="1923" customFormat="false" ht="15" hidden="false" customHeight="false" outlineLevel="0" collapsed="false">
      <c r="A1923" s="2" t="s">
        <v>118</v>
      </c>
      <c r="B1923" s="2" t="n">
        <v>2</v>
      </c>
      <c r="C1923" s="2" t="s">
        <v>90</v>
      </c>
      <c r="D1923" s="2" t="s">
        <v>44</v>
      </c>
      <c r="E1923" s="2" t="str">
        <f aca="false">INDEX(Products!$B$2:$B$13,MATCH(D1923,Products!$A$2:$A$13,0))</f>
        <v>Specialty</v>
      </c>
      <c r="F1923" s="15" t="n">
        <v>2.2</v>
      </c>
      <c r="G1923" s="16" t="n">
        <f aca="false">IF(A1923="2025",INDEX(Products!$C$2:$C$13,MATCH(D1923,Products!$A$2:$A$13,0)),INDEX(Products!$E$2:$E$13,MATCH(D1923,Products!$A$2:$A$13,0)))</f>
        <v>28970</v>
      </c>
      <c r="H1923" s="13" t="n">
        <f aca="false">IF(A1923="2025",INDEX(Customers!$D$2:$D$41,MATCH(C1923,Customers!$A$2:$A$41,0)),INDEX(Customers!$F$2:$F$41,MATCH(C1923,Customers!$A$2:$A$41,0)))</f>
        <v>0.058</v>
      </c>
      <c r="I1923" s="16" t="n">
        <f aca="false">F1923*G1923</f>
        <v>63734</v>
      </c>
      <c r="J1923" s="16" t="n">
        <f aca="false">I1923*(1-H1923)</f>
        <v>60037.428</v>
      </c>
      <c r="K1923" s="16" t="n">
        <f aca="false">J1923*INDEX(Customers!$G$2:$G$41,MATCH(C1923,Customers!$A$2:$A$41,0))</f>
        <v>0</v>
      </c>
      <c r="L1923" s="16" t="n">
        <f aca="false">F1923*INDEX(Customers!$H$2:$H$41,MATCH(C1923,Customers!$A$2:$A$41,0))</f>
        <v>550</v>
      </c>
      <c r="M1923" s="16" t="n">
        <f aca="false">J1923*INDEX(Customers!$I$2:$I$41,MATCH(C1923,Customers!$A$2:$A$41,0))/365*Assumptions!$B$6</f>
        <v>394.766649863014</v>
      </c>
      <c r="N1923" s="16" t="n">
        <f aca="false">J1923-K1923-L1923-M1923</f>
        <v>59092.661350137</v>
      </c>
      <c r="O1923" s="16" t="n">
        <f aca="false">F1923*IF(A1923="2025",INDEX(Products!$D$2:$D$13,MATCH(D1923,Products!$A$2:$A$13,0)),INDEX(Products!$F$2:$F$13,MATCH(D1923,Products!$A$2:$A$13,0)))</f>
        <v>31482</v>
      </c>
      <c r="P1923" s="16" t="n">
        <f aca="false">N1923-O1923</f>
        <v>27610.661350137</v>
      </c>
    </row>
    <row r="1924" customFormat="false" ht="15" hidden="false" customHeight="false" outlineLevel="0" collapsed="false">
      <c r="A1924" s="2" t="s">
        <v>118</v>
      </c>
      <c r="B1924" s="2" t="n">
        <v>3</v>
      </c>
      <c r="C1924" s="2" t="s">
        <v>90</v>
      </c>
      <c r="D1924" s="2" t="s">
        <v>44</v>
      </c>
      <c r="E1924" s="2" t="str">
        <f aca="false">INDEX(Products!$B$2:$B$13,MATCH(D1924,Products!$A$2:$A$13,0))</f>
        <v>Specialty</v>
      </c>
      <c r="F1924" s="15" t="n">
        <v>1.4</v>
      </c>
      <c r="G1924" s="16" t="n">
        <f aca="false">IF(A1924="2025",INDEX(Products!$C$2:$C$13,MATCH(D1924,Products!$A$2:$A$13,0)),INDEX(Products!$E$2:$E$13,MATCH(D1924,Products!$A$2:$A$13,0)))</f>
        <v>28970</v>
      </c>
      <c r="H1924" s="13" t="n">
        <f aca="false">IF(A1924="2025",INDEX(Customers!$D$2:$D$41,MATCH(C1924,Customers!$A$2:$A$41,0)),INDEX(Customers!$F$2:$F$41,MATCH(C1924,Customers!$A$2:$A$41,0)))</f>
        <v>0.058</v>
      </c>
      <c r="I1924" s="16" t="n">
        <f aca="false">F1924*G1924</f>
        <v>40558</v>
      </c>
      <c r="J1924" s="16" t="n">
        <f aca="false">I1924*(1-H1924)</f>
        <v>38205.636</v>
      </c>
      <c r="K1924" s="16" t="n">
        <f aca="false">J1924*INDEX(Customers!$G$2:$G$41,MATCH(C1924,Customers!$A$2:$A$41,0))</f>
        <v>0</v>
      </c>
      <c r="L1924" s="16" t="n">
        <f aca="false">F1924*INDEX(Customers!$H$2:$H$41,MATCH(C1924,Customers!$A$2:$A$41,0))</f>
        <v>350</v>
      </c>
      <c r="M1924" s="16" t="n">
        <f aca="false">J1924*INDEX(Customers!$I$2:$I$41,MATCH(C1924,Customers!$A$2:$A$41,0))/365*Assumptions!$B$6</f>
        <v>251.215140821918</v>
      </c>
      <c r="N1924" s="16" t="n">
        <f aca="false">J1924-K1924-L1924-M1924</f>
        <v>37604.4208591781</v>
      </c>
      <c r="O1924" s="16" t="n">
        <f aca="false">F1924*IF(A1924="2025",INDEX(Products!$D$2:$D$13,MATCH(D1924,Products!$A$2:$A$13,0)),INDEX(Products!$F$2:$F$13,MATCH(D1924,Products!$A$2:$A$13,0)))</f>
        <v>20034</v>
      </c>
      <c r="P1924" s="16" t="n">
        <f aca="false">N1924-O1924</f>
        <v>17570.4208591781</v>
      </c>
    </row>
    <row r="1925" customFormat="false" ht="15" hidden="false" customHeight="false" outlineLevel="0" collapsed="false">
      <c r="A1925" s="2" t="s">
        <v>118</v>
      </c>
      <c r="B1925" s="2" t="n">
        <v>4</v>
      </c>
      <c r="C1925" s="2" t="s">
        <v>90</v>
      </c>
      <c r="D1925" s="2" t="s">
        <v>44</v>
      </c>
      <c r="E1925" s="2" t="str">
        <f aca="false">INDEX(Products!$B$2:$B$13,MATCH(D1925,Products!$A$2:$A$13,0))</f>
        <v>Specialty</v>
      </c>
      <c r="F1925" s="15" t="n">
        <v>1.8</v>
      </c>
      <c r="G1925" s="16" t="n">
        <f aca="false">IF(A1925="2025",INDEX(Products!$C$2:$C$13,MATCH(D1925,Products!$A$2:$A$13,0)),INDEX(Products!$E$2:$E$13,MATCH(D1925,Products!$A$2:$A$13,0)))</f>
        <v>28970</v>
      </c>
      <c r="H1925" s="13" t="n">
        <f aca="false">IF(A1925="2025",INDEX(Customers!$D$2:$D$41,MATCH(C1925,Customers!$A$2:$A$41,0)),INDEX(Customers!$F$2:$F$41,MATCH(C1925,Customers!$A$2:$A$41,0)))</f>
        <v>0.058</v>
      </c>
      <c r="I1925" s="16" t="n">
        <f aca="false">F1925*G1925</f>
        <v>52146</v>
      </c>
      <c r="J1925" s="16" t="n">
        <f aca="false">I1925*(1-H1925)</f>
        <v>49121.532</v>
      </c>
      <c r="K1925" s="16" t="n">
        <f aca="false">J1925*INDEX(Customers!$G$2:$G$41,MATCH(C1925,Customers!$A$2:$A$41,0))</f>
        <v>0</v>
      </c>
      <c r="L1925" s="16" t="n">
        <f aca="false">F1925*INDEX(Customers!$H$2:$H$41,MATCH(C1925,Customers!$A$2:$A$41,0))</f>
        <v>450</v>
      </c>
      <c r="M1925" s="16" t="n">
        <f aca="false">J1925*INDEX(Customers!$I$2:$I$41,MATCH(C1925,Customers!$A$2:$A$41,0))/365*Assumptions!$B$6</f>
        <v>322.990895342466</v>
      </c>
      <c r="N1925" s="16" t="n">
        <f aca="false">J1925-K1925-L1925-M1925</f>
        <v>48348.5411046575</v>
      </c>
      <c r="O1925" s="16" t="n">
        <f aca="false">F1925*IF(A1925="2025",INDEX(Products!$D$2:$D$13,MATCH(D1925,Products!$A$2:$A$13,0)),INDEX(Products!$F$2:$F$13,MATCH(D1925,Products!$A$2:$A$13,0)))</f>
        <v>25758</v>
      </c>
      <c r="P1925" s="16" t="n">
        <f aca="false">N1925-O1925</f>
        <v>22590.5411046575</v>
      </c>
    </row>
    <row r="1926" customFormat="false" ht="15" hidden="false" customHeight="false" outlineLevel="0" collapsed="false">
      <c r="A1926" s="2" t="s">
        <v>118</v>
      </c>
      <c r="B1926" s="2" t="n">
        <v>5</v>
      </c>
      <c r="C1926" s="2" t="s">
        <v>90</v>
      </c>
      <c r="D1926" s="2" t="s">
        <v>44</v>
      </c>
      <c r="E1926" s="2" t="str">
        <f aca="false">INDEX(Products!$B$2:$B$13,MATCH(D1926,Products!$A$2:$A$13,0))</f>
        <v>Specialty</v>
      </c>
      <c r="F1926" s="15" t="n">
        <v>1.5</v>
      </c>
      <c r="G1926" s="16" t="n">
        <f aca="false">IF(A1926="2025",INDEX(Products!$C$2:$C$13,MATCH(D1926,Products!$A$2:$A$13,0)),INDEX(Products!$E$2:$E$13,MATCH(D1926,Products!$A$2:$A$13,0)))</f>
        <v>28970</v>
      </c>
      <c r="H1926" s="13" t="n">
        <f aca="false">IF(A1926="2025",INDEX(Customers!$D$2:$D$41,MATCH(C1926,Customers!$A$2:$A$41,0)),INDEX(Customers!$F$2:$F$41,MATCH(C1926,Customers!$A$2:$A$41,0)))</f>
        <v>0.058</v>
      </c>
      <c r="I1926" s="16" t="n">
        <f aca="false">F1926*G1926</f>
        <v>43455</v>
      </c>
      <c r="J1926" s="16" t="n">
        <f aca="false">I1926*(1-H1926)</f>
        <v>40934.61</v>
      </c>
      <c r="K1926" s="16" t="n">
        <f aca="false">J1926*INDEX(Customers!$G$2:$G$41,MATCH(C1926,Customers!$A$2:$A$41,0))</f>
        <v>0</v>
      </c>
      <c r="L1926" s="16" t="n">
        <f aca="false">F1926*INDEX(Customers!$H$2:$H$41,MATCH(C1926,Customers!$A$2:$A$41,0))</f>
        <v>375</v>
      </c>
      <c r="M1926" s="16" t="n">
        <f aca="false">J1926*INDEX(Customers!$I$2:$I$41,MATCH(C1926,Customers!$A$2:$A$41,0))/365*Assumptions!$B$6</f>
        <v>269.159079452055</v>
      </c>
      <c r="N1926" s="16" t="n">
        <f aca="false">J1926-K1926-L1926-M1926</f>
        <v>40290.450920548</v>
      </c>
      <c r="O1926" s="16" t="n">
        <f aca="false">F1926*IF(A1926="2025",INDEX(Products!$D$2:$D$13,MATCH(D1926,Products!$A$2:$A$13,0)),INDEX(Products!$F$2:$F$13,MATCH(D1926,Products!$A$2:$A$13,0)))</f>
        <v>21465</v>
      </c>
      <c r="P1926" s="16" t="n">
        <f aca="false">N1926-O1926</f>
        <v>18825.4509205479</v>
      </c>
    </row>
    <row r="1927" customFormat="false" ht="15" hidden="false" customHeight="false" outlineLevel="0" collapsed="false">
      <c r="A1927" s="2" t="s">
        <v>118</v>
      </c>
      <c r="B1927" s="2" t="n">
        <v>6</v>
      </c>
      <c r="C1927" s="2" t="s">
        <v>90</v>
      </c>
      <c r="D1927" s="2" t="s">
        <v>44</v>
      </c>
      <c r="E1927" s="2" t="str">
        <f aca="false">INDEX(Products!$B$2:$B$13,MATCH(D1927,Products!$A$2:$A$13,0))</f>
        <v>Specialty</v>
      </c>
      <c r="F1927" s="15" t="n">
        <v>1.7</v>
      </c>
      <c r="G1927" s="16" t="n">
        <f aca="false">IF(A1927="2025",INDEX(Products!$C$2:$C$13,MATCH(D1927,Products!$A$2:$A$13,0)),INDEX(Products!$E$2:$E$13,MATCH(D1927,Products!$A$2:$A$13,0)))</f>
        <v>28970</v>
      </c>
      <c r="H1927" s="13" t="n">
        <f aca="false">IF(A1927="2025",INDEX(Customers!$D$2:$D$41,MATCH(C1927,Customers!$A$2:$A$41,0)),INDEX(Customers!$F$2:$F$41,MATCH(C1927,Customers!$A$2:$A$41,0)))</f>
        <v>0.058</v>
      </c>
      <c r="I1927" s="16" t="n">
        <f aca="false">F1927*G1927</f>
        <v>49249</v>
      </c>
      <c r="J1927" s="16" t="n">
        <f aca="false">I1927*(1-H1927)</f>
        <v>46392.558</v>
      </c>
      <c r="K1927" s="16" t="n">
        <f aca="false">J1927*INDEX(Customers!$G$2:$G$41,MATCH(C1927,Customers!$A$2:$A$41,0))</f>
        <v>0</v>
      </c>
      <c r="L1927" s="16" t="n">
        <f aca="false">F1927*INDEX(Customers!$H$2:$H$41,MATCH(C1927,Customers!$A$2:$A$41,0))</f>
        <v>425</v>
      </c>
      <c r="M1927" s="16" t="n">
        <f aca="false">J1927*INDEX(Customers!$I$2:$I$41,MATCH(C1927,Customers!$A$2:$A$41,0))/365*Assumptions!$B$6</f>
        <v>305.046956712329</v>
      </c>
      <c r="N1927" s="16" t="n">
        <f aca="false">J1927-K1927-L1927-M1927</f>
        <v>45662.5110432877</v>
      </c>
      <c r="O1927" s="16" t="n">
        <f aca="false">F1927*IF(A1927="2025",INDEX(Products!$D$2:$D$13,MATCH(D1927,Products!$A$2:$A$13,0)),INDEX(Products!$F$2:$F$13,MATCH(D1927,Products!$A$2:$A$13,0)))</f>
        <v>24327</v>
      </c>
      <c r="P1927" s="16" t="n">
        <f aca="false">N1927-O1927</f>
        <v>21335.5110432877</v>
      </c>
    </row>
    <row r="1928" customFormat="false" ht="15" hidden="false" customHeight="false" outlineLevel="0" collapsed="false">
      <c r="A1928" s="2" t="s">
        <v>118</v>
      </c>
      <c r="B1928" s="2" t="n">
        <v>7</v>
      </c>
      <c r="C1928" s="2" t="s">
        <v>90</v>
      </c>
      <c r="D1928" s="2" t="s">
        <v>44</v>
      </c>
      <c r="E1928" s="2" t="str">
        <f aca="false">INDEX(Products!$B$2:$B$13,MATCH(D1928,Products!$A$2:$A$13,0))</f>
        <v>Specialty</v>
      </c>
      <c r="F1928" s="15" t="n">
        <v>1.4</v>
      </c>
      <c r="G1928" s="16" t="n">
        <f aca="false">IF(A1928="2025",INDEX(Products!$C$2:$C$13,MATCH(D1928,Products!$A$2:$A$13,0)),INDEX(Products!$E$2:$E$13,MATCH(D1928,Products!$A$2:$A$13,0)))</f>
        <v>28970</v>
      </c>
      <c r="H1928" s="13" t="n">
        <f aca="false">IF(A1928="2025",INDEX(Customers!$D$2:$D$41,MATCH(C1928,Customers!$A$2:$A$41,0)),INDEX(Customers!$F$2:$F$41,MATCH(C1928,Customers!$A$2:$A$41,0)))</f>
        <v>0.058</v>
      </c>
      <c r="I1928" s="16" t="n">
        <f aca="false">F1928*G1928</f>
        <v>40558</v>
      </c>
      <c r="J1928" s="16" t="n">
        <f aca="false">I1928*(1-H1928)</f>
        <v>38205.636</v>
      </c>
      <c r="K1928" s="16" t="n">
        <f aca="false">J1928*INDEX(Customers!$G$2:$G$41,MATCH(C1928,Customers!$A$2:$A$41,0))</f>
        <v>0</v>
      </c>
      <c r="L1928" s="16" t="n">
        <f aca="false">F1928*INDEX(Customers!$H$2:$H$41,MATCH(C1928,Customers!$A$2:$A$41,0))</f>
        <v>350</v>
      </c>
      <c r="M1928" s="16" t="n">
        <f aca="false">J1928*INDEX(Customers!$I$2:$I$41,MATCH(C1928,Customers!$A$2:$A$41,0))/365*Assumptions!$B$6</f>
        <v>251.215140821918</v>
      </c>
      <c r="N1928" s="16" t="n">
        <f aca="false">J1928-K1928-L1928-M1928</f>
        <v>37604.4208591781</v>
      </c>
      <c r="O1928" s="16" t="n">
        <f aca="false">F1928*IF(A1928="2025",INDEX(Products!$D$2:$D$13,MATCH(D1928,Products!$A$2:$A$13,0)),INDEX(Products!$F$2:$F$13,MATCH(D1928,Products!$A$2:$A$13,0)))</f>
        <v>20034</v>
      </c>
      <c r="P1928" s="16" t="n">
        <f aca="false">N1928-O1928</f>
        <v>17570.4208591781</v>
      </c>
    </row>
    <row r="1929" customFormat="false" ht="15" hidden="false" customHeight="false" outlineLevel="0" collapsed="false">
      <c r="A1929" s="2" t="s">
        <v>118</v>
      </c>
      <c r="B1929" s="2" t="n">
        <v>8</v>
      </c>
      <c r="C1929" s="2" t="s">
        <v>90</v>
      </c>
      <c r="D1929" s="2" t="s">
        <v>44</v>
      </c>
      <c r="E1929" s="2" t="str">
        <f aca="false">INDEX(Products!$B$2:$B$13,MATCH(D1929,Products!$A$2:$A$13,0))</f>
        <v>Specialty</v>
      </c>
      <c r="F1929" s="15" t="n">
        <v>2</v>
      </c>
      <c r="G1929" s="16" t="n">
        <f aca="false">IF(A1929="2025",INDEX(Products!$C$2:$C$13,MATCH(D1929,Products!$A$2:$A$13,0)),INDEX(Products!$E$2:$E$13,MATCH(D1929,Products!$A$2:$A$13,0)))</f>
        <v>28970</v>
      </c>
      <c r="H1929" s="13" t="n">
        <f aca="false">IF(A1929="2025",INDEX(Customers!$D$2:$D$41,MATCH(C1929,Customers!$A$2:$A$41,0)),INDEX(Customers!$F$2:$F$41,MATCH(C1929,Customers!$A$2:$A$41,0)))</f>
        <v>0.058</v>
      </c>
      <c r="I1929" s="16" t="n">
        <f aca="false">F1929*G1929</f>
        <v>57940</v>
      </c>
      <c r="J1929" s="16" t="n">
        <f aca="false">I1929*(1-H1929)</f>
        <v>54579.48</v>
      </c>
      <c r="K1929" s="16" t="n">
        <f aca="false">J1929*INDEX(Customers!$G$2:$G$41,MATCH(C1929,Customers!$A$2:$A$41,0))</f>
        <v>0</v>
      </c>
      <c r="L1929" s="16" t="n">
        <f aca="false">F1929*INDEX(Customers!$H$2:$H$41,MATCH(C1929,Customers!$A$2:$A$41,0))</f>
        <v>500</v>
      </c>
      <c r="M1929" s="16" t="n">
        <f aca="false">J1929*INDEX(Customers!$I$2:$I$41,MATCH(C1929,Customers!$A$2:$A$41,0))/365*Assumptions!$B$6</f>
        <v>358.87877260274</v>
      </c>
      <c r="N1929" s="16" t="n">
        <f aca="false">J1929-K1929-L1929-M1929</f>
        <v>53720.6012273973</v>
      </c>
      <c r="O1929" s="16" t="n">
        <f aca="false">F1929*IF(A1929="2025",INDEX(Products!$D$2:$D$13,MATCH(D1929,Products!$A$2:$A$13,0)),INDEX(Products!$F$2:$F$13,MATCH(D1929,Products!$A$2:$A$13,0)))</f>
        <v>28620</v>
      </c>
      <c r="P1929" s="16" t="n">
        <f aca="false">N1929-O1929</f>
        <v>25100.6012273973</v>
      </c>
    </row>
    <row r="1930" customFormat="false" ht="15" hidden="false" customHeight="false" outlineLevel="0" collapsed="false">
      <c r="A1930" s="2" t="s">
        <v>118</v>
      </c>
      <c r="B1930" s="2" t="n">
        <v>9</v>
      </c>
      <c r="C1930" s="2" t="s">
        <v>90</v>
      </c>
      <c r="D1930" s="2" t="s">
        <v>44</v>
      </c>
      <c r="E1930" s="2" t="str">
        <f aca="false">INDEX(Products!$B$2:$B$13,MATCH(D1930,Products!$A$2:$A$13,0))</f>
        <v>Specialty</v>
      </c>
      <c r="F1930" s="15" t="n">
        <v>2.3</v>
      </c>
      <c r="G1930" s="16" t="n">
        <f aca="false">IF(A1930="2025",INDEX(Products!$C$2:$C$13,MATCH(D1930,Products!$A$2:$A$13,0)),INDEX(Products!$E$2:$E$13,MATCH(D1930,Products!$A$2:$A$13,0)))</f>
        <v>28970</v>
      </c>
      <c r="H1930" s="13" t="n">
        <f aca="false">IF(A1930="2025",INDEX(Customers!$D$2:$D$41,MATCH(C1930,Customers!$A$2:$A$41,0)),INDEX(Customers!$F$2:$F$41,MATCH(C1930,Customers!$A$2:$A$41,0)))</f>
        <v>0.058</v>
      </c>
      <c r="I1930" s="16" t="n">
        <f aca="false">F1930*G1930</f>
        <v>66631</v>
      </c>
      <c r="J1930" s="16" t="n">
        <f aca="false">I1930*(1-H1930)</f>
        <v>62766.402</v>
      </c>
      <c r="K1930" s="16" t="n">
        <f aca="false">J1930*INDEX(Customers!$G$2:$G$41,MATCH(C1930,Customers!$A$2:$A$41,0))</f>
        <v>0</v>
      </c>
      <c r="L1930" s="16" t="n">
        <f aca="false">F1930*INDEX(Customers!$H$2:$H$41,MATCH(C1930,Customers!$A$2:$A$41,0))</f>
        <v>575</v>
      </c>
      <c r="M1930" s="16" t="n">
        <f aca="false">J1930*INDEX(Customers!$I$2:$I$41,MATCH(C1930,Customers!$A$2:$A$41,0))/365*Assumptions!$B$6</f>
        <v>412.710588493151</v>
      </c>
      <c r="N1930" s="16" t="n">
        <f aca="false">J1930-K1930-L1930-M1930</f>
        <v>61778.6914115068</v>
      </c>
      <c r="O1930" s="16" t="n">
        <f aca="false">F1930*IF(A1930="2025",INDEX(Products!$D$2:$D$13,MATCH(D1930,Products!$A$2:$A$13,0)),INDEX(Products!$F$2:$F$13,MATCH(D1930,Products!$A$2:$A$13,0)))</f>
        <v>32913</v>
      </c>
      <c r="P1930" s="16" t="n">
        <f aca="false">N1930-O1930</f>
        <v>28865.6914115068</v>
      </c>
    </row>
    <row r="1931" customFormat="false" ht="15" hidden="false" customHeight="false" outlineLevel="0" collapsed="false">
      <c r="A1931" s="2" t="s">
        <v>118</v>
      </c>
      <c r="B1931" s="2" t="n">
        <v>10</v>
      </c>
      <c r="C1931" s="2" t="s">
        <v>90</v>
      </c>
      <c r="D1931" s="2" t="s">
        <v>44</v>
      </c>
      <c r="E1931" s="2" t="str">
        <f aca="false">INDEX(Products!$B$2:$B$13,MATCH(D1931,Products!$A$2:$A$13,0))</f>
        <v>Specialty</v>
      </c>
      <c r="F1931" s="15" t="n">
        <v>2.2</v>
      </c>
      <c r="G1931" s="16" t="n">
        <f aca="false">IF(A1931="2025",INDEX(Products!$C$2:$C$13,MATCH(D1931,Products!$A$2:$A$13,0)),INDEX(Products!$E$2:$E$13,MATCH(D1931,Products!$A$2:$A$13,0)))</f>
        <v>28970</v>
      </c>
      <c r="H1931" s="13" t="n">
        <f aca="false">IF(A1931="2025",INDEX(Customers!$D$2:$D$41,MATCH(C1931,Customers!$A$2:$A$41,0)),INDEX(Customers!$F$2:$F$41,MATCH(C1931,Customers!$A$2:$A$41,0)))</f>
        <v>0.058</v>
      </c>
      <c r="I1931" s="16" t="n">
        <f aca="false">F1931*G1931</f>
        <v>63734</v>
      </c>
      <c r="J1931" s="16" t="n">
        <f aca="false">I1931*(1-H1931)</f>
        <v>60037.428</v>
      </c>
      <c r="K1931" s="16" t="n">
        <f aca="false">J1931*INDEX(Customers!$G$2:$G$41,MATCH(C1931,Customers!$A$2:$A$41,0))</f>
        <v>0</v>
      </c>
      <c r="L1931" s="16" t="n">
        <f aca="false">F1931*INDEX(Customers!$H$2:$H$41,MATCH(C1931,Customers!$A$2:$A$41,0))</f>
        <v>550</v>
      </c>
      <c r="M1931" s="16" t="n">
        <f aca="false">J1931*INDEX(Customers!$I$2:$I$41,MATCH(C1931,Customers!$A$2:$A$41,0))/365*Assumptions!$B$6</f>
        <v>394.766649863014</v>
      </c>
      <c r="N1931" s="16" t="n">
        <f aca="false">J1931-K1931-L1931-M1931</f>
        <v>59092.661350137</v>
      </c>
      <c r="O1931" s="16" t="n">
        <f aca="false">F1931*IF(A1931="2025",INDEX(Products!$D$2:$D$13,MATCH(D1931,Products!$A$2:$A$13,0)),INDEX(Products!$F$2:$F$13,MATCH(D1931,Products!$A$2:$A$13,0)))</f>
        <v>31482</v>
      </c>
      <c r="P1931" s="16" t="n">
        <f aca="false">N1931-O1931</f>
        <v>27610.661350137</v>
      </c>
    </row>
    <row r="1932" customFormat="false" ht="15" hidden="false" customHeight="false" outlineLevel="0" collapsed="false">
      <c r="A1932" s="2" t="s">
        <v>118</v>
      </c>
      <c r="B1932" s="2" t="n">
        <v>11</v>
      </c>
      <c r="C1932" s="2" t="s">
        <v>90</v>
      </c>
      <c r="D1932" s="2" t="s">
        <v>44</v>
      </c>
      <c r="E1932" s="2" t="str">
        <f aca="false">INDEX(Products!$B$2:$B$13,MATCH(D1932,Products!$A$2:$A$13,0))</f>
        <v>Specialty</v>
      </c>
      <c r="F1932" s="15" t="n">
        <v>2.5</v>
      </c>
      <c r="G1932" s="16" t="n">
        <f aca="false">IF(A1932="2025",INDEX(Products!$C$2:$C$13,MATCH(D1932,Products!$A$2:$A$13,0)),INDEX(Products!$E$2:$E$13,MATCH(D1932,Products!$A$2:$A$13,0)))</f>
        <v>28970</v>
      </c>
      <c r="H1932" s="13" t="n">
        <f aca="false">IF(A1932="2025",INDEX(Customers!$D$2:$D$41,MATCH(C1932,Customers!$A$2:$A$41,0)),INDEX(Customers!$F$2:$F$41,MATCH(C1932,Customers!$A$2:$A$41,0)))</f>
        <v>0.058</v>
      </c>
      <c r="I1932" s="16" t="n">
        <f aca="false">F1932*G1932</f>
        <v>72425</v>
      </c>
      <c r="J1932" s="16" t="n">
        <f aca="false">I1932*(1-H1932)</f>
        <v>68224.35</v>
      </c>
      <c r="K1932" s="16" t="n">
        <f aca="false">J1932*INDEX(Customers!$G$2:$G$41,MATCH(C1932,Customers!$A$2:$A$41,0))</f>
        <v>0</v>
      </c>
      <c r="L1932" s="16" t="n">
        <f aca="false">F1932*INDEX(Customers!$H$2:$H$41,MATCH(C1932,Customers!$A$2:$A$41,0))</f>
        <v>625</v>
      </c>
      <c r="M1932" s="16" t="n">
        <f aca="false">J1932*INDEX(Customers!$I$2:$I$41,MATCH(C1932,Customers!$A$2:$A$41,0))/365*Assumptions!$B$6</f>
        <v>448.598465753425</v>
      </c>
      <c r="N1932" s="16" t="n">
        <f aca="false">J1932-K1932-L1932-M1932</f>
        <v>67150.7515342466</v>
      </c>
      <c r="O1932" s="16" t="n">
        <f aca="false">F1932*IF(A1932="2025",INDEX(Products!$D$2:$D$13,MATCH(D1932,Products!$A$2:$A$13,0)),INDEX(Products!$F$2:$F$13,MATCH(D1932,Products!$A$2:$A$13,0)))</f>
        <v>35775</v>
      </c>
      <c r="P1932" s="16" t="n">
        <f aca="false">N1932-O1932</f>
        <v>31375.7515342466</v>
      </c>
    </row>
    <row r="1933" customFormat="false" ht="15" hidden="false" customHeight="false" outlineLevel="0" collapsed="false">
      <c r="A1933" s="2" t="s">
        <v>118</v>
      </c>
      <c r="B1933" s="2" t="n">
        <v>12</v>
      </c>
      <c r="C1933" s="2" t="s">
        <v>90</v>
      </c>
      <c r="D1933" s="2" t="s">
        <v>44</v>
      </c>
      <c r="E1933" s="2" t="str">
        <f aca="false">INDEX(Products!$B$2:$B$13,MATCH(D1933,Products!$A$2:$A$13,0))</f>
        <v>Specialty</v>
      </c>
      <c r="F1933" s="15" t="n">
        <v>2.4</v>
      </c>
      <c r="G1933" s="16" t="n">
        <f aca="false">IF(A1933="2025",INDEX(Products!$C$2:$C$13,MATCH(D1933,Products!$A$2:$A$13,0)),INDEX(Products!$E$2:$E$13,MATCH(D1933,Products!$A$2:$A$13,0)))</f>
        <v>28970</v>
      </c>
      <c r="H1933" s="13" t="n">
        <f aca="false">IF(A1933="2025",INDEX(Customers!$D$2:$D$41,MATCH(C1933,Customers!$A$2:$A$41,0)),INDEX(Customers!$F$2:$F$41,MATCH(C1933,Customers!$A$2:$A$41,0)))</f>
        <v>0.058</v>
      </c>
      <c r="I1933" s="16" t="n">
        <f aca="false">F1933*G1933</f>
        <v>69528</v>
      </c>
      <c r="J1933" s="16" t="n">
        <f aca="false">I1933*(1-H1933)</f>
        <v>65495.376</v>
      </c>
      <c r="K1933" s="16" t="n">
        <f aca="false">J1933*INDEX(Customers!$G$2:$G$41,MATCH(C1933,Customers!$A$2:$A$41,0))</f>
        <v>0</v>
      </c>
      <c r="L1933" s="16" t="n">
        <f aca="false">F1933*INDEX(Customers!$H$2:$H$41,MATCH(C1933,Customers!$A$2:$A$41,0))</f>
        <v>600</v>
      </c>
      <c r="M1933" s="16" t="n">
        <f aca="false">J1933*INDEX(Customers!$I$2:$I$41,MATCH(C1933,Customers!$A$2:$A$41,0))/365*Assumptions!$B$6</f>
        <v>430.654527123288</v>
      </c>
      <c r="N1933" s="16" t="n">
        <f aca="false">J1933-K1933-L1933-M1933</f>
        <v>64464.7214728767</v>
      </c>
      <c r="O1933" s="16" t="n">
        <f aca="false">F1933*IF(A1933="2025",INDEX(Products!$D$2:$D$13,MATCH(D1933,Products!$A$2:$A$13,0)),INDEX(Products!$F$2:$F$13,MATCH(D1933,Products!$A$2:$A$13,0)))</f>
        <v>34344</v>
      </c>
      <c r="P1933" s="16" t="n">
        <f aca="false">N1933-O1933</f>
        <v>30120.7214728767</v>
      </c>
    </row>
    <row r="1934" customFormat="false" ht="15" hidden="false" customHeight="false" outlineLevel="0" collapsed="false">
      <c r="A1934" s="2" t="s">
        <v>119</v>
      </c>
      <c r="B1934" s="2" t="n">
        <v>1</v>
      </c>
      <c r="C1934" s="2" t="s">
        <v>90</v>
      </c>
      <c r="D1934" s="2" t="s">
        <v>44</v>
      </c>
      <c r="E1934" s="2" t="str">
        <f aca="false">INDEX(Products!$B$2:$B$13,MATCH(D1934,Products!$A$2:$A$13,0))</f>
        <v>Specialty</v>
      </c>
      <c r="F1934" s="15" t="n">
        <v>2.7</v>
      </c>
      <c r="G1934" s="16" t="n">
        <f aca="false">IF(A1934="2025",INDEX(Products!$C$2:$C$13,MATCH(D1934,Products!$A$2:$A$13,0)),INDEX(Products!$E$2:$E$13,MATCH(D1934,Products!$A$2:$A$13,0)))</f>
        <v>30418.5</v>
      </c>
      <c r="H1934" s="13" t="n">
        <f aca="false">IF(A1934="2025",INDEX(Customers!$D$2:$D$41,MATCH(C1934,Customers!$A$2:$A$41,0)),INDEX(Customers!$F$2:$F$41,MATCH(C1934,Customers!$A$2:$A$41,0)))</f>
        <v>0.058</v>
      </c>
      <c r="I1934" s="16" t="n">
        <f aca="false">F1934*G1934</f>
        <v>82129.95</v>
      </c>
      <c r="J1934" s="16" t="n">
        <f aca="false">I1934*(1-H1934)</f>
        <v>77366.4129</v>
      </c>
      <c r="K1934" s="16" t="n">
        <f aca="false">J1934*INDEX(Customers!$G$2:$G$41,MATCH(C1934,Customers!$A$2:$A$41,0))</f>
        <v>0</v>
      </c>
      <c r="L1934" s="16" t="n">
        <f aca="false">F1934*INDEX(Customers!$H$2:$H$41,MATCH(C1934,Customers!$A$2:$A$41,0))</f>
        <v>675</v>
      </c>
      <c r="M1934" s="16" t="n">
        <f aca="false">J1934*INDEX(Customers!$I$2:$I$41,MATCH(C1934,Customers!$A$2:$A$41,0))/365*Assumptions!$B$6</f>
        <v>508.710660164384</v>
      </c>
      <c r="N1934" s="16" t="n">
        <f aca="false">J1934-K1934-L1934-M1934</f>
        <v>76182.7022398356</v>
      </c>
      <c r="O1934" s="16" t="n">
        <f aca="false">F1934*IF(A1934="2025",INDEX(Products!$D$2:$D$13,MATCH(D1934,Products!$A$2:$A$13,0)),INDEX(Products!$F$2:$F$13,MATCH(D1934,Products!$A$2:$A$13,0)))</f>
        <v>39796.11</v>
      </c>
      <c r="P1934" s="16" t="n">
        <f aca="false">N1934-O1934</f>
        <v>36386.5922398356</v>
      </c>
    </row>
    <row r="1935" customFormat="false" ht="15" hidden="false" customHeight="false" outlineLevel="0" collapsed="false">
      <c r="A1935" s="2" t="s">
        <v>119</v>
      </c>
      <c r="B1935" s="2" t="n">
        <v>2</v>
      </c>
      <c r="C1935" s="2" t="s">
        <v>90</v>
      </c>
      <c r="D1935" s="2" t="s">
        <v>44</v>
      </c>
      <c r="E1935" s="2" t="str">
        <f aca="false">INDEX(Products!$B$2:$B$13,MATCH(D1935,Products!$A$2:$A$13,0))</f>
        <v>Specialty</v>
      </c>
      <c r="F1935" s="15" t="n">
        <v>2.8</v>
      </c>
      <c r="G1935" s="16" t="n">
        <f aca="false">IF(A1935="2025",INDEX(Products!$C$2:$C$13,MATCH(D1935,Products!$A$2:$A$13,0)),INDEX(Products!$E$2:$E$13,MATCH(D1935,Products!$A$2:$A$13,0)))</f>
        <v>30418.5</v>
      </c>
      <c r="H1935" s="13" t="n">
        <f aca="false">IF(A1935="2025",INDEX(Customers!$D$2:$D$41,MATCH(C1935,Customers!$A$2:$A$41,0)),INDEX(Customers!$F$2:$F$41,MATCH(C1935,Customers!$A$2:$A$41,0)))</f>
        <v>0.058</v>
      </c>
      <c r="I1935" s="16" t="n">
        <f aca="false">F1935*G1935</f>
        <v>85171.8</v>
      </c>
      <c r="J1935" s="16" t="n">
        <f aca="false">I1935*(1-H1935)</f>
        <v>80231.8356</v>
      </c>
      <c r="K1935" s="16" t="n">
        <f aca="false">J1935*INDEX(Customers!$G$2:$G$41,MATCH(C1935,Customers!$A$2:$A$41,0))</f>
        <v>0</v>
      </c>
      <c r="L1935" s="16" t="n">
        <f aca="false">F1935*INDEX(Customers!$H$2:$H$41,MATCH(C1935,Customers!$A$2:$A$41,0))</f>
        <v>700</v>
      </c>
      <c r="M1935" s="16" t="n">
        <f aca="false">J1935*INDEX(Customers!$I$2:$I$41,MATCH(C1935,Customers!$A$2:$A$41,0))/365*Assumptions!$B$6</f>
        <v>527.551795726027</v>
      </c>
      <c r="N1935" s="16" t="n">
        <f aca="false">J1935-K1935-L1935-M1935</f>
        <v>79004.283804274</v>
      </c>
      <c r="O1935" s="16" t="n">
        <f aca="false">F1935*IF(A1935="2025",INDEX(Products!$D$2:$D$13,MATCH(D1935,Products!$A$2:$A$13,0)),INDEX(Products!$F$2:$F$13,MATCH(D1935,Products!$A$2:$A$13,0)))</f>
        <v>41270.04</v>
      </c>
      <c r="P1935" s="16" t="n">
        <f aca="false">N1935-O1935</f>
        <v>37734.243804274</v>
      </c>
    </row>
    <row r="1936" customFormat="false" ht="15" hidden="false" customHeight="false" outlineLevel="0" collapsed="false">
      <c r="A1936" s="2" t="s">
        <v>119</v>
      </c>
      <c r="B1936" s="2" t="n">
        <v>3</v>
      </c>
      <c r="C1936" s="2" t="s">
        <v>90</v>
      </c>
      <c r="D1936" s="2" t="s">
        <v>44</v>
      </c>
      <c r="E1936" s="2" t="str">
        <f aca="false">INDEX(Products!$B$2:$B$13,MATCH(D1936,Products!$A$2:$A$13,0))</f>
        <v>Specialty</v>
      </c>
      <c r="F1936" s="15" t="n">
        <v>2.5</v>
      </c>
      <c r="G1936" s="16" t="n">
        <f aca="false">IF(A1936="2025",INDEX(Products!$C$2:$C$13,MATCH(D1936,Products!$A$2:$A$13,0)),INDEX(Products!$E$2:$E$13,MATCH(D1936,Products!$A$2:$A$13,0)))</f>
        <v>30418.5</v>
      </c>
      <c r="H1936" s="13" t="n">
        <f aca="false">IF(A1936="2025",INDEX(Customers!$D$2:$D$41,MATCH(C1936,Customers!$A$2:$A$41,0)),INDEX(Customers!$F$2:$F$41,MATCH(C1936,Customers!$A$2:$A$41,0)))</f>
        <v>0.058</v>
      </c>
      <c r="I1936" s="16" t="n">
        <f aca="false">F1936*G1936</f>
        <v>76046.25</v>
      </c>
      <c r="J1936" s="16" t="n">
        <f aca="false">I1936*(1-H1936)</f>
        <v>71635.5675</v>
      </c>
      <c r="K1936" s="16" t="n">
        <f aca="false">J1936*INDEX(Customers!$G$2:$G$41,MATCH(C1936,Customers!$A$2:$A$41,0))</f>
        <v>0</v>
      </c>
      <c r="L1936" s="16" t="n">
        <f aca="false">F1936*INDEX(Customers!$H$2:$H$41,MATCH(C1936,Customers!$A$2:$A$41,0))</f>
        <v>625</v>
      </c>
      <c r="M1936" s="16" t="n">
        <f aca="false">J1936*INDEX(Customers!$I$2:$I$41,MATCH(C1936,Customers!$A$2:$A$41,0))/365*Assumptions!$B$6</f>
        <v>471.028389041096</v>
      </c>
      <c r="N1936" s="16" t="n">
        <f aca="false">J1936-K1936-L1936-M1936</f>
        <v>70539.5391109589</v>
      </c>
      <c r="O1936" s="16" t="n">
        <f aca="false">F1936*IF(A1936="2025",INDEX(Products!$D$2:$D$13,MATCH(D1936,Products!$A$2:$A$13,0)),INDEX(Products!$F$2:$F$13,MATCH(D1936,Products!$A$2:$A$13,0)))</f>
        <v>36848.25</v>
      </c>
      <c r="P1936" s="16" t="n">
        <f aca="false">N1936-O1936</f>
        <v>33691.2891109589</v>
      </c>
    </row>
    <row r="1937" customFormat="false" ht="15" hidden="false" customHeight="false" outlineLevel="0" collapsed="false">
      <c r="A1937" s="2" t="s">
        <v>119</v>
      </c>
      <c r="B1937" s="2" t="n">
        <v>4</v>
      </c>
      <c r="C1937" s="2" t="s">
        <v>90</v>
      </c>
      <c r="D1937" s="2" t="s">
        <v>44</v>
      </c>
      <c r="E1937" s="2" t="str">
        <f aca="false">INDEX(Products!$B$2:$B$13,MATCH(D1937,Products!$A$2:$A$13,0))</f>
        <v>Specialty</v>
      </c>
      <c r="F1937" s="15" t="n">
        <v>1.7</v>
      </c>
      <c r="G1937" s="16" t="n">
        <f aca="false">IF(A1937="2025",INDEX(Products!$C$2:$C$13,MATCH(D1937,Products!$A$2:$A$13,0)),INDEX(Products!$E$2:$E$13,MATCH(D1937,Products!$A$2:$A$13,0)))</f>
        <v>30418.5</v>
      </c>
      <c r="H1937" s="13" t="n">
        <f aca="false">IF(A1937="2025",INDEX(Customers!$D$2:$D$41,MATCH(C1937,Customers!$A$2:$A$41,0)),INDEX(Customers!$F$2:$F$41,MATCH(C1937,Customers!$A$2:$A$41,0)))</f>
        <v>0.058</v>
      </c>
      <c r="I1937" s="16" t="n">
        <f aca="false">F1937*G1937</f>
        <v>51711.45</v>
      </c>
      <c r="J1937" s="16" t="n">
        <f aca="false">I1937*(1-H1937)</f>
        <v>48712.1859</v>
      </c>
      <c r="K1937" s="16" t="n">
        <f aca="false">J1937*INDEX(Customers!$G$2:$G$41,MATCH(C1937,Customers!$A$2:$A$41,0))</f>
        <v>0</v>
      </c>
      <c r="L1937" s="16" t="n">
        <f aca="false">F1937*INDEX(Customers!$H$2:$H$41,MATCH(C1937,Customers!$A$2:$A$41,0))</f>
        <v>425</v>
      </c>
      <c r="M1937" s="16" t="n">
        <f aca="false">J1937*INDEX(Customers!$I$2:$I$41,MATCH(C1937,Customers!$A$2:$A$41,0))/365*Assumptions!$B$6</f>
        <v>320.299304547945</v>
      </c>
      <c r="N1937" s="16" t="n">
        <f aca="false">J1937-K1937-L1937-M1937</f>
        <v>47966.8865954521</v>
      </c>
      <c r="O1937" s="16" t="n">
        <f aca="false">F1937*IF(A1937="2025",INDEX(Products!$D$2:$D$13,MATCH(D1937,Products!$A$2:$A$13,0)),INDEX(Products!$F$2:$F$13,MATCH(D1937,Products!$A$2:$A$13,0)))</f>
        <v>25056.81</v>
      </c>
      <c r="P1937" s="16" t="n">
        <f aca="false">N1937-O1937</f>
        <v>22910.0765954521</v>
      </c>
    </row>
    <row r="1938" customFormat="false" ht="15" hidden="false" customHeight="false" outlineLevel="0" collapsed="false">
      <c r="A1938" s="2" t="s">
        <v>119</v>
      </c>
      <c r="B1938" s="2" t="n">
        <v>5</v>
      </c>
      <c r="C1938" s="2" t="s">
        <v>90</v>
      </c>
      <c r="D1938" s="2" t="s">
        <v>44</v>
      </c>
      <c r="E1938" s="2" t="str">
        <f aca="false">INDEX(Products!$B$2:$B$13,MATCH(D1938,Products!$A$2:$A$13,0))</f>
        <v>Specialty</v>
      </c>
      <c r="F1938" s="15" t="n">
        <v>2.8</v>
      </c>
      <c r="G1938" s="16" t="n">
        <f aca="false">IF(A1938="2025",INDEX(Products!$C$2:$C$13,MATCH(D1938,Products!$A$2:$A$13,0)),INDEX(Products!$E$2:$E$13,MATCH(D1938,Products!$A$2:$A$13,0)))</f>
        <v>30418.5</v>
      </c>
      <c r="H1938" s="13" t="n">
        <f aca="false">IF(A1938="2025",INDEX(Customers!$D$2:$D$41,MATCH(C1938,Customers!$A$2:$A$41,0)),INDEX(Customers!$F$2:$F$41,MATCH(C1938,Customers!$A$2:$A$41,0)))</f>
        <v>0.058</v>
      </c>
      <c r="I1938" s="16" t="n">
        <f aca="false">F1938*G1938</f>
        <v>85171.8</v>
      </c>
      <c r="J1938" s="16" t="n">
        <f aca="false">I1938*(1-H1938)</f>
        <v>80231.8356</v>
      </c>
      <c r="K1938" s="16" t="n">
        <f aca="false">J1938*INDEX(Customers!$G$2:$G$41,MATCH(C1938,Customers!$A$2:$A$41,0))</f>
        <v>0</v>
      </c>
      <c r="L1938" s="16" t="n">
        <f aca="false">F1938*INDEX(Customers!$H$2:$H$41,MATCH(C1938,Customers!$A$2:$A$41,0))</f>
        <v>700</v>
      </c>
      <c r="M1938" s="16" t="n">
        <f aca="false">J1938*INDEX(Customers!$I$2:$I$41,MATCH(C1938,Customers!$A$2:$A$41,0))/365*Assumptions!$B$6</f>
        <v>527.551795726027</v>
      </c>
      <c r="N1938" s="16" t="n">
        <f aca="false">J1938-K1938-L1938-M1938</f>
        <v>79004.283804274</v>
      </c>
      <c r="O1938" s="16" t="n">
        <f aca="false">F1938*IF(A1938="2025",INDEX(Products!$D$2:$D$13,MATCH(D1938,Products!$A$2:$A$13,0)),INDEX(Products!$F$2:$F$13,MATCH(D1938,Products!$A$2:$A$13,0)))</f>
        <v>41270.04</v>
      </c>
      <c r="P1938" s="16" t="n">
        <f aca="false">N1938-O1938</f>
        <v>37734.243804274</v>
      </c>
    </row>
    <row r="1939" customFormat="false" ht="15" hidden="false" customHeight="false" outlineLevel="0" collapsed="false">
      <c r="A1939" s="2" t="s">
        <v>119</v>
      </c>
      <c r="B1939" s="2" t="n">
        <v>6</v>
      </c>
      <c r="C1939" s="2" t="s">
        <v>90</v>
      </c>
      <c r="D1939" s="2" t="s">
        <v>44</v>
      </c>
      <c r="E1939" s="2" t="str">
        <f aca="false">INDEX(Products!$B$2:$B$13,MATCH(D1939,Products!$A$2:$A$13,0))</f>
        <v>Specialty</v>
      </c>
      <c r="F1939" s="15" t="n">
        <v>2.6</v>
      </c>
      <c r="G1939" s="16" t="n">
        <f aca="false">IF(A1939="2025",INDEX(Products!$C$2:$C$13,MATCH(D1939,Products!$A$2:$A$13,0)),INDEX(Products!$E$2:$E$13,MATCH(D1939,Products!$A$2:$A$13,0)))</f>
        <v>30418.5</v>
      </c>
      <c r="H1939" s="13" t="n">
        <f aca="false">IF(A1939="2025",INDEX(Customers!$D$2:$D$41,MATCH(C1939,Customers!$A$2:$A$41,0)),INDEX(Customers!$F$2:$F$41,MATCH(C1939,Customers!$A$2:$A$41,0)))</f>
        <v>0.058</v>
      </c>
      <c r="I1939" s="16" t="n">
        <f aca="false">F1939*G1939</f>
        <v>79088.1</v>
      </c>
      <c r="J1939" s="16" t="n">
        <f aca="false">I1939*(1-H1939)</f>
        <v>74500.9902</v>
      </c>
      <c r="K1939" s="16" t="n">
        <f aca="false">J1939*INDEX(Customers!$G$2:$G$41,MATCH(C1939,Customers!$A$2:$A$41,0))</f>
        <v>0</v>
      </c>
      <c r="L1939" s="16" t="n">
        <f aca="false">F1939*INDEX(Customers!$H$2:$H$41,MATCH(C1939,Customers!$A$2:$A$41,0))</f>
        <v>650</v>
      </c>
      <c r="M1939" s="16" t="n">
        <f aca="false">J1939*INDEX(Customers!$I$2:$I$41,MATCH(C1939,Customers!$A$2:$A$41,0))/365*Assumptions!$B$6</f>
        <v>489.86952460274</v>
      </c>
      <c r="N1939" s="16" t="n">
        <f aca="false">J1939-K1939-L1939-M1939</f>
        <v>73361.1206753973</v>
      </c>
      <c r="O1939" s="16" t="n">
        <f aca="false">F1939*IF(A1939="2025",INDEX(Products!$D$2:$D$13,MATCH(D1939,Products!$A$2:$A$13,0)),INDEX(Products!$F$2:$F$13,MATCH(D1939,Products!$A$2:$A$13,0)))</f>
        <v>38322.18</v>
      </c>
      <c r="P1939" s="16" t="n">
        <f aca="false">N1939-O1939</f>
        <v>35038.9406753973</v>
      </c>
    </row>
    <row r="1940" customFormat="false" ht="15" hidden="false" customHeight="false" outlineLevel="0" collapsed="false">
      <c r="A1940" s="2" t="s">
        <v>119</v>
      </c>
      <c r="B1940" s="2" t="n">
        <v>7</v>
      </c>
      <c r="C1940" s="2" t="s">
        <v>90</v>
      </c>
      <c r="D1940" s="2" t="s">
        <v>44</v>
      </c>
      <c r="E1940" s="2" t="str">
        <f aca="false">INDEX(Products!$B$2:$B$13,MATCH(D1940,Products!$A$2:$A$13,0))</f>
        <v>Specialty</v>
      </c>
      <c r="F1940" s="15" t="n">
        <v>3</v>
      </c>
      <c r="G1940" s="16" t="n">
        <f aca="false">IF(A1940="2025",INDEX(Products!$C$2:$C$13,MATCH(D1940,Products!$A$2:$A$13,0)),INDEX(Products!$E$2:$E$13,MATCH(D1940,Products!$A$2:$A$13,0)))</f>
        <v>30418.5</v>
      </c>
      <c r="H1940" s="13" t="n">
        <f aca="false">IF(A1940="2025",INDEX(Customers!$D$2:$D$41,MATCH(C1940,Customers!$A$2:$A$41,0)),INDEX(Customers!$F$2:$F$41,MATCH(C1940,Customers!$A$2:$A$41,0)))</f>
        <v>0.058</v>
      </c>
      <c r="I1940" s="16" t="n">
        <f aca="false">F1940*G1940</f>
        <v>91255.5</v>
      </c>
      <c r="J1940" s="16" t="n">
        <f aca="false">I1940*(1-H1940)</f>
        <v>85962.681</v>
      </c>
      <c r="K1940" s="16" t="n">
        <f aca="false">J1940*INDEX(Customers!$G$2:$G$41,MATCH(C1940,Customers!$A$2:$A$41,0))</f>
        <v>0</v>
      </c>
      <c r="L1940" s="16" t="n">
        <f aca="false">F1940*INDEX(Customers!$H$2:$H$41,MATCH(C1940,Customers!$A$2:$A$41,0))</f>
        <v>750</v>
      </c>
      <c r="M1940" s="16" t="n">
        <f aca="false">J1940*INDEX(Customers!$I$2:$I$41,MATCH(C1940,Customers!$A$2:$A$41,0))/365*Assumptions!$B$6</f>
        <v>565.234066849315</v>
      </c>
      <c r="N1940" s="16" t="n">
        <f aca="false">J1940-K1940-L1940-M1940</f>
        <v>84647.4469331507</v>
      </c>
      <c r="O1940" s="16" t="n">
        <f aca="false">F1940*IF(A1940="2025",INDEX(Products!$D$2:$D$13,MATCH(D1940,Products!$A$2:$A$13,0)),INDEX(Products!$F$2:$F$13,MATCH(D1940,Products!$A$2:$A$13,0)))</f>
        <v>44217.9</v>
      </c>
      <c r="P1940" s="16" t="n">
        <f aca="false">N1940-O1940</f>
        <v>40429.5469331507</v>
      </c>
    </row>
    <row r="1941" customFormat="false" ht="15" hidden="false" customHeight="false" outlineLevel="0" collapsed="false">
      <c r="A1941" s="2" t="s">
        <v>119</v>
      </c>
      <c r="B1941" s="2" t="n">
        <v>8</v>
      </c>
      <c r="C1941" s="2" t="s">
        <v>90</v>
      </c>
      <c r="D1941" s="2" t="s">
        <v>44</v>
      </c>
      <c r="E1941" s="2" t="str">
        <f aca="false">INDEX(Products!$B$2:$B$13,MATCH(D1941,Products!$A$2:$A$13,0))</f>
        <v>Specialty</v>
      </c>
      <c r="F1941" s="15" t="n">
        <v>1.9</v>
      </c>
      <c r="G1941" s="16" t="n">
        <f aca="false">IF(A1941="2025",INDEX(Products!$C$2:$C$13,MATCH(D1941,Products!$A$2:$A$13,0)),INDEX(Products!$E$2:$E$13,MATCH(D1941,Products!$A$2:$A$13,0)))</f>
        <v>30418.5</v>
      </c>
      <c r="H1941" s="13" t="n">
        <f aca="false">IF(A1941="2025",INDEX(Customers!$D$2:$D$41,MATCH(C1941,Customers!$A$2:$A$41,0)),INDEX(Customers!$F$2:$F$41,MATCH(C1941,Customers!$A$2:$A$41,0)))</f>
        <v>0.058</v>
      </c>
      <c r="I1941" s="16" t="n">
        <f aca="false">F1941*G1941</f>
        <v>57795.15</v>
      </c>
      <c r="J1941" s="16" t="n">
        <f aca="false">I1941*(1-H1941)</f>
        <v>54443.0313</v>
      </c>
      <c r="K1941" s="16" t="n">
        <f aca="false">J1941*INDEX(Customers!$G$2:$G$41,MATCH(C1941,Customers!$A$2:$A$41,0))</f>
        <v>0</v>
      </c>
      <c r="L1941" s="16" t="n">
        <f aca="false">F1941*INDEX(Customers!$H$2:$H$41,MATCH(C1941,Customers!$A$2:$A$41,0))</f>
        <v>475</v>
      </c>
      <c r="M1941" s="16" t="n">
        <f aca="false">J1941*INDEX(Customers!$I$2:$I$41,MATCH(C1941,Customers!$A$2:$A$41,0))/365*Assumptions!$B$6</f>
        <v>357.981575671233</v>
      </c>
      <c r="N1941" s="16" t="n">
        <f aca="false">J1941-K1941-L1941-M1941</f>
        <v>53610.0497243288</v>
      </c>
      <c r="O1941" s="16" t="n">
        <f aca="false">F1941*IF(A1941="2025",INDEX(Products!$D$2:$D$13,MATCH(D1941,Products!$A$2:$A$13,0)),INDEX(Products!$F$2:$F$13,MATCH(D1941,Products!$A$2:$A$13,0)))</f>
        <v>28004.67</v>
      </c>
      <c r="P1941" s="16" t="n">
        <f aca="false">N1941-O1941</f>
        <v>25605.3797243288</v>
      </c>
    </row>
    <row r="1942" customFormat="false" ht="15" hidden="false" customHeight="false" outlineLevel="0" collapsed="false">
      <c r="A1942" s="2" t="s">
        <v>119</v>
      </c>
      <c r="B1942" s="2" t="n">
        <v>9</v>
      </c>
      <c r="C1942" s="2" t="s">
        <v>90</v>
      </c>
      <c r="D1942" s="2" t="s">
        <v>44</v>
      </c>
      <c r="E1942" s="2" t="str">
        <f aca="false">INDEX(Products!$B$2:$B$13,MATCH(D1942,Products!$A$2:$A$13,0))</f>
        <v>Specialty</v>
      </c>
      <c r="F1942" s="15" t="n">
        <v>3</v>
      </c>
      <c r="G1942" s="16" t="n">
        <f aca="false">IF(A1942="2025",INDEX(Products!$C$2:$C$13,MATCH(D1942,Products!$A$2:$A$13,0)),INDEX(Products!$E$2:$E$13,MATCH(D1942,Products!$A$2:$A$13,0)))</f>
        <v>30418.5</v>
      </c>
      <c r="H1942" s="13" t="n">
        <f aca="false">IF(A1942="2025",INDEX(Customers!$D$2:$D$41,MATCH(C1942,Customers!$A$2:$A$41,0)),INDEX(Customers!$F$2:$F$41,MATCH(C1942,Customers!$A$2:$A$41,0)))</f>
        <v>0.058</v>
      </c>
      <c r="I1942" s="16" t="n">
        <f aca="false">F1942*G1942</f>
        <v>91255.5</v>
      </c>
      <c r="J1942" s="16" t="n">
        <f aca="false">I1942*(1-H1942)</f>
        <v>85962.681</v>
      </c>
      <c r="K1942" s="16" t="n">
        <f aca="false">J1942*INDEX(Customers!$G$2:$G$41,MATCH(C1942,Customers!$A$2:$A$41,0))</f>
        <v>0</v>
      </c>
      <c r="L1942" s="16" t="n">
        <f aca="false">F1942*INDEX(Customers!$H$2:$H$41,MATCH(C1942,Customers!$A$2:$A$41,0))</f>
        <v>750</v>
      </c>
      <c r="M1942" s="16" t="n">
        <f aca="false">J1942*INDEX(Customers!$I$2:$I$41,MATCH(C1942,Customers!$A$2:$A$41,0))/365*Assumptions!$B$6</f>
        <v>565.234066849315</v>
      </c>
      <c r="N1942" s="16" t="n">
        <f aca="false">J1942-K1942-L1942-M1942</f>
        <v>84647.4469331507</v>
      </c>
      <c r="O1942" s="16" t="n">
        <f aca="false">F1942*IF(A1942="2025",INDEX(Products!$D$2:$D$13,MATCH(D1942,Products!$A$2:$A$13,0)),INDEX(Products!$F$2:$F$13,MATCH(D1942,Products!$A$2:$A$13,0)))</f>
        <v>44217.9</v>
      </c>
      <c r="P1942" s="16" t="n">
        <f aca="false">N1942-O1942</f>
        <v>40429.5469331507</v>
      </c>
    </row>
    <row r="1943" customFormat="false" ht="15" hidden="false" customHeight="false" outlineLevel="0" collapsed="false">
      <c r="A1943" s="2" t="s">
        <v>119</v>
      </c>
      <c r="B1943" s="2" t="n">
        <v>10</v>
      </c>
      <c r="C1943" s="2" t="s">
        <v>90</v>
      </c>
      <c r="D1943" s="2" t="s">
        <v>44</v>
      </c>
      <c r="E1943" s="2" t="str">
        <f aca="false">INDEX(Products!$B$2:$B$13,MATCH(D1943,Products!$A$2:$A$13,0))</f>
        <v>Specialty</v>
      </c>
      <c r="F1943" s="15" t="n">
        <v>1.9</v>
      </c>
      <c r="G1943" s="16" t="n">
        <f aca="false">IF(A1943="2025",INDEX(Products!$C$2:$C$13,MATCH(D1943,Products!$A$2:$A$13,0)),INDEX(Products!$E$2:$E$13,MATCH(D1943,Products!$A$2:$A$13,0)))</f>
        <v>30418.5</v>
      </c>
      <c r="H1943" s="13" t="n">
        <f aca="false">IF(A1943="2025",INDEX(Customers!$D$2:$D$41,MATCH(C1943,Customers!$A$2:$A$41,0)),INDEX(Customers!$F$2:$F$41,MATCH(C1943,Customers!$A$2:$A$41,0)))</f>
        <v>0.058</v>
      </c>
      <c r="I1943" s="16" t="n">
        <f aca="false">F1943*G1943</f>
        <v>57795.15</v>
      </c>
      <c r="J1943" s="16" t="n">
        <f aca="false">I1943*(1-H1943)</f>
        <v>54443.0313</v>
      </c>
      <c r="K1943" s="16" t="n">
        <f aca="false">J1943*INDEX(Customers!$G$2:$G$41,MATCH(C1943,Customers!$A$2:$A$41,0))</f>
        <v>0</v>
      </c>
      <c r="L1943" s="16" t="n">
        <f aca="false">F1943*INDEX(Customers!$H$2:$H$41,MATCH(C1943,Customers!$A$2:$A$41,0))</f>
        <v>475</v>
      </c>
      <c r="M1943" s="16" t="n">
        <f aca="false">J1943*INDEX(Customers!$I$2:$I$41,MATCH(C1943,Customers!$A$2:$A$41,0))/365*Assumptions!$B$6</f>
        <v>357.981575671233</v>
      </c>
      <c r="N1943" s="16" t="n">
        <f aca="false">J1943-K1943-L1943-M1943</f>
        <v>53610.0497243288</v>
      </c>
      <c r="O1943" s="16" t="n">
        <f aca="false">F1943*IF(A1943="2025",INDEX(Products!$D$2:$D$13,MATCH(D1943,Products!$A$2:$A$13,0)),INDEX(Products!$F$2:$F$13,MATCH(D1943,Products!$A$2:$A$13,0)))</f>
        <v>28004.67</v>
      </c>
      <c r="P1943" s="16" t="n">
        <f aca="false">N1943-O1943</f>
        <v>25605.3797243288</v>
      </c>
    </row>
    <row r="1944" customFormat="false" ht="15" hidden="false" customHeight="false" outlineLevel="0" collapsed="false">
      <c r="A1944" s="2" t="s">
        <v>119</v>
      </c>
      <c r="B1944" s="2" t="n">
        <v>11</v>
      </c>
      <c r="C1944" s="2" t="s">
        <v>90</v>
      </c>
      <c r="D1944" s="2" t="s">
        <v>44</v>
      </c>
      <c r="E1944" s="2" t="str">
        <f aca="false">INDEX(Products!$B$2:$B$13,MATCH(D1944,Products!$A$2:$A$13,0))</f>
        <v>Specialty</v>
      </c>
      <c r="F1944" s="15" t="n">
        <v>1.8</v>
      </c>
      <c r="G1944" s="16" t="n">
        <f aca="false">IF(A1944="2025",INDEX(Products!$C$2:$C$13,MATCH(D1944,Products!$A$2:$A$13,0)),INDEX(Products!$E$2:$E$13,MATCH(D1944,Products!$A$2:$A$13,0)))</f>
        <v>30418.5</v>
      </c>
      <c r="H1944" s="13" t="n">
        <f aca="false">IF(A1944="2025",INDEX(Customers!$D$2:$D$41,MATCH(C1944,Customers!$A$2:$A$41,0)),INDEX(Customers!$F$2:$F$41,MATCH(C1944,Customers!$A$2:$A$41,0)))</f>
        <v>0.058</v>
      </c>
      <c r="I1944" s="16" t="n">
        <f aca="false">F1944*G1944</f>
        <v>54753.3</v>
      </c>
      <c r="J1944" s="16" t="n">
        <f aca="false">I1944*(1-H1944)</f>
        <v>51577.6086</v>
      </c>
      <c r="K1944" s="16" t="n">
        <f aca="false">J1944*INDEX(Customers!$G$2:$G$41,MATCH(C1944,Customers!$A$2:$A$41,0))</f>
        <v>0</v>
      </c>
      <c r="L1944" s="16" t="n">
        <f aca="false">F1944*INDEX(Customers!$H$2:$H$41,MATCH(C1944,Customers!$A$2:$A$41,0))</f>
        <v>450</v>
      </c>
      <c r="M1944" s="16" t="n">
        <f aca="false">J1944*INDEX(Customers!$I$2:$I$41,MATCH(C1944,Customers!$A$2:$A$41,0))/365*Assumptions!$B$6</f>
        <v>339.140440109589</v>
      </c>
      <c r="N1944" s="16" t="n">
        <f aca="false">J1944-K1944-L1944-M1944</f>
        <v>50788.4681598904</v>
      </c>
      <c r="O1944" s="16" t="n">
        <f aca="false">F1944*IF(A1944="2025",INDEX(Products!$D$2:$D$13,MATCH(D1944,Products!$A$2:$A$13,0)),INDEX(Products!$F$2:$F$13,MATCH(D1944,Products!$A$2:$A$13,0)))</f>
        <v>26530.74</v>
      </c>
      <c r="P1944" s="16" t="n">
        <f aca="false">N1944-O1944</f>
        <v>24257.7281598904</v>
      </c>
    </row>
    <row r="1945" customFormat="false" ht="15" hidden="false" customHeight="false" outlineLevel="0" collapsed="false">
      <c r="A1945" s="2" t="s">
        <v>119</v>
      </c>
      <c r="B1945" s="2" t="n">
        <v>12</v>
      </c>
      <c r="C1945" s="2" t="s">
        <v>90</v>
      </c>
      <c r="D1945" s="2" t="s">
        <v>44</v>
      </c>
      <c r="E1945" s="2" t="str">
        <f aca="false">INDEX(Products!$B$2:$B$13,MATCH(D1945,Products!$A$2:$A$13,0))</f>
        <v>Specialty</v>
      </c>
      <c r="F1945" s="15" t="n">
        <v>2.6</v>
      </c>
      <c r="G1945" s="16" t="n">
        <f aca="false">IF(A1945="2025",INDEX(Products!$C$2:$C$13,MATCH(D1945,Products!$A$2:$A$13,0)),INDEX(Products!$E$2:$E$13,MATCH(D1945,Products!$A$2:$A$13,0)))</f>
        <v>30418.5</v>
      </c>
      <c r="H1945" s="13" t="n">
        <f aca="false">IF(A1945="2025",INDEX(Customers!$D$2:$D$41,MATCH(C1945,Customers!$A$2:$A$41,0)),INDEX(Customers!$F$2:$F$41,MATCH(C1945,Customers!$A$2:$A$41,0)))</f>
        <v>0.058</v>
      </c>
      <c r="I1945" s="16" t="n">
        <f aca="false">F1945*G1945</f>
        <v>79088.1</v>
      </c>
      <c r="J1945" s="16" t="n">
        <f aca="false">I1945*(1-H1945)</f>
        <v>74500.9902</v>
      </c>
      <c r="K1945" s="16" t="n">
        <f aca="false">J1945*INDEX(Customers!$G$2:$G$41,MATCH(C1945,Customers!$A$2:$A$41,0))</f>
        <v>0</v>
      </c>
      <c r="L1945" s="16" t="n">
        <f aca="false">F1945*INDEX(Customers!$H$2:$H$41,MATCH(C1945,Customers!$A$2:$A$41,0))</f>
        <v>650</v>
      </c>
      <c r="M1945" s="16" t="n">
        <f aca="false">J1945*INDEX(Customers!$I$2:$I$41,MATCH(C1945,Customers!$A$2:$A$41,0))/365*Assumptions!$B$6</f>
        <v>489.86952460274</v>
      </c>
      <c r="N1945" s="16" t="n">
        <f aca="false">J1945-K1945-L1945-M1945</f>
        <v>73361.1206753973</v>
      </c>
      <c r="O1945" s="16" t="n">
        <f aca="false">F1945*IF(A1945="2025",INDEX(Products!$D$2:$D$13,MATCH(D1945,Products!$A$2:$A$13,0)),INDEX(Products!$F$2:$F$13,MATCH(D1945,Products!$A$2:$A$13,0)))</f>
        <v>38322.18</v>
      </c>
      <c r="P1945" s="16" t="n">
        <f aca="false">N1945-O1945</f>
        <v>35038.9406753973</v>
      </c>
    </row>
    <row r="1946" customFormat="false" ht="15" hidden="false" customHeight="false" outlineLevel="0" collapsed="false">
      <c r="A1946" s="2" t="s">
        <v>118</v>
      </c>
      <c r="B1946" s="2" t="n">
        <v>1</v>
      </c>
      <c r="C1946" s="2" t="s">
        <v>91</v>
      </c>
      <c r="D1946" s="2" t="s">
        <v>42</v>
      </c>
      <c r="E1946" s="2" t="str">
        <f aca="false">INDEX(Products!$B$2:$B$13,MATCH(D1946,Products!$A$2:$A$13,0))</f>
        <v>Hydroprocessing</v>
      </c>
      <c r="F1946" s="15" t="n">
        <v>19.9</v>
      </c>
      <c r="G1946" s="16" t="n">
        <f aca="false">IF(A1946="2025",INDEX(Products!$C$2:$C$13,MATCH(D1946,Products!$A$2:$A$13,0)),INDEX(Products!$E$2:$E$13,MATCH(D1946,Products!$A$2:$A$13,0)))</f>
        <v>12450</v>
      </c>
      <c r="H1946" s="13" t="n">
        <f aca="false">IF(A1946="2025",INDEX(Customers!$D$2:$D$41,MATCH(C1946,Customers!$A$2:$A$41,0)),INDEX(Customers!$F$2:$F$41,MATCH(C1946,Customers!$A$2:$A$41,0)))</f>
        <v>0.173</v>
      </c>
      <c r="I1946" s="16" t="n">
        <f aca="false">F1946*G1946</f>
        <v>247755</v>
      </c>
      <c r="J1946" s="16" t="n">
        <f aca="false">I1946*(1-H1946)</f>
        <v>204893.385</v>
      </c>
      <c r="K1946" s="16" t="n">
        <f aca="false">J1946*INDEX(Customers!$G$2:$G$41,MATCH(C1946,Customers!$A$2:$A$41,0))</f>
        <v>4097.8677</v>
      </c>
      <c r="L1946" s="16" t="n">
        <f aca="false">F1946*INDEX(Customers!$H$2:$H$41,MATCH(C1946,Customers!$A$2:$A$41,0))</f>
        <v>6567</v>
      </c>
      <c r="M1946" s="16" t="n">
        <f aca="false">J1946*INDEX(Customers!$I$2:$I$41,MATCH(C1946,Customers!$A$2:$A$41,0))/365*Assumptions!$B$6</f>
        <v>1347.24417534247</v>
      </c>
      <c r="N1946" s="16" t="n">
        <f aca="false">J1946-K1946-L1946-M1946</f>
        <v>192881.273124657</v>
      </c>
      <c r="O1946" s="16" t="n">
        <f aca="false">F1946*IF(A1946="2025",INDEX(Products!$D$2:$D$13,MATCH(D1946,Products!$A$2:$A$13,0)),INDEX(Products!$F$2:$F$13,MATCH(D1946,Products!$A$2:$A$13,0)))</f>
        <v>154822</v>
      </c>
      <c r="P1946" s="16" t="n">
        <f aca="false">N1946-O1946</f>
        <v>38059.2731246575</v>
      </c>
    </row>
    <row r="1947" customFormat="false" ht="15" hidden="false" customHeight="false" outlineLevel="0" collapsed="false">
      <c r="A1947" s="2" t="s">
        <v>118</v>
      </c>
      <c r="B1947" s="2" t="n">
        <v>2</v>
      </c>
      <c r="C1947" s="2" t="s">
        <v>91</v>
      </c>
      <c r="D1947" s="2" t="s">
        <v>42</v>
      </c>
      <c r="E1947" s="2" t="str">
        <f aca="false">INDEX(Products!$B$2:$B$13,MATCH(D1947,Products!$A$2:$A$13,0))</f>
        <v>Hydroprocessing</v>
      </c>
      <c r="F1947" s="15" t="n">
        <v>17.4</v>
      </c>
      <c r="G1947" s="16" t="n">
        <f aca="false">IF(A1947="2025",INDEX(Products!$C$2:$C$13,MATCH(D1947,Products!$A$2:$A$13,0)),INDEX(Products!$E$2:$E$13,MATCH(D1947,Products!$A$2:$A$13,0)))</f>
        <v>12450</v>
      </c>
      <c r="H1947" s="13" t="n">
        <f aca="false">IF(A1947="2025",INDEX(Customers!$D$2:$D$41,MATCH(C1947,Customers!$A$2:$A$41,0)),INDEX(Customers!$F$2:$F$41,MATCH(C1947,Customers!$A$2:$A$41,0)))</f>
        <v>0.173</v>
      </c>
      <c r="I1947" s="16" t="n">
        <f aca="false">F1947*G1947</f>
        <v>216630</v>
      </c>
      <c r="J1947" s="16" t="n">
        <f aca="false">I1947*(1-H1947)</f>
        <v>179153.01</v>
      </c>
      <c r="K1947" s="16" t="n">
        <f aca="false">J1947*INDEX(Customers!$G$2:$G$41,MATCH(C1947,Customers!$A$2:$A$41,0))</f>
        <v>3583.0602</v>
      </c>
      <c r="L1947" s="16" t="n">
        <f aca="false">F1947*INDEX(Customers!$H$2:$H$41,MATCH(C1947,Customers!$A$2:$A$41,0))</f>
        <v>5742</v>
      </c>
      <c r="M1947" s="16" t="n">
        <f aca="false">J1947*INDEX(Customers!$I$2:$I$41,MATCH(C1947,Customers!$A$2:$A$41,0))/365*Assumptions!$B$6</f>
        <v>1177.99239452055</v>
      </c>
      <c r="N1947" s="16" t="n">
        <f aca="false">J1947-K1947-L1947-M1947</f>
        <v>168649.957405479</v>
      </c>
      <c r="O1947" s="16" t="n">
        <f aca="false">F1947*IF(A1947="2025",INDEX(Products!$D$2:$D$13,MATCH(D1947,Products!$A$2:$A$13,0)),INDEX(Products!$F$2:$F$13,MATCH(D1947,Products!$A$2:$A$13,0)))</f>
        <v>135372</v>
      </c>
      <c r="P1947" s="16" t="n">
        <f aca="false">N1947-O1947</f>
        <v>33277.9574054794</v>
      </c>
    </row>
    <row r="1948" customFormat="false" ht="15" hidden="false" customHeight="false" outlineLevel="0" collapsed="false">
      <c r="A1948" s="2" t="s">
        <v>118</v>
      </c>
      <c r="B1948" s="2" t="n">
        <v>3</v>
      </c>
      <c r="C1948" s="2" t="s">
        <v>91</v>
      </c>
      <c r="D1948" s="2" t="s">
        <v>42</v>
      </c>
      <c r="E1948" s="2" t="str">
        <f aca="false">INDEX(Products!$B$2:$B$13,MATCH(D1948,Products!$A$2:$A$13,0))</f>
        <v>Hydroprocessing</v>
      </c>
      <c r="F1948" s="15" t="n">
        <v>26.1</v>
      </c>
      <c r="G1948" s="16" t="n">
        <f aca="false">IF(A1948="2025",INDEX(Products!$C$2:$C$13,MATCH(D1948,Products!$A$2:$A$13,0)),INDEX(Products!$E$2:$E$13,MATCH(D1948,Products!$A$2:$A$13,0)))</f>
        <v>12450</v>
      </c>
      <c r="H1948" s="13" t="n">
        <f aca="false">IF(A1948="2025",INDEX(Customers!$D$2:$D$41,MATCH(C1948,Customers!$A$2:$A$41,0)),INDEX(Customers!$F$2:$F$41,MATCH(C1948,Customers!$A$2:$A$41,0)))</f>
        <v>0.173</v>
      </c>
      <c r="I1948" s="16" t="n">
        <f aca="false">F1948*G1948</f>
        <v>324945</v>
      </c>
      <c r="J1948" s="16" t="n">
        <f aca="false">I1948*(1-H1948)</f>
        <v>268729.515</v>
      </c>
      <c r="K1948" s="16" t="n">
        <f aca="false">J1948*INDEX(Customers!$G$2:$G$41,MATCH(C1948,Customers!$A$2:$A$41,0))</f>
        <v>5374.5903</v>
      </c>
      <c r="L1948" s="16" t="n">
        <f aca="false">F1948*INDEX(Customers!$H$2:$H$41,MATCH(C1948,Customers!$A$2:$A$41,0))</f>
        <v>8613</v>
      </c>
      <c r="M1948" s="16" t="n">
        <f aca="false">J1948*INDEX(Customers!$I$2:$I$41,MATCH(C1948,Customers!$A$2:$A$41,0))/365*Assumptions!$B$6</f>
        <v>1766.98859178082</v>
      </c>
      <c r="N1948" s="16" t="n">
        <f aca="false">J1948-K1948-L1948-M1948</f>
        <v>252974.936108219</v>
      </c>
      <c r="O1948" s="16" t="n">
        <f aca="false">F1948*IF(A1948="2025",INDEX(Products!$D$2:$D$13,MATCH(D1948,Products!$A$2:$A$13,0)),INDEX(Products!$F$2:$F$13,MATCH(D1948,Products!$A$2:$A$13,0)))</f>
        <v>203058</v>
      </c>
      <c r="P1948" s="16" t="n">
        <f aca="false">N1948-O1948</f>
        <v>49916.9361082192</v>
      </c>
    </row>
    <row r="1949" customFormat="false" ht="15" hidden="false" customHeight="false" outlineLevel="0" collapsed="false">
      <c r="A1949" s="2" t="s">
        <v>118</v>
      </c>
      <c r="B1949" s="2" t="n">
        <v>4</v>
      </c>
      <c r="C1949" s="2" t="s">
        <v>91</v>
      </c>
      <c r="D1949" s="2" t="s">
        <v>42</v>
      </c>
      <c r="E1949" s="2" t="str">
        <f aca="false">INDEX(Products!$B$2:$B$13,MATCH(D1949,Products!$A$2:$A$13,0))</f>
        <v>Hydroprocessing</v>
      </c>
      <c r="F1949" s="15" t="n">
        <v>25.4</v>
      </c>
      <c r="G1949" s="16" t="n">
        <f aca="false">IF(A1949="2025",INDEX(Products!$C$2:$C$13,MATCH(D1949,Products!$A$2:$A$13,0)),INDEX(Products!$E$2:$E$13,MATCH(D1949,Products!$A$2:$A$13,0)))</f>
        <v>12450</v>
      </c>
      <c r="H1949" s="13" t="n">
        <f aca="false">IF(A1949="2025",INDEX(Customers!$D$2:$D$41,MATCH(C1949,Customers!$A$2:$A$41,0)),INDEX(Customers!$F$2:$F$41,MATCH(C1949,Customers!$A$2:$A$41,0)))</f>
        <v>0.173</v>
      </c>
      <c r="I1949" s="16" t="n">
        <f aca="false">F1949*G1949</f>
        <v>316230</v>
      </c>
      <c r="J1949" s="16" t="n">
        <f aca="false">I1949*(1-H1949)</f>
        <v>261522.21</v>
      </c>
      <c r="K1949" s="16" t="n">
        <f aca="false">J1949*INDEX(Customers!$G$2:$G$41,MATCH(C1949,Customers!$A$2:$A$41,0))</f>
        <v>5230.4442</v>
      </c>
      <c r="L1949" s="16" t="n">
        <f aca="false">F1949*INDEX(Customers!$H$2:$H$41,MATCH(C1949,Customers!$A$2:$A$41,0))</f>
        <v>8382</v>
      </c>
      <c r="M1949" s="16" t="n">
        <f aca="false">J1949*INDEX(Customers!$I$2:$I$41,MATCH(C1949,Customers!$A$2:$A$41,0))/365*Assumptions!$B$6</f>
        <v>1719.59809315069</v>
      </c>
      <c r="N1949" s="16" t="n">
        <f aca="false">J1949-K1949-L1949-M1949</f>
        <v>246190.167706849</v>
      </c>
      <c r="O1949" s="16" t="n">
        <f aca="false">F1949*IF(A1949="2025",INDEX(Products!$D$2:$D$13,MATCH(D1949,Products!$A$2:$A$13,0)),INDEX(Products!$F$2:$F$13,MATCH(D1949,Products!$A$2:$A$13,0)))</f>
        <v>197612</v>
      </c>
      <c r="P1949" s="16" t="n">
        <f aca="false">N1949-O1949</f>
        <v>48578.1677068493</v>
      </c>
    </row>
    <row r="1950" customFormat="false" ht="15" hidden="false" customHeight="false" outlineLevel="0" collapsed="false">
      <c r="A1950" s="2" t="s">
        <v>118</v>
      </c>
      <c r="B1950" s="2" t="n">
        <v>5</v>
      </c>
      <c r="C1950" s="2" t="s">
        <v>91</v>
      </c>
      <c r="D1950" s="2" t="s">
        <v>42</v>
      </c>
      <c r="E1950" s="2" t="str">
        <f aca="false">INDEX(Products!$B$2:$B$13,MATCH(D1950,Products!$A$2:$A$13,0))</f>
        <v>Hydroprocessing</v>
      </c>
      <c r="F1950" s="15" t="n">
        <v>18.8</v>
      </c>
      <c r="G1950" s="16" t="n">
        <f aca="false">IF(A1950="2025",INDEX(Products!$C$2:$C$13,MATCH(D1950,Products!$A$2:$A$13,0)),INDEX(Products!$E$2:$E$13,MATCH(D1950,Products!$A$2:$A$13,0)))</f>
        <v>12450</v>
      </c>
      <c r="H1950" s="13" t="n">
        <f aca="false">IF(A1950="2025",INDEX(Customers!$D$2:$D$41,MATCH(C1950,Customers!$A$2:$A$41,0)),INDEX(Customers!$F$2:$F$41,MATCH(C1950,Customers!$A$2:$A$41,0)))</f>
        <v>0.173</v>
      </c>
      <c r="I1950" s="16" t="n">
        <f aca="false">F1950*G1950</f>
        <v>234060</v>
      </c>
      <c r="J1950" s="16" t="n">
        <f aca="false">I1950*(1-H1950)</f>
        <v>193567.62</v>
      </c>
      <c r="K1950" s="16" t="n">
        <f aca="false">J1950*INDEX(Customers!$G$2:$G$41,MATCH(C1950,Customers!$A$2:$A$41,0))</f>
        <v>3871.3524</v>
      </c>
      <c r="L1950" s="16" t="n">
        <f aca="false">F1950*INDEX(Customers!$H$2:$H$41,MATCH(C1950,Customers!$A$2:$A$41,0))</f>
        <v>6204</v>
      </c>
      <c r="M1950" s="16" t="n">
        <f aca="false">J1950*INDEX(Customers!$I$2:$I$41,MATCH(C1950,Customers!$A$2:$A$41,0))/365*Assumptions!$B$6</f>
        <v>1272.77339178082</v>
      </c>
      <c r="N1950" s="16" t="n">
        <f aca="false">J1950-K1950-L1950-M1950</f>
        <v>182219.494208219</v>
      </c>
      <c r="O1950" s="16" t="n">
        <f aca="false">F1950*IF(A1950="2025",INDEX(Products!$D$2:$D$13,MATCH(D1950,Products!$A$2:$A$13,0)),INDEX(Products!$F$2:$F$13,MATCH(D1950,Products!$A$2:$A$13,0)))</f>
        <v>146264</v>
      </c>
      <c r="P1950" s="16" t="n">
        <f aca="false">N1950-O1950</f>
        <v>35955.4942082192</v>
      </c>
    </row>
    <row r="1951" customFormat="false" ht="15" hidden="false" customHeight="false" outlineLevel="0" collapsed="false">
      <c r="A1951" s="2" t="s">
        <v>118</v>
      </c>
      <c r="B1951" s="2" t="n">
        <v>6</v>
      </c>
      <c r="C1951" s="2" t="s">
        <v>91</v>
      </c>
      <c r="D1951" s="2" t="s">
        <v>42</v>
      </c>
      <c r="E1951" s="2" t="str">
        <f aca="false">INDEX(Products!$B$2:$B$13,MATCH(D1951,Products!$A$2:$A$13,0))</f>
        <v>Hydroprocessing</v>
      </c>
      <c r="F1951" s="15" t="n">
        <v>19.4</v>
      </c>
      <c r="G1951" s="16" t="n">
        <f aca="false">IF(A1951="2025",INDEX(Products!$C$2:$C$13,MATCH(D1951,Products!$A$2:$A$13,0)),INDEX(Products!$E$2:$E$13,MATCH(D1951,Products!$A$2:$A$13,0)))</f>
        <v>12450</v>
      </c>
      <c r="H1951" s="13" t="n">
        <f aca="false">IF(A1951="2025",INDEX(Customers!$D$2:$D$41,MATCH(C1951,Customers!$A$2:$A$41,0)),INDEX(Customers!$F$2:$F$41,MATCH(C1951,Customers!$A$2:$A$41,0)))</f>
        <v>0.173</v>
      </c>
      <c r="I1951" s="16" t="n">
        <f aca="false">F1951*G1951</f>
        <v>241530</v>
      </c>
      <c r="J1951" s="16" t="n">
        <f aca="false">I1951*(1-H1951)</f>
        <v>199745.31</v>
      </c>
      <c r="K1951" s="16" t="n">
        <f aca="false">J1951*INDEX(Customers!$G$2:$G$41,MATCH(C1951,Customers!$A$2:$A$41,0))</f>
        <v>3994.9062</v>
      </c>
      <c r="L1951" s="16" t="n">
        <f aca="false">F1951*INDEX(Customers!$H$2:$H$41,MATCH(C1951,Customers!$A$2:$A$41,0))</f>
        <v>6402</v>
      </c>
      <c r="M1951" s="16" t="n">
        <f aca="false">J1951*INDEX(Customers!$I$2:$I$41,MATCH(C1951,Customers!$A$2:$A$41,0))/365*Assumptions!$B$6</f>
        <v>1313.39381917808</v>
      </c>
      <c r="N1951" s="16" t="n">
        <f aca="false">J1951-K1951-L1951-M1951</f>
        <v>188035.009980822</v>
      </c>
      <c r="O1951" s="16" t="n">
        <f aca="false">F1951*IF(A1951="2025",INDEX(Products!$D$2:$D$13,MATCH(D1951,Products!$A$2:$A$13,0)),INDEX(Products!$F$2:$F$13,MATCH(D1951,Products!$A$2:$A$13,0)))</f>
        <v>150932</v>
      </c>
      <c r="P1951" s="16" t="n">
        <f aca="false">N1951-O1951</f>
        <v>37103.0099808219</v>
      </c>
    </row>
    <row r="1952" customFormat="false" ht="15" hidden="false" customHeight="false" outlineLevel="0" collapsed="false">
      <c r="A1952" s="2" t="s">
        <v>118</v>
      </c>
      <c r="B1952" s="2" t="n">
        <v>7</v>
      </c>
      <c r="C1952" s="2" t="s">
        <v>91</v>
      </c>
      <c r="D1952" s="2" t="s">
        <v>42</v>
      </c>
      <c r="E1952" s="2" t="str">
        <f aca="false">INDEX(Products!$B$2:$B$13,MATCH(D1952,Products!$A$2:$A$13,0))</f>
        <v>Hydroprocessing</v>
      </c>
      <c r="F1952" s="15" t="n">
        <v>25</v>
      </c>
      <c r="G1952" s="16" t="n">
        <f aca="false">IF(A1952="2025",INDEX(Products!$C$2:$C$13,MATCH(D1952,Products!$A$2:$A$13,0)),INDEX(Products!$E$2:$E$13,MATCH(D1952,Products!$A$2:$A$13,0)))</f>
        <v>12450</v>
      </c>
      <c r="H1952" s="13" t="n">
        <f aca="false">IF(A1952="2025",INDEX(Customers!$D$2:$D$41,MATCH(C1952,Customers!$A$2:$A$41,0)),INDEX(Customers!$F$2:$F$41,MATCH(C1952,Customers!$A$2:$A$41,0)))</f>
        <v>0.173</v>
      </c>
      <c r="I1952" s="16" t="n">
        <f aca="false">F1952*G1952</f>
        <v>311250</v>
      </c>
      <c r="J1952" s="16" t="n">
        <f aca="false">I1952*(1-H1952)</f>
        <v>257403.75</v>
      </c>
      <c r="K1952" s="16" t="n">
        <f aca="false">J1952*INDEX(Customers!$G$2:$G$41,MATCH(C1952,Customers!$A$2:$A$41,0))</f>
        <v>5148.075</v>
      </c>
      <c r="L1952" s="16" t="n">
        <f aca="false">F1952*INDEX(Customers!$H$2:$H$41,MATCH(C1952,Customers!$A$2:$A$41,0))</f>
        <v>8250</v>
      </c>
      <c r="M1952" s="16" t="n">
        <f aca="false">J1952*INDEX(Customers!$I$2:$I$41,MATCH(C1952,Customers!$A$2:$A$41,0))/365*Assumptions!$B$6</f>
        <v>1692.51780821918</v>
      </c>
      <c r="N1952" s="16" t="n">
        <f aca="false">J1952-K1952-L1952-M1952</f>
        <v>242313.157191781</v>
      </c>
      <c r="O1952" s="16" t="n">
        <f aca="false">F1952*IF(A1952="2025",INDEX(Products!$D$2:$D$13,MATCH(D1952,Products!$A$2:$A$13,0)),INDEX(Products!$F$2:$F$13,MATCH(D1952,Products!$A$2:$A$13,0)))</f>
        <v>194500</v>
      </c>
      <c r="P1952" s="16" t="n">
        <f aca="false">N1952-O1952</f>
        <v>47813.1571917808</v>
      </c>
    </row>
    <row r="1953" customFormat="false" ht="15" hidden="false" customHeight="false" outlineLevel="0" collapsed="false">
      <c r="A1953" s="2" t="s">
        <v>118</v>
      </c>
      <c r="B1953" s="2" t="n">
        <v>8</v>
      </c>
      <c r="C1953" s="2" t="s">
        <v>91</v>
      </c>
      <c r="D1953" s="2" t="s">
        <v>42</v>
      </c>
      <c r="E1953" s="2" t="str">
        <f aca="false">INDEX(Products!$B$2:$B$13,MATCH(D1953,Products!$A$2:$A$13,0))</f>
        <v>Hydroprocessing</v>
      </c>
      <c r="F1953" s="15" t="n">
        <v>21</v>
      </c>
      <c r="G1953" s="16" t="n">
        <f aca="false">IF(A1953="2025",INDEX(Products!$C$2:$C$13,MATCH(D1953,Products!$A$2:$A$13,0)),INDEX(Products!$E$2:$E$13,MATCH(D1953,Products!$A$2:$A$13,0)))</f>
        <v>12450</v>
      </c>
      <c r="H1953" s="13" t="n">
        <f aca="false">IF(A1953="2025",INDEX(Customers!$D$2:$D$41,MATCH(C1953,Customers!$A$2:$A$41,0)),INDEX(Customers!$F$2:$F$41,MATCH(C1953,Customers!$A$2:$A$41,0)))</f>
        <v>0.173</v>
      </c>
      <c r="I1953" s="16" t="n">
        <f aca="false">F1953*G1953</f>
        <v>261450</v>
      </c>
      <c r="J1953" s="16" t="n">
        <f aca="false">I1953*(1-H1953)</f>
        <v>216219.15</v>
      </c>
      <c r="K1953" s="16" t="n">
        <f aca="false">J1953*INDEX(Customers!$G$2:$G$41,MATCH(C1953,Customers!$A$2:$A$41,0))</f>
        <v>4324.383</v>
      </c>
      <c r="L1953" s="16" t="n">
        <f aca="false">F1953*INDEX(Customers!$H$2:$H$41,MATCH(C1953,Customers!$A$2:$A$41,0))</f>
        <v>6930</v>
      </c>
      <c r="M1953" s="16" t="n">
        <f aca="false">J1953*INDEX(Customers!$I$2:$I$41,MATCH(C1953,Customers!$A$2:$A$41,0))/365*Assumptions!$B$6</f>
        <v>1421.71495890411</v>
      </c>
      <c r="N1953" s="16" t="n">
        <f aca="false">J1953-K1953-L1953-M1953</f>
        <v>203543.052041096</v>
      </c>
      <c r="O1953" s="16" t="n">
        <f aca="false">F1953*IF(A1953="2025",INDEX(Products!$D$2:$D$13,MATCH(D1953,Products!$A$2:$A$13,0)),INDEX(Products!$F$2:$F$13,MATCH(D1953,Products!$A$2:$A$13,0)))</f>
        <v>163380</v>
      </c>
      <c r="P1953" s="16" t="n">
        <f aca="false">N1953-O1953</f>
        <v>40163.0520410959</v>
      </c>
    </row>
    <row r="1954" customFormat="false" ht="15" hidden="false" customHeight="false" outlineLevel="0" collapsed="false">
      <c r="A1954" s="2" t="s">
        <v>118</v>
      </c>
      <c r="B1954" s="2" t="n">
        <v>9</v>
      </c>
      <c r="C1954" s="2" t="s">
        <v>91</v>
      </c>
      <c r="D1954" s="2" t="s">
        <v>42</v>
      </c>
      <c r="E1954" s="2" t="str">
        <f aca="false">INDEX(Products!$B$2:$B$13,MATCH(D1954,Products!$A$2:$A$13,0))</f>
        <v>Hydroprocessing</v>
      </c>
      <c r="F1954" s="15" t="n">
        <v>24.1</v>
      </c>
      <c r="G1954" s="16" t="n">
        <f aca="false">IF(A1954="2025",INDEX(Products!$C$2:$C$13,MATCH(D1954,Products!$A$2:$A$13,0)),INDEX(Products!$E$2:$E$13,MATCH(D1954,Products!$A$2:$A$13,0)))</f>
        <v>12450</v>
      </c>
      <c r="H1954" s="13" t="n">
        <f aca="false">IF(A1954="2025",INDEX(Customers!$D$2:$D$41,MATCH(C1954,Customers!$A$2:$A$41,0)),INDEX(Customers!$F$2:$F$41,MATCH(C1954,Customers!$A$2:$A$41,0)))</f>
        <v>0.173</v>
      </c>
      <c r="I1954" s="16" t="n">
        <f aca="false">F1954*G1954</f>
        <v>300045</v>
      </c>
      <c r="J1954" s="16" t="n">
        <f aca="false">I1954*(1-H1954)</f>
        <v>248137.215</v>
      </c>
      <c r="K1954" s="16" t="n">
        <f aca="false">J1954*INDEX(Customers!$G$2:$G$41,MATCH(C1954,Customers!$A$2:$A$41,0))</f>
        <v>4962.7443</v>
      </c>
      <c r="L1954" s="16" t="n">
        <f aca="false">F1954*INDEX(Customers!$H$2:$H$41,MATCH(C1954,Customers!$A$2:$A$41,0))</f>
        <v>7953</v>
      </c>
      <c r="M1954" s="16" t="n">
        <f aca="false">J1954*INDEX(Customers!$I$2:$I$41,MATCH(C1954,Customers!$A$2:$A$41,0))/365*Assumptions!$B$6</f>
        <v>1631.58716712329</v>
      </c>
      <c r="N1954" s="16" t="n">
        <f aca="false">J1954-K1954-L1954-M1954</f>
        <v>233589.883532877</v>
      </c>
      <c r="O1954" s="16" t="n">
        <f aca="false">F1954*IF(A1954="2025",INDEX(Products!$D$2:$D$13,MATCH(D1954,Products!$A$2:$A$13,0)),INDEX(Products!$F$2:$F$13,MATCH(D1954,Products!$A$2:$A$13,0)))</f>
        <v>187498</v>
      </c>
      <c r="P1954" s="16" t="n">
        <f aca="false">N1954-O1954</f>
        <v>46091.8835328767</v>
      </c>
    </row>
    <row r="1955" customFormat="false" ht="15" hidden="false" customHeight="false" outlineLevel="0" collapsed="false">
      <c r="A1955" s="2" t="s">
        <v>118</v>
      </c>
      <c r="B1955" s="2" t="n">
        <v>10</v>
      </c>
      <c r="C1955" s="2" t="s">
        <v>91</v>
      </c>
      <c r="D1955" s="2" t="s">
        <v>42</v>
      </c>
      <c r="E1955" s="2" t="str">
        <f aca="false">INDEX(Products!$B$2:$B$13,MATCH(D1955,Products!$A$2:$A$13,0))</f>
        <v>Hydroprocessing</v>
      </c>
      <c r="F1955" s="15" t="n">
        <v>26.9</v>
      </c>
      <c r="G1955" s="16" t="n">
        <f aca="false">IF(A1955="2025",INDEX(Products!$C$2:$C$13,MATCH(D1955,Products!$A$2:$A$13,0)),INDEX(Products!$E$2:$E$13,MATCH(D1955,Products!$A$2:$A$13,0)))</f>
        <v>12450</v>
      </c>
      <c r="H1955" s="13" t="n">
        <f aca="false">IF(A1955="2025",INDEX(Customers!$D$2:$D$41,MATCH(C1955,Customers!$A$2:$A$41,0)),INDEX(Customers!$F$2:$F$41,MATCH(C1955,Customers!$A$2:$A$41,0)))</f>
        <v>0.173</v>
      </c>
      <c r="I1955" s="16" t="n">
        <f aca="false">F1955*G1955</f>
        <v>334905</v>
      </c>
      <c r="J1955" s="16" t="n">
        <f aca="false">I1955*(1-H1955)</f>
        <v>276966.435</v>
      </c>
      <c r="K1955" s="16" t="n">
        <f aca="false">J1955*INDEX(Customers!$G$2:$G$41,MATCH(C1955,Customers!$A$2:$A$41,0))</f>
        <v>5539.3287</v>
      </c>
      <c r="L1955" s="16" t="n">
        <f aca="false">F1955*INDEX(Customers!$H$2:$H$41,MATCH(C1955,Customers!$A$2:$A$41,0))</f>
        <v>8877</v>
      </c>
      <c r="M1955" s="16" t="n">
        <f aca="false">J1955*INDEX(Customers!$I$2:$I$41,MATCH(C1955,Customers!$A$2:$A$41,0))/365*Assumptions!$B$6</f>
        <v>1821.14916164384</v>
      </c>
      <c r="N1955" s="16" t="n">
        <f aca="false">J1955-K1955-L1955-M1955</f>
        <v>260728.957138356</v>
      </c>
      <c r="O1955" s="16" t="n">
        <f aca="false">F1955*IF(A1955="2025",INDEX(Products!$D$2:$D$13,MATCH(D1955,Products!$A$2:$A$13,0)),INDEX(Products!$F$2:$F$13,MATCH(D1955,Products!$A$2:$A$13,0)))</f>
        <v>209282</v>
      </c>
      <c r="P1955" s="16" t="n">
        <f aca="false">N1955-O1955</f>
        <v>51446.9571383561</v>
      </c>
    </row>
    <row r="1956" customFormat="false" ht="15" hidden="false" customHeight="false" outlineLevel="0" collapsed="false">
      <c r="A1956" s="2" t="s">
        <v>118</v>
      </c>
      <c r="B1956" s="2" t="n">
        <v>11</v>
      </c>
      <c r="C1956" s="2" t="s">
        <v>91</v>
      </c>
      <c r="D1956" s="2" t="s">
        <v>42</v>
      </c>
      <c r="E1956" s="2" t="str">
        <f aca="false">INDEX(Products!$B$2:$B$13,MATCH(D1956,Products!$A$2:$A$13,0))</f>
        <v>Hydroprocessing</v>
      </c>
      <c r="F1956" s="15" t="n">
        <v>25.9</v>
      </c>
      <c r="G1956" s="16" t="n">
        <f aca="false">IF(A1956="2025",INDEX(Products!$C$2:$C$13,MATCH(D1956,Products!$A$2:$A$13,0)),INDEX(Products!$E$2:$E$13,MATCH(D1956,Products!$A$2:$A$13,0)))</f>
        <v>12450</v>
      </c>
      <c r="H1956" s="13" t="n">
        <f aca="false">IF(A1956="2025",INDEX(Customers!$D$2:$D$41,MATCH(C1956,Customers!$A$2:$A$41,0)),INDEX(Customers!$F$2:$F$41,MATCH(C1956,Customers!$A$2:$A$41,0)))</f>
        <v>0.173</v>
      </c>
      <c r="I1956" s="16" t="n">
        <f aca="false">F1956*G1956</f>
        <v>322455</v>
      </c>
      <c r="J1956" s="16" t="n">
        <f aca="false">I1956*(1-H1956)</f>
        <v>266670.285</v>
      </c>
      <c r="K1956" s="16" t="n">
        <f aca="false">J1956*INDEX(Customers!$G$2:$G$41,MATCH(C1956,Customers!$A$2:$A$41,0))</f>
        <v>5333.4057</v>
      </c>
      <c r="L1956" s="16" t="n">
        <f aca="false">F1956*INDEX(Customers!$H$2:$H$41,MATCH(C1956,Customers!$A$2:$A$41,0))</f>
        <v>8547</v>
      </c>
      <c r="M1956" s="16" t="n">
        <f aca="false">J1956*INDEX(Customers!$I$2:$I$41,MATCH(C1956,Customers!$A$2:$A$41,0))/365*Assumptions!$B$6</f>
        <v>1753.44844931507</v>
      </c>
      <c r="N1956" s="16" t="n">
        <f aca="false">J1956-K1956-L1956-M1956</f>
        <v>251036.430850685</v>
      </c>
      <c r="O1956" s="16" t="n">
        <f aca="false">F1956*IF(A1956="2025",INDEX(Products!$D$2:$D$13,MATCH(D1956,Products!$A$2:$A$13,0)),INDEX(Products!$F$2:$F$13,MATCH(D1956,Products!$A$2:$A$13,0)))</f>
        <v>201502</v>
      </c>
      <c r="P1956" s="16" t="n">
        <f aca="false">N1956-O1956</f>
        <v>49534.4308506849</v>
      </c>
    </row>
    <row r="1957" customFormat="false" ht="15" hidden="false" customHeight="false" outlineLevel="0" collapsed="false">
      <c r="A1957" s="2" t="s">
        <v>118</v>
      </c>
      <c r="B1957" s="2" t="n">
        <v>12</v>
      </c>
      <c r="C1957" s="2" t="s">
        <v>91</v>
      </c>
      <c r="D1957" s="2" t="s">
        <v>42</v>
      </c>
      <c r="E1957" s="2" t="str">
        <f aca="false">INDEX(Products!$B$2:$B$13,MATCH(D1957,Products!$A$2:$A$13,0))</f>
        <v>Hydroprocessing</v>
      </c>
      <c r="F1957" s="15" t="n">
        <v>22.8</v>
      </c>
      <c r="G1957" s="16" t="n">
        <f aca="false">IF(A1957="2025",INDEX(Products!$C$2:$C$13,MATCH(D1957,Products!$A$2:$A$13,0)),INDEX(Products!$E$2:$E$13,MATCH(D1957,Products!$A$2:$A$13,0)))</f>
        <v>12450</v>
      </c>
      <c r="H1957" s="13" t="n">
        <f aca="false">IF(A1957="2025",INDEX(Customers!$D$2:$D$41,MATCH(C1957,Customers!$A$2:$A$41,0)),INDEX(Customers!$F$2:$F$41,MATCH(C1957,Customers!$A$2:$A$41,0)))</f>
        <v>0.173</v>
      </c>
      <c r="I1957" s="16" t="n">
        <f aca="false">F1957*G1957</f>
        <v>283860</v>
      </c>
      <c r="J1957" s="16" t="n">
        <f aca="false">I1957*(1-H1957)</f>
        <v>234752.22</v>
      </c>
      <c r="K1957" s="16" t="n">
        <f aca="false">J1957*INDEX(Customers!$G$2:$G$41,MATCH(C1957,Customers!$A$2:$A$41,0))</f>
        <v>4695.0444</v>
      </c>
      <c r="L1957" s="16" t="n">
        <f aca="false">F1957*INDEX(Customers!$H$2:$H$41,MATCH(C1957,Customers!$A$2:$A$41,0))</f>
        <v>7524</v>
      </c>
      <c r="M1957" s="16" t="n">
        <f aca="false">J1957*INDEX(Customers!$I$2:$I$41,MATCH(C1957,Customers!$A$2:$A$41,0))/365*Assumptions!$B$6</f>
        <v>1543.57624109589</v>
      </c>
      <c r="N1957" s="16" t="n">
        <f aca="false">J1957-K1957-L1957-M1957</f>
        <v>220989.599358904</v>
      </c>
      <c r="O1957" s="16" t="n">
        <f aca="false">F1957*IF(A1957="2025",INDEX(Products!$D$2:$D$13,MATCH(D1957,Products!$A$2:$A$13,0)),INDEX(Products!$F$2:$F$13,MATCH(D1957,Products!$A$2:$A$13,0)))</f>
        <v>177384</v>
      </c>
      <c r="P1957" s="16" t="n">
        <f aca="false">N1957-O1957</f>
        <v>43605.5993589041</v>
      </c>
    </row>
    <row r="1958" customFormat="false" ht="15" hidden="false" customHeight="false" outlineLevel="0" collapsed="false">
      <c r="A1958" s="2" t="s">
        <v>119</v>
      </c>
      <c r="B1958" s="2" t="n">
        <v>1</v>
      </c>
      <c r="C1958" s="2" t="s">
        <v>91</v>
      </c>
      <c r="D1958" s="2" t="s">
        <v>42</v>
      </c>
      <c r="E1958" s="2" t="str">
        <f aca="false">INDEX(Products!$B$2:$B$13,MATCH(D1958,Products!$A$2:$A$13,0))</f>
        <v>Hydroprocessing</v>
      </c>
      <c r="F1958" s="15" t="n">
        <v>21.2</v>
      </c>
      <c r="G1958" s="16" t="n">
        <f aca="false">IF(A1958="2025",INDEX(Products!$C$2:$C$13,MATCH(D1958,Products!$A$2:$A$13,0)),INDEX(Products!$E$2:$E$13,MATCH(D1958,Products!$A$2:$A$13,0)))</f>
        <v>13072.5</v>
      </c>
      <c r="H1958" s="13" t="n">
        <f aca="false">IF(A1958="2025",INDEX(Customers!$D$2:$D$41,MATCH(C1958,Customers!$A$2:$A$41,0)),INDEX(Customers!$F$2:$F$41,MATCH(C1958,Customers!$A$2:$A$41,0)))</f>
        <v>0.173</v>
      </c>
      <c r="I1958" s="16" t="n">
        <f aca="false">F1958*G1958</f>
        <v>277137</v>
      </c>
      <c r="J1958" s="16" t="n">
        <f aca="false">I1958*(1-H1958)</f>
        <v>229192.299</v>
      </c>
      <c r="K1958" s="16" t="n">
        <f aca="false">J1958*INDEX(Customers!$G$2:$G$41,MATCH(C1958,Customers!$A$2:$A$41,0))</f>
        <v>4583.84598</v>
      </c>
      <c r="L1958" s="16" t="n">
        <f aca="false">F1958*INDEX(Customers!$H$2:$H$41,MATCH(C1958,Customers!$A$2:$A$41,0))</f>
        <v>6996</v>
      </c>
      <c r="M1958" s="16" t="n">
        <f aca="false">J1958*INDEX(Customers!$I$2:$I$41,MATCH(C1958,Customers!$A$2:$A$41,0))/365*Assumptions!$B$6</f>
        <v>1507.01785643836</v>
      </c>
      <c r="N1958" s="16" t="n">
        <f aca="false">J1958-K1958-L1958-M1958</f>
        <v>216105.435163562</v>
      </c>
      <c r="O1958" s="16" t="n">
        <f aca="false">F1958*IF(A1958="2025",INDEX(Products!$D$2:$D$13,MATCH(D1958,Products!$A$2:$A$13,0)),INDEX(Products!$F$2:$F$13,MATCH(D1958,Products!$A$2:$A$13,0)))</f>
        <v>169884.08</v>
      </c>
      <c r="P1958" s="16" t="n">
        <f aca="false">N1958-O1958</f>
        <v>46221.3551635616</v>
      </c>
    </row>
    <row r="1959" customFormat="false" ht="15" hidden="false" customHeight="false" outlineLevel="0" collapsed="false">
      <c r="A1959" s="2" t="s">
        <v>119</v>
      </c>
      <c r="B1959" s="2" t="n">
        <v>2</v>
      </c>
      <c r="C1959" s="2" t="s">
        <v>91</v>
      </c>
      <c r="D1959" s="2" t="s">
        <v>42</v>
      </c>
      <c r="E1959" s="2" t="str">
        <f aca="false">INDEX(Products!$B$2:$B$13,MATCH(D1959,Products!$A$2:$A$13,0))</f>
        <v>Hydroprocessing</v>
      </c>
      <c r="F1959" s="15" t="n">
        <v>14.7</v>
      </c>
      <c r="G1959" s="16" t="n">
        <f aca="false">IF(A1959="2025",INDEX(Products!$C$2:$C$13,MATCH(D1959,Products!$A$2:$A$13,0)),INDEX(Products!$E$2:$E$13,MATCH(D1959,Products!$A$2:$A$13,0)))</f>
        <v>13072.5</v>
      </c>
      <c r="H1959" s="13" t="n">
        <f aca="false">IF(A1959="2025",INDEX(Customers!$D$2:$D$41,MATCH(C1959,Customers!$A$2:$A$41,0)),INDEX(Customers!$F$2:$F$41,MATCH(C1959,Customers!$A$2:$A$41,0)))</f>
        <v>0.173</v>
      </c>
      <c r="I1959" s="16" t="n">
        <f aca="false">F1959*G1959</f>
        <v>192165.75</v>
      </c>
      <c r="J1959" s="16" t="n">
        <f aca="false">I1959*(1-H1959)</f>
        <v>158921.07525</v>
      </c>
      <c r="K1959" s="16" t="n">
        <f aca="false">J1959*INDEX(Customers!$G$2:$G$41,MATCH(C1959,Customers!$A$2:$A$41,0))</f>
        <v>3178.421505</v>
      </c>
      <c r="L1959" s="16" t="n">
        <f aca="false">F1959*INDEX(Customers!$H$2:$H$41,MATCH(C1959,Customers!$A$2:$A$41,0))</f>
        <v>4851</v>
      </c>
      <c r="M1959" s="16" t="n">
        <f aca="false">J1959*INDEX(Customers!$I$2:$I$41,MATCH(C1959,Customers!$A$2:$A$41,0))/365*Assumptions!$B$6</f>
        <v>1044.96049479452</v>
      </c>
      <c r="N1959" s="16" t="n">
        <f aca="false">J1959-K1959-L1959-M1959</f>
        <v>149846.693250205</v>
      </c>
      <c r="O1959" s="16" t="n">
        <f aca="false">F1959*IF(A1959="2025",INDEX(Products!$D$2:$D$13,MATCH(D1959,Products!$A$2:$A$13,0)),INDEX(Products!$F$2:$F$13,MATCH(D1959,Products!$A$2:$A$13,0)))</f>
        <v>117796.98</v>
      </c>
      <c r="P1959" s="16" t="n">
        <f aca="false">N1959-O1959</f>
        <v>32049.7132502055</v>
      </c>
    </row>
    <row r="1960" customFormat="false" ht="15" hidden="false" customHeight="false" outlineLevel="0" collapsed="false">
      <c r="A1960" s="2" t="s">
        <v>119</v>
      </c>
      <c r="B1960" s="2" t="n">
        <v>3</v>
      </c>
      <c r="C1960" s="2" t="s">
        <v>91</v>
      </c>
      <c r="D1960" s="2" t="s">
        <v>42</v>
      </c>
      <c r="E1960" s="2" t="str">
        <f aca="false">INDEX(Products!$B$2:$B$13,MATCH(D1960,Products!$A$2:$A$13,0))</f>
        <v>Hydroprocessing</v>
      </c>
      <c r="F1960" s="15" t="n">
        <v>21.8</v>
      </c>
      <c r="G1960" s="16" t="n">
        <f aca="false">IF(A1960="2025",INDEX(Products!$C$2:$C$13,MATCH(D1960,Products!$A$2:$A$13,0)),INDEX(Products!$E$2:$E$13,MATCH(D1960,Products!$A$2:$A$13,0)))</f>
        <v>13072.5</v>
      </c>
      <c r="H1960" s="13" t="n">
        <f aca="false">IF(A1960="2025",INDEX(Customers!$D$2:$D$41,MATCH(C1960,Customers!$A$2:$A$41,0)),INDEX(Customers!$F$2:$F$41,MATCH(C1960,Customers!$A$2:$A$41,0)))</f>
        <v>0.173</v>
      </c>
      <c r="I1960" s="16" t="n">
        <f aca="false">F1960*G1960</f>
        <v>284980.5</v>
      </c>
      <c r="J1960" s="16" t="n">
        <f aca="false">I1960*(1-H1960)</f>
        <v>235678.8735</v>
      </c>
      <c r="K1960" s="16" t="n">
        <f aca="false">J1960*INDEX(Customers!$G$2:$G$41,MATCH(C1960,Customers!$A$2:$A$41,0))</f>
        <v>4713.57747</v>
      </c>
      <c r="L1960" s="16" t="n">
        <f aca="false">F1960*INDEX(Customers!$H$2:$H$41,MATCH(C1960,Customers!$A$2:$A$41,0))</f>
        <v>7194</v>
      </c>
      <c r="M1960" s="16" t="n">
        <f aca="false">J1960*INDEX(Customers!$I$2:$I$41,MATCH(C1960,Customers!$A$2:$A$41,0))/365*Assumptions!$B$6</f>
        <v>1549.66930520548</v>
      </c>
      <c r="N1960" s="16" t="n">
        <f aca="false">J1960-K1960-L1960-M1960</f>
        <v>222221.626724795</v>
      </c>
      <c r="O1960" s="16" t="n">
        <f aca="false">F1960*IF(A1960="2025",INDEX(Products!$D$2:$D$13,MATCH(D1960,Products!$A$2:$A$13,0)),INDEX(Products!$F$2:$F$13,MATCH(D1960,Products!$A$2:$A$13,0)))</f>
        <v>174692.12</v>
      </c>
      <c r="P1960" s="16" t="n">
        <f aca="false">N1960-O1960</f>
        <v>47529.5067247945</v>
      </c>
    </row>
    <row r="1961" customFormat="false" ht="15" hidden="false" customHeight="false" outlineLevel="0" collapsed="false">
      <c r="A1961" s="2" t="s">
        <v>119</v>
      </c>
      <c r="B1961" s="2" t="n">
        <v>4</v>
      </c>
      <c r="C1961" s="2" t="s">
        <v>91</v>
      </c>
      <c r="D1961" s="2" t="s">
        <v>42</v>
      </c>
      <c r="E1961" s="2" t="str">
        <f aca="false">INDEX(Products!$B$2:$B$13,MATCH(D1961,Products!$A$2:$A$13,0))</f>
        <v>Hydroprocessing</v>
      </c>
      <c r="F1961" s="15" t="n">
        <v>15.4</v>
      </c>
      <c r="G1961" s="16" t="n">
        <f aca="false">IF(A1961="2025",INDEX(Products!$C$2:$C$13,MATCH(D1961,Products!$A$2:$A$13,0)),INDEX(Products!$E$2:$E$13,MATCH(D1961,Products!$A$2:$A$13,0)))</f>
        <v>13072.5</v>
      </c>
      <c r="H1961" s="13" t="n">
        <f aca="false">IF(A1961="2025",INDEX(Customers!$D$2:$D$41,MATCH(C1961,Customers!$A$2:$A$41,0)),INDEX(Customers!$F$2:$F$41,MATCH(C1961,Customers!$A$2:$A$41,0)))</f>
        <v>0.173</v>
      </c>
      <c r="I1961" s="16" t="n">
        <f aca="false">F1961*G1961</f>
        <v>201316.5</v>
      </c>
      <c r="J1961" s="16" t="n">
        <f aca="false">I1961*(1-H1961)</f>
        <v>166488.7455</v>
      </c>
      <c r="K1961" s="16" t="n">
        <f aca="false">J1961*INDEX(Customers!$G$2:$G$41,MATCH(C1961,Customers!$A$2:$A$41,0))</f>
        <v>3329.77491</v>
      </c>
      <c r="L1961" s="16" t="n">
        <f aca="false">F1961*INDEX(Customers!$H$2:$H$41,MATCH(C1961,Customers!$A$2:$A$41,0))</f>
        <v>5082</v>
      </c>
      <c r="M1961" s="16" t="n">
        <f aca="false">J1961*INDEX(Customers!$I$2:$I$41,MATCH(C1961,Customers!$A$2:$A$41,0))/365*Assumptions!$B$6</f>
        <v>1094.72051835616</v>
      </c>
      <c r="N1961" s="16" t="n">
        <f aca="false">J1961-K1961-L1961-M1961</f>
        <v>156982.250071644</v>
      </c>
      <c r="O1961" s="16" t="n">
        <f aca="false">F1961*IF(A1961="2025",INDEX(Products!$D$2:$D$13,MATCH(D1961,Products!$A$2:$A$13,0)),INDEX(Products!$F$2:$F$13,MATCH(D1961,Products!$A$2:$A$13,0)))</f>
        <v>123406.36</v>
      </c>
      <c r="P1961" s="16" t="n">
        <f aca="false">N1961-O1961</f>
        <v>33575.8900716438</v>
      </c>
    </row>
    <row r="1962" customFormat="false" ht="15" hidden="false" customHeight="false" outlineLevel="0" collapsed="false">
      <c r="A1962" s="2" t="s">
        <v>119</v>
      </c>
      <c r="B1962" s="2" t="n">
        <v>5</v>
      </c>
      <c r="C1962" s="2" t="s">
        <v>91</v>
      </c>
      <c r="D1962" s="2" t="s">
        <v>42</v>
      </c>
      <c r="E1962" s="2" t="str">
        <f aca="false">INDEX(Products!$B$2:$B$13,MATCH(D1962,Products!$A$2:$A$13,0))</f>
        <v>Hydroprocessing</v>
      </c>
      <c r="F1962" s="15" t="n">
        <v>17.3</v>
      </c>
      <c r="G1962" s="16" t="n">
        <f aca="false">IF(A1962="2025",INDEX(Products!$C$2:$C$13,MATCH(D1962,Products!$A$2:$A$13,0)),INDEX(Products!$E$2:$E$13,MATCH(D1962,Products!$A$2:$A$13,0)))</f>
        <v>13072.5</v>
      </c>
      <c r="H1962" s="13" t="n">
        <f aca="false">IF(A1962="2025",INDEX(Customers!$D$2:$D$41,MATCH(C1962,Customers!$A$2:$A$41,0)),INDEX(Customers!$F$2:$F$41,MATCH(C1962,Customers!$A$2:$A$41,0)))</f>
        <v>0.173</v>
      </c>
      <c r="I1962" s="16" t="n">
        <f aca="false">F1962*G1962</f>
        <v>226154.25</v>
      </c>
      <c r="J1962" s="16" t="n">
        <f aca="false">I1962*(1-H1962)</f>
        <v>187029.56475</v>
      </c>
      <c r="K1962" s="16" t="n">
        <f aca="false">J1962*INDEX(Customers!$G$2:$G$41,MATCH(C1962,Customers!$A$2:$A$41,0))</f>
        <v>3740.591295</v>
      </c>
      <c r="L1962" s="16" t="n">
        <f aca="false">F1962*INDEX(Customers!$H$2:$H$41,MATCH(C1962,Customers!$A$2:$A$41,0))</f>
        <v>5709</v>
      </c>
      <c r="M1962" s="16" t="n">
        <f aca="false">J1962*INDEX(Customers!$I$2:$I$41,MATCH(C1962,Customers!$A$2:$A$41,0))/365*Assumptions!$B$6</f>
        <v>1229.78343945205</v>
      </c>
      <c r="N1962" s="16" t="n">
        <f aca="false">J1962-K1962-L1962-M1962</f>
        <v>176350.190015548</v>
      </c>
      <c r="O1962" s="16" t="n">
        <f aca="false">F1962*IF(A1962="2025",INDEX(Products!$D$2:$D$13,MATCH(D1962,Products!$A$2:$A$13,0)),INDEX(Products!$F$2:$F$13,MATCH(D1962,Products!$A$2:$A$13,0)))</f>
        <v>138631.82</v>
      </c>
      <c r="P1962" s="16" t="n">
        <f aca="false">N1962-O1962</f>
        <v>37718.3700155479</v>
      </c>
    </row>
    <row r="1963" customFormat="false" ht="15" hidden="false" customHeight="false" outlineLevel="0" collapsed="false">
      <c r="A1963" s="2" t="s">
        <v>119</v>
      </c>
      <c r="B1963" s="2" t="n">
        <v>6</v>
      </c>
      <c r="C1963" s="2" t="s">
        <v>91</v>
      </c>
      <c r="D1963" s="2" t="s">
        <v>42</v>
      </c>
      <c r="E1963" s="2" t="str">
        <f aca="false">INDEX(Products!$B$2:$B$13,MATCH(D1963,Products!$A$2:$A$13,0))</f>
        <v>Hydroprocessing</v>
      </c>
      <c r="F1963" s="15" t="n">
        <v>19.3</v>
      </c>
      <c r="G1963" s="16" t="n">
        <f aca="false">IF(A1963="2025",INDEX(Products!$C$2:$C$13,MATCH(D1963,Products!$A$2:$A$13,0)),INDEX(Products!$E$2:$E$13,MATCH(D1963,Products!$A$2:$A$13,0)))</f>
        <v>13072.5</v>
      </c>
      <c r="H1963" s="13" t="n">
        <f aca="false">IF(A1963="2025",INDEX(Customers!$D$2:$D$41,MATCH(C1963,Customers!$A$2:$A$41,0)),INDEX(Customers!$F$2:$F$41,MATCH(C1963,Customers!$A$2:$A$41,0)))</f>
        <v>0.173</v>
      </c>
      <c r="I1963" s="16" t="n">
        <f aca="false">F1963*G1963</f>
        <v>252299.25</v>
      </c>
      <c r="J1963" s="16" t="n">
        <f aca="false">I1963*(1-H1963)</f>
        <v>208651.47975</v>
      </c>
      <c r="K1963" s="16" t="n">
        <f aca="false">J1963*INDEX(Customers!$G$2:$G$41,MATCH(C1963,Customers!$A$2:$A$41,0))</f>
        <v>4173.029595</v>
      </c>
      <c r="L1963" s="16" t="n">
        <f aca="false">F1963*INDEX(Customers!$H$2:$H$41,MATCH(C1963,Customers!$A$2:$A$41,0))</f>
        <v>6369</v>
      </c>
      <c r="M1963" s="16" t="n">
        <f aca="false">J1963*INDEX(Customers!$I$2:$I$41,MATCH(C1963,Customers!$A$2:$A$41,0))/365*Assumptions!$B$6</f>
        <v>1371.95493534247</v>
      </c>
      <c r="N1963" s="16" t="n">
        <f aca="false">J1963-K1963-L1963-M1963</f>
        <v>196737.495219658</v>
      </c>
      <c r="O1963" s="16" t="n">
        <f aca="false">F1963*IF(A1963="2025",INDEX(Products!$D$2:$D$13,MATCH(D1963,Products!$A$2:$A$13,0)),INDEX(Products!$F$2:$F$13,MATCH(D1963,Products!$A$2:$A$13,0)))</f>
        <v>154658.62</v>
      </c>
      <c r="P1963" s="16" t="n">
        <f aca="false">N1963-O1963</f>
        <v>42078.8752196575</v>
      </c>
    </row>
    <row r="1964" customFormat="false" ht="15" hidden="false" customHeight="false" outlineLevel="0" collapsed="false">
      <c r="A1964" s="2" t="s">
        <v>119</v>
      </c>
      <c r="B1964" s="2" t="n">
        <v>7</v>
      </c>
      <c r="C1964" s="2" t="s">
        <v>91</v>
      </c>
      <c r="D1964" s="2" t="s">
        <v>42</v>
      </c>
      <c r="E1964" s="2" t="str">
        <f aca="false">INDEX(Products!$B$2:$B$13,MATCH(D1964,Products!$A$2:$A$13,0))</f>
        <v>Hydroprocessing</v>
      </c>
      <c r="F1964" s="15" t="n">
        <v>16.2</v>
      </c>
      <c r="G1964" s="16" t="n">
        <f aca="false">IF(A1964="2025",INDEX(Products!$C$2:$C$13,MATCH(D1964,Products!$A$2:$A$13,0)),INDEX(Products!$E$2:$E$13,MATCH(D1964,Products!$A$2:$A$13,0)))</f>
        <v>13072.5</v>
      </c>
      <c r="H1964" s="13" t="n">
        <f aca="false">IF(A1964="2025",INDEX(Customers!$D$2:$D$41,MATCH(C1964,Customers!$A$2:$A$41,0)),INDEX(Customers!$F$2:$F$41,MATCH(C1964,Customers!$A$2:$A$41,0)))</f>
        <v>0.173</v>
      </c>
      <c r="I1964" s="16" t="n">
        <f aca="false">F1964*G1964</f>
        <v>211774.5</v>
      </c>
      <c r="J1964" s="16" t="n">
        <f aca="false">I1964*(1-H1964)</f>
        <v>175137.5115</v>
      </c>
      <c r="K1964" s="16" t="n">
        <f aca="false">J1964*INDEX(Customers!$G$2:$G$41,MATCH(C1964,Customers!$A$2:$A$41,0))</f>
        <v>3502.75023</v>
      </c>
      <c r="L1964" s="16" t="n">
        <f aca="false">F1964*INDEX(Customers!$H$2:$H$41,MATCH(C1964,Customers!$A$2:$A$41,0))</f>
        <v>5346</v>
      </c>
      <c r="M1964" s="16" t="n">
        <f aca="false">J1964*INDEX(Customers!$I$2:$I$41,MATCH(C1964,Customers!$A$2:$A$41,0))/365*Assumptions!$B$6</f>
        <v>1151.58911671233</v>
      </c>
      <c r="N1964" s="16" t="n">
        <f aca="false">J1964-K1964-L1964-M1964</f>
        <v>165137.172153288</v>
      </c>
      <c r="O1964" s="16" t="n">
        <f aca="false">F1964*IF(A1964="2025",INDEX(Products!$D$2:$D$13,MATCH(D1964,Products!$A$2:$A$13,0)),INDEX(Products!$F$2:$F$13,MATCH(D1964,Products!$A$2:$A$13,0)))</f>
        <v>129817.08</v>
      </c>
      <c r="P1964" s="16" t="n">
        <f aca="false">N1964-O1964</f>
        <v>35320.0921532877</v>
      </c>
    </row>
    <row r="1965" customFormat="false" ht="15" hidden="false" customHeight="false" outlineLevel="0" collapsed="false">
      <c r="A1965" s="2" t="s">
        <v>119</v>
      </c>
      <c r="B1965" s="2" t="n">
        <v>8</v>
      </c>
      <c r="C1965" s="2" t="s">
        <v>91</v>
      </c>
      <c r="D1965" s="2" t="s">
        <v>42</v>
      </c>
      <c r="E1965" s="2" t="str">
        <f aca="false">INDEX(Products!$B$2:$B$13,MATCH(D1965,Products!$A$2:$A$13,0))</f>
        <v>Hydroprocessing</v>
      </c>
      <c r="F1965" s="15" t="n">
        <v>21.6</v>
      </c>
      <c r="G1965" s="16" t="n">
        <f aca="false">IF(A1965="2025",INDEX(Products!$C$2:$C$13,MATCH(D1965,Products!$A$2:$A$13,0)),INDEX(Products!$E$2:$E$13,MATCH(D1965,Products!$A$2:$A$13,0)))</f>
        <v>13072.5</v>
      </c>
      <c r="H1965" s="13" t="n">
        <f aca="false">IF(A1965="2025",INDEX(Customers!$D$2:$D$41,MATCH(C1965,Customers!$A$2:$A$41,0)),INDEX(Customers!$F$2:$F$41,MATCH(C1965,Customers!$A$2:$A$41,0)))</f>
        <v>0.173</v>
      </c>
      <c r="I1965" s="16" t="n">
        <f aca="false">F1965*G1965</f>
        <v>282366</v>
      </c>
      <c r="J1965" s="16" t="n">
        <f aca="false">I1965*(1-H1965)</f>
        <v>233516.682</v>
      </c>
      <c r="K1965" s="16" t="n">
        <f aca="false">J1965*INDEX(Customers!$G$2:$G$41,MATCH(C1965,Customers!$A$2:$A$41,0))</f>
        <v>4670.33364</v>
      </c>
      <c r="L1965" s="16" t="n">
        <f aca="false">F1965*INDEX(Customers!$H$2:$H$41,MATCH(C1965,Customers!$A$2:$A$41,0))</f>
        <v>7128</v>
      </c>
      <c r="M1965" s="16" t="n">
        <f aca="false">J1965*INDEX(Customers!$I$2:$I$41,MATCH(C1965,Customers!$A$2:$A$41,0))/365*Assumptions!$B$6</f>
        <v>1535.45215561644</v>
      </c>
      <c r="N1965" s="16" t="n">
        <f aca="false">J1965-K1965-L1965-M1965</f>
        <v>220182.896204384</v>
      </c>
      <c r="O1965" s="16" t="n">
        <f aca="false">F1965*IF(A1965="2025",INDEX(Products!$D$2:$D$13,MATCH(D1965,Products!$A$2:$A$13,0)),INDEX(Products!$F$2:$F$13,MATCH(D1965,Products!$A$2:$A$13,0)))</f>
        <v>173089.44</v>
      </c>
      <c r="P1965" s="16" t="n">
        <f aca="false">N1965-O1965</f>
        <v>47093.4562043836</v>
      </c>
    </row>
    <row r="1966" customFormat="false" ht="15" hidden="false" customHeight="false" outlineLevel="0" collapsed="false">
      <c r="A1966" s="2" t="s">
        <v>119</v>
      </c>
      <c r="B1966" s="2" t="n">
        <v>9</v>
      </c>
      <c r="C1966" s="2" t="s">
        <v>91</v>
      </c>
      <c r="D1966" s="2" t="s">
        <v>42</v>
      </c>
      <c r="E1966" s="2" t="str">
        <f aca="false">INDEX(Products!$B$2:$B$13,MATCH(D1966,Products!$A$2:$A$13,0))</f>
        <v>Hydroprocessing</v>
      </c>
      <c r="F1966" s="15" t="n">
        <v>19.1</v>
      </c>
      <c r="G1966" s="16" t="n">
        <f aca="false">IF(A1966="2025",INDEX(Products!$C$2:$C$13,MATCH(D1966,Products!$A$2:$A$13,0)),INDEX(Products!$E$2:$E$13,MATCH(D1966,Products!$A$2:$A$13,0)))</f>
        <v>13072.5</v>
      </c>
      <c r="H1966" s="13" t="n">
        <f aca="false">IF(A1966="2025",INDEX(Customers!$D$2:$D$41,MATCH(C1966,Customers!$A$2:$A$41,0)),INDEX(Customers!$F$2:$F$41,MATCH(C1966,Customers!$A$2:$A$41,0)))</f>
        <v>0.173</v>
      </c>
      <c r="I1966" s="16" t="n">
        <f aca="false">F1966*G1966</f>
        <v>249684.75</v>
      </c>
      <c r="J1966" s="16" t="n">
        <f aca="false">I1966*(1-H1966)</f>
        <v>206489.28825</v>
      </c>
      <c r="K1966" s="16" t="n">
        <f aca="false">J1966*INDEX(Customers!$G$2:$G$41,MATCH(C1966,Customers!$A$2:$A$41,0))</f>
        <v>4129.785765</v>
      </c>
      <c r="L1966" s="16" t="n">
        <f aca="false">F1966*INDEX(Customers!$H$2:$H$41,MATCH(C1966,Customers!$A$2:$A$41,0))</f>
        <v>6303</v>
      </c>
      <c r="M1966" s="16" t="n">
        <f aca="false">J1966*INDEX(Customers!$I$2:$I$41,MATCH(C1966,Customers!$A$2:$A$41,0))/365*Assumptions!$B$6</f>
        <v>1357.73778575342</v>
      </c>
      <c r="N1966" s="16" t="n">
        <f aca="false">J1966-K1966-L1966-M1966</f>
        <v>194698.764699247</v>
      </c>
      <c r="O1966" s="16" t="n">
        <f aca="false">F1966*IF(A1966="2025",INDEX(Products!$D$2:$D$13,MATCH(D1966,Products!$A$2:$A$13,0)),INDEX(Products!$F$2:$F$13,MATCH(D1966,Products!$A$2:$A$13,0)))</f>
        <v>153055.94</v>
      </c>
      <c r="P1966" s="16" t="n">
        <f aca="false">N1966-O1966</f>
        <v>41642.8246992466</v>
      </c>
    </row>
    <row r="1967" customFormat="false" ht="15" hidden="false" customHeight="false" outlineLevel="0" collapsed="false">
      <c r="A1967" s="2" t="s">
        <v>119</v>
      </c>
      <c r="B1967" s="2" t="n">
        <v>10</v>
      </c>
      <c r="C1967" s="2" t="s">
        <v>91</v>
      </c>
      <c r="D1967" s="2" t="s">
        <v>42</v>
      </c>
      <c r="E1967" s="2" t="str">
        <f aca="false">INDEX(Products!$B$2:$B$13,MATCH(D1967,Products!$A$2:$A$13,0))</f>
        <v>Hydroprocessing</v>
      </c>
      <c r="F1967" s="15" t="n">
        <v>23</v>
      </c>
      <c r="G1967" s="16" t="n">
        <f aca="false">IF(A1967="2025",INDEX(Products!$C$2:$C$13,MATCH(D1967,Products!$A$2:$A$13,0)),INDEX(Products!$E$2:$E$13,MATCH(D1967,Products!$A$2:$A$13,0)))</f>
        <v>13072.5</v>
      </c>
      <c r="H1967" s="13" t="n">
        <f aca="false">IF(A1967="2025",INDEX(Customers!$D$2:$D$41,MATCH(C1967,Customers!$A$2:$A$41,0)),INDEX(Customers!$F$2:$F$41,MATCH(C1967,Customers!$A$2:$A$41,0)))</f>
        <v>0.173</v>
      </c>
      <c r="I1967" s="16" t="n">
        <f aca="false">F1967*G1967</f>
        <v>300667.5</v>
      </c>
      <c r="J1967" s="16" t="n">
        <f aca="false">I1967*(1-H1967)</f>
        <v>248652.0225</v>
      </c>
      <c r="K1967" s="16" t="n">
        <f aca="false">J1967*INDEX(Customers!$G$2:$G$41,MATCH(C1967,Customers!$A$2:$A$41,0))</f>
        <v>4973.04045</v>
      </c>
      <c r="L1967" s="16" t="n">
        <f aca="false">F1967*INDEX(Customers!$H$2:$H$41,MATCH(C1967,Customers!$A$2:$A$41,0))</f>
        <v>7590</v>
      </c>
      <c r="M1967" s="16" t="n">
        <f aca="false">J1967*INDEX(Customers!$I$2:$I$41,MATCH(C1967,Customers!$A$2:$A$41,0))/365*Assumptions!$B$6</f>
        <v>1634.97220273973</v>
      </c>
      <c r="N1967" s="16" t="n">
        <f aca="false">J1967-K1967-L1967-M1967</f>
        <v>234454.00984726</v>
      </c>
      <c r="O1967" s="16" t="n">
        <f aca="false">F1967*IF(A1967="2025",INDEX(Products!$D$2:$D$13,MATCH(D1967,Products!$A$2:$A$13,0)),INDEX(Products!$F$2:$F$13,MATCH(D1967,Products!$A$2:$A$13,0)))</f>
        <v>184308.2</v>
      </c>
      <c r="P1967" s="16" t="n">
        <f aca="false">N1967-O1967</f>
        <v>50145.8098472602</v>
      </c>
    </row>
    <row r="1968" customFormat="false" ht="15" hidden="false" customHeight="false" outlineLevel="0" collapsed="false">
      <c r="A1968" s="2" t="s">
        <v>119</v>
      </c>
      <c r="B1968" s="2" t="n">
        <v>11</v>
      </c>
      <c r="C1968" s="2" t="s">
        <v>91</v>
      </c>
      <c r="D1968" s="2" t="s">
        <v>42</v>
      </c>
      <c r="E1968" s="2" t="str">
        <f aca="false">INDEX(Products!$B$2:$B$13,MATCH(D1968,Products!$A$2:$A$13,0))</f>
        <v>Hydroprocessing</v>
      </c>
      <c r="F1968" s="15" t="n">
        <v>15.7</v>
      </c>
      <c r="G1968" s="16" t="n">
        <f aca="false">IF(A1968="2025",INDEX(Products!$C$2:$C$13,MATCH(D1968,Products!$A$2:$A$13,0)),INDEX(Products!$E$2:$E$13,MATCH(D1968,Products!$A$2:$A$13,0)))</f>
        <v>13072.5</v>
      </c>
      <c r="H1968" s="13" t="n">
        <f aca="false">IF(A1968="2025",INDEX(Customers!$D$2:$D$41,MATCH(C1968,Customers!$A$2:$A$41,0)),INDEX(Customers!$F$2:$F$41,MATCH(C1968,Customers!$A$2:$A$41,0)))</f>
        <v>0.173</v>
      </c>
      <c r="I1968" s="16" t="n">
        <f aca="false">F1968*G1968</f>
        <v>205238.25</v>
      </c>
      <c r="J1968" s="16" t="n">
        <f aca="false">I1968*(1-H1968)</f>
        <v>169732.03275</v>
      </c>
      <c r="K1968" s="16" t="n">
        <f aca="false">J1968*INDEX(Customers!$G$2:$G$41,MATCH(C1968,Customers!$A$2:$A$41,0))</f>
        <v>3394.640655</v>
      </c>
      <c r="L1968" s="16" t="n">
        <f aca="false">F1968*INDEX(Customers!$H$2:$H$41,MATCH(C1968,Customers!$A$2:$A$41,0))</f>
        <v>5181</v>
      </c>
      <c r="M1968" s="16" t="n">
        <f aca="false">J1968*INDEX(Customers!$I$2:$I$41,MATCH(C1968,Customers!$A$2:$A$41,0))/365*Assumptions!$B$6</f>
        <v>1116.04624273973</v>
      </c>
      <c r="N1968" s="16" t="n">
        <f aca="false">J1968-K1968-L1968-M1968</f>
        <v>160040.34585226</v>
      </c>
      <c r="O1968" s="16" t="n">
        <f aca="false">F1968*IF(A1968="2025",INDEX(Products!$D$2:$D$13,MATCH(D1968,Products!$A$2:$A$13,0)),INDEX(Products!$F$2:$F$13,MATCH(D1968,Products!$A$2:$A$13,0)))</f>
        <v>125810.38</v>
      </c>
      <c r="P1968" s="16" t="n">
        <f aca="false">N1968-O1968</f>
        <v>34229.9658522603</v>
      </c>
    </row>
    <row r="1969" customFormat="false" ht="15" hidden="false" customHeight="false" outlineLevel="0" collapsed="false">
      <c r="A1969" s="2" t="s">
        <v>119</v>
      </c>
      <c r="B1969" s="2" t="n">
        <v>12</v>
      </c>
      <c r="C1969" s="2" t="s">
        <v>91</v>
      </c>
      <c r="D1969" s="2" t="s">
        <v>42</v>
      </c>
      <c r="E1969" s="2" t="str">
        <f aca="false">INDEX(Products!$B$2:$B$13,MATCH(D1969,Products!$A$2:$A$13,0))</f>
        <v>Hydroprocessing</v>
      </c>
      <c r="F1969" s="15" t="n">
        <v>20.3</v>
      </c>
      <c r="G1969" s="16" t="n">
        <f aca="false">IF(A1969="2025",INDEX(Products!$C$2:$C$13,MATCH(D1969,Products!$A$2:$A$13,0)),INDEX(Products!$E$2:$E$13,MATCH(D1969,Products!$A$2:$A$13,0)))</f>
        <v>13072.5</v>
      </c>
      <c r="H1969" s="13" t="n">
        <f aca="false">IF(A1969="2025",INDEX(Customers!$D$2:$D$41,MATCH(C1969,Customers!$A$2:$A$41,0)),INDEX(Customers!$F$2:$F$41,MATCH(C1969,Customers!$A$2:$A$41,0)))</f>
        <v>0.173</v>
      </c>
      <c r="I1969" s="16" t="n">
        <f aca="false">F1969*G1969</f>
        <v>265371.75</v>
      </c>
      <c r="J1969" s="16" t="n">
        <f aca="false">I1969*(1-H1969)</f>
        <v>219462.43725</v>
      </c>
      <c r="K1969" s="16" t="n">
        <f aca="false">J1969*INDEX(Customers!$G$2:$G$41,MATCH(C1969,Customers!$A$2:$A$41,0))</f>
        <v>4389.248745</v>
      </c>
      <c r="L1969" s="16" t="n">
        <f aca="false">F1969*INDEX(Customers!$H$2:$H$41,MATCH(C1969,Customers!$A$2:$A$41,0))</f>
        <v>6699</v>
      </c>
      <c r="M1969" s="16" t="n">
        <f aca="false">J1969*INDEX(Customers!$I$2:$I$41,MATCH(C1969,Customers!$A$2:$A$41,0))/365*Assumptions!$B$6</f>
        <v>1443.04068328767</v>
      </c>
      <c r="N1969" s="16" t="n">
        <f aca="false">J1969-K1969-L1969-M1969</f>
        <v>206931.147821712</v>
      </c>
      <c r="O1969" s="16" t="n">
        <f aca="false">F1969*IF(A1969="2025",INDEX(Products!$D$2:$D$13,MATCH(D1969,Products!$A$2:$A$13,0)),INDEX(Products!$F$2:$F$13,MATCH(D1969,Products!$A$2:$A$13,0)))</f>
        <v>162672.02</v>
      </c>
      <c r="P1969" s="16" t="n">
        <f aca="false">N1969-O1969</f>
        <v>44259.1278217123</v>
      </c>
    </row>
    <row r="1970" customFormat="false" ht="15" hidden="false" customHeight="false" outlineLevel="0" collapsed="false">
      <c r="A1970" s="2" t="s">
        <v>118</v>
      </c>
      <c r="B1970" s="2" t="n">
        <v>1</v>
      </c>
      <c r="C1970" s="2" t="s">
        <v>91</v>
      </c>
      <c r="D1970" s="2" t="s">
        <v>37</v>
      </c>
      <c r="E1970" s="2" t="str">
        <f aca="false">INDEX(Products!$B$2:$B$13,MATCH(D1970,Products!$A$2:$A$13,0))</f>
        <v>FCC</v>
      </c>
      <c r="F1970" s="15" t="n">
        <v>36.3</v>
      </c>
      <c r="G1970" s="16" t="n">
        <f aca="false">IF(A1970="2025",INDEX(Products!$C$2:$C$13,MATCH(D1970,Products!$A$2:$A$13,0)),INDEX(Products!$E$2:$E$13,MATCH(D1970,Products!$A$2:$A$13,0)))</f>
        <v>3530</v>
      </c>
      <c r="H1970" s="13" t="n">
        <f aca="false">IF(A1970="2025",INDEX(Customers!$D$2:$D$41,MATCH(C1970,Customers!$A$2:$A$41,0)),INDEX(Customers!$F$2:$F$41,MATCH(C1970,Customers!$A$2:$A$41,0)))</f>
        <v>0.173</v>
      </c>
      <c r="I1970" s="16" t="n">
        <f aca="false">F1970*G1970</f>
        <v>128139</v>
      </c>
      <c r="J1970" s="16" t="n">
        <f aca="false">I1970*(1-H1970)</f>
        <v>105970.953</v>
      </c>
      <c r="K1970" s="16" t="n">
        <f aca="false">J1970*INDEX(Customers!$G$2:$G$41,MATCH(C1970,Customers!$A$2:$A$41,0))</f>
        <v>2119.41906</v>
      </c>
      <c r="L1970" s="16" t="n">
        <f aca="false">F1970*INDEX(Customers!$H$2:$H$41,MATCH(C1970,Customers!$A$2:$A$41,0))</f>
        <v>11979</v>
      </c>
      <c r="M1970" s="16" t="n">
        <f aca="false">J1970*INDEX(Customers!$I$2:$I$41,MATCH(C1970,Customers!$A$2:$A$41,0))/365*Assumptions!$B$6</f>
        <v>696.79530739726</v>
      </c>
      <c r="N1970" s="16" t="n">
        <f aca="false">J1970-K1970-L1970-M1970</f>
        <v>91175.7386326027</v>
      </c>
      <c r="O1970" s="16" t="n">
        <f aca="false">F1970*IF(A1970="2025",INDEX(Products!$D$2:$D$13,MATCH(D1970,Products!$A$2:$A$13,0)),INDEX(Products!$F$2:$F$13,MATCH(D1970,Products!$A$2:$A$13,0)))</f>
        <v>87483</v>
      </c>
      <c r="P1970" s="16" t="n">
        <f aca="false">N1970-O1970</f>
        <v>3692.73863260272</v>
      </c>
    </row>
    <row r="1971" customFormat="false" ht="15" hidden="false" customHeight="false" outlineLevel="0" collapsed="false">
      <c r="A1971" s="2" t="s">
        <v>118</v>
      </c>
      <c r="B1971" s="2" t="n">
        <v>2</v>
      </c>
      <c r="C1971" s="2" t="s">
        <v>91</v>
      </c>
      <c r="D1971" s="2" t="s">
        <v>37</v>
      </c>
      <c r="E1971" s="2" t="str">
        <f aca="false">INDEX(Products!$B$2:$B$13,MATCH(D1971,Products!$A$2:$A$13,0))</f>
        <v>FCC</v>
      </c>
      <c r="F1971" s="15" t="n">
        <v>36.8</v>
      </c>
      <c r="G1971" s="16" t="n">
        <f aca="false">IF(A1971="2025",INDEX(Products!$C$2:$C$13,MATCH(D1971,Products!$A$2:$A$13,0)),INDEX(Products!$E$2:$E$13,MATCH(D1971,Products!$A$2:$A$13,0)))</f>
        <v>3530</v>
      </c>
      <c r="H1971" s="13" t="n">
        <f aca="false">IF(A1971="2025",INDEX(Customers!$D$2:$D$41,MATCH(C1971,Customers!$A$2:$A$41,0)),INDEX(Customers!$F$2:$F$41,MATCH(C1971,Customers!$A$2:$A$41,0)))</f>
        <v>0.173</v>
      </c>
      <c r="I1971" s="16" t="n">
        <f aca="false">F1971*G1971</f>
        <v>129904</v>
      </c>
      <c r="J1971" s="16" t="n">
        <f aca="false">I1971*(1-H1971)</f>
        <v>107430.608</v>
      </c>
      <c r="K1971" s="16" t="n">
        <f aca="false">J1971*INDEX(Customers!$G$2:$G$41,MATCH(C1971,Customers!$A$2:$A$41,0))</f>
        <v>2148.61216</v>
      </c>
      <c r="L1971" s="16" t="n">
        <f aca="false">F1971*INDEX(Customers!$H$2:$H$41,MATCH(C1971,Customers!$A$2:$A$41,0))</f>
        <v>12144</v>
      </c>
      <c r="M1971" s="16" t="n">
        <f aca="false">J1971*INDEX(Customers!$I$2:$I$41,MATCH(C1971,Customers!$A$2:$A$41,0))/365*Assumptions!$B$6</f>
        <v>706.393038904109</v>
      </c>
      <c r="N1971" s="16" t="n">
        <f aca="false">J1971-K1971-L1971-M1971</f>
        <v>92431.6028010959</v>
      </c>
      <c r="O1971" s="16" t="n">
        <f aca="false">F1971*IF(A1971="2025",INDEX(Products!$D$2:$D$13,MATCH(D1971,Products!$A$2:$A$13,0)),INDEX(Products!$F$2:$F$13,MATCH(D1971,Products!$A$2:$A$13,0)))</f>
        <v>88688</v>
      </c>
      <c r="P1971" s="16" t="n">
        <f aca="false">N1971-O1971</f>
        <v>3743.60280109587</v>
      </c>
    </row>
    <row r="1972" customFormat="false" ht="15" hidden="false" customHeight="false" outlineLevel="0" collapsed="false">
      <c r="A1972" s="2" t="s">
        <v>118</v>
      </c>
      <c r="B1972" s="2" t="n">
        <v>3</v>
      </c>
      <c r="C1972" s="2" t="s">
        <v>91</v>
      </c>
      <c r="D1972" s="2" t="s">
        <v>37</v>
      </c>
      <c r="E1972" s="2" t="str">
        <f aca="false">INDEX(Products!$B$2:$B$13,MATCH(D1972,Products!$A$2:$A$13,0))</f>
        <v>FCC</v>
      </c>
      <c r="F1972" s="15" t="n">
        <v>46.3</v>
      </c>
      <c r="G1972" s="16" t="n">
        <f aca="false">IF(A1972="2025",INDEX(Products!$C$2:$C$13,MATCH(D1972,Products!$A$2:$A$13,0)),INDEX(Products!$E$2:$E$13,MATCH(D1972,Products!$A$2:$A$13,0)))</f>
        <v>3530</v>
      </c>
      <c r="H1972" s="13" t="n">
        <f aca="false">IF(A1972="2025",INDEX(Customers!$D$2:$D$41,MATCH(C1972,Customers!$A$2:$A$41,0)),INDEX(Customers!$F$2:$F$41,MATCH(C1972,Customers!$A$2:$A$41,0)))</f>
        <v>0.173</v>
      </c>
      <c r="I1972" s="16" t="n">
        <f aca="false">F1972*G1972</f>
        <v>163439</v>
      </c>
      <c r="J1972" s="16" t="n">
        <f aca="false">I1972*(1-H1972)</f>
        <v>135164.053</v>
      </c>
      <c r="K1972" s="16" t="n">
        <f aca="false">J1972*INDEX(Customers!$G$2:$G$41,MATCH(C1972,Customers!$A$2:$A$41,0))</f>
        <v>2703.28106</v>
      </c>
      <c r="L1972" s="16" t="n">
        <f aca="false">F1972*INDEX(Customers!$H$2:$H$41,MATCH(C1972,Customers!$A$2:$A$41,0))</f>
        <v>15279</v>
      </c>
      <c r="M1972" s="16" t="n">
        <f aca="false">J1972*INDEX(Customers!$I$2:$I$41,MATCH(C1972,Customers!$A$2:$A$41,0))/365*Assumptions!$B$6</f>
        <v>888.749937534246</v>
      </c>
      <c r="N1972" s="16" t="n">
        <f aca="false">J1972-K1972-L1972-M1972</f>
        <v>116293.022002466</v>
      </c>
      <c r="O1972" s="16" t="n">
        <f aca="false">F1972*IF(A1972="2025",INDEX(Products!$D$2:$D$13,MATCH(D1972,Products!$A$2:$A$13,0)),INDEX(Products!$F$2:$F$13,MATCH(D1972,Products!$A$2:$A$13,0)))</f>
        <v>111583</v>
      </c>
      <c r="P1972" s="16" t="n">
        <f aca="false">N1972-O1972</f>
        <v>4710.02200246573</v>
      </c>
    </row>
    <row r="1973" customFormat="false" ht="15" hidden="false" customHeight="false" outlineLevel="0" collapsed="false">
      <c r="A1973" s="2" t="s">
        <v>118</v>
      </c>
      <c r="B1973" s="2" t="n">
        <v>4</v>
      </c>
      <c r="C1973" s="2" t="s">
        <v>91</v>
      </c>
      <c r="D1973" s="2" t="s">
        <v>37</v>
      </c>
      <c r="E1973" s="2" t="str">
        <f aca="false">INDEX(Products!$B$2:$B$13,MATCH(D1973,Products!$A$2:$A$13,0))</f>
        <v>FCC</v>
      </c>
      <c r="F1973" s="15" t="n">
        <v>56.9</v>
      </c>
      <c r="G1973" s="16" t="n">
        <f aca="false">IF(A1973="2025",INDEX(Products!$C$2:$C$13,MATCH(D1973,Products!$A$2:$A$13,0)),INDEX(Products!$E$2:$E$13,MATCH(D1973,Products!$A$2:$A$13,0)))</f>
        <v>3530</v>
      </c>
      <c r="H1973" s="13" t="n">
        <f aca="false">IF(A1973="2025",INDEX(Customers!$D$2:$D$41,MATCH(C1973,Customers!$A$2:$A$41,0)),INDEX(Customers!$F$2:$F$41,MATCH(C1973,Customers!$A$2:$A$41,0)))</f>
        <v>0.173</v>
      </c>
      <c r="I1973" s="16" t="n">
        <f aca="false">F1973*G1973</f>
        <v>200857</v>
      </c>
      <c r="J1973" s="16" t="n">
        <f aca="false">I1973*(1-H1973)</f>
        <v>166108.739</v>
      </c>
      <c r="K1973" s="16" t="n">
        <f aca="false">J1973*INDEX(Customers!$G$2:$G$41,MATCH(C1973,Customers!$A$2:$A$41,0))</f>
        <v>3322.17478</v>
      </c>
      <c r="L1973" s="16" t="n">
        <f aca="false">F1973*INDEX(Customers!$H$2:$H$41,MATCH(C1973,Customers!$A$2:$A$41,0))</f>
        <v>18777</v>
      </c>
      <c r="M1973" s="16" t="n">
        <f aca="false">J1973*INDEX(Customers!$I$2:$I$41,MATCH(C1973,Customers!$A$2:$A$41,0))/365*Assumptions!$B$6</f>
        <v>1092.22184547945</v>
      </c>
      <c r="N1973" s="16" t="n">
        <f aca="false">J1973-K1973-L1973-M1973</f>
        <v>142917.342374521</v>
      </c>
      <c r="O1973" s="16" t="n">
        <f aca="false">F1973*IF(A1973="2025",INDEX(Products!$D$2:$D$13,MATCH(D1973,Products!$A$2:$A$13,0)),INDEX(Products!$F$2:$F$13,MATCH(D1973,Products!$A$2:$A$13,0)))</f>
        <v>137129</v>
      </c>
      <c r="P1973" s="16" t="n">
        <f aca="false">N1973-O1973</f>
        <v>5788.34237452055</v>
      </c>
    </row>
    <row r="1974" customFormat="false" ht="15" hidden="false" customHeight="false" outlineLevel="0" collapsed="false">
      <c r="A1974" s="2" t="s">
        <v>118</v>
      </c>
      <c r="B1974" s="2" t="n">
        <v>5</v>
      </c>
      <c r="C1974" s="2" t="s">
        <v>91</v>
      </c>
      <c r="D1974" s="2" t="s">
        <v>37</v>
      </c>
      <c r="E1974" s="2" t="str">
        <f aca="false">INDEX(Products!$B$2:$B$13,MATCH(D1974,Products!$A$2:$A$13,0))</f>
        <v>FCC</v>
      </c>
      <c r="F1974" s="15" t="n">
        <v>45.1</v>
      </c>
      <c r="G1974" s="16" t="n">
        <f aca="false">IF(A1974="2025",INDEX(Products!$C$2:$C$13,MATCH(D1974,Products!$A$2:$A$13,0)),INDEX(Products!$E$2:$E$13,MATCH(D1974,Products!$A$2:$A$13,0)))</f>
        <v>3530</v>
      </c>
      <c r="H1974" s="13" t="n">
        <f aca="false">IF(A1974="2025",INDEX(Customers!$D$2:$D$41,MATCH(C1974,Customers!$A$2:$A$41,0)),INDEX(Customers!$F$2:$F$41,MATCH(C1974,Customers!$A$2:$A$41,0)))</f>
        <v>0.173</v>
      </c>
      <c r="I1974" s="16" t="n">
        <f aca="false">F1974*G1974</f>
        <v>159203</v>
      </c>
      <c r="J1974" s="16" t="n">
        <f aca="false">I1974*(1-H1974)</f>
        <v>131660.881</v>
      </c>
      <c r="K1974" s="16" t="n">
        <f aca="false">J1974*INDEX(Customers!$G$2:$G$41,MATCH(C1974,Customers!$A$2:$A$41,0))</f>
        <v>2633.21762</v>
      </c>
      <c r="L1974" s="16" t="n">
        <f aca="false">F1974*INDEX(Customers!$H$2:$H$41,MATCH(C1974,Customers!$A$2:$A$41,0))</f>
        <v>14883</v>
      </c>
      <c r="M1974" s="16" t="n">
        <f aca="false">J1974*INDEX(Customers!$I$2:$I$41,MATCH(C1974,Customers!$A$2:$A$41,0))/365*Assumptions!$B$6</f>
        <v>865.715381917808</v>
      </c>
      <c r="N1974" s="16" t="n">
        <f aca="false">J1974-K1974-L1974-M1974</f>
        <v>113278.947998082</v>
      </c>
      <c r="O1974" s="16" t="n">
        <f aca="false">F1974*IF(A1974="2025",INDEX(Products!$D$2:$D$13,MATCH(D1974,Products!$A$2:$A$13,0)),INDEX(Products!$F$2:$F$13,MATCH(D1974,Products!$A$2:$A$13,0)))</f>
        <v>108691</v>
      </c>
      <c r="P1974" s="16" t="n">
        <f aca="false">N1974-O1974</f>
        <v>4587.94799808219</v>
      </c>
    </row>
    <row r="1975" customFormat="false" ht="15" hidden="false" customHeight="false" outlineLevel="0" collapsed="false">
      <c r="A1975" s="2" t="s">
        <v>118</v>
      </c>
      <c r="B1975" s="2" t="n">
        <v>6</v>
      </c>
      <c r="C1975" s="2" t="s">
        <v>91</v>
      </c>
      <c r="D1975" s="2" t="s">
        <v>37</v>
      </c>
      <c r="E1975" s="2" t="str">
        <f aca="false">INDEX(Products!$B$2:$B$13,MATCH(D1975,Products!$A$2:$A$13,0))</f>
        <v>FCC</v>
      </c>
      <c r="F1975" s="15" t="n">
        <v>47.5</v>
      </c>
      <c r="G1975" s="16" t="n">
        <f aca="false">IF(A1975="2025",INDEX(Products!$C$2:$C$13,MATCH(D1975,Products!$A$2:$A$13,0)),INDEX(Products!$E$2:$E$13,MATCH(D1975,Products!$A$2:$A$13,0)))</f>
        <v>3530</v>
      </c>
      <c r="H1975" s="13" t="n">
        <f aca="false">IF(A1975="2025",INDEX(Customers!$D$2:$D$41,MATCH(C1975,Customers!$A$2:$A$41,0)),INDEX(Customers!$F$2:$F$41,MATCH(C1975,Customers!$A$2:$A$41,0)))</f>
        <v>0.173</v>
      </c>
      <c r="I1975" s="16" t="n">
        <f aca="false">F1975*G1975</f>
        <v>167675</v>
      </c>
      <c r="J1975" s="16" t="n">
        <f aca="false">I1975*(1-H1975)</f>
        <v>138667.225</v>
      </c>
      <c r="K1975" s="16" t="n">
        <f aca="false">J1975*INDEX(Customers!$G$2:$G$41,MATCH(C1975,Customers!$A$2:$A$41,0))</f>
        <v>2773.3445</v>
      </c>
      <c r="L1975" s="16" t="n">
        <f aca="false">F1975*INDEX(Customers!$H$2:$H$41,MATCH(C1975,Customers!$A$2:$A$41,0))</f>
        <v>15675</v>
      </c>
      <c r="M1975" s="16" t="n">
        <f aca="false">J1975*INDEX(Customers!$I$2:$I$41,MATCH(C1975,Customers!$A$2:$A$41,0))/365*Assumptions!$B$6</f>
        <v>911.784493150685</v>
      </c>
      <c r="N1975" s="16" t="n">
        <f aca="false">J1975-K1975-L1975-M1975</f>
        <v>119307.096006849</v>
      </c>
      <c r="O1975" s="16" t="n">
        <f aca="false">F1975*IF(A1975="2025",INDEX(Products!$D$2:$D$13,MATCH(D1975,Products!$A$2:$A$13,0)),INDEX(Products!$F$2:$F$13,MATCH(D1975,Products!$A$2:$A$13,0)))</f>
        <v>114475</v>
      </c>
      <c r="P1975" s="16" t="n">
        <f aca="false">N1975-O1975</f>
        <v>4832.09600684932</v>
      </c>
    </row>
    <row r="1976" customFormat="false" ht="15" hidden="false" customHeight="false" outlineLevel="0" collapsed="false">
      <c r="A1976" s="2" t="s">
        <v>118</v>
      </c>
      <c r="B1976" s="2" t="n">
        <v>7</v>
      </c>
      <c r="C1976" s="2" t="s">
        <v>91</v>
      </c>
      <c r="D1976" s="2" t="s">
        <v>37</v>
      </c>
      <c r="E1976" s="2" t="str">
        <f aca="false">INDEX(Products!$B$2:$B$13,MATCH(D1976,Products!$A$2:$A$13,0))</f>
        <v>FCC</v>
      </c>
      <c r="F1976" s="15" t="n">
        <v>58.3</v>
      </c>
      <c r="G1976" s="16" t="n">
        <f aca="false">IF(A1976="2025",INDEX(Products!$C$2:$C$13,MATCH(D1976,Products!$A$2:$A$13,0)),INDEX(Products!$E$2:$E$13,MATCH(D1976,Products!$A$2:$A$13,0)))</f>
        <v>3530</v>
      </c>
      <c r="H1976" s="13" t="n">
        <f aca="false">IF(A1976="2025",INDEX(Customers!$D$2:$D$41,MATCH(C1976,Customers!$A$2:$A$41,0)),INDEX(Customers!$F$2:$F$41,MATCH(C1976,Customers!$A$2:$A$41,0)))</f>
        <v>0.173</v>
      </c>
      <c r="I1976" s="16" t="n">
        <f aca="false">F1976*G1976</f>
        <v>205799</v>
      </c>
      <c r="J1976" s="16" t="n">
        <f aca="false">I1976*(1-H1976)</f>
        <v>170195.773</v>
      </c>
      <c r="K1976" s="16" t="n">
        <f aca="false">J1976*INDEX(Customers!$G$2:$G$41,MATCH(C1976,Customers!$A$2:$A$41,0))</f>
        <v>3403.91546</v>
      </c>
      <c r="L1976" s="16" t="n">
        <f aca="false">F1976*INDEX(Customers!$H$2:$H$41,MATCH(C1976,Customers!$A$2:$A$41,0))</f>
        <v>19239</v>
      </c>
      <c r="M1976" s="16" t="n">
        <f aca="false">J1976*INDEX(Customers!$I$2:$I$41,MATCH(C1976,Customers!$A$2:$A$41,0))/365*Assumptions!$B$6</f>
        <v>1119.09549369863</v>
      </c>
      <c r="N1976" s="16" t="n">
        <f aca="false">J1976-K1976-L1976-M1976</f>
        <v>146433.762046301</v>
      </c>
      <c r="O1976" s="16" t="n">
        <f aca="false">F1976*IF(A1976="2025",INDEX(Products!$D$2:$D$13,MATCH(D1976,Products!$A$2:$A$13,0)),INDEX(Products!$F$2:$F$13,MATCH(D1976,Products!$A$2:$A$13,0)))</f>
        <v>140503</v>
      </c>
      <c r="P1976" s="16" t="n">
        <f aca="false">N1976-O1976</f>
        <v>5930.76204630136</v>
      </c>
    </row>
    <row r="1977" customFormat="false" ht="15" hidden="false" customHeight="false" outlineLevel="0" collapsed="false">
      <c r="A1977" s="2" t="s">
        <v>118</v>
      </c>
      <c r="B1977" s="2" t="n">
        <v>8</v>
      </c>
      <c r="C1977" s="2" t="s">
        <v>91</v>
      </c>
      <c r="D1977" s="2" t="s">
        <v>37</v>
      </c>
      <c r="E1977" s="2" t="str">
        <f aca="false">INDEX(Products!$B$2:$B$13,MATCH(D1977,Products!$A$2:$A$13,0))</f>
        <v>FCC</v>
      </c>
      <c r="F1977" s="15" t="n">
        <v>37.7</v>
      </c>
      <c r="G1977" s="16" t="n">
        <f aca="false">IF(A1977="2025",INDEX(Products!$C$2:$C$13,MATCH(D1977,Products!$A$2:$A$13,0)),INDEX(Products!$E$2:$E$13,MATCH(D1977,Products!$A$2:$A$13,0)))</f>
        <v>3530</v>
      </c>
      <c r="H1977" s="13" t="n">
        <f aca="false">IF(A1977="2025",INDEX(Customers!$D$2:$D$41,MATCH(C1977,Customers!$A$2:$A$41,0)),INDEX(Customers!$F$2:$F$41,MATCH(C1977,Customers!$A$2:$A$41,0)))</f>
        <v>0.173</v>
      </c>
      <c r="I1977" s="16" t="n">
        <f aca="false">F1977*G1977</f>
        <v>133081</v>
      </c>
      <c r="J1977" s="16" t="n">
        <f aca="false">I1977*(1-H1977)</f>
        <v>110057.987</v>
      </c>
      <c r="K1977" s="16" t="n">
        <f aca="false">J1977*INDEX(Customers!$G$2:$G$41,MATCH(C1977,Customers!$A$2:$A$41,0))</f>
        <v>2201.15974</v>
      </c>
      <c r="L1977" s="16" t="n">
        <f aca="false">F1977*INDEX(Customers!$H$2:$H$41,MATCH(C1977,Customers!$A$2:$A$41,0))</f>
        <v>12441</v>
      </c>
      <c r="M1977" s="16" t="n">
        <f aca="false">J1977*INDEX(Customers!$I$2:$I$41,MATCH(C1977,Customers!$A$2:$A$41,0))/365*Assumptions!$B$6</f>
        <v>723.668955616438</v>
      </c>
      <c r="N1977" s="16" t="n">
        <f aca="false">J1977-K1977-L1977-M1977</f>
        <v>94692.1583043836</v>
      </c>
      <c r="O1977" s="16" t="n">
        <f aca="false">F1977*IF(A1977="2025",INDEX(Products!$D$2:$D$13,MATCH(D1977,Products!$A$2:$A$13,0)),INDEX(Products!$F$2:$F$13,MATCH(D1977,Products!$A$2:$A$13,0)))</f>
        <v>90857</v>
      </c>
      <c r="P1977" s="16" t="n">
        <f aca="false">N1977-O1977</f>
        <v>3835.15830438356</v>
      </c>
    </row>
    <row r="1978" customFormat="false" ht="15" hidden="false" customHeight="false" outlineLevel="0" collapsed="false">
      <c r="A1978" s="2" t="s">
        <v>118</v>
      </c>
      <c r="B1978" s="2" t="n">
        <v>9</v>
      </c>
      <c r="C1978" s="2" t="s">
        <v>91</v>
      </c>
      <c r="D1978" s="2" t="s">
        <v>37</v>
      </c>
      <c r="E1978" s="2" t="str">
        <f aca="false">INDEX(Products!$B$2:$B$13,MATCH(D1978,Products!$A$2:$A$13,0))</f>
        <v>FCC</v>
      </c>
      <c r="F1978" s="15" t="n">
        <v>55.3</v>
      </c>
      <c r="G1978" s="16" t="n">
        <f aca="false">IF(A1978="2025",INDEX(Products!$C$2:$C$13,MATCH(D1978,Products!$A$2:$A$13,0)),INDEX(Products!$E$2:$E$13,MATCH(D1978,Products!$A$2:$A$13,0)))</f>
        <v>3530</v>
      </c>
      <c r="H1978" s="13" t="n">
        <f aca="false">IF(A1978="2025",INDEX(Customers!$D$2:$D$41,MATCH(C1978,Customers!$A$2:$A$41,0)),INDEX(Customers!$F$2:$F$41,MATCH(C1978,Customers!$A$2:$A$41,0)))</f>
        <v>0.173</v>
      </c>
      <c r="I1978" s="16" t="n">
        <f aca="false">F1978*G1978</f>
        <v>195209</v>
      </c>
      <c r="J1978" s="16" t="n">
        <f aca="false">I1978*(1-H1978)</f>
        <v>161437.843</v>
      </c>
      <c r="K1978" s="16" t="n">
        <f aca="false">J1978*INDEX(Customers!$G$2:$G$41,MATCH(C1978,Customers!$A$2:$A$41,0))</f>
        <v>3228.75686</v>
      </c>
      <c r="L1978" s="16" t="n">
        <f aca="false">F1978*INDEX(Customers!$H$2:$H$41,MATCH(C1978,Customers!$A$2:$A$41,0))</f>
        <v>18249</v>
      </c>
      <c r="M1978" s="16" t="n">
        <f aca="false">J1978*INDEX(Customers!$I$2:$I$41,MATCH(C1978,Customers!$A$2:$A$41,0))/365*Assumptions!$B$6</f>
        <v>1061.50910465753</v>
      </c>
      <c r="N1978" s="16" t="n">
        <f aca="false">J1978-K1978-L1978-M1978</f>
        <v>138898.577035342</v>
      </c>
      <c r="O1978" s="16" t="n">
        <f aca="false">F1978*IF(A1978="2025",INDEX(Products!$D$2:$D$13,MATCH(D1978,Products!$A$2:$A$13,0)),INDEX(Products!$F$2:$F$13,MATCH(D1978,Products!$A$2:$A$13,0)))</f>
        <v>133273</v>
      </c>
      <c r="P1978" s="16" t="n">
        <f aca="false">N1978-O1978</f>
        <v>5625.57703534246</v>
      </c>
    </row>
    <row r="1979" customFormat="false" ht="15" hidden="false" customHeight="false" outlineLevel="0" collapsed="false">
      <c r="A1979" s="2" t="s">
        <v>118</v>
      </c>
      <c r="B1979" s="2" t="n">
        <v>10</v>
      </c>
      <c r="C1979" s="2" t="s">
        <v>91</v>
      </c>
      <c r="D1979" s="2" t="s">
        <v>37</v>
      </c>
      <c r="E1979" s="2" t="str">
        <f aca="false">INDEX(Products!$B$2:$B$13,MATCH(D1979,Products!$A$2:$A$13,0))</f>
        <v>FCC</v>
      </c>
      <c r="F1979" s="15" t="n">
        <v>53.2</v>
      </c>
      <c r="G1979" s="16" t="n">
        <f aca="false">IF(A1979="2025",INDEX(Products!$C$2:$C$13,MATCH(D1979,Products!$A$2:$A$13,0)),INDEX(Products!$E$2:$E$13,MATCH(D1979,Products!$A$2:$A$13,0)))</f>
        <v>3530</v>
      </c>
      <c r="H1979" s="13" t="n">
        <f aca="false">IF(A1979="2025",INDEX(Customers!$D$2:$D$41,MATCH(C1979,Customers!$A$2:$A$41,0)),INDEX(Customers!$F$2:$F$41,MATCH(C1979,Customers!$A$2:$A$41,0)))</f>
        <v>0.173</v>
      </c>
      <c r="I1979" s="16" t="n">
        <f aca="false">F1979*G1979</f>
        <v>187796</v>
      </c>
      <c r="J1979" s="16" t="n">
        <f aca="false">I1979*(1-H1979)</f>
        <v>155307.292</v>
      </c>
      <c r="K1979" s="16" t="n">
        <f aca="false">J1979*INDEX(Customers!$G$2:$G$41,MATCH(C1979,Customers!$A$2:$A$41,0))</f>
        <v>3106.14584</v>
      </c>
      <c r="L1979" s="16" t="n">
        <f aca="false">F1979*INDEX(Customers!$H$2:$H$41,MATCH(C1979,Customers!$A$2:$A$41,0))</f>
        <v>17556</v>
      </c>
      <c r="M1979" s="16" t="n">
        <f aca="false">J1979*INDEX(Customers!$I$2:$I$41,MATCH(C1979,Customers!$A$2:$A$41,0))/365*Assumptions!$B$6</f>
        <v>1021.19863232877</v>
      </c>
      <c r="N1979" s="16" t="n">
        <f aca="false">J1979-K1979-L1979-M1979</f>
        <v>133623.947527671</v>
      </c>
      <c r="O1979" s="16" t="n">
        <f aca="false">F1979*IF(A1979="2025",INDEX(Products!$D$2:$D$13,MATCH(D1979,Products!$A$2:$A$13,0)),INDEX(Products!$F$2:$F$13,MATCH(D1979,Products!$A$2:$A$13,0)))</f>
        <v>128212</v>
      </c>
      <c r="P1979" s="16" t="n">
        <f aca="false">N1979-O1979</f>
        <v>5411.9475276712</v>
      </c>
    </row>
    <row r="1980" customFormat="false" ht="15" hidden="false" customHeight="false" outlineLevel="0" collapsed="false">
      <c r="A1980" s="2" t="s">
        <v>118</v>
      </c>
      <c r="B1980" s="2" t="n">
        <v>11</v>
      </c>
      <c r="C1980" s="2" t="s">
        <v>91</v>
      </c>
      <c r="D1980" s="2" t="s">
        <v>37</v>
      </c>
      <c r="E1980" s="2" t="str">
        <f aca="false">INDEX(Products!$B$2:$B$13,MATCH(D1980,Products!$A$2:$A$13,0))</f>
        <v>FCC</v>
      </c>
      <c r="F1980" s="15" t="n">
        <v>50.5</v>
      </c>
      <c r="G1980" s="16" t="n">
        <f aca="false">IF(A1980="2025",INDEX(Products!$C$2:$C$13,MATCH(D1980,Products!$A$2:$A$13,0)),INDEX(Products!$E$2:$E$13,MATCH(D1980,Products!$A$2:$A$13,0)))</f>
        <v>3530</v>
      </c>
      <c r="H1980" s="13" t="n">
        <f aca="false">IF(A1980="2025",INDEX(Customers!$D$2:$D$41,MATCH(C1980,Customers!$A$2:$A$41,0)),INDEX(Customers!$F$2:$F$41,MATCH(C1980,Customers!$A$2:$A$41,0)))</f>
        <v>0.173</v>
      </c>
      <c r="I1980" s="16" t="n">
        <f aca="false">F1980*G1980</f>
        <v>178265</v>
      </c>
      <c r="J1980" s="16" t="n">
        <f aca="false">I1980*(1-H1980)</f>
        <v>147425.155</v>
      </c>
      <c r="K1980" s="16" t="n">
        <f aca="false">J1980*INDEX(Customers!$G$2:$G$41,MATCH(C1980,Customers!$A$2:$A$41,0))</f>
        <v>2948.5031</v>
      </c>
      <c r="L1980" s="16" t="n">
        <f aca="false">F1980*INDEX(Customers!$H$2:$H$41,MATCH(C1980,Customers!$A$2:$A$41,0))</f>
        <v>16665</v>
      </c>
      <c r="M1980" s="16" t="n">
        <f aca="false">J1980*INDEX(Customers!$I$2:$I$41,MATCH(C1980,Customers!$A$2:$A$41,0))/365*Assumptions!$B$6</f>
        <v>969.370882191781</v>
      </c>
      <c r="N1980" s="16" t="n">
        <f aca="false">J1980-K1980-L1980-M1980</f>
        <v>126842.281017808</v>
      </c>
      <c r="O1980" s="16" t="n">
        <f aca="false">F1980*IF(A1980="2025",INDEX(Products!$D$2:$D$13,MATCH(D1980,Products!$A$2:$A$13,0)),INDEX(Products!$F$2:$F$13,MATCH(D1980,Products!$A$2:$A$13,0)))</f>
        <v>121705</v>
      </c>
      <c r="P1980" s="16" t="n">
        <f aca="false">N1980-O1980</f>
        <v>5137.28101780821</v>
      </c>
    </row>
    <row r="1981" customFormat="false" ht="15" hidden="false" customHeight="false" outlineLevel="0" collapsed="false">
      <c r="A1981" s="2" t="s">
        <v>118</v>
      </c>
      <c r="B1981" s="2" t="n">
        <v>12</v>
      </c>
      <c r="C1981" s="2" t="s">
        <v>91</v>
      </c>
      <c r="D1981" s="2" t="s">
        <v>37</v>
      </c>
      <c r="E1981" s="2" t="str">
        <f aca="false">INDEX(Products!$B$2:$B$13,MATCH(D1981,Products!$A$2:$A$13,0))</f>
        <v>FCC</v>
      </c>
      <c r="F1981" s="15" t="n">
        <v>42.6</v>
      </c>
      <c r="G1981" s="16" t="n">
        <f aca="false">IF(A1981="2025",INDEX(Products!$C$2:$C$13,MATCH(D1981,Products!$A$2:$A$13,0)),INDEX(Products!$E$2:$E$13,MATCH(D1981,Products!$A$2:$A$13,0)))</f>
        <v>3530</v>
      </c>
      <c r="H1981" s="13" t="n">
        <f aca="false">IF(A1981="2025",INDEX(Customers!$D$2:$D$41,MATCH(C1981,Customers!$A$2:$A$41,0)),INDEX(Customers!$F$2:$F$41,MATCH(C1981,Customers!$A$2:$A$41,0)))</f>
        <v>0.173</v>
      </c>
      <c r="I1981" s="16" t="n">
        <f aca="false">F1981*G1981</f>
        <v>150378</v>
      </c>
      <c r="J1981" s="16" t="n">
        <f aca="false">I1981*(1-H1981)</f>
        <v>124362.606</v>
      </c>
      <c r="K1981" s="16" t="n">
        <f aca="false">J1981*INDEX(Customers!$G$2:$G$41,MATCH(C1981,Customers!$A$2:$A$41,0))</f>
        <v>2487.25212</v>
      </c>
      <c r="L1981" s="16" t="n">
        <f aca="false">F1981*INDEX(Customers!$H$2:$H$41,MATCH(C1981,Customers!$A$2:$A$41,0))</f>
        <v>14058</v>
      </c>
      <c r="M1981" s="16" t="n">
        <f aca="false">J1981*INDEX(Customers!$I$2:$I$41,MATCH(C1981,Customers!$A$2:$A$41,0))/365*Assumptions!$B$6</f>
        <v>817.726724383562</v>
      </c>
      <c r="N1981" s="16" t="n">
        <f aca="false">J1981-K1981-L1981-M1981</f>
        <v>106999.627155616</v>
      </c>
      <c r="O1981" s="16" t="n">
        <f aca="false">F1981*IF(A1981="2025",INDEX(Products!$D$2:$D$13,MATCH(D1981,Products!$A$2:$A$13,0)),INDEX(Products!$F$2:$F$13,MATCH(D1981,Products!$A$2:$A$13,0)))</f>
        <v>102666</v>
      </c>
      <c r="P1981" s="16" t="n">
        <f aca="false">N1981-O1981</f>
        <v>4333.62715561643</v>
      </c>
    </row>
    <row r="1982" customFormat="false" ht="15" hidden="false" customHeight="false" outlineLevel="0" collapsed="false">
      <c r="A1982" s="2" t="s">
        <v>119</v>
      </c>
      <c r="B1982" s="2" t="n">
        <v>1</v>
      </c>
      <c r="C1982" s="2" t="s">
        <v>91</v>
      </c>
      <c r="D1982" s="2" t="s">
        <v>37</v>
      </c>
      <c r="E1982" s="2" t="str">
        <f aca="false">INDEX(Products!$B$2:$B$13,MATCH(D1982,Products!$A$2:$A$13,0))</f>
        <v>FCC</v>
      </c>
      <c r="F1982" s="15" t="n">
        <v>47</v>
      </c>
      <c r="G1982" s="16" t="n">
        <f aca="false">IF(A1982="2025",INDEX(Products!$C$2:$C$13,MATCH(D1982,Products!$A$2:$A$13,0)),INDEX(Products!$E$2:$E$13,MATCH(D1982,Products!$A$2:$A$13,0)))</f>
        <v>3706.5</v>
      </c>
      <c r="H1982" s="13" t="n">
        <f aca="false">IF(A1982="2025",INDEX(Customers!$D$2:$D$41,MATCH(C1982,Customers!$A$2:$A$41,0)),INDEX(Customers!$F$2:$F$41,MATCH(C1982,Customers!$A$2:$A$41,0)))</f>
        <v>0.173</v>
      </c>
      <c r="I1982" s="16" t="n">
        <f aca="false">F1982*G1982</f>
        <v>174205.5</v>
      </c>
      <c r="J1982" s="16" t="n">
        <f aca="false">I1982*(1-H1982)</f>
        <v>144067.9485</v>
      </c>
      <c r="K1982" s="16" t="n">
        <f aca="false">J1982*INDEX(Customers!$G$2:$G$41,MATCH(C1982,Customers!$A$2:$A$41,0))</f>
        <v>2881.35897</v>
      </c>
      <c r="L1982" s="16" t="n">
        <f aca="false">F1982*INDEX(Customers!$H$2:$H$41,MATCH(C1982,Customers!$A$2:$A$41,0))</f>
        <v>15510</v>
      </c>
      <c r="M1982" s="16" t="n">
        <f aca="false">J1982*INDEX(Customers!$I$2:$I$41,MATCH(C1982,Customers!$A$2:$A$41,0))/365*Assumptions!$B$6</f>
        <v>947.296099726028</v>
      </c>
      <c r="N1982" s="16" t="n">
        <f aca="false">J1982-K1982-L1982-M1982</f>
        <v>124729.293430274</v>
      </c>
      <c r="O1982" s="16" t="n">
        <f aca="false">F1982*IF(A1982="2025",INDEX(Products!$D$2:$D$13,MATCH(D1982,Products!$A$2:$A$13,0)),INDEX(Products!$F$2:$F$13,MATCH(D1982,Products!$A$2:$A$13,0)))</f>
        <v>116668.1</v>
      </c>
      <c r="P1982" s="16" t="n">
        <f aca="false">N1982-O1982</f>
        <v>8061.19343027397</v>
      </c>
    </row>
    <row r="1983" customFormat="false" ht="15" hidden="false" customHeight="false" outlineLevel="0" collapsed="false">
      <c r="A1983" s="2" t="s">
        <v>119</v>
      </c>
      <c r="B1983" s="2" t="n">
        <v>2</v>
      </c>
      <c r="C1983" s="2" t="s">
        <v>91</v>
      </c>
      <c r="D1983" s="2" t="s">
        <v>37</v>
      </c>
      <c r="E1983" s="2" t="str">
        <f aca="false">INDEX(Products!$B$2:$B$13,MATCH(D1983,Products!$A$2:$A$13,0))</f>
        <v>FCC</v>
      </c>
      <c r="F1983" s="15" t="n">
        <v>49.4</v>
      </c>
      <c r="G1983" s="16" t="n">
        <f aca="false">IF(A1983="2025",INDEX(Products!$C$2:$C$13,MATCH(D1983,Products!$A$2:$A$13,0)),INDEX(Products!$E$2:$E$13,MATCH(D1983,Products!$A$2:$A$13,0)))</f>
        <v>3706.5</v>
      </c>
      <c r="H1983" s="13" t="n">
        <f aca="false">IF(A1983="2025",INDEX(Customers!$D$2:$D$41,MATCH(C1983,Customers!$A$2:$A$41,0)),INDEX(Customers!$F$2:$F$41,MATCH(C1983,Customers!$A$2:$A$41,0)))</f>
        <v>0.173</v>
      </c>
      <c r="I1983" s="16" t="n">
        <f aca="false">F1983*G1983</f>
        <v>183101.1</v>
      </c>
      <c r="J1983" s="16" t="n">
        <f aca="false">I1983*(1-H1983)</f>
        <v>151424.6097</v>
      </c>
      <c r="K1983" s="16" t="n">
        <f aca="false">J1983*INDEX(Customers!$G$2:$G$41,MATCH(C1983,Customers!$A$2:$A$41,0))</f>
        <v>3028.492194</v>
      </c>
      <c r="L1983" s="16" t="n">
        <f aca="false">F1983*INDEX(Customers!$H$2:$H$41,MATCH(C1983,Customers!$A$2:$A$41,0))</f>
        <v>16302</v>
      </c>
      <c r="M1983" s="16" t="n">
        <f aca="false">J1983*INDEX(Customers!$I$2:$I$41,MATCH(C1983,Customers!$A$2:$A$41,0))/365*Assumptions!$B$6</f>
        <v>995.668666520548</v>
      </c>
      <c r="N1983" s="16" t="n">
        <f aca="false">J1983-K1983-L1983-M1983</f>
        <v>131098.448839479</v>
      </c>
      <c r="O1983" s="16" t="n">
        <f aca="false">F1983*IF(A1983="2025",INDEX(Products!$D$2:$D$13,MATCH(D1983,Products!$A$2:$A$13,0)),INDEX(Products!$F$2:$F$13,MATCH(D1983,Products!$A$2:$A$13,0)))</f>
        <v>122625.62</v>
      </c>
      <c r="P1983" s="16" t="n">
        <f aca="false">N1983-O1983</f>
        <v>8472.82883947947</v>
      </c>
    </row>
    <row r="1984" customFormat="false" ht="15" hidden="false" customHeight="false" outlineLevel="0" collapsed="false">
      <c r="A1984" s="2" t="s">
        <v>119</v>
      </c>
      <c r="B1984" s="2" t="n">
        <v>3</v>
      </c>
      <c r="C1984" s="2" t="s">
        <v>91</v>
      </c>
      <c r="D1984" s="2" t="s">
        <v>37</v>
      </c>
      <c r="E1984" s="2" t="str">
        <f aca="false">INDEX(Products!$B$2:$B$13,MATCH(D1984,Products!$A$2:$A$13,0))</f>
        <v>FCC</v>
      </c>
      <c r="F1984" s="15" t="n">
        <v>35.9</v>
      </c>
      <c r="G1984" s="16" t="n">
        <f aca="false">IF(A1984="2025",INDEX(Products!$C$2:$C$13,MATCH(D1984,Products!$A$2:$A$13,0)),INDEX(Products!$E$2:$E$13,MATCH(D1984,Products!$A$2:$A$13,0)))</f>
        <v>3706.5</v>
      </c>
      <c r="H1984" s="13" t="n">
        <f aca="false">IF(A1984="2025",INDEX(Customers!$D$2:$D$41,MATCH(C1984,Customers!$A$2:$A$41,0)),INDEX(Customers!$F$2:$F$41,MATCH(C1984,Customers!$A$2:$A$41,0)))</f>
        <v>0.173</v>
      </c>
      <c r="I1984" s="16" t="n">
        <f aca="false">F1984*G1984</f>
        <v>133063.35</v>
      </c>
      <c r="J1984" s="16" t="n">
        <f aca="false">I1984*(1-H1984)</f>
        <v>110043.39045</v>
      </c>
      <c r="K1984" s="16" t="n">
        <f aca="false">J1984*INDEX(Customers!$G$2:$G$41,MATCH(C1984,Customers!$A$2:$A$41,0))</f>
        <v>2200.867809</v>
      </c>
      <c r="L1984" s="16" t="n">
        <f aca="false">F1984*INDEX(Customers!$H$2:$H$41,MATCH(C1984,Customers!$A$2:$A$41,0))</f>
        <v>11847</v>
      </c>
      <c r="M1984" s="16" t="n">
        <f aca="false">J1984*INDEX(Customers!$I$2:$I$41,MATCH(C1984,Customers!$A$2:$A$41,0))/365*Assumptions!$B$6</f>
        <v>723.57297830137</v>
      </c>
      <c r="N1984" s="16" t="n">
        <f aca="false">J1984-K1984-L1984-M1984</f>
        <v>95271.9496626986</v>
      </c>
      <c r="O1984" s="16" t="n">
        <f aca="false">F1984*IF(A1984="2025",INDEX(Products!$D$2:$D$13,MATCH(D1984,Products!$A$2:$A$13,0)),INDEX(Products!$F$2:$F$13,MATCH(D1984,Products!$A$2:$A$13,0)))</f>
        <v>89114.57</v>
      </c>
      <c r="P1984" s="16" t="n">
        <f aca="false">N1984-O1984</f>
        <v>6157.37966269863</v>
      </c>
    </row>
    <row r="1985" customFormat="false" ht="15" hidden="false" customHeight="false" outlineLevel="0" collapsed="false">
      <c r="A1985" s="2" t="s">
        <v>119</v>
      </c>
      <c r="B1985" s="2" t="n">
        <v>4</v>
      </c>
      <c r="C1985" s="2" t="s">
        <v>91</v>
      </c>
      <c r="D1985" s="2" t="s">
        <v>37</v>
      </c>
      <c r="E1985" s="2" t="str">
        <f aca="false">INDEX(Products!$B$2:$B$13,MATCH(D1985,Products!$A$2:$A$13,0))</f>
        <v>FCC</v>
      </c>
      <c r="F1985" s="15" t="n">
        <v>36.6</v>
      </c>
      <c r="G1985" s="16" t="n">
        <f aca="false">IF(A1985="2025",INDEX(Products!$C$2:$C$13,MATCH(D1985,Products!$A$2:$A$13,0)),INDEX(Products!$E$2:$E$13,MATCH(D1985,Products!$A$2:$A$13,0)))</f>
        <v>3706.5</v>
      </c>
      <c r="H1985" s="13" t="n">
        <f aca="false">IF(A1985="2025",INDEX(Customers!$D$2:$D$41,MATCH(C1985,Customers!$A$2:$A$41,0)),INDEX(Customers!$F$2:$F$41,MATCH(C1985,Customers!$A$2:$A$41,0)))</f>
        <v>0.173</v>
      </c>
      <c r="I1985" s="16" t="n">
        <f aca="false">F1985*G1985</f>
        <v>135657.9</v>
      </c>
      <c r="J1985" s="16" t="n">
        <f aca="false">I1985*(1-H1985)</f>
        <v>112189.0833</v>
      </c>
      <c r="K1985" s="16" t="n">
        <f aca="false">J1985*INDEX(Customers!$G$2:$G$41,MATCH(C1985,Customers!$A$2:$A$41,0))</f>
        <v>2243.781666</v>
      </c>
      <c r="L1985" s="16" t="n">
        <f aca="false">F1985*INDEX(Customers!$H$2:$H$41,MATCH(C1985,Customers!$A$2:$A$41,0))</f>
        <v>12078</v>
      </c>
      <c r="M1985" s="16" t="n">
        <f aca="false">J1985*INDEX(Customers!$I$2:$I$41,MATCH(C1985,Customers!$A$2:$A$41,0))/365*Assumptions!$B$6</f>
        <v>737.681643616438</v>
      </c>
      <c r="N1985" s="16" t="n">
        <f aca="false">J1985-K1985-L1985-M1985</f>
        <v>97129.6199903836</v>
      </c>
      <c r="O1985" s="16" t="n">
        <f aca="false">F1985*IF(A1985="2025",INDEX(Products!$D$2:$D$13,MATCH(D1985,Products!$A$2:$A$13,0)),INDEX(Products!$F$2:$F$13,MATCH(D1985,Products!$A$2:$A$13,0)))</f>
        <v>90852.18</v>
      </c>
      <c r="P1985" s="16" t="n">
        <f aca="false">N1985-O1985</f>
        <v>6277.43999038354</v>
      </c>
    </row>
    <row r="1986" customFormat="false" ht="15" hidden="false" customHeight="false" outlineLevel="0" collapsed="false">
      <c r="A1986" s="2" t="s">
        <v>119</v>
      </c>
      <c r="B1986" s="2" t="n">
        <v>5</v>
      </c>
      <c r="C1986" s="2" t="s">
        <v>91</v>
      </c>
      <c r="D1986" s="2" t="s">
        <v>37</v>
      </c>
      <c r="E1986" s="2" t="str">
        <f aca="false">INDEX(Products!$B$2:$B$13,MATCH(D1986,Products!$A$2:$A$13,0))</f>
        <v>FCC</v>
      </c>
      <c r="F1986" s="15" t="n">
        <v>44</v>
      </c>
      <c r="G1986" s="16" t="n">
        <f aca="false">IF(A1986="2025",INDEX(Products!$C$2:$C$13,MATCH(D1986,Products!$A$2:$A$13,0)),INDEX(Products!$E$2:$E$13,MATCH(D1986,Products!$A$2:$A$13,0)))</f>
        <v>3706.5</v>
      </c>
      <c r="H1986" s="13" t="n">
        <f aca="false">IF(A1986="2025",INDEX(Customers!$D$2:$D$41,MATCH(C1986,Customers!$A$2:$A$41,0)),INDEX(Customers!$F$2:$F$41,MATCH(C1986,Customers!$A$2:$A$41,0)))</f>
        <v>0.173</v>
      </c>
      <c r="I1986" s="16" t="n">
        <f aca="false">F1986*G1986</f>
        <v>163086</v>
      </c>
      <c r="J1986" s="16" t="n">
        <f aca="false">I1986*(1-H1986)</f>
        <v>134872.122</v>
      </c>
      <c r="K1986" s="16" t="n">
        <f aca="false">J1986*INDEX(Customers!$G$2:$G$41,MATCH(C1986,Customers!$A$2:$A$41,0))</f>
        <v>2697.44244</v>
      </c>
      <c r="L1986" s="16" t="n">
        <f aca="false">F1986*INDEX(Customers!$H$2:$H$41,MATCH(C1986,Customers!$A$2:$A$41,0))</f>
        <v>14520</v>
      </c>
      <c r="M1986" s="16" t="n">
        <f aca="false">J1986*INDEX(Customers!$I$2:$I$41,MATCH(C1986,Customers!$A$2:$A$41,0))/365*Assumptions!$B$6</f>
        <v>886.830391232877</v>
      </c>
      <c r="N1986" s="16" t="n">
        <f aca="false">J1986-K1986-L1986-M1986</f>
        <v>116767.849168767</v>
      </c>
      <c r="O1986" s="16" t="n">
        <f aca="false">F1986*IF(A1986="2025",INDEX(Products!$D$2:$D$13,MATCH(D1986,Products!$A$2:$A$13,0)),INDEX(Products!$F$2:$F$13,MATCH(D1986,Products!$A$2:$A$13,0)))</f>
        <v>109221.2</v>
      </c>
      <c r="P1986" s="16" t="n">
        <f aca="false">N1986-O1986</f>
        <v>7546.64916876711</v>
      </c>
    </row>
    <row r="1987" customFormat="false" ht="15" hidden="false" customHeight="false" outlineLevel="0" collapsed="false">
      <c r="A1987" s="2" t="s">
        <v>119</v>
      </c>
      <c r="B1987" s="2" t="n">
        <v>6</v>
      </c>
      <c r="C1987" s="2" t="s">
        <v>91</v>
      </c>
      <c r="D1987" s="2" t="s">
        <v>37</v>
      </c>
      <c r="E1987" s="2" t="str">
        <f aca="false">INDEX(Products!$B$2:$B$13,MATCH(D1987,Products!$A$2:$A$13,0))</f>
        <v>FCC</v>
      </c>
      <c r="F1987" s="15" t="n">
        <v>39.1</v>
      </c>
      <c r="G1987" s="16" t="n">
        <f aca="false">IF(A1987="2025",INDEX(Products!$C$2:$C$13,MATCH(D1987,Products!$A$2:$A$13,0)),INDEX(Products!$E$2:$E$13,MATCH(D1987,Products!$A$2:$A$13,0)))</f>
        <v>3706.5</v>
      </c>
      <c r="H1987" s="13" t="n">
        <f aca="false">IF(A1987="2025",INDEX(Customers!$D$2:$D$41,MATCH(C1987,Customers!$A$2:$A$41,0)),INDEX(Customers!$F$2:$F$41,MATCH(C1987,Customers!$A$2:$A$41,0)))</f>
        <v>0.173</v>
      </c>
      <c r="I1987" s="16" t="n">
        <f aca="false">F1987*G1987</f>
        <v>144924.15</v>
      </c>
      <c r="J1987" s="16" t="n">
        <f aca="false">I1987*(1-H1987)</f>
        <v>119852.27205</v>
      </c>
      <c r="K1987" s="16" t="n">
        <f aca="false">J1987*INDEX(Customers!$G$2:$G$41,MATCH(C1987,Customers!$A$2:$A$41,0))</f>
        <v>2397.045441</v>
      </c>
      <c r="L1987" s="16" t="n">
        <f aca="false">F1987*INDEX(Customers!$H$2:$H$41,MATCH(C1987,Customers!$A$2:$A$41,0))</f>
        <v>12903</v>
      </c>
      <c r="M1987" s="16" t="n">
        <f aca="false">J1987*INDEX(Customers!$I$2:$I$41,MATCH(C1987,Customers!$A$2:$A$41,0))/365*Assumptions!$B$6</f>
        <v>788.069734027397</v>
      </c>
      <c r="N1987" s="16" t="n">
        <f aca="false">J1987-K1987-L1987-M1987</f>
        <v>103764.156874973</v>
      </c>
      <c r="O1987" s="16" t="n">
        <f aca="false">F1987*IF(A1987="2025",INDEX(Products!$D$2:$D$13,MATCH(D1987,Products!$A$2:$A$13,0)),INDEX(Products!$F$2:$F$13,MATCH(D1987,Products!$A$2:$A$13,0)))</f>
        <v>97057.93</v>
      </c>
      <c r="P1987" s="16" t="n">
        <f aca="false">N1987-O1987</f>
        <v>6706.22687497259</v>
      </c>
    </row>
    <row r="1988" customFormat="false" ht="15" hidden="false" customHeight="false" outlineLevel="0" collapsed="false">
      <c r="A1988" s="2" t="s">
        <v>119</v>
      </c>
      <c r="B1988" s="2" t="n">
        <v>7</v>
      </c>
      <c r="C1988" s="2" t="s">
        <v>91</v>
      </c>
      <c r="D1988" s="2" t="s">
        <v>37</v>
      </c>
      <c r="E1988" s="2" t="str">
        <f aca="false">INDEX(Products!$B$2:$B$13,MATCH(D1988,Products!$A$2:$A$13,0))</f>
        <v>FCC</v>
      </c>
      <c r="F1988" s="15" t="n">
        <v>31.8</v>
      </c>
      <c r="G1988" s="16" t="n">
        <f aca="false">IF(A1988="2025",INDEX(Products!$C$2:$C$13,MATCH(D1988,Products!$A$2:$A$13,0)),INDEX(Products!$E$2:$E$13,MATCH(D1988,Products!$A$2:$A$13,0)))</f>
        <v>3706.5</v>
      </c>
      <c r="H1988" s="13" t="n">
        <f aca="false">IF(A1988="2025",INDEX(Customers!$D$2:$D$41,MATCH(C1988,Customers!$A$2:$A$41,0)),INDEX(Customers!$F$2:$F$41,MATCH(C1988,Customers!$A$2:$A$41,0)))</f>
        <v>0.173</v>
      </c>
      <c r="I1988" s="16" t="n">
        <f aca="false">F1988*G1988</f>
        <v>117866.7</v>
      </c>
      <c r="J1988" s="16" t="n">
        <f aca="false">I1988*(1-H1988)</f>
        <v>97475.7609</v>
      </c>
      <c r="K1988" s="16" t="n">
        <f aca="false">J1988*INDEX(Customers!$G$2:$G$41,MATCH(C1988,Customers!$A$2:$A$41,0))</f>
        <v>1949.515218</v>
      </c>
      <c r="L1988" s="16" t="n">
        <f aca="false">F1988*INDEX(Customers!$H$2:$H$41,MATCH(C1988,Customers!$A$2:$A$41,0))</f>
        <v>10494</v>
      </c>
      <c r="M1988" s="16" t="n">
        <f aca="false">J1988*INDEX(Customers!$I$2:$I$41,MATCH(C1988,Customers!$A$2:$A$41,0))/365*Assumptions!$B$6</f>
        <v>640.936510027397</v>
      </c>
      <c r="N1988" s="16" t="n">
        <f aca="false">J1988-K1988-L1988-M1988</f>
        <v>84391.3091719726</v>
      </c>
      <c r="O1988" s="16" t="n">
        <f aca="false">F1988*IF(A1988="2025",INDEX(Products!$D$2:$D$13,MATCH(D1988,Products!$A$2:$A$13,0)),INDEX(Products!$F$2:$F$13,MATCH(D1988,Products!$A$2:$A$13,0)))</f>
        <v>78937.14</v>
      </c>
      <c r="P1988" s="16" t="n">
        <f aca="false">N1988-O1988</f>
        <v>5454.16917197258</v>
      </c>
    </row>
    <row r="1989" customFormat="false" ht="15" hidden="false" customHeight="false" outlineLevel="0" collapsed="false">
      <c r="A1989" s="2" t="s">
        <v>119</v>
      </c>
      <c r="B1989" s="2" t="n">
        <v>8</v>
      </c>
      <c r="C1989" s="2" t="s">
        <v>91</v>
      </c>
      <c r="D1989" s="2" t="s">
        <v>37</v>
      </c>
      <c r="E1989" s="2" t="str">
        <f aca="false">INDEX(Products!$B$2:$B$13,MATCH(D1989,Products!$A$2:$A$13,0))</f>
        <v>FCC</v>
      </c>
      <c r="F1989" s="15" t="n">
        <v>47.6</v>
      </c>
      <c r="G1989" s="16" t="n">
        <f aca="false">IF(A1989="2025",INDEX(Products!$C$2:$C$13,MATCH(D1989,Products!$A$2:$A$13,0)),INDEX(Products!$E$2:$E$13,MATCH(D1989,Products!$A$2:$A$13,0)))</f>
        <v>3706.5</v>
      </c>
      <c r="H1989" s="13" t="n">
        <f aca="false">IF(A1989="2025",INDEX(Customers!$D$2:$D$41,MATCH(C1989,Customers!$A$2:$A$41,0)),INDEX(Customers!$F$2:$F$41,MATCH(C1989,Customers!$A$2:$A$41,0)))</f>
        <v>0.173</v>
      </c>
      <c r="I1989" s="16" t="n">
        <f aca="false">F1989*G1989</f>
        <v>176429.4</v>
      </c>
      <c r="J1989" s="16" t="n">
        <f aca="false">I1989*(1-H1989)</f>
        <v>145907.1138</v>
      </c>
      <c r="K1989" s="16" t="n">
        <f aca="false">J1989*INDEX(Customers!$G$2:$G$41,MATCH(C1989,Customers!$A$2:$A$41,0))</f>
        <v>2918.142276</v>
      </c>
      <c r="L1989" s="16" t="n">
        <f aca="false">F1989*INDEX(Customers!$H$2:$H$41,MATCH(C1989,Customers!$A$2:$A$41,0))</f>
        <v>15708</v>
      </c>
      <c r="M1989" s="16" t="n">
        <f aca="false">J1989*INDEX(Customers!$I$2:$I$41,MATCH(C1989,Customers!$A$2:$A$41,0))/365*Assumptions!$B$6</f>
        <v>959.389241424658</v>
      </c>
      <c r="N1989" s="16" t="n">
        <f aca="false">J1989-K1989-L1989-M1989</f>
        <v>126321.582282575</v>
      </c>
      <c r="O1989" s="16" t="n">
        <f aca="false">F1989*IF(A1989="2025",INDEX(Products!$D$2:$D$13,MATCH(D1989,Products!$A$2:$A$13,0)),INDEX(Products!$F$2:$F$13,MATCH(D1989,Products!$A$2:$A$13,0)))</f>
        <v>118157.48</v>
      </c>
      <c r="P1989" s="16" t="n">
        <f aca="false">N1989-O1989</f>
        <v>8164.10228257533</v>
      </c>
    </row>
    <row r="1990" customFormat="false" ht="15" hidden="false" customHeight="false" outlineLevel="0" collapsed="false">
      <c r="A1990" s="2" t="s">
        <v>119</v>
      </c>
      <c r="B1990" s="2" t="n">
        <v>9</v>
      </c>
      <c r="C1990" s="2" t="s">
        <v>91</v>
      </c>
      <c r="D1990" s="2" t="s">
        <v>37</v>
      </c>
      <c r="E1990" s="2" t="str">
        <f aca="false">INDEX(Products!$B$2:$B$13,MATCH(D1990,Products!$A$2:$A$13,0))</f>
        <v>FCC</v>
      </c>
      <c r="F1990" s="15" t="n">
        <v>42.6</v>
      </c>
      <c r="G1990" s="16" t="n">
        <f aca="false">IF(A1990="2025",INDEX(Products!$C$2:$C$13,MATCH(D1990,Products!$A$2:$A$13,0)),INDEX(Products!$E$2:$E$13,MATCH(D1990,Products!$A$2:$A$13,0)))</f>
        <v>3706.5</v>
      </c>
      <c r="H1990" s="13" t="n">
        <f aca="false">IF(A1990="2025",INDEX(Customers!$D$2:$D$41,MATCH(C1990,Customers!$A$2:$A$41,0)),INDEX(Customers!$F$2:$F$41,MATCH(C1990,Customers!$A$2:$A$41,0)))</f>
        <v>0.173</v>
      </c>
      <c r="I1990" s="16" t="n">
        <f aca="false">F1990*G1990</f>
        <v>157896.9</v>
      </c>
      <c r="J1990" s="16" t="n">
        <f aca="false">I1990*(1-H1990)</f>
        <v>130580.7363</v>
      </c>
      <c r="K1990" s="16" t="n">
        <f aca="false">J1990*INDEX(Customers!$G$2:$G$41,MATCH(C1990,Customers!$A$2:$A$41,0))</f>
        <v>2611.614726</v>
      </c>
      <c r="L1990" s="16" t="n">
        <f aca="false">F1990*INDEX(Customers!$H$2:$H$41,MATCH(C1990,Customers!$A$2:$A$41,0))</f>
        <v>14058</v>
      </c>
      <c r="M1990" s="16" t="n">
        <f aca="false">J1990*INDEX(Customers!$I$2:$I$41,MATCH(C1990,Customers!$A$2:$A$41,0))/365*Assumptions!$B$6</f>
        <v>858.61306060274</v>
      </c>
      <c r="N1990" s="16" t="n">
        <f aca="false">J1990-K1990-L1990-M1990</f>
        <v>113052.508513397</v>
      </c>
      <c r="O1990" s="16" t="n">
        <f aca="false">F1990*IF(A1990="2025",INDEX(Products!$D$2:$D$13,MATCH(D1990,Products!$A$2:$A$13,0)),INDEX(Products!$F$2:$F$13,MATCH(D1990,Products!$A$2:$A$13,0)))</f>
        <v>105745.98</v>
      </c>
      <c r="P1990" s="16" t="n">
        <f aca="false">N1990-O1990</f>
        <v>7306.52851339724</v>
      </c>
    </row>
    <row r="1991" customFormat="false" ht="15" hidden="false" customHeight="false" outlineLevel="0" collapsed="false">
      <c r="A1991" s="2" t="s">
        <v>119</v>
      </c>
      <c r="B1991" s="2" t="n">
        <v>10</v>
      </c>
      <c r="C1991" s="2" t="s">
        <v>91</v>
      </c>
      <c r="D1991" s="2" t="s">
        <v>37</v>
      </c>
      <c r="E1991" s="2" t="str">
        <f aca="false">INDEX(Products!$B$2:$B$13,MATCH(D1991,Products!$A$2:$A$13,0))</f>
        <v>FCC</v>
      </c>
      <c r="F1991" s="15" t="n">
        <v>37.2</v>
      </c>
      <c r="G1991" s="16" t="n">
        <f aca="false">IF(A1991="2025",INDEX(Products!$C$2:$C$13,MATCH(D1991,Products!$A$2:$A$13,0)),INDEX(Products!$E$2:$E$13,MATCH(D1991,Products!$A$2:$A$13,0)))</f>
        <v>3706.5</v>
      </c>
      <c r="H1991" s="13" t="n">
        <f aca="false">IF(A1991="2025",INDEX(Customers!$D$2:$D$41,MATCH(C1991,Customers!$A$2:$A$41,0)),INDEX(Customers!$F$2:$F$41,MATCH(C1991,Customers!$A$2:$A$41,0)))</f>
        <v>0.173</v>
      </c>
      <c r="I1991" s="16" t="n">
        <f aca="false">F1991*G1991</f>
        <v>137881.8</v>
      </c>
      <c r="J1991" s="16" t="n">
        <f aca="false">I1991*(1-H1991)</f>
        <v>114028.2486</v>
      </c>
      <c r="K1991" s="16" t="n">
        <f aca="false">J1991*INDEX(Customers!$G$2:$G$41,MATCH(C1991,Customers!$A$2:$A$41,0))</f>
        <v>2280.564972</v>
      </c>
      <c r="L1991" s="16" t="n">
        <f aca="false">F1991*INDEX(Customers!$H$2:$H$41,MATCH(C1991,Customers!$A$2:$A$41,0))</f>
        <v>12276</v>
      </c>
      <c r="M1991" s="16" t="n">
        <f aca="false">J1991*INDEX(Customers!$I$2:$I$41,MATCH(C1991,Customers!$A$2:$A$41,0))/365*Assumptions!$B$6</f>
        <v>749.774785315069</v>
      </c>
      <c r="N1991" s="16" t="n">
        <f aca="false">J1991-K1991-L1991-M1991</f>
        <v>98721.9088426849</v>
      </c>
      <c r="O1991" s="16" t="n">
        <f aca="false">F1991*IF(A1991="2025",INDEX(Products!$D$2:$D$13,MATCH(D1991,Products!$A$2:$A$13,0)),INDEX(Products!$F$2:$F$13,MATCH(D1991,Products!$A$2:$A$13,0)))</f>
        <v>92341.56</v>
      </c>
      <c r="P1991" s="16" t="n">
        <f aca="false">N1991-O1991</f>
        <v>6380.34884268492</v>
      </c>
    </row>
    <row r="1992" customFormat="false" ht="15" hidden="false" customHeight="false" outlineLevel="0" collapsed="false">
      <c r="A1992" s="2" t="s">
        <v>119</v>
      </c>
      <c r="B1992" s="2" t="n">
        <v>11</v>
      </c>
      <c r="C1992" s="2" t="s">
        <v>91</v>
      </c>
      <c r="D1992" s="2" t="s">
        <v>37</v>
      </c>
      <c r="E1992" s="2" t="str">
        <f aca="false">INDEX(Products!$B$2:$B$13,MATCH(D1992,Products!$A$2:$A$13,0))</f>
        <v>FCC</v>
      </c>
      <c r="F1992" s="15" t="n">
        <v>36.5</v>
      </c>
      <c r="G1992" s="16" t="n">
        <f aca="false">IF(A1992="2025",INDEX(Products!$C$2:$C$13,MATCH(D1992,Products!$A$2:$A$13,0)),INDEX(Products!$E$2:$E$13,MATCH(D1992,Products!$A$2:$A$13,0)))</f>
        <v>3706.5</v>
      </c>
      <c r="H1992" s="13" t="n">
        <f aca="false">IF(A1992="2025",INDEX(Customers!$D$2:$D$41,MATCH(C1992,Customers!$A$2:$A$41,0)),INDEX(Customers!$F$2:$F$41,MATCH(C1992,Customers!$A$2:$A$41,0)))</f>
        <v>0.173</v>
      </c>
      <c r="I1992" s="16" t="n">
        <f aca="false">F1992*G1992</f>
        <v>135287.25</v>
      </c>
      <c r="J1992" s="16" t="n">
        <f aca="false">I1992*(1-H1992)</f>
        <v>111882.55575</v>
      </c>
      <c r="K1992" s="16" t="n">
        <f aca="false">J1992*INDEX(Customers!$G$2:$G$41,MATCH(C1992,Customers!$A$2:$A$41,0))</f>
        <v>2237.651115</v>
      </c>
      <c r="L1992" s="16" t="n">
        <f aca="false">F1992*INDEX(Customers!$H$2:$H$41,MATCH(C1992,Customers!$A$2:$A$41,0))</f>
        <v>12045</v>
      </c>
      <c r="M1992" s="16" t="n">
        <f aca="false">J1992*INDEX(Customers!$I$2:$I$41,MATCH(C1992,Customers!$A$2:$A$41,0))/365*Assumptions!$B$6</f>
        <v>735.66612</v>
      </c>
      <c r="N1992" s="16" t="n">
        <f aca="false">J1992-K1992-L1992-M1992</f>
        <v>96864.238515</v>
      </c>
      <c r="O1992" s="16" t="n">
        <f aca="false">F1992*IF(A1992="2025",INDEX(Products!$D$2:$D$13,MATCH(D1992,Products!$A$2:$A$13,0)),INDEX(Products!$F$2:$F$13,MATCH(D1992,Products!$A$2:$A$13,0)))</f>
        <v>90603.95</v>
      </c>
      <c r="P1992" s="16" t="n">
        <f aca="false">N1992-O1992</f>
        <v>6260.28851499999</v>
      </c>
    </row>
    <row r="1993" customFormat="false" ht="15" hidden="false" customHeight="false" outlineLevel="0" collapsed="false">
      <c r="A1993" s="2" t="s">
        <v>119</v>
      </c>
      <c r="B1993" s="2" t="n">
        <v>12</v>
      </c>
      <c r="C1993" s="2" t="s">
        <v>91</v>
      </c>
      <c r="D1993" s="2" t="s">
        <v>37</v>
      </c>
      <c r="E1993" s="2" t="str">
        <f aca="false">INDEX(Products!$B$2:$B$13,MATCH(D1993,Products!$A$2:$A$13,0))</f>
        <v>FCC</v>
      </c>
      <c r="F1993" s="15" t="n">
        <v>41.5</v>
      </c>
      <c r="G1993" s="16" t="n">
        <f aca="false">IF(A1993="2025",INDEX(Products!$C$2:$C$13,MATCH(D1993,Products!$A$2:$A$13,0)),INDEX(Products!$E$2:$E$13,MATCH(D1993,Products!$A$2:$A$13,0)))</f>
        <v>3706.5</v>
      </c>
      <c r="H1993" s="13" t="n">
        <f aca="false">IF(A1993="2025",INDEX(Customers!$D$2:$D$41,MATCH(C1993,Customers!$A$2:$A$41,0)),INDEX(Customers!$F$2:$F$41,MATCH(C1993,Customers!$A$2:$A$41,0)))</f>
        <v>0.173</v>
      </c>
      <c r="I1993" s="16" t="n">
        <f aca="false">F1993*G1993</f>
        <v>153819.75</v>
      </c>
      <c r="J1993" s="16" t="n">
        <f aca="false">I1993*(1-H1993)</f>
        <v>127208.93325</v>
      </c>
      <c r="K1993" s="16" t="n">
        <f aca="false">J1993*INDEX(Customers!$G$2:$G$41,MATCH(C1993,Customers!$A$2:$A$41,0))</f>
        <v>2544.178665</v>
      </c>
      <c r="L1993" s="16" t="n">
        <f aca="false">F1993*INDEX(Customers!$H$2:$H$41,MATCH(C1993,Customers!$A$2:$A$41,0))</f>
        <v>13695</v>
      </c>
      <c r="M1993" s="16" t="n">
        <f aca="false">J1993*INDEX(Customers!$I$2:$I$41,MATCH(C1993,Customers!$A$2:$A$41,0))/365*Assumptions!$B$6</f>
        <v>836.442300821918</v>
      </c>
      <c r="N1993" s="16" t="n">
        <f aca="false">J1993-K1993-L1993-M1993</f>
        <v>110133.312284178</v>
      </c>
      <c r="O1993" s="16" t="n">
        <f aca="false">F1993*IF(A1993="2025",INDEX(Products!$D$2:$D$13,MATCH(D1993,Products!$A$2:$A$13,0)),INDEX(Products!$F$2:$F$13,MATCH(D1993,Products!$A$2:$A$13,0)))</f>
        <v>103015.45</v>
      </c>
      <c r="P1993" s="16" t="n">
        <f aca="false">N1993-O1993</f>
        <v>7117.86228417806</v>
      </c>
    </row>
    <row r="1994" customFormat="false" ht="15" hidden="false" customHeight="false" outlineLevel="0" collapsed="false">
      <c r="A1994" s="2" t="s">
        <v>118</v>
      </c>
      <c r="B1994" s="2" t="n">
        <v>1</v>
      </c>
      <c r="C1994" s="2" t="s">
        <v>91</v>
      </c>
      <c r="D1994" s="2" t="s">
        <v>41</v>
      </c>
      <c r="E1994" s="2" t="str">
        <f aca="false">INDEX(Products!$B$2:$B$13,MATCH(D1994,Products!$A$2:$A$13,0))</f>
        <v>Hydroprocessing</v>
      </c>
      <c r="F1994" s="15" t="n">
        <v>17.2</v>
      </c>
      <c r="G1994" s="16" t="n">
        <f aca="false">IF(A1994="2025",INDEX(Products!$C$2:$C$13,MATCH(D1994,Products!$A$2:$A$13,0)),INDEX(Products!$E$2:$E$13,MATCH(D1994,Products!$A$2:$A$13,0)))</f>
        <v>14770</v>
      </c>
      <c r="H1994" s="13" t="n">
        <f aca="false">IF(A1994="2025",INDEX(Customers!$D$2:$D$41,MATCH(C1994,Customers!$A$2:$A$41,0)),INDEX(Customers!$F$2:$F$41,MATCH(C1994,Customers!$A$2:$A$41,0)))</f>
        <v>0.173</v>
      </c>
      <c r="I1994" s="16" t="n">
        <f aca="false">F1994*G1994</f>
        <v>254044</v>
      </c>
      <c r="J1994" s="16" t="n">
        <f aca="false">I1994*(1-H1994)</f>
        <v>210094.388</v>
      </c>
      <c r="K1994" s="16" t="n">
        <f aca="false">J1994*INDEX(Customers!$G$2:$G$41,MATCH(C1994,Customers!$A$2:$A$41,0))</f>
        <v>4201.88776</v>
      </c>
      <c r="L1994" s="16" t="n">
        <f aca="false">F1994*INDEX(Customers!$H$2:$H$41,MATCH(C1994,Customers!$A$2:$A$41,0))</f>
        <v>5676</v>
      </c>
      <c r="M1994" s="16" t="n">
        <f aca="false">J1994*INDEX(Customers!$I$2:$I$41,MATCH(C1994,Customers!$A$2:$A$41,0))/365*Assumptions!$B$6</f>
        <v>1381.44255123288</v>
      </c>
      <c r="N1994" s="16" t="n">
        <f aca="false">J1994-K1994-L1994-M1994</f>
        <v>198835.057688767</v>
      </c>
      <c r="O1994" s="16" t="n">
        <f aca="false">F1994*IF(A1994="2025",INDEX(Products!$D$2:$D$13,MATCH(D1994,Products!$A$2:$A$13,0)),INDEX(Products!$F$2:$F$13,MATCH(D1994,Products!$A$2:$A$13,0)))</f>
        <v>163056</v>
      </c>
      <c r="P1994" s="16" t="n">
        <f aca="false">N1994-O1994</f>
        <v>35779.0576887671</v>
      </c>
    </row>
    <row r="1995" customFormat="false" ht="15" hidden="false" customHeight="false" outlineLevel="0" collapsed="false">
      <c r="A1995" s="2" t="s">
        <v>118</v>
      </c>
      <c r="B1995" s="2" t="n">
        <v>2</v>
      </c>
      <c r="C1995" s="2" t="s">
        <v>91</v>
      </c>
      <c r="D1995" s="2" t="s">
        <v>41</v>
      </c>
      <c r="E1995" s="2" t="str">
        <f aca="false">INDEX(Products!$B$2:$B$13,MATCH(D1995,Products!$A$2:$A$13,0))</f>
        <v>Hydroprocessing</v>
      </c>
      <c r="F1995" s="15" t="n">
        <v>20.8</v>
      </c>
      <c r="G1995" s="16" t="n">
        <f aca="false">IF(A1995="2025",INDEX(Products!$C$2:$C$13,MATCH(D1995,Products!$A$2:$A$13,0)),INDEX(Products!$E$2:$E$13,MATCH(D1995,Products!$A$2:$A$13,0)))</f>
        <v>14770</v>
      </c>
      <c r="H1995" s="13" t="n">
        <f aca="false">IF(A1995="2025",INDEX(Customers!$D$2:$D$41,MATCH(C1995,Customers!$A$2:$A$41,0)),INDEX(Customers!$F$2:$F$41,MATCH(C1995,Customers!$A$2:$A$41,0)))</f>
        <v>0.173</v>
      </c>
      <c r="I1995" s="16" t="n">
        <f aca="false">F1995*G1995</f>
        <v>307216</v>
      </c>
      <c r="J1995" s="16" t="n">
        <f aca="false">I1995*(1-H1995)</f>
        <v>254067.632</v>
      </c>
      <c r="K1995" s="16" t="n">
        <f aca="false">J1995*INDEX(Customers!$G$2:$G$41,MATCH(C1995,Customers!$A$2:$A$41,0))</f>
        <v>5081.35264</v>
      </c>
      <c r="L1995" s="16" t="n">
        <f aca="false">F1995*INDEX(Customers!$H$2:$H$41,MATCH(C1995,Customers!$A$2:$A$41,0))</f>
        <v>6864</v>
      </c>
      <c r="M1995" s="16" t="n">
        <f aca="false">J1995*INDEX(Customers!$I$2:$I$41,MATCH(C1995,Customers!$A$2:$A$41,0))/365*Assumptions!$B$6</f>
        <v>1670.58168986301</v>
      </c>
      <c r="N1995" s="16" t="n">
        <f aca="false">J1995-K1995-L1995-M1995</f>
        <v>240451.697670137</v>
      </c>
      <c r="O1995" s="16" t="n">
        <f aca="false">F1995*IF(A1995="2025",INDEX(Products!$D$2:$D$13,MATCH(D1995,Products!$A$2:$A$13,0)),INDEX(Products!$F$2:$F$13,MATCH(D1995,Products!$A$2:$A$13,0)))</f>
        <v>197184</v>
      </c>
      <c r="P1995" s="16" t="n">
        <f aca="false">N1995-O1995</f>
        <v>43267.697670137</v>
      </c>
    </row>
    <row r="1996" customFormat="false" ht="15" hidden="false" customHeight="false" outlineLevel="0" collapsed="false">
      <c r="A1996" s="2" t="s">
        <v>118</v>
      </c>
      <c r="B1996" s="2" t="n">
        <v>3</v>
      </c>
      <c r="C1996" s="2" t="s">
        <v>91</v>
      </c>
      <c r="D1996" s="2" t="s">
        <v>41</v>
      </c>
      <c r="E1996" s="2" t="str">
        <f aca="false">INDEX(Products!$B$2:$B$13,MATCH(D1996,Products!$A$2:$A$13,0))</f>
        <v>Hydroprocessing</v>
      </c>
      <c r="F1996" s="15" t="n">
        <v>15</v>
      </c>
      <c r="G1996" s="16" t="n">
        <f aca="false">IF(A1996="2025",INDEX(Products!$C$2:$C$13,MATCH(D1996,Products!$A$2:$A$13,0)),INDEX(Products!$E$2:$E$13,MATCH(D1996,Products!$A$2:$A$13,0)))</f>
        <v>14770</v>
      </c>
      <c r="H1996" s="13" t="n">
        <f aca="false">IF(A1996="2025",INDEX(Customers!$D$2:$D$41,MATCH(C1996,Customers!$A$2:$A$41,0)),INDEX(Customers!$F$2:$F$41,MATCH(C1996,Customers!$A$2:$A$41,0)))</f>
        <v>0.173</v>
      </c>
      <c r="I1996" s="16" t="n">
        <f aca="false">F1996*G1996</f>
        <v>221550</v>
      </c>
      <c r="J1996" s="16" t="n">
        <f aca="false">I1996*(1-H1996)</f>
        <v>183221.85</v>
      </c>
      <c r="K1996" s="16" t="n">
        <f aca="false">J1996*INDEX(Customers!$G$2:$G$41,MATCH(C1996,Customers!$A$2:$A$41,0))</f>
        <v>3664.437</v>
      </c>
      <c r="L1996" s="16" t="n">
        <f aca="false">F1996*INDEX(Customers!$H$2:$H$41,MATCH(C1996,Customers!$A$2:$A$41,0))</f>
        <v>4950</v>
      </c>
      <c r="M1996" s="16" t="n">
        <f aca="false">J1996*INDEX(Customers!$I$2:$I$41,MATCH(C1996,Customers!$A$2:$A$41,0))/365*Assumptions!$B$6</f>
        <v>1204.7464109589</v>
      </c>
      <c r="N1996" s="16" t="n">
        <f aca="false">J1996-K1996-L1996-M1996</f>
        <v>173402.666589041</v>
      </c>
      <c r="O1996" s="16" t="n">
        <f aca="false">F1996*IF(A1996="2025",INDEX(Products!$D$2:$D$13,MATCH(D1996,Products!$A$2:$A$13,0)),INDEX(Products!$F$2:$F$13,MATCH(D1996,Products!$A$2:$A$13,0)))</f>
        <v>142200</v>
      </c>
      <c r="P1996" s="16" t="n">
        <f aca="false">N1996-O1996</f>
        <v>31202.6665890411</v>
      </c>
    </row>
    <row r="1997" customFormat="false" ht="15" hidden="false" customHeight="false" outlineLevel="0" collapsed="false">
      <c r="A1997" s="2" t="s">
        <v>118</v>
      </c>
      <c r="B1997" s="2" t="n">
        <v>4</v>
      </c>
      <c r="C1997" s="2" t="s">
        <v>91</v>
      </c>
      <c r="D1997" s="2" t="s">
        <v>41</v>
      </c>
      <c r="E1997" s="2" t="str">
        <f aca="false">INDEX(Products!$B$2:$B$13,MATCH(D1997,Products!$A$2:$A$13,0))</f>
        <v>Hydroprocessing</v>
      </c>
      <c r="F1997" s="15" t="n">
        <v>18.2</v>
      </c>
      <c r="G1997" s="16" t="n">
        <f aca="false">IF(A1997="2025",INDEX(Products!$C$2:$C$13,MATCH(D1997,Products!$A$2:$A$13,0)),INDEX(Products!$E$2:$E$13,MATCH(D1997,Products!$A$2:$A$13,0)))</f>
        <v>14770</v>
      </c>
      <c r="H1997" s="13" t="n">
        <f aca="false">IF(A1997="2025",INDEX(Customers!$D$2:$D$41,MATCH(C1997,Customers!$A$2:$A$41,0)),INDEX(Customers!$F$2:$F$41,MATCH(C1997,Customers!$A$2:$A$41,0)))</f>
        <v>0.173</v>
      </c>
      <c r="I1997" s="16" t="n">
        <f aca="false">F1997*G1997</f>
        <v>268814</v>
      </c>
      <c r="J1997" s="16" t="n">
        <f aca="false">I1997*(1-H1997)</f>
        <v>222309.178</v>
      </c>
      <c r="K1997" s="16" t="n">
        <f aca="false">J1997*INDEX(Customers!$G$2:$G$41,MATCH(C1997,Customers!$A$2:$A$41,0))</f>
        <v>4446.18356</v>
      </c>
      <c r="L1997" s="16" t="n">
        <f aca="false">F1997*INDEX(Customers!$H$2:$H$41,MATCH(C1997,Customers!$A$2:$A$41,0))</f>
        <v>6006</v>
      </c>
      <c r="M1997" s="16" t="n">
        <f aca="false">J1997*INDEX(Customers!$I$2:$I$41,MATCH(C1997,Customers!$A$2:$A$41,0))/365*Assumptions!$B$6</f>
        <v>1461.75897863014</v>
      </c>
      <c r="N1997" s="16" t="n">
        <f aca="false">J1997-K1997-L1997-M1997</f>
        <v>210395.23546137</v>
      </c>
      <c r="O1997" s="16" t="n">
        <f aca="false">F1997*IF(A1997="2025",INDEX(Products!$D$2:$D$13,MATCH(D1997,Products!$A$2:$A$13,0)),INDEX(Products!$F$2:$F$13,MATCH(D1997,Products!$A$2:$A$13,0)))</f>
        <v>172536</v>
      </c>
      <c r="P1997" s="16" t="n">
        <f aca="false">N1997-O1997</f>
        <v>37859.2354613699</v>
      </c>
    </row>
    <row r="1998" customFormat="false" ht="15" hidden="false" customHeight="false" outlineLevel="0" collapsed="false">
      <c r="A1998" s="2" t="s">
        <v>118</v>
      </c>
      <c r="B1998" s="2" t="n">
        <v>5</v>
      </c>
      <c r="C1998" s="2" t="s">
        <v>91</v>
      </c>
      <c r="D1998" s="2" t="s">
        <v>41</v>
      </c>
      <c r="E1998" s="2" t="str">
        <f aca="false">INDEX(Products!$B$2:$B$13,MATCH(D1998,Products!$A$2:$A$13,0))</f>
        <v>Hydroprocessing</v>
      </c>
      <c r="F1998" s="15" t="n">
        <v>23</v>
      </c>
      <c r="G1998" s="16" t="n">
        <f aca="false">IF(A1998="2025",INDEX(Products!$C$2:$C$13,MATCH(D1998,Products!$A$2:$A$13,0)),INDEX(Products!$E$2:$E$13,MATCH(D1998,Products!$A$2:$A$13,0)))</f>
        <v>14770</v>
      </c>
      <c r="H1998" s="13" t="n">
        <f aca="false">IF(A1998="2025",INDEX(Customers!$D$2:$D$41,MATCH(C1998,Customers!$A$2:$A$41,0)),INDEX(Customers!$F$2:$F$41,MATCH(C1998,Customers!$A$2:$A$41,0)))</f>
        <v>0.173</v>
      </c>
      <c r="I1998" s="16" t="n">
        <f aca="false">F1998*G1998</f>
        <v>339710</v>
      </c>
      <c r="J1998" s="16" t="n">
        <f aca="false">I1998*(1-H1998)</f>
        <v>280940.17</v>
      </c>
      <c r="K1998" s="16" t="n">
        <f aca="false">J1998*INDEX(Customers!$G$2:$G$41,MATCH(C1998,Customers!$A$2:$A$41,0))</f>
        <v>5618.8034</v>
      </c>
      <c r="L1998" s="16" t="n">
        <f aca="false">F1998*INDEX(Customers!$H$2:$H$41,MATCH(C1998,Customers!$A$2:$A$41,0))</f>
        <v>7590</v>
      </c>
      <c r="M1998" s="16" t="n">
        <f aca="false">J1998*INDEX(Customers!$I$2:$I$41,MATCH(C1998,Customers!$A$2:$A$41,0))/365*Assumptions!$B$6</f>
        <v>1847.27783013699</v>
      </c>
      <c r="N1998" s="16" t="n">
        <f aca="false">J1998-K1998-L1998-M1998</f>
        <v>265884.088769863</v>
      </c>
      <c r="O1998" s="16" t="n">
        <f aca="false">F1998*IF(A1998="2025",INDEX(Products!$D$2:$D$13,MATCH(D1998,Products!$A$2:$A$13,0)),INDEX(Products!$F$2:$F$13,MATCH(D1998,Products!$A$2:$A$13,0)))</f>
        <v>218040</v>
      </c>
      <c r="P1998" s="16" t="n">
        <f aca="false">N1998-O1998</f>
        <v>47844.088769863</v>
      </c>
    </row>
    <row r="1999" customFormat="false" ht="15" hidden="false" customHeight="false" outlineLevel="0" collapsed="false">
      <c r="A1999" s="2" t="s">
        <v>118</v>
      </c>
      <c r="B1999" s="2" t="n">
        <v>6</v>
      </c>
      <c r="C1999" s="2" t="s">
        <v>91</v>
      </c>
      <c r="D1999" s="2" t="s">
        <v>41</v>
      </c>
      <c r="E1999" s="2" t="str">
        <f aca="false">INDEX(Products!$B$2:$B$13,MATCH(D1999,Products!$A$2:$A$13,0))</f>
        <v>Hydroprocessing</v>
      </c>
      <c r="F1999" s="15" t="n">
        <v>15.2</v>
      </c>
      <c r="G1999" s="16" t="n">
        <f aca="false">IF(A1999="2025",INDEX(Products!$C$2:$C$13,MATCH(D1999,Products!$A$2:$A$13,0)),INDEX(Products!$E$2:$E$13,MATCH(D1999,Products!$A$2:$A$13,0)))</f>
        <v>14770</v>
      </c>
      <c r="H1999" s="13" t="n">
        <f aca="false">IF(A1999="2025",INDEX(Customers!$D$2:$D$41,MATCH(C1999,Customers!$A$2:$A$41,0)),INDEX(Customers!$F$2:$F$41,MATCH(C1999,Customers!$A$2:$A$41,0)))</f>
        <v>0.173</v>
      </c>
      <c r="I1999" s="16" t="n">
        <f aca="false">F1999*G1999</f>
        <v>224504</v>
      </c>
      <c r="J1999" s="16" t="n">
        <f aca="false">I1999*(1-H1999)</f>
        <v>185664.808</v>
      </c>
      <c r="K1999" s="16" t="n">
        <f aca="false">J1999*INDEX(Customers!$G$2:$G$41,MATCH(C1999,Customers!$A$2:$A$41,0))</f>
        <v>3713.29616</v>
      </c>
      <c r="L1999" s="16" t="n">
        <f aca="false">F1999*INDEX(Customers!$H$2:$H$41,MATCH(C1999,Customers!$A$2:$A$41,0))</f>
        <v>5016</v>
      </c>
      <c r="M1999" s="16" t="n">
        <f aca="false">J1999*INDEX(Customers!$I$2:$I$41,MATCH(C1999,Customers!$A$2:$A$41,0))/365*Assumptions!$B$6</f>
        <v>1220.80969643836</v>
      </c>
      <c r="N1999" s="16" t="n">
        <f aca="false">J1999-K1999-L1999-M1999</f>
        <v>175714.702143562</v>
      </c>
      <c r="O1999" s="16" t="n">
        <f aca="false">F1999*IF(A1999="2025",INDEX(Products!$D$2:$D$13,MATCH(D1999,Products!$A$2:$A$13,0)),INDEX(Products!$F$2:$F$13,MATCH(D1999,Products!$A$2:$A$13,0)))</f>
        <v>144096</v>
      </c>
      <c r="P1999" s="16" t="n">
        <f aca="false">N1999-O1999</f>
        <v>31618.7021435616</v>
      </c>
    </row>
    <row r="2000" customFormat="false" ht="15" hidden="false" customHeight="false" outlineLevel="0" collapsed="false">
      <c r="A2000" s="2" t="s">
        <v>118</v>
      </c>
      <c r="B2000" s="2" t="n">
        <v>7</v>
      </c>
      <c r="C2000" s="2" t="s">
        <v>91</v>
      </c>
      <c r="D2000" s="2" t="s">
        <v>41</v>
      </c>
      <c r="E2000" s="2" t="str">
        <f aca="false">INDEX(Products!$B$2:$B$13,MATCH(D2000,Products!$A$2:$A$13,0))</f>
        <v>Hydroprocessing</v>
      </c>
      <c r="F2000" s="15" t="n">
        <v>21.8</v>
      </c>
      <c r="G2000" s="16" t="n">
        <f aca="false">IF(A2000="2025",INDEX(Products!$C$2:$C$13,MATCH(D2000,Products!$A$2:$A$13,0)),INDEX(Products!$E$2:$E$13,MATCH(D2000,Products!$A$2:$A$13,0)))</f>
        <v>14770</v>
      </c>
      <c r="H2000" s="13" t="n">
        <f aca="false">IF(A2000="2025",INDEX(Customers!$D$2:$D$41,MATCH(C2000,Customers!$A$2:$A$41,0)),INDEX(Customers!$F$2:$F$41,MATCH(C2000,Customers!$A$2:$A$41,0)))</f>
        <v>0.173</v>
      </c>
      <c r="I2000" s="16" t="n">
        <f aca="false">F2000*G2000</f>
        <v>321986</v>
      </c>
      <c r="J2000" s="16" t="n">
        <f aca="false">I2000*(1-H2000)</f>
        <v>266282.422</v>
      </c>
      <c r="K2000" s="16" t="n">
        <f aca="false">J2000*INDEX(Customers!$G$2:$G$41,MATCH(C2000,Customers!$A$2:$A$41,0))</f>
        <v>5325.64844</v>
      </c>
      <c r="L2000" s="16" t="n">
        <f aca="false">F2000*INDEX(Customers!$H$2:$H$41,MATCH(C2000,Customers!$A$2:$A$41,0))</f>
        <v>7194</v>
      </c>
      <c r="M2000" s="16" t="n">
        <f aca="false">J2000*INDEX(Customers!$I$2:$I$41,MATCH(C2000,Customers!$A$2:$A$41,0))/365*Assumptions!$B$6</f>
        <v>1750.89811726027</v>
      </c>
      <c r="N2000" s="16" t="n">
        <f aca="false">J2000-K2000-L2000-M2000</f>
        <v>252011.87544274</v>
      </c>
      <c r="O2000" s="16" t="n">
        <f aca="false">F2000*IF(A2000="2025",INDEX(Products!$D$2:$D$13,MATCH(D2000,Products!$A$2:$A$13,0)),INDEX(Products!$F$2:$F$13,MATCH(D2000,Products!$A$2:$A$13,0)))</f>
        <v>206664</v>
      </c>
      <c r="P2000" s="16" t="n">
        <f aca="false">N2000-O2000</f>
        <v>45347.8754427397</v>
      </c>
    </row>
    <row r="2001" customFormat="false" ht="15" hidden="false" customHeight="false" outlineLevel="0" collapsed="false">
      <c r="A2001" s="2" t="s">
        <v>118</v>
      </c>
      <c r="B2001" s="2" t="n">
        <v>8</v>
      </c>
      <c r="C2001" s="2" t="s">
        <v>91</v>
      </c>
      <c r="D2001" s="2" t="s">
        <v>41</v>
      </c>
      <c r="E2001" s="2" t="str">
        <f aca="false">INDEX(Products!$B$2:$B$13,MATCH(D2001,Products!$A$2:$A$13,0))</f>
        <v>Hydroprocessing</v>
      </c>
      <c r="F2001" s="15" t="n">
        <v>21.9</v>
      </c>
      <c r="G2001" s="16" t="n">
        <f aca="false">IF(A2001="2025",INDEX(Products!$C$2:$C$13,MATCH(D2001,Products!$A$2:$A$13,0)),INDEX(Products!$E$2:$E$13,MATCH(D2001,Products!$A$2:$A$13,0)))</f>
        <v>14770</v>
      </c>
      <c r="H2001" s="13" t="n">
        <f aca="false">IF(A2001="2025",INDEX(Customers!$D$2:$D$41,MATCH(C2001,Customers!$A$2:$A$41,0)),INDEX(Customers!$F$2:$F$41,MATCH(C2001,Customers!$A$2:$A$41,0)))</f>
        <v>0.173</v>
      </c>
      <c r="I2001" s="16" t="n">
        <f aca="false">F2001*G2001</f>
        <v>323463</v>
      </c>
      <c r="J2001" s="16" t="n">
        <f aca="false">I2001*(1-H2001)</f>
        <v>267503.901</v>
      </c>
      <c r="K2001" s="16" t="n">
        <f aca="false">J2001*INDEX(Customers!$G$2:$G$41,MATCH(C2001,Customers!$A$2:$A$41,0))</f>
        <v>5350.07802</v>
      </c>
      <c r="L2001" s="16" t="n">
        <f aca="false">F2001*INDEX(Customers!$H$2:$H$41,MATCH(C2001,Customers!$A$2:$A$41,0))</f>
        <v>7227</v>
      </c>
      <c r="M2001" s="16" t="n">
        <f aca="false">J2001*INDEX(Customers!$I$2:$I$41,MATCH(C2001,Customers!$A$2:$A$41,0))/365*Assumptions!$B$6</f>
        <v>1758.92976</v>
      </c>
      <c r="N2001" s="16" t="n">
        <f aca="false">J2001-K2001-L2001-M2001</f>
        <v>253167.89322</v>
      </c>
      <c r="O2001" s="16" t="n">
        <f aca="false">F2001*IF(A2001="2025",INDEX(Products!$D$2:$D$13,MATCH(D2001,Products!$A$2:$A$13,0)),INDEX(Products!$F$2:$F$13,MATCH(D2001,Products!$A$2:$A$13,0)))</f>
        <v>207612</v>
      </c>
      <c r="P2001" s="16" t="n">
        <f aca="false">N2001-O2001</f>
        <v>45555.89322</v>
      </c>
    </row>
    <row r="2002" customFormat="false" ht="15" hidden="false" customHeight="false" outlineLevel="0" collapsed="false">
      <c r="A2002" s="2" t="s">
        <v>118</v>
      </c>
      <c r="B2002" s="2" t="n">
        <v>9</v>
      </c>
      <c r="C2002" s="2" t="s">
        <v>91</v>
      </c>
      <c r="D2002" s="2" t="s">
        <v>41</v>
      </c>
      <c r="E2002" s="2" t="str">
        <f aca="false">INDEX(Products!$B$2:$B$13,MATCH(D2002,Products!$A$2:$A$13,0))</f>
        <v>Hydroprocessing</v>
      </c>
      <c r="F2002" s="15" t="n">
        <v>22.2</v>
      </c>
      <c r="G2002" s="16" t="n">
        <f aca="false">IF(A2002="2025",INDEX(Products!$C$2:$C$13,MATCH(D2002,Products!$A$2:$A$13,0)),INDEX(Products!$E$2:$E$13,MATCH(D2002,Products!$A$2:$A$13,0)))</f>
        <v>14770</v>
      </c>
      <c r="H2002" s="13" t="n">
        <f aca="false">IF(A2002="2025",INDEX(Customers!$D$2:$D$41,MATCH(C2002,Customers!$A$2:$A$41,0)),INDEX(Customers!$F$2:$F$41,MATCH(C2002,Customers!$A$2:$A$41,0)))</f>
        <v>0.173</v>
      </c>
      <c r="I2002" s="16" t="n">
        <f aca="false">F2002*G2002</f>
        <v>327894</v>
      </c>
      <c r="J2002" s="16" t="n">
        <f aca="false">I2002*(1-H2002)</f>
        <v>271168.338</v>
      </c>
      <c r="K2002" s="16" t="n">
        <f aca="false">J2002*INDEX(Customers!$G$2:$G$41,MATCH(C2002,Customers!$A$2:$A$41,0))</f>
        <v>5423.36676</v>
      </c>
      <c r="L2002" s="16" t="n">
        <f aca="false">F2002*INDEX(Customers!$H$2:$H$41,MATCH(C2002,Customers!$A$2:$A$41,0))</f>
        <v>7326</v>
      </c>
      <c r="M2002" s="16" t="n">
        <f aca="false">J2002*INDEX(Customers!$I$2:$I$41,MATCH(C2002,Customers!$A$2:$A$41,0))/365*Assumptions!$B$6</f>
        <v>1783.02468821918</v>
      </c>
      <c r="N2002" s="16" t="n">
        <f aca="false">J2002-K2002-L2002-M2002</f>
        <v>256635.946551781</v>
      </c>
      <c r="O2002" s="16" t="n">
        <f aca="false">F2002*IF(A2002="2025",INDEX(Products!$D$2:$D$13,MATCH(D2002,Products!$A$2:$A$13,0)),INDEX(Products!$F$2:$F$13,MATCH(D2002,Products!$A$2:$A$13,0)))</f>
        <v>210456</v>
      </c>
      <c r="P2002" s="16" t="n">
        <f aca="false">N2002-O2002</f>
        <v>46179.9465517808</v>
      </c>
    </row>
    <row r="2003" customFormat="false" ht="15" hidden="false" customHeight="false" outlineLevel="0" collapsed="false">
      <c r="A2003" s="2" t="s">
        <v>118</v>
      </c>
      <c r="B2003" s="2" t="n">
        <v>10</v>
      </c>
      <c r="C2003" s="2" t="s">
        <v>91</v>
      </c>
      <c r="D2003" s="2" t="s">
        <v>41</v>
      </c>
      <c r="E2003" s="2" t="str">
        <f aca="false">INDEX(Products!$B$2:$B$13,MATCH(D2003,Products!$A$2:$A$13,0))</f>
        <v>Hydroprocessing</v>
      </c>
      <c r="F2003" s="15" t="n">
        <v>14</v>
      </c>
      <c r="G2003" s="16" t="n">
        <f aca="false">IF(A2003="2025",INDEX(Products!$C$2:$C$13,MATCH(D2003,Products!$A$2:$A$13,0)),INDEX(Products!$E$2:$E$13,MATCH(D2003,Products!$A$2:$A$13,0)))</f>
        <v>14770</v>
      </c>
      <c r="H2003" s="13" t="n">
        <f aca="false">IF(A2003="2025",INDEX(Customers!$D$2:$D$41,MATCH(C2003,Customers!$A$2:$A$41,0)),INDEX(Customers!$F$2:$F$41,MATCH(C2003,Customers!$A$2:$A$41,0)))</f>
        <v>0.173</v>
      </c>
      <c r="I2003" s="16" t="n">
        <f aca="false">F2003*G2003</f>
        <v>206780</v>
      </c>
      <c r="J2003" s="16" t="n">
        <f aca="false">I2003*(1-H2003)</f>
        <v>171007.06</v>
      </c>
      <c r="K2003" s="16" t="n">
        <f aca="false">J2003*INDEX(Customers!$G$2:$G$41,MATCH(C2003,Customers!$A$2:$A$41,0))</f>
        <v>3420.1412</v>
      </c>
      <c r="L2003" s="16" t="n">
        <f aca="false">F2003*INDEX(Customers!$H$2:$H$41,MATCH(C2003,Customers!$A$2:$A$41,0))</f>
        <v>4620</v>
      </c>
      <c r="M2003" s="16" t="n">
        <f aca="false">J2003*INDEX(Customers!$I$2:$I$41,MATCH(C2003,Customers!$A$2:$A$41,0))/365*Assumptions!$B$6</f>
        <v>1124.42998356164</v>
      </c>
      <c r="N2003" s="16" t="n">
        <f aca="false">J2003-K2003-L2003-M2003</f>
        <v>161842.488816438</v>
      </c>
      <c r="O2003" s="16" t="n">
        <f aca="false">F2003*IF(A2003="2025",INDEX(Products!$D$2:$D$13,MATCH(D2003,Products!$A$2:$A$13,0)),INDEX(Products!$F$2:$F$13,MATCH(D2003,Products!$A$2:$A$13,0)))</f>
        <v>132720</v>
      </c>
      <c r="P2003" s="16" t="n">
        <f aca="false">N2003-O2003</f>
        <v>29122.4888164383</v>
      </c>
    </row>
    <row r="2004" customFormat="false" ht="15" hidden="false" customHeight="false" outlineLevel="0" collapsed="false">
      <c r="A2004" s="2" t="s">
        <v>118</v>
      </c>
      <c r="B2004" s="2" t="n">
        <v>11</v>
      </c>
      <c r="C2004" s="2" t="s">
        <v>91</v>
      </c>
      <c r="D2004" s="2" t="s">
        <v>41</v>
      </c>
      <c r="E2004" s="2" t="str">
        <f aca="false">INDEX(Products!$B$2:$B$13,MATCH(D2004,Products!$A$2:$A$13,0))</f>
        <v>Hydroprocessing</v>
      </c>
      <c r="F2004" s="15" t="n">
        <v>23.2</v>
      </c>
      <c r="G2004" s="16" t="n">
        <f aca="false">IF(A2004="2025",INDEX(Products!$C$2:$C$13,MATCH(D2004,Products!$A$2:$A$13,0)),INDEX(Products!$E$2:$E$13,MATCH(D2004,Products!$A$2:$A$13,0)))</f>
        <v>14770</v>
      </c>
      <c r="H2004" s="13" t="n">
        <f aca="false">IF(A2004="2025",INDEX(Customers!$D$2:$D$41,MATCH(C2004,Customers!$A$2:$A$41,0)),INDEX(Customers!$F$2:$F$41,MATCH(C2004,Customers!$A$2:$A$41,0)))</f>
        <v>0.173</v>
      </c>
      <c r="I2004" s="16" t="n">
        <f aca="false">F2004*G2004</f>
        <v>342664</v>
      </c>
      <c r="J2004" s="16" t="n">
        <f aca="false">I2004*(1-H2004)</f>
        <v>283383.128</v>
      </c>
      <c r="K2004" s="16" t="n">
        <f aca="false">J2004*INDEX(Customers!$G$2:$G$41,MATCH(C2004,Customers!$A$2:$A$41,0))</f>
        <v>5667.66256</v>
      </c>
      <c r="L2004" s="16" t="n">
        <f aca="false">F2004*INDEX(Customers!$H$2:$H$41,MATCH(C2004,Customers!$A$2:$A$41,0))</f>
        <v>7656</v>
      </c>
      <c r="M2004" s="16" t="n">
        <f aca="false">J2004*INDEX(Customers!$I$2:$I$41,MATCH(C2004,Customers!$A$2:$A$41,0))/365*Assumptions!$B$6</f>
        <v>1863.34111561644</v>
      </c>
      <c r="N2004" s="16" t="n">
        <f aca="false">J2004-K2004-L2004-M2004</f>
        <v>268196.124324384</v>
      </c>
      <c r="O2004" s="16" t="n">
        <f aca="false">F2004*IF(A2004="2025",INDEX(Products!$D$2:$D$13,MATCH(D2004,Products!$A$2:$A$13,0)),INDEX(Products!$F$2:$F$13,MATCH(D2004,Products!$A$2:$A$13,0)))</f>
        <v>219936</v>
      </c>
      <c r="P2004" s="16" t="n">
        <f aca="false">N2004-O2004</f>
        <v>48260.1243243835</v>
      </c>
    </row>
    <row r="2005" customFormat="false" ht="15" hidden="false" customHeight="false" outlineLevel="0" collapsed="false">
      <c r="A2005" s="2" t="s">
        <v>118</v>
      </c>
      <c r="B2005" s="2" t="n">
        <v>12</v>
      </c>
      <c r="C2005" s="2" t="s">
        <v>91</v>
      </c>
      <c r="D2005" s="2" t="s">
        <v>41</v>
      </c>
      <c r="E2005" s="2" t="str">
        <f aca="false">INDEX(Products!$B$2:$B$13,MATCH(D2005,Products!$A$2:$A$13,0))</f>
        <v>Hydroprocessing</v>
      </c>
      <c r="F2005" s="15" t="n">
        <v>16.6</v>
      </c>
      <c r="G2005" s="16" t="n">
        <f aca="false">IF(A2005="2025",INDEX(Products!$C$2:$C$13,MATCH(D2005,Products!$A$2:$A$13,0)),INDEX(Products!$E$2:$E$13,MATCH(D2005,Products!$A$2:$A$13,0)))</f>
        <v>14770</v>
      </c>
      <c r="H2005" s="13" t="n">
        <f aca="false">IF(A2005="2025",INDEX(Customers!$D$2:$D$41,MATCH(C2005,Customers!$A$2:$A$41,0)),INDEX(Customers!$F$2:$F$41,MATCH(C2005,Customers!$A$2:$A$41,0)))</f>
        <v>0.173</v>
      </c>
      <c r="I2005" s="16" t="n">
        <f aca="false">F2005*G2005</f>
        <v>245182</v>
      </c>
      <c r="J2005" s="16" t="n">
        <f aca="false">I2005*(1-H2005)</f>
        <v>202765.514</v>
      </c>
      <c r="K2005" s="16" t="n">
        <f aca="false">J2005*INDEX(Customers!$G$2:$G$41,MATCH(C2005,Customers!$A$2:$A$41,0))</f>
        <v>4055.31028</v>
      </c>
      <c r="L2005" s="16" t="n">
        <f aca="false">F2005*INDEX(Customers!$H$2:$H$41,MATCH(C2005,Customers!$A$2:$A$41,0))</f>
        <v>5478</v>
      </c>
      <c r="M2005" s="16" t="n">
        <f aca="false">J2005*INDEX(Customers!$I$2:$I$41,MATCH(C2005,Customers!$A$2:$A$41,0))/365*Assumptions!$B$6</f>
        <v>1333.25269479452</v>
      </c>
      <c r="N2005" s="16" t="n">
        <f aca="false">J2005-K2005-L2005-M2005</f>
        <v>191898.951025206</v>
      </c>
      <c r="O2005" s="16" t="n">
        <f aca="false">F2005*IF(A2005="2025",INDEX(Products!$D$2:$D$13,MATCH(D2005,Products!$A$2:$A$13,0)),INDEX(Products!$F$2:$F$13,MATCH(D2005,Products!$A$2:$A$13,0)))</f>
        <v>157368</v>
      </c>
      <c r="P2005" s="16" t="n">
        <f aca="false">N2005-O2005</f>
        <v>34530.9510252055</v>
      </c>
    </row>
    <row r="2006" customFormat="false" ht="15" hidden="false" customHeight="false" outlineLevel="0" collapsed="false">
      <c r="A2006" s="2" t="s">
        <v>119</v>
      </c>
      <c r="B2006" s="2" t="n">
        <v>1</v>
      </c>
      <c r="C2006" s="2" t="s">
        <v>91</v>
      </c>
      <c r="D2006" s="2" t="s">
        <v>41</v>
      </c>
      <c r="E2006" s="2" t="str">
        <f aca="false">INDEX(Products!$B$2:$B$13,MATCH(D2006,Products!$A$2:$A$13,0))</f>
        <v>Hydroprocessing</v>
      </c>
      <c r="F2006" s="15" t="n">
        <v>13.1</v>
      </c>
      <c r="G2006" s="16" t="n">
        <f aca="false">IF(A2006="2025",INDEX(Products!$C$2:$C$13,MATCH(D2006,Products!$A$2:$A$13,0)),INDEX(Products!$E$2:$E$13,MATCH(D2006,Products!$A$2:$A$13,0)))</f>
        <v>15508.5</v>
      </c>
      <c r="H2006" s="13" t="n">
        <f aca="false">IF(A2006="2025",INDEX(Customers!$D$2:$D$41,MATCH(C2006,Customers!$A$2:$A$41,0)),INDEX(Customers!$F$2:$F$41,MATCH(C2006,Customers!$A$2:$A$41,0)))</f>
        <v>0.173</v>
      </c>
      <c r="I2006" s="16" t="n">
        <f aca="false">F2006*G2006</f>
        <v>203161.35</v>
      </c>
      <c r="J2006" s="16" t="n">
        <f aca="false">I2006*(1-H2006)</f>
        <v>168014.43645</v>
      </c>
      <c r="K2006" s="16" t="n">
        <f aca="false">J2006*INDEX(Customers!$G$2:$G$41,MATCH(C2006,Customers!$A$2:$A$41,0))</f>
        <v>3360.288729</v>
      </c>
      <c r="L2006" s="16" t="n">
        <f aca="false">F2006*INDEX(Customers!$H$2:$H$41,MATCH(C2006,Customers!$A$2:$A$41,0))</f>
        <v>4323</v>
      </c>
      <c r="M2006" s="16" t="n">
        <f aca="false">J2006*INDEX(Customers!$I$2:$I$41,MATCH(C2006,Customers!$A$2:$A$41,0))/365*Assumptions!$B$6</f>
        <v>1104.75245884932</v>
      </c>
      <c r="N2006" s="16" t="n">
        <f aca="false">J2006-K2006-L2006-M2006</f>
        <v>159226.395262151</v>
      </c>
      <c r="O2006" s="16" t="n">
        <f aca="false">F2006*IF(A2006="2025",INDEX(Products!$D$2:$D$13,MATCH(D2006,Products!$A$2:$A$13,0)),INDEX(Products!$F$2:$F$13,MATCH(D2006,Products!$A$2:$A$13,0)))</f>
        <v>127913.64</v>
      </c>
      <c r="P2006" s="16" t="n">
        <f aca="false">N2006-O2006</f>
        <v>31312.7552621507</v>
      </c>
    </row>
    <row r="2007" customFormat="false" ht="15" hidden="false" customHeight="false" outlineLevel="0" collapsed="false">
      <c r="A2007" s="2" t="s">
        <v>119</v>
      </c>
      <c r="B2007" s="2" t="n">
        <v>2</v>
      </c>
      <c r="C2007" s="2" t="s">
        <v>91</v>
      </c>
      <c r="D2007" s="2" t="s">
        <v>41</v>
      </c>
      <c r="E2007" s="2" t="str">
        <f aca="false">INDEX(Products!$B$2:$B$13,MATCH(D2007,Products!$A$2:$A$13,0))</f>
        <v>Hydroprocessing</v>
      </c>
      <c r="F2007" s="15" t="n">
        <v>12.4</v>
      </c>
      <c r="G2007" s="16" t="n">
        <f aca="false">IF(A2007="2025",INDEX(Products!$C$2:$C$13,MATCH(D2007,Products!$A$2:$A$13,0)),INDEX(Products!$E$2:$E$13,MATCH(D2007,Products!$A$2:$A$13,0)))</f>
        <v>15508.5</v>
      </c>
      <c r="H2007" s="13" t="n">
        <f aca="false">IF(A2007="2025",INDEX(Customers!$D$2:$D$41,MATCH(C2007,Customers!$A$2:$A$41,0)),INDEX(Customers!$F$2:$F$41,MATCH(C2007,Customers!$A$2:$A$41,0)))</f>
        <v>0.173</v>
      </c>
      <c r="I2007" s="16" t="n">
        <f aca="false">F2007*G2007</f>
        <v>192305.4</v>
      </c>
      <c r="J2007" s="16" t="n">
        <f aca="false">I2007*(1-H2007)</f>
        <v>159036.5658</v>
      </c>
      <c r="K2007" s="16" t="n">
        <f aca="false">J2007*INDEX(Customers!$G$2:$G$41,MATCH(C2007,Customers!$A$2:$A$41,0))</f>
        <v>3180.731316</v>
      </c>
      <c r="L2007" s="16" t="n">
        <f aca="false">F2007*INDEX(Customers!$H$2:$H$41,MATCH(C2007,Customers!$A$2:$A$41,0))</f>
        <v>4092</v>
      </c>
      <c r="M2007" s="16" t="n">
        <f aca="false">J2007*INDEX(Customers!$I$2:$I$41,MATCH(C2007,Customers!$A$2:$A$41,0))/365*Assumptions!$B$6</f>
        <v>1045.71988471233</v>
      </c>
      <c r="N2007" s="16" t="n">
        <f aca="false">J2007-K2007-L2007-M2007</f>
        <v>150718.114599288</v>
      </c>
      <c r="O2007" s="16" t="n">
        <f aca="false">F2007*IF(A2007="2025",INDEX(Products!$D$2:$D$13,MATCH(D2007,Products!$A$2:$A$13,0)),INDEX(Products!$F$2:$F$13,MATCH(D2007,Products!$A$2:$A$13,0)))</f>
        <v>121078.56</v>
      </c>
      <c r="P2007" s="16" t="n">
        <f aca="false">N2007-O2007</f>
        <v>29639.5545992877</v>
      </c>
    </row>
    <row r="2008" customFormat="false" ht="15" hidden="false" customHeight="false" outlineLevel="0" collapsed="false">
      <c r="A2008" s="2" t="s">
        <v>119</v>
      </c>
      <c r="B2008" s="2" t="n">
        <v>3</v>
      </c>
      <c r="C2008" s="2" t="s">
        <v>91</v>
      </c>
      <c r="D2008" s="2" t="s">
        <v>41</v>
      </c>
      <c r="E2008" s="2" t="str">
        <f aca="false">INDEX(Products!$B$2:$B$13,MATCH(D2008,Products!$A$2:$A$13,0))</f>
        <v>Hydroprocessing</v>
      </c>
      <c r="F2008" s="15" t="n">
        <v>17.3</v>
      </c>
      <c r="G2008" s="16" t="n">
        <f aca="false">IF(A2008="2025",INDEX(Products!$C$2:$C$13,MATCH(D2008,Products!$A$2:$A$13,0)),INDEX(Products!$E$2:$E$13,MATCH(D2008,Products!$A$2:$A$13,0)))</f>
        <v>15508.5</v>
      </c>
      <c r="H2008" s="13" t="n">
        <f aca="false">IF(A2008="2025",INDEX(Customers!$D$2:$D$41,MATCH(C2008,Customers!$A$2:$A$41,0)),INDEX(Customers!$F$2:$F$41,MATCH(C2008,Customers!$A$2:$A$41,0)))</f>
        <v>0.173</v>
      </c>
      <c r="I2008" s="16" t="n">
        <f aca="false">F2008*G2008</f>
        <v>268297.05</v>
      </c>
      <c r="J2008" s="16" t="n">
        <f aca="false">I2008*(1-H2008)</f>
        <v>221881.66035</v>
      </c>
      <c r="K2008" s="16" t="n">
        <f aca="false">J2008*INDEX(Customers!$G$2:$G$41,MATCH(C2008,Customers!$A$2:$A$41,0))</f>
        <v>4437.633207</v>
      </c>
      <c r="L2008" s="16" t="n">
        <f aca="false">F2008*INDEX(Customers!$H$2:$H$41,MATCH(C2008,Customers!$A$2:$A$41,0))</f>
        <v>5709</v>
      </c>
      <c r="M2008" s="16" t="n">
        <f aca="false">J2008*INDEX(Customers!$I$2:$I$41,MATCH(C2008,Customers!$A$2:$A$41,0))/365*Assumptions!$B$6</f>
        <v>1458.94790367123</v>
      </c>
      <c r="N2008" s="16" t="n">
        <f aca="false">J2008-K2008-L2008-M2008</f>
        <v>210276.079239329</v>
      </c>
      <c r="O2008" s="16" t="n">
        <f aca="false">F2008*IF(A2008="2025",INDEX(Products!$D$2:$D$13,MATCH(D2008,Products!$A$2:$A$13,0)),INDEX(Products!$F$2:$F$13,MATCH(D2008,Products!$A$2:$A$13,0)))</f>
        <v>168924.12</v>
      </c>
      <c r="P2008" s="16" t="n">
        <f aca="false">N2008-O2008</f>
        <v>41351.9592393287</v>
      </c>
    </row>
    <row r="2009" customFormat="false" ht="15" hidden="false" customHeight="false" outlineLevel="0" collapsed="false">
      <c r="A2009" s="2" t="s">
        <v>119</v>
      </c>
      <c r="B2009" s="2" t="n">
        <v>4</v>
      </c>
      <c r="C2009" s="2" t="s">
        <v>91</v>
      </c>
      <c r="D2009" s="2" t="s">
        <v>41</v>
      </c>
      <c r="E2009" s="2" t="str">
        <f aca="false">INDEX(Products!$B$2:$B$13,MATCH(D2009,Products!$A$2:$A$13,0))</f>
        <v>Hydroprocessing</v>
      </c>
      <c r="F2009" s="15" t="n">
        <v>18.5</v>
      </c>
      <c r="G2009" s="16" t="n">
        <f aca="false">IF(A2009="2025",INDEX(Products!$C$2:$C$13,MATCH(D2009,Products!$A$2:$A$13,0)),INDEX(Products!$E$2:$E$13,MATCH(D2009,Products!$A$2:$A$13,0)))</f>
        <v>15508.5</v>
      </c>
      <c r="H2009" s="13" t="n">
        <f aca="false">IF(A2009="2025",INDEX(Customers!$D$2:$D$41,MATCH(C2009,Customers!$A$2:$A$41,0)),INDEX(Customers!$F$2:$F$41,MATCH(C2009,Customers!$A$2:$A$41,0)))</f>
        <v>0.173</v>
      </c>
      <c r="I2009" s="16" t="n">
        <f aca="false">F2009*G2009</f>
        <v>286907.25</v>
      </c>
      <c r="J2009" s="16" t="n">
        <f aca="false">I2009*(1-H2009)</f>
        <v>237272.29575</v>
      </c>
      <c r="K2009" s="16" t="n">
        <f aca="false">J2009*INDEX(Customers!$G$2:$G$41,MATCH(C2009,Customers!$A$2:$A$41,0))</f>
        <v>4745.445915</v>
      </c>
      <c r="L2009" s="16" t="n">
        <f aca="false">F2009*INDEX(Customers!$H$2:$H$41,MATCH(C2009,Customers!$A$2:$A$41,0))</f>
        <v>6105</v>
      </c>
      <c r="M2009" s="16" t="n">
        <f aca="false">J2009*INDEX(Customers!$I$2:$I$41,MATCH(C2009,Customers!$A$2:$A$41,0))/365*Assumptions!$B$6</f>
        <v>1560.14660219178</v>
      </c>
      <c r="N2009" s="16" t="n">
        <f aca="false">J2009-K2009-L2009-M2009</f>
        <v>224861.703232808</v>
      </c>
      <c r="O2009" s="16" t="n">
        <f aca="false">F2009*IF(A2009="2025",INDEX(Products!$D$2:$D$13,MATCH(D2009,Products!$A$2:$A$13,0)),INDEX(Products!$F$2:$F$13,MATCH(D2009,Products!$A$2:$A$13,0)))</f>
        <v>180641.4</v>
      </c>
      <c r="P2009" s="16" t="n">
        <f aca="false">N2009-O2009</f>
        <v>44220.3032328082</v>
      </c>
    </row>
    <row r="2010" customFormat="false" ht="15" hidden="false" customHeight="false" outlineLevel="0" collapsed="false">
      <c r="A2010" s="2" t="s">
        <v>119</v>
      </c>
      <c r="B2010" s="2" t="n">
        <v>5</v>
      </c>
      <c r="C2010" s="2" t="s">
        <v>91</v>
      </c>
      <c r="D2010" s="2" t="s">
        <v>41</v>
      </c>
      <c r="E2010" s="2" t="str">
        <f aca="false">INDEX(Products!$B$2:$B$13,MATCH(D2010,Products!$A$2:$A$13,0))</f>
        <v>Hydroprocessing</v>
      </c>
      <c r="F2010" s="15" t="n">
        <v>17.7</v>
      </c>
      <c r="G2010" s="16" t="n">
        <f aca="false">IF(A2010="2025",INDEX(Products!$C$2:$C$13,MATCH(D2010,Products!$A$2:$A$13,0)),INDEX(Products!$E$2:$E$13,MATCH(D2010,Products!$A$2:$A$13,0)))</f>
        <v>15508.5</v>
      </c>
      <c r="H2010" s="13" t="n">
        <f aca="false">IF(A2010="2025",INDEX(Customers!$D$2:$D$41,MATCH(C2010,Customers!$A$2:$A$41,0)),INDEX(Customers!$F$2:$F$41,MATCH(C2010,Customers!$A$2:$A$41,0)))</f>
        <v>0.173</v>
      </c>
      <c r="I2010" s="16" t="n">
        <f aca="false">F2010*G2010</f>
        <v>274500.45</v>
      </c>
      <c r="J2010" s="16" t="n">
        <f aca="false">I2010*(1-H2010)</f>
        <v>227011.87215</v>
      </c>
      <c r="K2010" s="16" t="n">
        <f aca="false">J2010*INDEX(Customers!$G$2:$G$41,MATCH(C2010,Customers!$A$2:$A$41,0))</f>
        <v>4540.237443</v>
      </c>
      <c r="L2010" s="16" t="n">
        <f aca="false">F2010*INDEX(Customers!$H$2:$H$41,MATCH(C2010,Customers!$A$2:$A$41,0))</f>
        <v>5841</v>
      </c>
      <c r="M2010" s="16" t="n">
        <f aca="false">J2010*INDEX(Customers!$I$2:$I$41,MATCH(C2010,Customers!$A$2:$A$41,0))/365*Assumptions!$B$6</f>
        <v>1492.68080317808</v>
      </c>
      <c r="N2010" s="16" t="n">
        <f aca="false">J2010-K2010-L2010-M2010</f>
        <v>215137.953903822</v>
      </c>
      <c r="O2010" s="16" t="n">
        <f aca="false">F2010*IF(A2010="2025",INDEX(Products!$D$2:$D$13,MATCH(D2010,Products!$A$2:$A$13,0)),INDEX(Products!$F$2:$F$13,MATCH(D2010,Products!$A$2:$A$13,0)))</f>
        <v>172829.88</v>
      </c>
      <c r="P2010" s="16" t="n">
        <f aca="false">N2010-O2010</f>
        <v>42308.073903822</v>
      </c>
    </row>
    <row r="2011" customFormat="false" ht="15" hidden="false" customHeight="false" outlineLevel="0" collapsed="false">
      <c r="A2011" s="2" t="s">
        <v>119</v>
      </c>
      <c r="B2011" s="2" t="n">
        <v>6</v>
      </c>
      <c r="C2011" s="2" t="s">
        <v>91</v>
      </c>
      <c r="D2011" s="2" t="s">
        <v>41</v>
      </c>
      <c r="E2011" s="2" t="str">
        <f aca="false">INDEX(Products!$B$2:$B$13,MATCH(D2011,Products!$A$2:$A$13,0))</f>
        <v>Hydroprocessing</v>
      </c>
      <c r="F2011" s="15" t="n">
        <v>20.5</v>
      </c>
      <c r="G2011" s="16" t="n">
        <f aca="false">IF(A2011="2025",INDEX(Products!$C$2:$C$13,MATCH(D2011,Products!$A$2:$A$13,0)),INDEX(Products!$E$2:$E$13,MATCH(D2011,Products!$A$2:$A$13,0)))</f>
        <v>15508.5</v>
      </c>
      <c r="H2011" s="13" t="n">
        <f aca="false">IF(A2011="2025",INDEX(Customers!$D$2:$D$41,MATCH(C2011,Customers!$A$2:$A$41,0)),INDEX(Customers!$F$2:$F$41,MATCH(C2011,Customers!$A$2:$A$41,0)))</f>
        <v>0.173</v>
      </c>
      <c r="I2011" s="16" t="n">
        <f aca="false">F2011*G2011</f>
        <v>317924.25</v>
      </c>
      <c r="J2011" s="16" t="n">
        <f aca="false">I2011*(1-H2011)</f>
        <v>262923.35475</v>
      </c>
      <c r="K2011" s="16" t="n">
        <f aca="false">J2011*INDEX(Customers!$G$2:$G$41,MATCH(C2011,Customers!$A$2:$A$41,0))</f>
        <v>5258.467095</v>
      </c>
      <c r="L2011" s="16" t="n">
        <f aca="false">F2011*INDEX(Customers!$H$2:$H$41,MATCH(C2011,Customers!$A$2:$A$41,0))</f>
        <v>6765</v>
      </c>
      <c r="M2011" s="16" t="n">
        <f aca="false">J2011*INDEX(Customers!$I$2:$I$41,MATCH(C2011,Customers!$A$2:$A$41,0))/365*Assumptions!$B$6</f>
        <v>1728.81109972603</v>
      </c>
      <c r="N2011" s="16" t="n">
        <f aca="false">J2011-K2011-L2011-M2011</f>
        <v>249171.076555274</v>
      </c>
      <c r="O2011" s="16" t="n">
        <f aca="false">F2011*IF(A2011="2025",INDEX(Products!$D$2:$D$13,MATCH(D2011,Products!$A$2:$A$13,0)),INDEX(Products!$F$2:$F$13,MATCH(D2011,Products!$A$2:$A$13,0)))</f>
        <v>200170.2</v>
      </c>
      <c r="P2011" s="16" t="n">
        <f aca="false">N2011-O2011</f>
        <v>49000.876555274</v>
      </c>
    </row>
    <row r="2012" customFormat="false" ht="15" hidden="false" customHeight="false" outlineLevel="0" collapsed="false">
      <c r="A2012" s="2" t="s">
        <v>119</v>
      </c>
      <c r="B2012" s="2" t="n">
        <v>7</v>
      </c>
      <c r="C2012" s="2" t="s">
        <v>91</v>
      </c>
      <c r="D2012" s="2" t="s">
        <v>41</v>
      </c>
      <c r="E2012" s="2" t="str">
        <f aca="false">INDEX(Products!$B$2:$B$13,MATCH(D2012,Products!$A$2:$A$13,0))</f>
        <v>Hydroprocessing</v>
      </c>
      <c r="F2012" s="15" t="n">
        <v>15.2</v>
      </c>
      <c r="G2012" s="16" t="n">
        <f aca="false">IF(A2012="2025",INDEX(Products!$C$2:$C$13,MATCH(D2012,Products!$A$2:$A$13,0)),INDEX(Products!$E$2:$E$13,MATCH(D2012,Products!$A$2:$A$13,0)))</f>
        <v>15508.5</v>
      </c>
      <c r="H2012" s="13" t="n">
        <f aca="false">IF(A2012="2025",INDEX(Customers!$D$2:$D$41,MATCH(C2012,Customers!$A$2:$A$41,0)),INDEX(Customers!$F$2:$F$41,MATCH(C2012,Customers!$A$2:$A$41,0)))</f>
        <v>0.173</v>
      </c>
      <c r="I2012" s="16" t="n">
        <f aca="false">F2012*G2012</f>
        <v>235729.2</v>
      </c>
      <c r="J2012" s="16" t="n">
        <f aca="false">I2012*(1-H2012)</f>
        <v>194948.0484</v>
      </c>
      <c r="K2012" s="16" t="n">
        <f aca="false">J2012*INDEX(Customers!$G$2:$G$41,MATCH(C2012,Customers!$A$2:$A$41,0))</f>
        <v>3898.960968</v>
      </c>
      <c r="L2012" s="16" t="n">
        <f aca="false">F2012*INDEX(Customers!$H$2:$H$41,MATCH(C2012,Customers!$A$2:$A$41,0))</f>
        <v>5016</v>
      </c>
      <c r="M2012" s="16" t="n">
        <f aca="false">J2012*INDEX(Customers!$I$2:$I$41,MATCH(C2012,Customers!$A$2:$A$41,0))/365*Assumptions!$B$6</f>
        <v>1281.85018126027</v>
      </c>
      <c r="N2012" s="16" t="n">
        <f aca="false">J2012-K2012-L2012-M2012</f>
        <v>184751.23725074</v>
      </c>
      <c r="O2012" s="16" t="n">
        <f aca="false">F2012*IF(A2012="2025",INDEX(Products!$D$2:$D$13,MATCH(D2012,Products!$A$2:$A$13,0)),INDEX(Products!$F$2:$F$13,MATCH(D2012,Products!$A$2:$A$13,0)))</f>
        <v>148418.88</v>
      </c>
      <c r="P2012" s="16" t="n">
        <f aca="false">N2012-O2012</f>
        <v>36332.3572507397</v>
      </c>
    </row>
    <row r="2013" customFormat="false" ht="15" hidden="false" customHeight="false" outlineLevel="0" collapsed="false">
      <c r="A2013" s="2" t="s">
        <v>119</v>
      </c>
      <c r="B2013" s="2" t="n">
        <v>8</v>
      </c>
      <c r="C2013" s="2" t="s">
        <v>91</v>
      </c>
      <c r="D2013" s="2" t="s">
        <v>41</v>
      </c>
      <c r="E2013" s="2" t="str">
        <f aca="false">INDEX(Products!$B$2:$B$13,MATCH(D2013,Products!$A$2:$A$13,0))</f>
        <v>Hydroprocessing</v>
      </c>
      <c r="F2013" s="15" t="n">
        <v>12.4</v>
      </c>
      <c r="G2013" s="16" t="n">
        <f aca="false">IF(A2013="2025",INDEX(Products!$C$2:$C$13,MATCH(D2013,Products!$A$2:$A$13,0)),INDEX(Products!$E$2:$E$13,MATCH(D2013,Products!$A$2:$A$13,0)))</f>
        <v>15508.5</v>
      </c>
      <c r="H2013" s="13" t="n">
        <f aca="false">IF(A2013="2025",INDEX(Customers!$D$2:$D$41,MATCH(C2013,Customers!$A$2:$A$41,0)),INDEX(Customers!$F$2:$F$41,MATCH(C2013,Customers!$A$2:$A$41,0)))</f>
        <v>0.173</v>
      </c>
      <c r="I2013" s="16" t="n">
        <f aca="false">F2013*G2013</f>
        <v>192305.4</v>
      </c>
      <c r="J2013" s="16" t="n">
        <f aca="false">I2013*(1-H2013)</f>
        <v>159036.5658</v>
      </c>
      <c r="K2013" s="16" t="n">
        <f aca="false">J2013*INDEX(Customers!$G$2:$G$41,MATCH(C2013,Customers!$A$2:$A$41,0))</f>
        <v>3180.731316</v>
      </c>
      <c r="L2013" s="16" t="n">
        <f aca="false">F2013*INDEX(Customers!$H$2:$H$41,MATCH(C2013,Customers!$A$2:$A$41,0))</f>
        <v>4092</v>
      </c>
      <c r="M2013" s="16" t="n">
        <f aca="false">J2013*INDEX(Customers!$I$2:$I$41,MATCH(C2013,Customers!$A$2:$A$41,0))/365*Assumptions!$B$6</f>
        <v>1045.71988471233</v>
      </c>
      <c r="N2013" s="16" t="n">
        <f aca="false">J2013-K2013-L2013-M2013</f>
        <v>150718.114599288</v>
      </c>
      <c r="O2013" s="16" t="n">
        <f aca="false">F2013*IF(A2013="2025",INDEX(Products!$D$2:$D$13,MATCH(D2013,Products!$A$2:$A$13,0)),INDEX(Products!$F$2:$F$13,MATCH(D2013,Products!$A$2:$A$13,0)))</f>
        <v>121078.56</v>
      </c>
      <c r="P2013" s="16" t="n">
        <f aca="false">N2013-O2013</f>
        <v>29639.5545992877</v>
      </c>
    </row>
    <row r="2014" customFormat="false" ht="15" hidden="false" customHeight="false" outlineLevel="0" collapsed="false">
      <c r="A2014" s="2" t="s">
        <v>119</v>
      </c>
      <c r="B2014" s="2" t="n">
        <v>9</v>
      </c>
      <c r="C2014" s="2" t="s">
        <v>91</v>
      </c>
      <c r="D2014" s="2" t="s">
        <v>41</v>
      </c>
      <c r="E2014" s="2" t="str">
        <f aca="false">INDEX(Products!$B$2:$B$13,MATCH(D2014,Products!$A$2:$A$13,0))</f>
        <v>Hydroprocessing</v>
      </c>
      <c r="F2014" s="15" t="n">
        <v>14.3</v>
      </c>
      <c r="G2014" s="16" t="n">
        <f aca="false">IF(A2014="2025",INDEX(Products!$C$2:$C$13,MATCH(D2014,Products!$A$2:$A$13,0)),INDEX(Products!$E$2:$E$13,MATCH(D2014,Products!$A$2:$A$13,0)))</f>
        <v>15508.5</v>
      </c>
      <c r="H2014" s="13" t="n">
        <f aca="false">IF(A2014="2025",INDEX(Customers!$D$2:$D$41,MATCH(C2014,Customers!$A$2:$A$41,0)),INDEX(Customers!$F$2:$F$41,MATCH(C2014,Customers!$A$2:$A$41,0)))</f>
        <v>0.173</v>
      </c>
      <c r="I2014" s="16" t="n">
        <f aca="false">F2014*G2014</f>
        <v>221771.55</v>
      </c>
      <c r="J2014" s="16" t="n">
        <f aca="false">I2014*(1-H2014)</f>
        <v>183405.07185</v>
      </c>
      <c r="K2014" s="16" t="n">
        <f aca="false">J2014*INDEX(Customers!$G$2:$G$41,MATCH(C2014,Customers!$A$2:$A$41,0))</f>
        <v>3668.101437</v>
      </c>
      <c r="L2014" s="16" t="n">
        <f aca="false">F2014*INDEX(Customers!$H$2:$H$41,MATCH(C2014,Customers!$A$2:$A$41,0))</f>
        <v>4719</v>
      </c>
      <c r="M2014" s="16" t="n">
        <f aca="false">J2014*INDEX(Customers!$I$2:$I$41,MATCH(C2014,Customers!$A$2:$A$41,0))/365*Assumptions!$B$6</f>
        <v>1205.95115736986</v>
      </c>
      <c r="N2014" s="16" t="n">
        <f aca="false">J2014-K2014-L2014-M2014</f>
        <v>173812.01925563</v>
      </c>
      <c r="O2014" s="16" t="n">
        <f aca="false">F2014*IF(A2014="2025",INDEX(Products!$D$2:$D$13,MATCH(D2014,Products!$A$2:$A$13,0)),INDEX(Products!$F$2:$F$13,MATCH(D2014,Products!$A$2:$A$13,0)))</f>
        <v>139630.92</v>
      </c>
      <c r="P2014" s="16" t="n">
        <f aca="false">N2014-O2014</f>
        <v>34181.0992556301</v>
      </c>
    </row>
    <row r="2015" customFormat="false" ht="15" hidden="false" customHeight="false" outlineLevel="0" collapsed="false">
      <c r="A2015" s="2" t="s">
        <v>119</v>
      </c>
      <c r="B2015" s="2" t="n">
        <v>10</v>
      </c>
      <c r="C2015" s="2" t="s">
        <v>91</v>
      </c>
      <c r="D2015" s="2" t="s">
        <v>41</v>
      </c>
      <c r="E2015" s="2" t="str">
        <f aca="false">INDEX(Products!$B$2:$B$13,MATCH(D2015,Products!$A$2:$A$13,0))</f>
        <v>Hydroprocessing</v>
      </c>
      <c r="F2015" s="15" t="n">
        <v>13.4</v>
      </c>
      <c r="G2015" s="16" t="n">
        <f aca="false">IF(A2015="2025",INDEX(Products!$C$2:$C$13,MATCH(D2015,Products!$A$2:$A$13,0)),INDEX(Products!$E$2:$E$13,MATCH(D2015,Products!$A$2:$A$13,0)))</f>
        <v>15508.5</v>
      </c>
      <c r="H2015" s="13" t="n">
        <f aca="false">IF(A2015="2025",INDEX(Customers!$D$2:$D$41,MATCH(C2015,Customers!$A$2:$A$41,0)),INDEX(Customers!$F$2:$F$41,MATCH(C2015,Customers!$A$2:$A$41,0)))</f>
        <v>0.173</v>
      </c>
      <c r="I2015" s="16" t="n">
        <f aca="false">F2015*G2015</f>
        <v>207813.9</v>
      </c>
      <c r="J2015" s="16" t="n">
        <f aca="false">I2015*(1-H2015)</f>
        <v>171862.0953</v>
      </c>
      <c r="K2015" s="16" t="n">
        <f aca="false">J2015*INDEX(Customers!$G$2:$G$41,MATCH(C2015,Customers!$A$2:$A$41,0))</f>
        <v>3437.241906</v>
      </c>
      <c r="L2015" s="16" t="n">
        <f aca="false">F2015*INDEX(Customers!$H$2:$H$41,MATCH(C2015,Customers!$A$2:$A$41,0))</f>
        <v>4422</v>
      </c>
      <c r="M2015" s="16" t="n">
        <f aca="false">J2015*INDEX(Customers!$I$2:$I$41,MATCH(C2015,Customers!$A$2:$A$41,0))/365*Assumptions!$B$6</f>
        <v>1130.05213347945</v>
      </c>
      <c r="N2015" s="16" t="n">
        <f aca="false">J2015-K2015-L2015-M2015</f>
        <v>162872.801260521</v>
      </c>
      <c r="O2015" s="16" t="n">
        <f aca="false">F2015*IF(A2015="2025",INDEX(Products!$D$2:$D$13,MATCH(D2015,Products!$A$2:$A$13,0)),INDEX(Products!$F$2:$F$13,MATCH(D2015,Products!$A$2:$A$13,0)))</f>
        <v>130842.96</v>
      </c>
      <c r="P2015" s="16" t="n">
        <f aca="false">N2015-O2015</f>
        <v>32029.8412605205</v>
      </c>
    </row>
    <row r="2016" customFormat="false" ht="15" hidden="false" customHeight="false" outlineLevel="0" collapsed="false">
      <c r="A2016" s="2" t="s">
        <v>119</v>
      </c>
      <c r="B2016" s="2" t="n">
        <v>11</v>
      </c>
      <c r="C2016" s="2" t="s">
        <v>91</v>
      </c>
      <c r="D2016" s="2" t="s">
        <v>41</v>
      </c>
      <c r="E2016" s="2" t="str">
        <f aca="false">INDEX(Products!$B$2:$B$13,MATCH(D2016,Products!$A$2:$A$13,0))</f>
        <v>Hydroprocessing</v>
      </c>
      <c r="F2016" s="15" t="n">
        <v>18.5</v>
      </c>
      <c r="G2016" s="16" t="n">
        <f aca="false">IF(A2016="2025",INDEX(Products!$C$2:$C$13,MATCH(D2016,Products!$A$2:$A$13,0)),INDEX(Products!$E$2:$E$13,MATCH(D2016,Products!$A$2:$A$13,0)))</f>
        <v>15508.5</v>
      </c>
      <c r="H2016" s="13" t="n">
        <f aca="false">IF(A2016="2025",INDEX(Customers!$D$2:$D$41,MATCH(C2016,Customers!$A$2:$A$41,0)),INDEX(Customers!$F$2:$F$41,MATCH(C2016,Customers!$A$2:$A$41,0)))</f>
        <v>0.173</v>
      </c>
      <c r="I2016" s="16" t="n">
        <f aca="false">F2016*G2016</f>
        <v>286907.25</v>
      </c>
      <c r="J2016" s="16" t="n">
        <f aca="false">I2016*(1-H2016)</f>
        <v>237272.29575</v>
      </c>
      <c r="K2016" s="16" t="n">
        <f aca="false">J2016*INDEX(Customers!$G$2:$G$41,MATCH(C2016,Customers!$A$2:$A$41,0))</f>
        <v>4745.445915</v>
      </c>
      <c r="L2016" s="16" t="n">
        <f aca="false">F2016*INDEX(Customers!$H$2:$H$41,MATCH(C2016,Customers!$A$2:$A$41,0))</f>
        <v>6105</v>
      </c>
      <c r="M2016" s="16" t="n">
        <f aca="false">J2016*INDEX(Customers!$I$2:$I$41,MATCH(C2016,Customers!$A$2:$A$41,0))/365*Assumptions!$B$6</f>
        <v>1560.14660219178</v>
      </c>
      <c r="N2016" s="16" t="n">
        <f aca="false">J2016-K2016-L2016-M2016</f>
        <v>224861.703232808</v>
      </c>
      <c r="O2016" s="16" t="n">
        <f aca="false">F2016*IF(A2016="2025",INDEX(Products!$D$2:$D$13,MATCH(D2016,Products!$A$2:$A$13,0)),INDEX(Products!$F$2:$F$13,MATCH(D2016,Products!$A$2:$A$13,0)))</f>
        <v>180641.4</v>
      </c>
      <c r="P2016" s="16" t="n">
        <f aca="false">N2016-O2016</f>
        <v>44220.3032328082</v>
      </c>
    </row>
    <row r="2017" customFormat="false" ht="15" hidden="false" customHeight="false" outlineLevel="0" collapsed="false">
      <c r="A2017" s="2" t="s">
        <v>119</v>
      </c>
      <c r="B2017" s="2" t="n">
        <v>12</v>
      </c>
      <c r="C2017" s="2" t="s">
        <v>91</v>
      </c>
      <c r="D2017" s="2" t="s">
        <v>41</v>
      </c>
      <c r="E2017" s="2" t="str">
        <f aca="false">INDEX(Products!$B$2:$B$13,MATCH(D2017,Products!$A$2:$A$13,0))</f>
        <v>Hydroprocessing</v>
      </c>
      <c r="F2017" s="15" t="n">
        <v>19</v>
      </c>
      <c r="G2017" s="16" t="n">
        <f aca="false">IF(A2017="2025",INDEX(Products!$C$2:$C$13,MATCH(D2017,Products!$A$2:$A$13,0)),INDEX(Products!$E$2:$E$13,MATCH(D2017,Products!$A$2:$A$13,0)))</f>
        <v>15508.5</v>
      </c>
      <c r="H2017" s="13" t="n">
        <f aca="false">IF(A2017="2025",INDEX(Customers!$D$2:$D$41,MATCH(C2017,Customers!$A$2:$A$41,0)),INDEX(Customers!$F$2:$F$41,MATCH(C2017,Customers!$A$2:$A$41,0)))</f>
        <v>0.173</v>
      </c>
      <c r="I2017" s="16" t="n">
        <f aca="false">F2017*G2017</f>
        <v>294661.5</v>
      </c>
      <c r="J2017" s="16" t="n">
        <f aca="false">I2017*(1-H2017)</f>
        <v>243685.0605</v>
      </c>
      <c r="K2017" s="16" t="n">
        <f aca="false">J2017*INDEX(Customers!$G$2:$G$41,MATCH(C2017,Customers!$A$2:$A$41,0))</f>
        <v>4873.70121</v>
      </c>
      <c r="L2017" s="16" t="n">
        <f aca="false">F2017*INDEX(Customers!$H$2:$H$41,MATCH(C2017,Customers!$A$2:$A$41,0))</f>
        <v>6270</v>
      </c>
      <c r="M2017" s="16" t="n">
        <f aca="false">J2017*INDEX(Customers!$I$2:$I$41,MATCH(C2017,Customers!$A$2:$A$41,0))/365*Assumptions!$B$6</f>
        <v>1602.31272657534</v>
      </c>
      <c r="N2017" s="16" t="n">
        <f aca="false">J2017-K2017-L2017-M2017</f>
        <v>230939.046563425</v>
      </c>
      <c r="O2017" s="16" t="n">
        <f aca="false">F2017*IF(A2017="2025",INDEX(Products!$D$2:$D$13,MATCH(D2017,Products!$A$2:$A$13,0)),INDEX(Products!$F$2:$F$13,MATCH(D2017,Products!$A$2:$A$13,0)))</f>
        <v>185523.6</v>
      </c>
      <c r="P2017" s="16" t="n">
        <f aca="false">N2017-O2017</f>
        <v>45415.4465634247</v>
      </c>
    </row>
    <row r="2018" customFormat="false" ht="15" hidden="false" customHeight="false" outlineLevel="0" collapsed="false">
      <c r="A2018" s="2" t="s">
        <v>118</v>
      </c>
      <c r="B2018" s="2" t="n">
        <v>1</v>
      </c>
      <c r="C2018" s="2" t="s">
        <v>92</v>
      </c>
      <c r="D2018" s="2" t="s">
        <v>47</v>
      </c>
      <c r="E2018" s="2" t="str">
        <f aca="false">INDEX(Products!$B$2:$B$13,MATCH(D2018,Products!$A$2:$A$13,0))</f>
        <v>Specialty</v>
      </c>
      <c r="F2018" s="15" t="n">
        <v>1.7</v>
      </c>
      <c r="G2018" s="16" t="n">
        <f aca="false">IF(A2018="2025",INDEX(Products!$C$2:$C$13,MATCH(D2018,Products!$A$2:$A$13,0)),INDEX(Products!$E$2:$E$13,MATCH(D2018,Products!$A$2:$A$13,0)))</f>
        <v>30520</v>
      </c>
      <c r="H2018" s="13" t="n">
        <f aca="false">IF(A2018="2025",INDEX(Customers!$D$2:$D$41,MATCH(C2018,Customers!$A$2:$A$41,0)),INDEX(Customers!$F$2:$F$41,MATCH(C2018,Customers!$A$2:$A$41,0)))</f>
        <v>0.045</v>
      </c>
      <c r="I2018" s="16" t="n">
        <f aca="false">F2018*G2018</f>
        <v>51884</v>
      </c>
      <c r="J2018" s="16" t="n">
        <f aca="false">I2018*(1-H2018)</f>
        <v>49549.22</v>
      </c>
      <c r="K2018" s="16" t="n">
        <f aca="false">J2018*INDEX(Customers!$G$2:$G$41,MATCH(C2018,Customers!$A$2:$A$41,0))</f>
        <v>495.4922</v>
      </c>
      <c r="L2018" s="16" t="n">
        <f aca="false">F2018*INDEX(Customers!$H$2:$H$41,MATCH(C2018,Customers!$A$2:$A$41,0))</f>
        <v>595</v>
      </c>
      <c r="M2018" s="16" t="n">
        <f aca="false">J2018*INDEX(Customers!$I$2:$I$41,MATCH(C2018,Customers!$A$2:$A$41,0))/365*Assumptions!$B$6</f>
        <v>651.606180821918</v>
      </c>
      <c r="N2018" s="16" t="n">
        <f aca="false">J2018-K2018-L2018-M2018</f>
        <v>47807.1216191781</v>
      </c>
      <c r="O2018" s="16" t="n">
        <f aca="false">F2018*IF(A2018="2025",INDEX(Products!$D$2:$D$13,MATCH(D2018,Products!$A$2:$A$13,0)),INDEX(Products!$F$2:$F$13,MATCH(D2018,Products!$A$2:$A$13,0)))</f>
        <v>26248</v>
      </c>
      <c r="P2018" s="16" t="n">
        <f aca="false">N2018-O2018</f>
        <v>21559.1216191781</v>
      </c>
    </row>
    <row r="2019" customFormat="false" ht="15" hidden="false" customHeight="false" outlineLevel="0" collapsed="false">
      <c r="A2019" s="2" t="s">
        <v>118</v>
      </c>
      <c r="B2019" s="2" t="n">
        <v>2</v>
      </c>
      <c r="C2019" s="2" t="s">
        <v>92</v>
      </c>
      <c r="D2019" s="2" t="s">
        <v>47</v>
      </c>
      <c r="E2019" s="2" t="str">
        <f aca="false">INDEX(Products!$B$2:$B$13,MATCH(D2019,Products!$A$2:$A$13,0))</f>
        <v>Specialty</v>
      </c>
      <c r="F2019" s="15" t="n">
        <v>1.9</v>
      </c>
      <c r="G2019" s="16" t="n">
        <f aca="false">IF(A2019="2025",INDEX(Products!$C$2:$C$13,MATCH(D2019,Products!$A$2:$A$13,0)),INDEX(Products!$E$2:$E$13,MATCH(D2019,Products!$A$2:$A$13,0)))</f>
        <v>30520</v>
      </c>
      <c r="H2019" s="13" t="n">
        <f aca="false">IF(A2019="2025",INDEX(Customers!$D$2:$D$41,MATCH(C2019,Customers!$A$2:$A$41,0)),INDEX(Customers!$F$2:$F$41,MATCH(C2019,Customers!$A$2:$A$41,0)))</f>
        <v>0.045</v>
      </c>
      <c r="I2019" s="16" t="n">
        <f aca="false">F2019*G2019</f>
        <v>57988</v>
      </c>
      <c r="J2019" s="16" t="n">
        <f aca="false">I2019*(1-H2019)</f>
        <v>55378.54</v>
      </c>
      <c r="K2019" s="16" t="n">
        <f aca="false">J2019*INDEX(Customers!$G$2:$G$41,MATCH(C2019,Customers!$A$2:$A$41,0))</f>
        <v>553.7854</v>
      </c>
      <c r="L2019" s="16" t="n">
        <f aca="false">F2019*INDEX(Customers!$H$2:$H$41,MATCH(C2019,Customers!$A$2:$A$41,0))</f>
        <v>665</v>
      </c>
      <c r="M2019" s="16" t="n">
        <f aca="false">J2019*INDEX(Customers!$I$2:$I$41,MATCH(C2019,Customers!$A$2:$A$41,0))/365*Assumptions!$B$6</f>
        <v>728.265731506849</v>
      </c>
      <c r="N2019" s="16" t="n">
        <f aca="false">J2019-K2019-L2019-M2019</f>
        <v>53431.4888684932</v>
      </c>
      <c r="O2019" s="16" t="n">
        <f aca="false">F2019*IF(A2019="2025",INDEX(Products!$D$2:$D$13,MATCH(D2019,Products!$A$2:$A$13,0)),INDEX(Products!$F$2:$F$13,MATCH(D2019,Products!$A$2:$A$13,0)))</f>
        <v>29336</v>
      </c>
      <c r="P2019" s="16" t="n">
        <f aca="false">N2019-O2019</f>
        <v>24095.4888684932</v>
      </c>
    </row>
    <row r="2020" customFormat="false" ht="15" hidden="false" customHeight="false" outlineLevel="0" collapsed="false">
      <c r="A2020" s="2" t="s">
        <v>118</v>
      </c>
      <c r="B2020" s="2" t="n">
        <v>3</v>
      </c>
      <c r="C2020" s="2" t="s">
        <v>92</v>
      </c>
      <c r="D2020" s="2" t="s">
        <v>47</v>
      </c>
      <c r="E2020" s="2" t="str">
        <f aca="false">INDEX(Products!$B$2:$B$13,MATCH(D2020,Products!$A$2:$A$13,0))</f>
        <v>Specialty</v>
      </c>
      <c r="F2020" s="15" t="n">
        <v>1.4</v>
      </c>
      <c r="G2020" s="16" t="n">
        <f aca="false">IF(A2020="2025",INDEX(Products!$C$2:$C$13,MATCH(D2020,Products!$A$2:$A$13,0)),INDEX(Products!$E$2:$E$13,MATCH(D2020,Products!$A$2:$A$13,0)))</f>
        <v>30520</v>
      </c>
      <c r="H2020" s="13" t="n">
        <f aca="false">IF(A2020="2025",INDEX(Customers!$D$2:$D$41,MATCH(C2020,Customers!$A$2:$A$41,0)),INDEX(Customers!$F$2:$F$41,MATCH(C2020,Customers!$A$2:$A$41,0)))</f>
        <v>0.045</v>
      </c>
      <c r="I2020" s="16" t="n">
        <f aca="false">F2020*G2020</f>
        <v>42728</v>
      </c>
      <c r="J2020" s="16" t="n">
        <f aca="false">I2020*(1-H2020)</f>
        <v>40805.24</v>
      </c>
      <c r="K2020" s="16" t="n">
        <f aca="false">J2020*INDEX(Customers!$G$2:$G$41,MATCH(C2020,Customers!$A$2:$A$41,0))</f>
        <v>408.0524</v>
      </c>
      <c r="L2020" s="16" t="n">
        <f aca="false">F2020*INDEX(Customers!$H$2:$H$41,MATCH(C2020,Customers!$A$2:$A$41,0))</f>
        <v>490</v>
      </c>
      <c r="M2020" s="16" t="n">
        <f aca="false">J2020*INDEX(Customers!$I$2:$I$41,MATCH(C2020,Customers!$A$2:$A$41,0))/365*Assumptions!$B$6</f>
        <v>536.616854794521</v>
      </c>
      <c r="N2020" s="16" t="n">
        <f aca="false">J2020-K2020-L2020-M2020</f>
        <v>39370.5707452055</v>
      </c>
      <c r="O2020" s="16" t="n">
        <f aca="false">F2020*IF(A2020="2025",INDEX(Products!$D$2:$D$13,MATCH(D2020,Products!$A$2:$A$13,0)),INDEX(Products!$F$2:$F$13,MATCH(D2020,Products!$A$2:$A$13,0)))</f>
        <v>21616</v>
      </c>
      <c r="P2020" s="16" t="n">
        <f aca="false">N2020-O2020</f>
        <v>17754.5707452055</v>
      </c>
    </row>
    <row r="2021" customFormat="false" ht="15" hidden="false" customHeight="false" outlineLevel="0" collapsed="false">
      <c r="A2021" s="2" t="s">
        <v>118</v>
      </c>
      <c r="B2021" s="2" t="n">
        <v>4</v>
      </c>
      <c r="C2021" s="2" t="s">
        <v>92</v>
      </c>
      <c r="D2021" s="2" t="s">
        <v>47</v>
      </c>
      <c r="E2021" s="2" t="str">
        <f aca="false">INDEX(Products!$B$2:$B$13,MATCH(D2021,Products!$A$2:$A$13,0))</f>
        <v>Specialty</v>
      </c>
      <c r="F2021" s="15" t="n">
        <v>1.8</v>
      </c>
      <c r="G2021" s="16" t="n">
        <f aca="false">IF(A2021="2025",INDEX(Products!$C$2:$C$13,MATCH(D2021,Products!$A$2:$A$13,0)),INDEX(Products!$E$2:$E$13,MATCH(D2021,Products!$A$2:$A$13,0)))</f>
        <v>30520</v>
      </c>
      <c r="H2021" s="13" t="n">
        <f aca="false">IF(A2021="2025",INDEX(Customers!$D$2:$D$41,MATCH(C2021,Customers!$A$2:$A$41,0)),INDEX(Customers!$F$2:$F$41,MATCH(C2021,Customers!$A$2:$A$41,0)))</f>
        <v>0.045</v>
      </c>
      <c r="I2021" s="16" t="n">
        <f aca="false">F2021*G2021</f>
        <v>54936</v>
      </c>
      <c r="J2021" s="16" t="n">
        <f aca="false">I2021*(1-H2021)</f>
        <v>52463.88</v>
      </c>
      <c r="K2021" s="16" t="n">
        <f aca="false">J2021*INDEX(Customers!$G$2:$G$41,MATCH(C2021,Customers!$A$2:$A$41,0))</f>
        <v>524.6388</v>
      </c>
      <c r="L2021" s="16" t="n">
        <f aca="false">F2021*INDEX(Customers!$H$2:$H$41,MATCH(C2021,Customers!$A$2:$A$41,0))</f>
        <v>630</v>
      </c>
      <c r="M2021" s="16" t="n">
        <f aca="false">J2021*INDEX(Customers!$I$2:$I$41,MATCH(C2021,Customers!$A$2:$A$41,0))/365*Assumptions!$B$6</f>
        <v>689.935956164384</v>
      </c>
      <c r="N2021" s="16" t="n">
        <f aca="false">J2021-K2021-L2021-M2021</f>
        <v>50619.3052438356</v>
      </c>
      <c r="O2021" s="16" t="n">
        <f aca="false">F2021*IF(A2021="2025",INDEX(Products!$D$2:$D$13,MATCH(D2021,Products!$A$2:$A$13,0)),INDEX(Products!$F$2:$F$13,MATCH(D2021,Products!$A$2:$A$13,0)))</f>
        <v>27792</v>
      </c>
      <c r="P2021" s="16" t="n">
        <f aca="false">N2021-O2021</f>
        <v>22827.3052438356</v>
      </c>
    </row>
    <row r="2022" customFormat="false" ht="15" hidden="false" customHeight="false" outlineLevel="0" collapsed="false">
      <c r="A2022" s="2" t="s">
        <v>118</v>
      </c>
      <c r="B2022" s="2" t="n">
        <v>5</v>
      </c>
      <c r="C2022" s="2" t="s">
        <v>92</v>
      </c>
      <c r="D2022" s="2" t="s">
        <v>47</v>
      </c>
      <c r="E2022" s="2" t="str">
        <f aca="false">INDEX(Products!$B$2:$B$13,MATCH(D2022,Products!$A$2:$A$13,0))</f>
        <v>Specialty</v>
      </c>
      <c r="F2022" s="15" t="n">
        <v>1.5</v>
      </c>
      <c r="G2022" s="16" t="n">
        <f aca="false">IF(A2022="2025",INDEX(Products!$C$2:$C$13,MATCH(D2022,Products!$A$2:$A$13,0)),INDEX(Products!$E$2:$E$13,MATCH(D2022,Products!$A$2:$A$13,0)))</f>
        <v>30520</v>
      </c>
      <c r="H2022" s="13" t="n">
        <f aca="false">IF(A2022="2025",INDEX(Customers!$D$2:$D$41,MATCH(C2022,Customers!$A$2:$A$41,0)),INDEX(Customers!$F$2:$F$41,MATCH(C2022,Customers!$A$2:$A$41,0)))</f>
        <v>0.045</v>
      </c>
      <c r="I2022" s="16" t="n">
        <f aca="false">F2022*G2022</f>
        <v>45780</v>
      </c>
      <c r="J2022" s="16" t="n">
        <f aca="false">I2022*(1-H2022)</f>
        <v>43719.9</v>
      </c>
      <c r="K2022" s="16" t="n">
        <f aca="false">J2022*INDEX(Customers!$G$2:$G$41,MATCH(C2022,Customers!$A$2:$A$41,0))</f>
        <v>437.199</v>
      </c>
      <c r="L2022" s="16" t="n">
        <f aca="false">F2022*INDEX(Customers!$H$2:$H$41,MATCH(C2022,Customers!$A$2:$A$41,0))</f>
        <v>525</v>
      </c>
      <c r="M2022" s="16" t="n">
        <f aca="false">J2022*INDEX(Customers!$I$2:$I$41,MATCH(C2022,Customers!$A$2:$A$41,0))/365*Assumptions!$B$6</f>
        <v>574.946630136986</v>
      </c>
      <c r="N2022" s="16" t="n">
        <f aca="false">J2022-K2022-L2022-M2022</f>
        <v>42182.754369863</v>
      </c>
      <c r="O2022" s="16" t="n">
        <f aca="false">F2022*IF(A2022="2025",INDEX(Products!$D$2:$D$13,MATCH(D2022,Products!$A$2:$A$13,0)),INDEX(Products!$F$2:$F$13,MATCH(D2022,Products!$A$2:$A$13,0)))</f>
        <v>23160</v>
      </c>
      <c r="P2022" s="16" t="n">
        <f aca="false">N2022-O2022</f>
        <v>19022.754369863</v>
      </c>
    </row>
    <row r="2023" customFormat="false" ht="15" hidden="false" customHeight="false" outlineLevel="0" collapsed="false">
      <c r="A2023" s="2" t="s">
        <v>118</v>
      </c>
      <c r="B2023" s="2" t="n">
        <v>6</v>
      </c>
      <c r="C2023" s="2" t="s">
        <v>92</v>
      </c>
      <c r="D2023" s="2" t="s">
        <v>47</v>
      </c>
      <c r="E2023" s="2" t="str">
        <f aca="false">INDEX(Products!$B$2:$B$13,MATCH(D2023,Products!$A$2:$A$13,0))</f>
        <v>Specialty</v>
      </c>
      <c r="F2023" s="15" t="n">
        <v>2</v>
      </c>
      <c r="G2023" s="16" t="n">
        <f aca="false">IF(A2023="2025",INDEX(Products!$C$2:$C$13,MATCH(D2023,Products!$A$2:$A$13,0)),INDEX(Products!$E$2:$E$13,MATCH(D2023,Products!$A$2:$A$13,0)))</f>
        <v>30520</v>
      </c>
      <c r="H2023" s="13" t="n">
        <f aca="false">IF(A2023="2025",INDEX(Customers!$D$2:$D$41,MATCH(C2023,Customers!$A$2:$A$41,0)),INDEX(Customers!$F$2:$F$41,MATCH(C2023,Customers!$A$2:$A$41,0)))</f>
        <v>0.045</v>
      </c>
      <c r="I2023" s="16" t="n">
        <f aca="false">F2023*G2023</f>
        <v>61040</v>
      </c>
      <c r="J2023" s="16" t="n">
        <f aca="false">I2023*(1-H2023)</f>
        <v>58293.2</v>
      </c>
      <c r="K2023" s="16" t="n">
        <f aca="false">J2023*INDEX(Customers!$G$2:$G$41,MATCH(C2023,Customers!$A$2:$A$41,0))</f>
        <v>582.932</v>
      </c>
      <c r="L2023" s="16" t="n">
        <f aca="false">F2023*INDEX(Customers!$H$2:$H$41,MATCH(C2023,Customers!$A$2:$A$41,0))</f>
        <v>700</v>
      </c>
      <c r="M2023" s="16" t="n">
        <f aca="false">J2023*INDEX(Customers!$I$2:$I$41,MATCH(C2023,Customers!$A$2:$A$41,0))/365*Assumptions!$B$6</f>
        <v>766.595506849315</v>
      </c>
      <c r="N2023" s="16" t="n">
        <f aca="false">J2023-K2023-L2023-M2023</f>
        <v>56243.6724931507</v>
      </c>
      <c r="O2023" s="16" t="n">
        <f aca="false">F2023*IF(A2023="2025",INDEX(Products!$D$2:$D$13,MATCH(D2023,Products!$A$2:$A$13,0)),INDEX(Products!$F$2:$F$13,MATCH(D2023,Products!$A$2:$A$13,0)))</f>
        <v>30880</v>
      </c>
      <c r="P2023" s="16" t="n">
        <f aca="false">N2023-O2023</f>
        <v>25363.6724931507</v>
      </c>
    </row>
    <row r="2024" customFormat="false" ht="15" hidden="false" customHeight="false" outlineLevel="0" collapsed="false">
      <c r="A2024" s="2" t="s">
        <v>118</v>
      </c>
      <c r="B2024" s="2" t="n">
        <v>7</v>
      </c>
      <c r="C2024" s="2" t="s">
        <v>92</v>
      </c>
      <c r="D2024" s="2" t="s">
        <v>47</v>
      </c>
      <c r="E2024" s="2" t="str">
        <f aca="false">INDEX(Products!$B$2:$B$13,MATCH(D2024,Products!$A$2:$A$13,0))</f>
        <v>Specialty</v>
      </c>
      <c r="F2024" s="15" t="n">
        <v>1.8</v>
      </c>
      <c r="G2024" s="16" t="n">
        <f aca="false">IF(A2024="2025",INDEX(Products!$C$2:$C$13,MATCH(D2024,Products!$A$2:$A$13,0)),INDEX(Products!$E$2:$E$13,MATCH(D2024,Products!$A$2:$A$13,0)))</f>
        <v>30520</v>
      </c>
      <c r="H2024" s="13" t="n">
        <f aca="false">IF(A2024="2025",INDEX(Customers!$D$2:$D$41,MATCH(C2024,Customers!$A$2:$A$41,0)),INDEX(Customers!$F$2:$F$41,MATCH(C2024,Customers!$A$2:$A$41,0)))</f>
        <v>0.045</v>
      </c>
      <c r="I2024" s="16" t="n">
        <f aca="false">F2024*G2024</f>
        <v>54936</v>
      </c>
      <c r="J2024" s="16" t="n">
        <f aca="false">I2024*(1-H2024)</f>
        <v>52463.88</v>
      </c>
      <c r="K2024" s="16" t="n">
        <f aca="false">J2024*INDEX(Customers!$G$2:$G$41,MATCH(C2024,Customers!$A$2:$A$41,0))</f>
        <v>524.6388</v>
      </c>
      <c r="L2024" s="16" t="n">
        <f aca="false">F2024*INDEX(Customers!$H$2:$H$41,MATCH(C2024,Customers!$A$2:$A$41,0))</f>
        <v>630</v>
      </c>
      <c r="M2024" s="16" t="n">
        <f aca="false">J2024*INDEX(Customers!$I$2:$I$41,MATCH(C2024,Customers!$A$2:$A$41,0))/365*Assumptions!$B$6</f>
        <v>689.935956164384</v>
      </c>
      <c r="N2024" s="16" t="n">
        <f aca="false">J2024-K2024-L2024-M2024</f>
        <v>50619.3052438356</v>
      </c>
      <c r="O2024" s="16" t="n">
        <f aca="false">F2024*IF(A2024="2025",INDEX(Products!$D$2:$D$13,MATCH(D2024,Products!$A$2:$A$13,0)),INDEX(Products!$F$2:$F$13,MATCH(D2024,Products!$A$2:$A$13,0)))</f>
        <v>27792</v>
      </c>
      <c r="P2024" s="16" t="n">
        <f aca="false">N2024-O2024</f>
        <v>22827.3052438356</v>
      </c>
    </row>
    <row r="2025" customFormat="false" ht="15" hidden="false" customHeight="false" outlineLevel="0" collapsed="false">
      <c r="A2025" s="2" t="s">
        <v>118</v>
      </c>
      <c r="B2025" s="2" t="n">
        <v>8</v>
      </c>
      <c r="C2025" s="2" t="s">
        <v>92</v>
      </c>
      <c r="D2025" s="2" t="s">
        <v>47</v>
      </c>
      <c r="E2025" s="2" t="str">
        <f aca="false">INDEX(Products!$B$2:$B$13,MATCH(D2025,Products!$A$2:$A$13,0))</f>
        <v>Specialty</v>
      </c>
      <c r="F2025" s="15" t="n">
        <v>1.7</v>
      </c>
      <c r="G2025" s="16" t="n">
        <f aca="false">IF(A2025="2025",INDEX(Products!$C$2:$C$13,MATCH(D2025,Products!$A$2:$A$13,0)),INDEX(Products!$E$2:$E$13,MATCH(D2025,Products!$A$2:$A$13,0)))</f>
        <v>30520</v>
      </c>
      <c r="H2025" s="13" t="n">
        <f aca="false">IF(A2025="2025",INDEX(Customers!$D$2:$D$41,MATCH(C2025,Customers!$A$2:$A$41,0)),INDEX(Customers!$F$2:$F$41,MATCH(C2025,Customers!$A$2:$A$41,0)))</f>
        <v>0.045</v>
      </c>
      <c r="I2025" s="16" t="n">
        <f aca="false">F2025*G2025</f>
        <v>51884</v>
      </c>
      <c r="J2025" s="16" t="n">
        <f aca="false">I2025*(1-H2025)</f>
        <v>49549.22</v>
      </c>
      <c r="K2025" s="16" t="n">
        <f aca="false">J2025*INDEX(Customers!$G$2:$G$41,MATCH(C2025,Customers!$A$2:$A$41,0))</f>
        <v>495.4922</v>
      </c>
      <c r="L2025" s="16" t="n">
        <f aca="false">F2025*INDEX(Customers!$H$2:$H$41,MATCH(C2025,Customers!$A$2:$A$41,0))</f>
        <v>595</v>
      </c>
      <c r="M2025" s="16" t="n">
        <f aca="false">J2025*INDEX(Customers!$I$2:$I$41,MATCH(C2025,Customers!$A$2:$A$41,0))/365*Assumptions!$B$6</f>
        <v>651.606180821918</v>
      </c>
      <c r="N2025" s="16" t="n">
        <f aca="false">J2025-K2025-L2025-M2025</f>
        <v>47807.1216191781</v>
      </c>
      <c r="O2025" s="16" t="n">
        <f aca="false">F2025*IF(A2025="2025",INDEX(Products!$D$2:$D$13,MATCH(D2025,Products!$A$2:$A$13,0)),INDEX(Products!$F$2:$F$13,MATCH(D2025,Products!$A$2:$A$13,0)))</f>
        <v>26248</v>
      </c>
      <c r="P2025" s="16" t="n">
        <f aca="false">N2025-O2025</f>
        <v>21559.1216191781</v>
      </c>
    </row>
    <row r="2026" customFormat="false" ht="15" hidden="false" customHeight="false" outlineLevel="0" collapsed="false">
      <c r="A2026" s="2" t="s">
        <v>118</v>
      </c>
      <c r="B2026" s="2" t="n">
        <v>9</v>
      </c>
      <c r="C2026" s="2" t="s">
        <v>92</v>
      </c>
      <c r="D2026" s="2" t="s">
        <v>47</v>
      </c>
      <c r="E2026" s="2" t="str">
        <f aca="false">INDEX(Products!$B$2:$B$13,MATCH(D2026,Products!$A$2:$A$13,0))</f>
        <v>Specialty</v>
      </c>
      <c r="F2026" s="15" t="n">
        <v>1.8</v>
      </c>
      <c r="G2026" s="16" t="n">
        <f aca="false">IF(A2026="2025",INDEX(Products!$C$2:$C$13,MATCH(D2026,Products!$A$2:$A$13,0)),INDEX(Products!$E$2:$E$13,MATCH(D2026,Products!$A$2:$A$13,0)))</f>
        <v>30520</v>
      </c>
      <c r="H2026" s="13" t="n">
        <f aca="false">IF(A2026="2025",INDEX(Customers!$D$2:$D$41,MATCH(C2026,Customers!$A$2:$A$41,0)),INDEX(Customers!$F$2:$F$41,MATCH(C2026,Customers!$A$2:$A$41,0)))</f>
        <v>0.045</v>
      </c>
      <c r="I2026" s="16" t="n">
        <f aca="false">F2026*G2026</f>
        <v>54936</v>
      </c>
      <c r="J2026" s="16" t="n">
        <f aca="false">I2026*(1-H2026)</f>
        <v>52463.88</v>
      </c>
      <c r="K2026" s="16" t="n">
        <f aca="false">J2026*INDEX(Customers!$G$2:$G$41,MATCH(C2026,Customers!$A$2:$A$41,0))</f>
        <v>524.6388</v>
      </c>
      <c r="L2026" s="16" t="n">
        <f aca="false">F2026*INDEX(Customers!$H$2:$H$41,MATCH(C2026,Customers!$A$2:$A$41,0))</f>
        <v>630</v>
      </c>
      <c r="M2026" s="16" t="n">
        <f aca="false">J2026*INDEX(Customers!$I$2:$I$41,MATCH(C2026,Customers!$A$2:$A$41,0))/365*Assumptions!$B$6</f>
        <v>689.935956164384</v>
      </c>
      <c r="N2026" s="16" t="n">
        <f aca="false">J2026-K2026-L2026-M2026</f>
        <v>50619.3052438356</v>
      </c>
      <c r="O2026" s="16" t="n">
        <f aca="false">F2026*IF(A2026="2025",INDEX(Products!$D$2:$D$13,MATCH(D2026,Products!$A$2:$A$13,0)),INDEX(Products!$F$2:$F$13,MATCH(D2026,Products!$A$2:$A$13,0)))</f>
        <v>27792</v>
      </c>
      <c r="P2026" s="16" t="n">
        <f aca="false">N2026-O2026</f>
        <v>22827.3052438356</v>
      </c>
    </row>
    <row r="2027" customFormat="false" ht="15" hidden="false" customHeight="false" outlineLevel="0" collapsed="false">
      <c r="A2027" s="2" t="s">
        <v>118</v>
      </c>
      <c r="B2027" s="2" t="n">
        <v>10</v>
      </c>
      <c r="C2027" s="2" t="s">
        <v>92</v>
      </c>
      <c r="D2027" s="2" t="s">
        <v>47</v>
      </c>
      <c r="E2027" s="2" t="str">
        <f aca="false">INDEX(Products!$B$2:$B$13,MATCH(D2027,Products!$A$2:$A$13,0))</f>
        <v>Specialty</v>
      </c>
      <c r="F2027" s="15" t="n">
        <v>1.6</v>
      </c>
      <c r="G2027" s="16" t="n">
        <f aca="false">IF(A2027="2025",INDEX(Products!$C$2:$C$13,MATCH(D2027,Products!$A$2:$A$13,0)),INDEX(Products!$E$2:$E$13,MATCH(D2027,Products!$A$2:$A$13,0)))</f>
        <v>30520</v>
      </c>
      <c r="H2027" s="13" t="n">
        <f aca="false">IF(A2027="2025",INDEX(Customers!$D$2:$D$41,MATCH(C2027,Customers!$A$2:$A$41,0)),INDEX(Customers!$F$2:$F$41,MATCH(C2027,Customers!$A$2:$A$41,0)))</f>
        <v>0.045</v>
      </c>
      <c r="I2027" s="16" t="n">
        <f aca="false">F2027*G2027</f>
        <v>48832</v>
      </c>
      <c r="J2027" s="16" t="n">
        <f aca="false">I2027*(1-H2027)</f>
        <v>46634.56</v>
      </c>
      <c r="K2027" s="16" t="n">
        <f aca="false">J2027*INDEX(Customers!$G$2:$G$41,MATCH(C2027,Customers!$A$2:$A$41,0))</f>
        <v>466.3456</v>
      </c>
      <c r="L2027" s="16" t="n">
        <f aca="false">F2027*INDEX(Customers!$H$2:$H$41,MATCH(C2027,Customers!$A$2:$A$41,0))</f>
        <v>560</v>
      </c>
      <c r="M2027" s="16" t="n">
        <f aca="false">J2027*INDEX(Customers!$I$2:$I$41,MATCH(C2027,Customers!$A$2:$A$41,0))/365*Assumptions!$B$6</f>
        <v>613.276405479452</v>
      </c>
      <c r="N2027" s="16" t="n">
        <f aca="false">J2027-K2027-L2027-M2027</f>
        <v>44994.9379945205</v>
      </c>
      <c r="O2027" s="16" t="n">
        <f aca="false">F2027*IF(A2027="2025",INDEX(Products!$D$2:$D$13,MATCH(D2027,Products!$A$2:$A$13,0)),INDEX(Products!$F$2:$F$13,MATCH(D2027,Products!$A$2:$A$13,0)))</f>
        <v>24704</v>
      </c>
      <c r="P2027" s="16" t="n">
        <f aca="false">N2027-O2027</f>
        <v>20290.9379945205</v>
      </c>
    </row>
    <row r="2028" customFormat="false" ht="15" hidden="false" customHeight="false" outlineLevel="0" collapsed="false">
      <c r="A2028" s="2" t="s">
        <v>118</v>
      </c>
      <c r="B2028" s="2" t="n">
        <v>11</v>
      </c>
      <c r="C2028" s="2" t="s">
        <v>92</v>
      </c>
      <c r="D2028" s="2" t="s">
        <v>47</v>
      </c>
      <c r="E2028" s="2" t="str">
        <f aca="false">INDEX(Products!$B$2:$B$13,MATCH(D2028,Products!$A$2:$A$13,0))</f>
        <v>Specialty</v>
      </c>
      <c r="F2028" s="15" t="n">
        <v>2.1</v>
      </c>
      <c r="G2028" s="16" t="n">
        <f aca="false">IF(A2028="2025",INDEX(Products!$C$2:$C$13,MATCH(D2028,Products!$A$2:$A$13,0)),INDEX(Products!$E$2:$E$13,MATCH(D2028,Products!$A$2:$A$13,0)))</f>
        <v>30520</v>
      </c>
      <c r="H2028" s="13" t="n">
        <f aca="false">IF(A2028="2025",INDEX(Customers!$D$2:$D$41,MATCH(C2028,Customers!$A$2:$A$41,0)),INDEX(Customers!$F$2:$F$41,MATCH(C2028,Customers!$A$2:$A$41,0)))</f>
        <v>0.045</v>
      </c>
      <c r="I2028" s="16" t="n">
        <f aca="false">F2028*G2028</f>
        <v>64092</v>
      </c>
      <c r="J2028" s="16" t="n">
        <f aca="false">I2028*(1-H2028)</f>
        <v>61207.86</v>
      </c>
      <c r="K2028" s="16" t="n">
        <f aca="false">J2028*INDEX(Customers!$G$2:$G$41,MATCH(C2028,Customers!$A$2:$A$41,0))</f>
        <v>612.0786</v>
      </c>
      <c r="L2028" s="16" t="n">
        <f aca="false">F2028*INDEX(Customers!$H$2:$H$41,MATCH(C2028,Customers!$A$2:$A$41,0))</f>
        <v>735</v>
      </c>
      <c r="M2028" s="16" t="n">
        <f aca="false">J2028*INDEX(Customers!$I$2:$I$41,MATCH(C2028,Customers!$A$2:$A$41,0))/365*Assumptions!$B$6</f>
        <v>804.925282191781</v>
      </c>
      <c r="N2028" s="16" t="n">
        <f aca="false">J2028-K2028-L2028-M2028</f>
        <v>59055.8561178082</v>
      </c>
      <c r="O2028" s="16" t="n">
        <f aca="false">F2028*IF(A2028="2025",INDEX(Products!$D$2:$D$13,MATCH(D2028,Products!$A$2:$A$13,0)),INDEX(Products!$F$2:$F$13,MATCH(D2028,Products!$A$2:$A$13,0)))</f>
        <v>32424</v>
      </c>
      <c r="P2028" s="16" t="n">
        <f aca="false">N2028-O2028</f>
        <v>26631.8561178082</v>
      </c>
    </row>
    <row r="2029" customFormat="false" ht="15" hidden="false" customHeight="false" outlineLevel="0" collapsed="false">
      <c r="A2029" s="2" t="s">
        <v>118</v>
      </c>
      <c r="B2029" s="2" t="n">
        <v>12</v>
      </c>
      <c r="C2029" s="2" t="s">
        <v>92</v>
      </c>
      <c r="D2029" s="2" t="s">
        <v>47</v>
      </c>
      <c r="E2029" s="2" t="str">
        <f aca="false">INDEX(Products!$B$2:$B$13,MATCH(D2029,Products!$A$2:$A$13,0))</f>
        <v>Specialty</v>
      </c>
      <c r="F2029" s="15" t="n">
        <v>1.3</v>
      </c>
      <c r="G2029" s="16" t="n">
        <f aca="false">IF(A2029="2025",INDEX(Products!$C$2:$C$13,MATCH(D2029,Products!$A$2:$A$13,0)),INDEX(Products!$E$2:$E$13,MATCH(D2029,Products!$A$2:$A$13,0)))</f>
        <v>30520</v>
      </c>
      <c r="H2029" s="13" t="n">
        <f aca="false">IF(A2029="2025",INDEX(Customers!$D$2:$D$41,MATCH(C2029,Customers!$A$2:$A$41,0)),INDEX(Customers!$F$2:$F$41,MATCH(C2029,Customers!$A$2:$A$41,0)))</f>
        <v>0.045</v>
      </c>
      <c r="I2029" s="16" t="n">
        <f aca="false">F2029*G2029</f>
        <v>39676</v>
      </c>
      <c r="J2029" s="16" t="n">
        <f aca="false">I2029*(1-H2029)</f>
        <v>37890.58</v>
      </c>
      <c r="K2029" s="16" t="n">
        <f aca="false">J2029*INDEX(Customers!$G$2:$G$41,MATCH(C2029,Customers!$A$2:$A$41,0))</f>
        <v>378.9058</v>
      </c>
      <c r="L2029" s="16" t="n">
        <f aca="false">F2029*INDEX(Customers!$H$2:$H$41,MATCH(C2029,Customers!$A$2:$A$41,0))</f>
        <v>455</v>
      </c>
      <c r="M2029" s="16" t="n">
        <f aca="false">J2029*INDEX(Customers!$I$2:$I$41,MATCH(C2029,Customers!$A$2:$A$41,0))/365*Assumptions!$B$6</f>
        <v>498.287079452055</v>
      </c>
      <c r="N2029" s="16" t="n">
        <f aca="false">J2029-K2029-L2029-M2029</f>
        <v>36558.3871205479</v>
      </c>
      <c r="O2029" s="16" t="n">
        <f aca="false">F2029*IF(A2029="2025",INDEX(Products!$D$2:$D$13,MATCH(D2029,Products!$A$2:$A$13,0)),INDEX(Products!$F$2:$F$13,MATCH(D2029,Products!$A$2:$A$13,0)))</f>
        <v>20072</v>
      </c>
      <c r="P2029" s="16" t="n">
        <f aca="false">N2029-O2029</f>
        <v>16486.3871205479</v>
      </c>
    </row>
    <row r="2030" customFormat="false" ht="15" hidden="false" customHeight="false" outlineLevel="0" collapsed="false">
      <c r="A2030" s="2" t="s">
        <v>119</v>
      </c>
      <c r="B2030" s="2" t="n">
        <v>1</v>
      </c>
      <c r="C2030" s="2" t="s">
        <v>92</v>
      </c>
      <c r="D2030" s="2" t="s">
        <v>47</v>
      </c>
      <c r="E2030" s="2" t="str">
        <f aca="false">INDEX(Products!$B$2:$B$13,MATCH(D2030,Products!$A$2:$A$13,0))</f>
        <v>Specialty</v>
      </c>
      <c r="F2030" s="15" t="n">
        <v>1.6</v>
      </c>
      <c r="G2030" s="16" t="n">
        <f aca="false">IF(A2030="2025",INDEX(Products!$C$2:$C$13,MATCH(D2030,Products!$A$2:$A$13,0)),INDEX(Products!$E$2:$E$13,MATCH(D2030,Products!$A$2:$A$13,0)))</f>
        <v>32046</v>
      </c>
      <c r="H2030" s="13" t="n">
        <f aca="false">IF(A2030="2025",INDEX(Customers!$D$2:$D$41,MATCH(C2030,Customers!$A$2:$A$41,0)),INDEX(Customers!$F$2:$F$41,MATCH(C2030,Customers!$A$2:$A$41,0)))</f>
        <v>0.045</v>
      </c>
      <c r="I2030" s="16" t="n">
        <f aca="false">F2030*G2030</f>
        <v>51273.6</v>
      </c>
      <c r="J2030" s="16" t="n">
        <f aca="false">I2030*(1-H2030)</f>
        <v>48966.288</v>
      </c>
      <c r="K2030" s="16" t="n">
        <f aca="false">J2030*INDEX(Customers!$G$2:$G$41,MATCH(C2030,Customers!$A$2:$A$41,0))</f>
        <v>489.66288</v>
      </c>
      <c r="L2030" s="16" t="n">
        <f aca="false">F2030*INDEX(Customers!$H$2:$H$41,MATCH(C2030,Customers!$A$2:$A$41,0))</f>
        <v>560</v>
      </c>
      <c r="M2030" s="16" t="n">
        <f aca="false">J2030*INDEX(Customers!$I$2:$I$41,MATCH(C2030,Customers!$A$2:$A$41,0))/365*Assumptions!$B$6</f>
        <v>643.940225753425</v>
      </c>
      <c r="N2030" s="16" t="n">
        <f aca="false">J2030-K2030-L2030-M2030</f>
        <v>47272.6848942466</v>
      </c>
      <c r="O2030" s="16" t="n">
        <f aca="false">F2030*IF(A2030="2025",INDEX(Products!$D$2:$D$13,MATCH(D2030,Products!$A$2:$A$13,0)),INDEX(Products!$F$2:$F$13,MATCH(D2030,Products!$A$2:$A$13,0)))</f>
        <v>25445.12</v>
      </c>
      <c r="P2030" s="16" t="n">
        <f aca="false">N2030-O2030</f>
        <v>21827.5648942466</v>
      </c>
    </row>
    <row r="2031" customFormat="false" ht="15" hidden="false" customHeight="false" outlineLevel="0" collapsed="false">
      <c r="A2031" s="2" t="s">
        <v>119</v>
      </c>
      <c r="B2031" s="2" t="n">
        <v>2</v>
      </c>
      <c r="C2031" s="2" t="s">
        <v>92</v>
      </c>
      <c r="D2031" s="2" t="s">
        <v>47</v>
      </c>
      <c r="E2031" s="2" t="str">
        <f aca="false">INDEX(Products!$B$2:$B$13,MATCH(D2031,Products!$A$2:$A$13,0))</f>
        <v>Specialty</v>
      </c>
      <c r="F2031" s="15" t="n">
        <v>1.7</v>
      </c>
      <c r="G2031" s="16" t="n">
        <f aca="false">IF(A2031="2025",INDEX(Products!$C$2:$C$13,MATCH(D2031,Products!$A$2:$A$13,0)),INDEX(Products!$E$2:$E$13,MATCH(D2031,Products!$A$2:$A$13,0)))</f>
        <v>32046</v>
      </c>
      <c r="H2031" s="13" t="n">
        <f aca="false">IF(A2031="2025",INDEX(Customers!$D$2:$D$41,MATCH(C2031,Customers!$A$2:$A$41,0)),INDEX(Customers!$F$2:$F$41,MATCH(C2031,Customers!$A$2:$A$41,0)))</f>
        <v>0.045</v>
      </c>
      <c r="I2031" s="16" t="n">
        <f aca="false">F2031*G2031</f>
        <v>54478.2</v>
      </c>
      <c r="J2031" s="16" t="n">
        <f aca="false">I2031*(1-H2031)</f>
        <v>52026.681</v>
      </c>
      <c r="K2031" s="16" t="n">
        <f aca="false">J2031*INDEX(Customers!$G$2:$G$41,MATCH(C2031,Customers!$A$2:$A$41,0))</f>
        <v>520.26681</v>
      </c>
      <c r="L2031" s="16" t="n">
        <f aca="false">F2031*INDEX(Customers!$H$2:$H$41,MATCH(C2031,Customers!$A$2:$A$41,0))</f>
        <v>595</v>
      </c>
      <c r="M2031" s="16" t="n">
        <f aca="false">J2031*INDEX(Customers!$I$2:$I$41,MATCH(C2031,Customers!$A$2:$A$41,0))/365*Assumptions!$B$6</f>
        <v>684.186489863014</v>
      </c>
      <c r="N2031" s="16" t="n">
        <f aca="false">J2031-K2031-L2031-M2031</f>
        <v>50227.227700137</v>
      </c>
      <c r="O2031" s="16" t="n">
        <f aca="false">F2031*IF(A2031="2025",INDEX(Products!$D$2:$D$13,MATCH(D2031,Products!$A$2:$A$13,0)),INDEX(Products!$F$2:$F$13,MATCH(D2031,Products!$A$2:$A$13,0)))</f>
        <v>27035.44</v>
      </c>
      <c r="P2031" s="16" t="n">
        <f aca="false">N2031-O2031</f>
        <v>23191.787700137</v>
      </c>
    </row>
    <row r="2032" customFormat="false" ht="15" hidden="false" customHeight="false" outlineLevel="0" collapsed="false">
      <c r="A2032" s="2" t="s">
        <v>119</v>
      </c>
      <c r="B2032" s="2" t="n">
        <v>3</v>
      </c>
      <c r="C2032" s="2" t="s">
        <v>92</v>
      </c>
      <c r="D2032" s="2" t="s">
        <v>47</v>
      </c>
      <c r="E2032" s="2" t="str">
        <f aca="false">INDEX(Products!$B$2:$B$13,MATCH(D2032,Products!$A$2:$A$13,0))</f>
        <v>Specialty</v>
      </c>
      <c r="F2032" s="15" t="n">
        <v>1.5</v>
      </c>
      <c r="G2032" s="16" t="n">
        <f aca="false">IF(A2032="2025",INDEX(Products!$C$2:$C$13,MATCH(D2032,Products!$A$2:$A$13,0)),INDEX(Products!$E$2:$E$13,MATCH(D2032,Products!$A$2:$A$13,0)))</f>
        <v>32046</v>
      </c>
      <c r="H2032" s="13" t="n">
        <f aca="false">IF(A2032="2025",INDEX(Customers!$D$2:$D$41,MATCH(C2032,Customers!$A$2:$A$41,0)),INDEX(Customers!$F$2:$F$41,MATCH(C2032,Customers!$A$2:$A$41,0)))</f>
        <v>0.045</v>
      </c>
      <c r="I2032" s="16" t="n">
        <f aca="false">F2032*G2032</f>
        <v>48069</v>
      </c>
      <c r="J2032" s="16" t="n">
        <f aca="false">I2032*(1-H2032)</f>
        <v>45905.895</v>
      </c>
      <c r="K2032" s="16" t="n">
        <f aca="false">J2032*INDEX(Customers!$G$2:$G$41,MATCH(C2032,Customers!$A$2:$A$41,0))</f>
        <v>459.05895</v>
      </c>
      <c r="L2032" s="16" t="n">
        <f aca="false">F2032*INDEX(Customers!$H$2:$H$41,MATCH(C2032,Customers!$A$2:$A$41,0))</f>
        <v>525</v>
      </c>
      <c r="M2032" s="16" t="n">
        <f aca="false">J2032*INDEX(Customers!$I$2:$I$41,MATCH(C2032,Customers!$A$2:$A$41,0))/365*Assumptions!$B$6</f>
        <v>603.693961643836</v>
      </c>
      <c r="N2032" s="16" t="n">
        <f aca="false">J2032-K2032-L2032-M2032</f>
        <v>44318.1420883562</v>
      </c>
      <c r="O2032" s="16" t="n">
        <f aca="false">F2032*IF(A2032="2025",INDEX(Products!$D$2:$D$13,MATCH(D2032,Products!$A$2:$A$13,0)),INDEX(Products!$F$2:$F$13,MATCH(D2032,Products!$A$2:$A$13,0)))</f>
        <v>23854.8</v>
      </c>
      <c r="P2032" s="16" t="n">
        <f aca="false">N2032-O2032</f>
        <v>20463.3420883562</v>
      </c>
    </row>
    <row r="2033" customFormat="false" ht="15" hidden="false" customHeight="false" outlineLevel="0" collapsed="false">
      <c r="A2033" s="2" t="s">
        <v>119</v>
      </c>
      <c r="B2033" s="2" t="n">
        <v>4</v>
      </c>
      <c r="C2033" s="2" t="s">
        <v>92</v>
      </c>
      <c r="D2033" s="2" t="s">
        <v>47</v>
      </c>
      <c r="E2033" s="2" t="str">
        <f aca="false">INDEX(Products!$B$2:$B$13,MATCH(D2033,Products!$A$2:$A$13,0))</f>
        <v>Specialty</v>
      </c>
      <c r="F2033" s="15" t="n">
        <v>2.1</v>
      </c>
      <c r="G2033" s="16" t="n">
        <f aca="false">IF(A2033="2025",INDEX(Products!$C$2:$C$13,MATCH(D2033,Products!$A$2:$A$13,0)),INDEX(Products!$E$2:$E$13,MATCH(D2033,Products!$A$2:$A$13,0)))</f>
        <v>32046</v>
      </c>
      <c r="H2033" s="13" t="n">
        <f aca="false">IF(A2033="2025",INDEX(Customers!$D$2:$D$41,MATCH(C2033,Customers!$A$2:$A$41,0)),INDEX(Customers!$F$2:$F$41,MATCH(C2033,Customers!$A$2:$A$41,0)))</f>
        <v>0.045</v>
      </c>
      <c r="I2033" s="16" t="n">
        <f aca="false">F2033*G2033</f>
        <v>67296.6</v>
      </c>
      <c r="J2033" s="16" t="n">
        <f aca="false">I2033*(1-H2033)</f>
        <v>64268.253</v>
      </c>
      <c r="K2033" s="16" t="n">
        <f aca="false">J2033*INDEX(Customers!$G$2:$G$41,MATCH(C2033,Customers!$A$2:$A$41,0))</f>
        <v>642.68253</v>
      </c>
      <c r="L2033" s="16" t="n">
        <f aca="false">F2033*INDEX(Customers!$H$2:$H$41,MATCH(C2033,Customers!$A$2:$A$41,0))</f>
        <v>735</v>
      </c>
      <c r="M2033" s="16" t="n">
        <f aca="false">J2033*INDEX(Customers!$I$2:$I$41,MATCH(C2033,Customers!$A$2:$A$41,0))/365*Assumptions!$B$6</f>
        <v>845.17154630137</v>
      </c>
      <c r="N2033" s="16" t="n">
        <f aca="false">J2033-K2033-L2033-M2033</f>
        <v>62045.3989236986</v>
      </c>
      <c r="O2033" s="16" t="n">
        <f aca="false">F2033*IF(A2033="2025",INDEX(Products!$D$2:$D$13,MATCH(D2033,Products!$A$2:$A$13,0)),INDEX(Products!$F$2:$F$13,MATCH(D2033,Products!$A$2:$A$13,0)))</f>
        <v>33396.72</v>
      </c>
      <c r="P2033" s="16" t="n">
        <f aca="false">N2033-O2033</f>
        <v>28648.6789236986</v>
      </c>
    </row>
    <row r="2034" customFormat="false" ht="15" hidden="false" customHeight="false" outlineLevel="0" collapsed="false">
      <c r="A2034" s="2" t="s">
        <v>119</v>
      </c>
      <c r="B2034" s="2" t="n">
        <v>5</v>
      </c>
      <c r="C2034" s="2" t="s">
        <v>92</v>
      </c>
      <c r="D2034" s="2" t="s">
        <v>47</v>
      </c>
      <c r="E2034" s="2" t="str">
        <f aca="false">INDEX(Products!$B$2:$B$13,MATCH(D2034,Products!$A$2:$A$13,0))</f>
        <v>Specialty</v>
      </c>
      <c r="F2034" s="15" t="n">
        <v>1.4</v>
      </c>
      <c r="G2034" s="16" t="n">
        <f aca="false">IF(A2034="2025",INDEX(Products!$C$2:$C$13,MATCH(D2034,Products!$A$2:$A$13,0)),INDEX(Products!$E$2:$E$13,MATCH(D2034,Products!$A$2:$A$13,0)))</f>
        <v>32046</v>
      </c>
      <c r="H2034" s="13" t="n">
        <f aca="false">IF(A2034="2025",INDEX(Customers!$D$2:$D$41,MATCH(C2034,Customers!$A$2:$A$41,0)),INDEX(Customers!$F$2:$F$41,MATCH(C2034,Customers!$A$2:$A$41,0)))</f>
        <v>0.045</v>
      </c>
      <c r="I2034" s="16" t="n">
        <f aca="false">F2034*G2034</f>
        <v>44864.4</v>
      </c>
      <c r="J2034" s="16" t="n">
        <f aca="false">I2034*(1-H2034)</f>
        <v>42845.502</v>
      </c>
      <c r="K2034" s="16" t="n">
        <f aca="false">J2034*INDEX(Customers!$G$2:$G$41,MATCH(C2034,Customers!$A$2:$A$41,0))</f>
        <v>428.45502</v>
      </c>
      <c r="L2034" s="16" t="n">
        <f aca="false">F2034*INDEX(Customers!$H$2:$H$41,MATCH(C2034,Customers!$A$2:$A$41,0))</f>
        <v>490</v>
      </c>
      <c r="M2034" s="16" t="n">
        <f aca="false">J2034*INDEX(Customers!$I$2:$I$41,MATCH(C2034,Customers!$A$2:$A$41,0))/365*Assumptions!$B$6</f>
        <v>563.447697534247</v>
      </c>
      <c r="N2034" s="16" t="n">
        <f aca="false">J2034-K2034-L2034-M2034</f>
        <v>41363.5992824657</v>
      </c>
      <c r="O2034" s="16" t="n">
        <f aca="false">F2034*IF(A2034="2025",INDEX(Products!$D$2:$D$13,MATCH(D2034,Products!$A$2:$A$13,0)),INDEX(Products!$F$2:$F$13,MATCH(D2034,Products!$A$2:$A$13,0)))</f>
        <v>22264.48</v>
      </c>
      <c r="P2034" s="16" t="n">
        <f aca="false">N2034-O2034</f>
        <v>19099.1192824657</v>
      </c>
    </row>
    <row r="2035" customFormat="false" ht="15" hidden="false" customHeight="false" outlineLevel="0" collapsed="false">
      <c r="A2035" s="2" t="s">
        <v>119</v>
      </c>
      <c r="B2035" s="2" t="n">
        <v>6</v>
      </c>
      <c r="C2035" s="2" t="s">
        <v>92</v>
      </c>
      <c r="D2035" s="2" t="s">
        <v>47</v>
      </c>
      <c r="E2035" s="2" t="str">
        <f aca="false">INDEX(Products!$B$2:$B$13,MATCH(D2035,Products!$A$2:$A$13,0))</f>
        <v>Specialty</v>
      </c>
      <c r="F2035" s="15" t="n">
        <v>2</v>
      </c>
      <c r="G2035" s="16" t="n">
        <f aca="false">IF(A2035="2025",INDEX(Products!$C$2:$C$13,MATCH(D2035,Products!$A$2:$A$13,0)),INDEX(Products!$E$2:$E$13,MATCH(D2035,Products!$A$2:$A$13,0)))</f>
        <v>32046</v>
      </c>
      <c r="H2035" s="13" t="n">
        <f aca="false">IF(A2035="2025",INDEX(Customers!$D$2:$D$41,MATCH(C2035,Customers!$A$2:$A$41,0)),INDEX(Customers!$F$2:$F$41,MATCH(C2035,Customers!$A$2:$A$41,0)))</f>
        <v>0.045</v>
      </c>
      <c r="I2035" s="16" t="n">
        <f aca="false">F2035*G2035</f>
        <v>64092</v>
      </c>
      <c r="J2035" s="16" t="n">
        <f aca="false">I2035*(1-H2035)</f>
        <v>61207.86</v>
      </c>
      <c r="K2035" s="16" t="n">
        <f aca="false">J2035*INDEX(Customers!$G$2:$G$41,MATCH(C2035,Customers!$A$2:$A$41,0))</f>
        <v>612.0786</v>
      </c>
      <c r="L2035" s="16" t="n">
        <f aca="false">F2035*INDEX(Customers!$H$2:$H$41,MATCH(C2035,Customers!$A$2:$A$41,0))</f>
        <v>700</v>
      </c>
      <c r="M2035" s="16" t="n">
        <f aca="false">J2035*INDEX(Customers!$I$2:$I$41,MATCH(C2035,Customers!$A$2:$A$41,0))/365*Assumptions!$B$6</f>
        <v>804.925282191781</v>
      </c>
      <c r="N2035" s="16" t="n">
        <f aca="false">J2035-K2035-L2035-M2035</f>
        <v>59090.8561178082</v>
      </c>
      <c r="O2035" s="16" t="n">
        <f aca="false">F2035*IF(A2035="2025",INDEX(Products!$D$2:$D$13,MATCH(D2035,Products!$A$2:$A$13,0)),INDEX(Products!$F$2:$F$13,MATCH(D2035,Products!$A$2:$A$13,0)))</f>
        <v>31806.4</v>
      </c>
      <c r="P2035" s="16" t="n">
        <f aca="false">N2035-O2035</f>
        <v>27284.4561178082</v>
      </c>
    </row>
    <row r="2036" customFormat="false" ht="15" hidden="false" customHeight="false" outlineLevel="0" collapsed="false">
      <c r="A2036" s="2" t="s">
        <v>119</v>
      </c>
      <c r="B2036" s="2" t="n">
        <v>7</v>
      </c>
      <c r="C2036" s="2" t="s">
        <v>92</v>
      </c>
      <c r="D2036" s="2" t="s">
        <v>47</v>
      </c>
      <c r="E2036" s="2" t="str">
        <f aca="false">INDEX(Products!$B$2:$B$13,MATCH(D2036,Products!$A$2:$A$13,0))</f>
        <v>Specialty</v>
      </c>
      <c r="F2036" s="15" t="n">
        <v>2.2</v>
      </c>
      <c r="G2036" s="16" t="n">
        <f aca="false">IF(A2036="2025",INDEX(Products!$C$2:$C$13,MATCH(D2036,Products!$A$2:$A$13,0)),INDEX(Products!$E$2:$E$13,MATCH(D2036,Products!$A$2:$A$13,0)))</f>
        <v>32046</v>
      </c>
      <c r="H2036" s="13" t="n">
        <f aca="false">IF(A2036="2025",INDEX(Customers!$D$2:$D$41,MATCH(C2036,Customers!$A$2:$A$41,0)),INDEX(Customers!$F$2:$F$41,MATCH(C2036,Customers!$A$2:$A$41,0)))</f>
        <v>0.045</v>
      </c>
      <c r="I2036" s="16" t="n">
        <f aca="false">F2036*G2036</f>
        <v>70501.2</v>
      </c>
      <c r="J2036" s="16" t="n">
        <f aca="false">I2036*(1-H2036)</f>
        <v>67328.646</v>
      </c>
      <c r="K2036" s="16" t="n">
        <f aca="false">J2036*INDEX(Customers!$G$2:$G$41,MATCH(C2036,Customers!$A$2:$A$41,0))</f>
        <v>673.28646</v>
      </c>
      <c r="L2036" s="16" t="n">
        <f aca="false">F2036*INDEX(Customers!$H$2:$H$41,MATCH(C2036,Customers!$A$2:$A$41,0))</f>
        <v>770</v>
      </c>
      <c r="M2036" s="16" t="n">
        <f aca="false">J2036*INDEX(Customers!$I$2:$I$41,MATCH(C2036,Customers!$A$2:$A$41,0))/365*Assumptions!$B$6</f>
        <v>885.417810410959</v>
      </c>
      <c r="N2036" s="16" t="n">
        <f aca="false">J2036-K2036-L2036-M2036</f>
        <v>64999.941729589</v>
      </c>
      <c r="O2036" s="16" t="n">
        <f aca="false">F2036*IF(A2036="2025",INDEX(Products!$D$2:$D$13,MATCH(D2036,Products!$A$2:$A$13,0)),INDEX(Products!$F$2:$F$13,MATCH(D2036,Products!$A$2:$A$13,0)))</f>
        <v>34987.04</v>
      </c>
      <c r="P2036" s="16" t="n">
        <f aca="false">N2036-O2036</f>
        <v>30012.901729589</v>
      </c>
    </row>
    <row r="2037" customFormat="false" ht="15" hidden="false" customHeight="false" outlineLevel="0" collapsed="false">
      <c r="A2037" s="2" t="s">
        <v>119</v>
      </c>
      <c r="B2037" s="2" t="n">
        <v>8</v>
      </c>
      <c r="C2037" s="2" t="s">
        <v>92</v>
      </c>
      <c r="D2037" s="2" t="s">
        <v>47</v>
      </c>
      <c r="E2037" s="2" t="str">
        <f aca="false">INDEX(Products!$B$2:$B$13,MATCH(D2037,Products!$A$2:$A$13,0))</f>
        <v>Specialty</v>
      </c>
      <c r="F2037" s="15" t="n">
        <v>1.7</v>
      </c>
      <c r="G2037" s="16" t="n">
        <f aca="false">IF(A2037="2025",INDEX(Products!$C$2:$C$13,MATCH(D2037,Products!$A$2:$A$13,0)),INDEX(Products!$E$2:$E$13,MATCH(D2037,Products!$A$2:$A$13,0)))</f>
        <v>32046</v>
      </c>
      <c r="H2037" s="13" t="n">
        <f aca="false">IF(A2037="2025",INDEX(Customers!$D$2:$D$41,MATCH(C2037,Customers!$A$2:$A$41,0)),INDEX(Customers!$F$2:$F$41,MATCH(C2037,Customers!$A$2:$A$41,0)))</f>
        <v>0.045</v>
      </c>
      <c r="I2037" s="16" t="n">
        <f aca="false">F2037*G2037</f>
        <v>54478.2</v>
      </c>
      <c r="J2037" s="16" t="n">
        <f aca="false">I2037*(1-H2037)</f>
        <v>52026.681</v>
      </c>
      <c r="K2037" s="16" t="n">
        <f aca="false">J2037*INDEX(Customers!$G$2:$G$41,MATCH(C2037,Customers!$A$2:$A$41,0))</f>
        <v>520.26681</v>
      </c>
      <c r="L2037" s="16" t="n">
        <f aca="false">F2037*INDEX(Customers!$H$2:$H$41,MATCH(C2037,Customers!$A$2:$A$41,0))</f>
        <v>595</v>
      </c>
      <c r="M2037" s="16" t="n">
        <f aca="false">J2037*INDEX(Customers!$I$2:$I$41,MATCH(C2037,Customers!$A$2:$A$41,0))/365*Assumptions!$B$6</f>
        <v>684.186489863014</v>
      </c>
      <c r="N2037" s="16" t="n">
        <f aca="false">J2037-K2037-L2037-M2037</f>
        <v>50227.227700137</v>
      </c>
      <c r="O2037" s="16" t="n">
        <f aca="false">F2037*IF(A2037="2025",INDEX(Products!$D$2:$D$13,MATCH(D2037,Products!$A$2:$A$13,0)),INDEX(Products!$F$2:$F$13,MATCH(D2037,Products!$A$2:$A$13,0)))</f>
        <v>27035.44</v>
      </c>
      <c r="P2037" s="16" t="n">
        <f aca="false">N2037-O2037</f>
        <v>23191.787700137</v>
      </c>
    </row>
    <row r="2038" customFormat="false" ht="15" hidden="false" customHeight="false" outlineLevel="0" collapsed="false">
      <c r="A2038" s="2" t="s">
        <v>119</v>
      </c>
      <c r="B2038" s="2" t="n">
        <v>9</v>
      </c>
      <c r="C2038" s="2" t="s">
        <v>92</v>
      </c>
      <c r="D2038" s="2" t="s">
        <v>47</v>
      </c>
      <c r="E2038" s="2" t="str">
        <f aca="false">INDEX(Products!$B$2:$B$13,MATCH(D2038,Products!$A$2:$A$13,0))</f>
        <v>Specialty</v>
      </c>
      <c r="F2038" s="15" t="n">
        <v>1.7</v>
      </c>
      <c r="G2038" s="16" t="n">
        <f aca="false">IF(A2038="2025",INDEX(Products!$C$2:$C$13,MATCH(D2038,Products!$A$2:$A$13,0)),INDEX(Products!$E$2:$E$13,MATCH(D2038,Products!$A$2:$A$13,0)))</f>
        <v>32046</v>
      </c>
      <c r="H2038" s="13" t="n">
        <f aca="false">IF(A2038="2025",INDEX(Customers!$D$2:$D$41,MATCH(C2038,Customers!$A$2:$A$41,0)),INDEX(Customers!$F$2:$F$41,MATCH(C2038,Customers!$A$2:$A$41,0)))</f>
        <v>0.045</v>
      </c>
      <c r="I2038" s="16" t="n">
        <f aca="false">F2038*G2038</f>
        <v>54478.2</v>
      </c>
      <c r="J2038" s="16" t="n">
        <f aca="false">I2038*(1-H2038)</f>
        <v>52026.681</v>
      </c>
      <c r="K2038" s="16" t="n">
        <f aca="false">J2038*INDEX(Customers!$G$2:$G$41,MATCH(C2038,Customers!$A$2:$A$41,0))</f>
        <v>520.26681</v>
      </c>
      <c r="L2038" s="16" t="n">
        <f aca="false">F2038*INDEX(Customers!$H$2:$H$41,MATCH(C2038,Customers!$A$2:$A$41,0))</f>
        <v>595</v>
      </c>
      <c r="M2038" s="16" t="n">
        <f aca="false">J2038*INDEX(Customers!$I$2:$I$41,MATCH(C2038,Customers!$A$2:$A$41,0))/365*Assumptions!$B$6</f>
        <v>684.186489863014</v>
      </c>
      <c r="N2038" s="16" t="n">
        <f aca="false">J2038-K2038-L2038-M2038</f>
        <v>50227.227700137</v>
      </c>
      <c r="O2038" s="16" t="n">
        <f aca="false">F2038*IF(A2038="2025",INDEX(Products!$D$2:$D$13,MATCH(D2038,Products!$A$2:$A$13,0)),INDEX(Products!$F$2:$F$13,MATCH(D2038,Products!$A$2:$A$13,0)))</f>
        <v>27035.44</v>
      </c>
      <c r="P2038" s="16" t="n">
        <f aca="false">N2038-O2038</f>
        <v>23191.787700137</v>
      </c>
    </row>
    <row r="2039" customFormat="false" ht="15" hidden="false" customHeight="false" outlineLevel="0" collapsed="false">
      <c r="A2039" s="2" t="s">
        <v>119</v>
      </c>
      <c r="B2039" s="2" t="n">
        <v>10</v>
      </c>
      <c r="C2039" s="2" t="s">
        <v>92</v>
      </c>
      <c r="D2039" s="2" t="s">
        <v>47</v>
      </c>
      <c r="E2039" s="2" t="str">
        <f aca="false">INDEX(Products!$B$2:$B$13,MATCH(D2039,Products!$A$2:$A$13,0))</f>
        <v>Specialty</v>
      </c>
      <c r="F2039" s="15" t="n">
        <v>1.9</v>
      </c>
      <c r="G2039" s="16" t="n">
        <f aca="false">IF(A2039="2025",INDEX(Products!$C$2:$C$13,MATCH(D2039,Products!$A$2:$A$13,0)),INDEX(Products!$E$2:$E$13,MATCH(D2039,Products!$A$2:$A$13,0)))</f>
        <v>32046</v>
      </c>
      <c r="H2039" s="13" t="n">
        <f aca="false">IF(A2039="2025",INDEX(Customers!$D$2:$D$41,MATCH(C2039,Customers!$A$2:$A$41,0)),INDEX(Customers!$F$2:$F$41,MATCH(C2039,Customers!$A$2:$A$41,0)))</f>
        <v>0.045</v>
      </c>
      <c r="I2039" s="16" t="n">
        <f aca="false">F2039*G2039</f>
        <v>60887.4</v>
      </c>
      <c r="J2039" s="16" t="n">
        <f aca="false">I2039*(1-H2039)</f>
        <v>58147.467</v>
      </c>
      <c r="K2039" s="16" t="n">
        <f aca="false">J2039*INDEX(Customers!$G$2:$G$41,MATCH(C2039,Customers!$A$2:$A$41,0))</f>
        <v>581.47467</v>
      </c>
      <c r="L2039" s="16" t="n">
        <f aca="false">F2039*INDEX(Customers!$H$2:$H$41,MATCH(C2039,Customers!$A$2:$A$41,0))</f>
        <v>665</v>
      </c>
      <c r="M2039" s="16" t="n">
        <f aca="false">J2039*INDEX(Customers!$I$2:$I$41,MATCH(C2039,Customers!$A$2:$A$41,0))/365*Assumptions!$B$6</f>
        <v>764.679018082192</v>
      </c>
      <c r="N2039" s="16" t="n">
        <f aca="false">J2039-K2039-L2039-M2039</f>
        <v>56136.3133119178</v>
      </c>
      <c r="O2039" s="16" t="n">
        <f aca="false">F2039*IF(A2039="2025",INDEX(Products!$D$2:$D$13,MATCH(D2039,Products!$A$2:$A$13,0)),INDEX(Products!$F$2:$F$13,MATCH(D2039,Products!$A$2:$A$13,0)))</f>
        <v>30216.08</v>
      </c>
      <c r="P2039" s="16" t="n">
        <f aca="false">N2039-O2039</f>
        <v>25920.2333119178</v>
      </c>
    </row>
    <row r="2040" customFormat="false" ht="15" hidden="false" customHeight="false" outlineLevel="0" collapsed="false">
      <c r="A2040" s="2" t="s">
        <v>119</v>
      </c>
      <c r="B2040" s="2" t="n">
        <v>11</v>
      </c>
      <c r="C2040" s="2" t="s">
        <v>92</v>
      </c>
      <c r="D2040" s="2" t="s">
        <v>47</v>
      </c>
      <c r="E2040" s="2" t="str">
        <f aca="false">INDEX(Products!$B$2:$B$13,MATCH(D2040,Products!$A$2:$A$13,0))</f>
        <v>Specialty</v>
      </c>
      <c r="F2040" s="15" t="n">
        <v>1.7</v>
      </c>
      <c r="G2040" s="16" t="n">
        <f aca="false">IF(A2040="2025",INDEX(Products!$C$2:$C$13,MATCH(D2040,Products!$A$2:$A$13,0)),INDEX(Products!$E$2:$E$13,MATCH(D2040,Products!$A$2:$A$13,0)))</f>
        <v>32046</v>
      </c>
      <c r="H2040" s="13" t="n">
        <f aca="false">IF(A2040="2025",INDEX(Customers!$D$2:$D$41,MATCH(C2040,Customers!$A$2:$A$41,0)),INDEX(Customers!$F$2:$F$41,MATCH(C2040,Customers!$A$2:$A$41,0)))</f>
        <v>0.045</v>
      </c>
      <c r="I2040" s="16" t="n">
        <f aca="false">F2040*G2040</f>
        <v>54478.2</v>
      </c>
      <c r="J2040" s="16" t="n">
        <f aca="false">I2040*(1-H2040)</f>
        <v>52026.681</v>
      </c>
      <c r="K2040" s="16" t="n">
        <f aca="false">J2040*INDEX(Customers!$G$2:$G$41,MATCH(C2040,Customers!$A$2:$A$41,0))</f>
        <v>520.26681</v>
      </c>
      <c r="L2040" s="16" t="n">
        <f aca="false">F2040*INDEX(Customers!$H$2:$H$41,MATCH(C2040,Customers!$A$2:$A$41,0))</f>
        <v>595</v>
      </c>
      <c r="M2040" s="16" t="n">
        <f aca="false">J2040*INDEX(Customers!$I$2:$I$41,MATCH(C2040,Customers!$A$2:$A$41,0))/365*Assumptions!$B$6</f>
        <v>684.186489863014</v>
      </c>
      <c r="N2040" s="16" t="n">
        <f aca="false">J2040-K2040-L2040-M2040</f>
        <v>50227.227700137</v>
      </c>
      <c r="O2040" s="16" t="n">
        <f aca="false">F2040*IF(A2040="2025",INDEX(Products!$D$2:$D$13,MATCH(D2040,Products!$A$2:$A$13,0)),INDEX(Products!$F$2:$F$13,MATCH(D2040,Products!$A$2:$A$13,0)))</f>
        <v>27035.44</v>
      </c>
      <c r="P2040" s="16" t="n">
        <f aca="false">N2040-O2040</f>
        <v>23191.787700137</v>
      </c>
    </row>
    <row r="2041" customFormat="false" ht="15" hidden="false" customHeight="false" outlineLevel="0" collapsed="false">
      <c r="A2041" s="2" t="s">
        <v>119</v>
      </c>
      <c r="B2041" s="2" t="n">
        <v>12</v>
      </c>
      <c r="C2041" s="2" t="s">
        <v>92</v>
      </c>
      <c r="D2041" s="2" t="s">
        <v>47</v>
      </c>
      <c r="E2041" s="2" t="str">
        <f aca="false">INDEX(Products!$B$2:$B$13,MATCH(D2041,Products!$A$2:$A$13,0))</f>
        <v>Specialty</v>
      </c>
      <c r="F2041" s="15" t="n">
        <v>1.6</v>
      </c>
      <c r="G2041" s="16" t="n">
        <f aca="false">IF(A2041="2025",INDEX(Products!$C$2:$C$13,MATCH(D2041,Products!$A$2:$A$13,0)),INDEX(Products!$E$2:$E$13,MATCH(D2041,Products!$A$2:$A$13,0)))</f>
        <v>32046</v>
      </c>
      <c r="H2041" s="13" t="n">
        <f aca="false">IF(A2041="2025",INDEX(Customers!$D$2:$D$41,MATCH(C2041,Customers!$A$2:$A$41,0)),INDEX(Customers!$F$2:$F$41,MATCH(C2041,Customers!$A$2:$A$41,0)))</f>
        <v>0.045</v>
      </c>
      <c r="I2041" s="16" t="n">
        <f aca="false">F2041*G2041</f>
        <v>51273.6</v>
      </c>
      <c r="J2041" s="16" t="n">
        <f aca="false">I2041*(1-H2041)</f>
        <v>48966.288</v>
      </c>
      <c r="K2041" s="16" t="n">
        <f aca="false">J2041*INDEX(Customers!$G$2:$G$41,MATCH(C2041,Customers!$A$2:$A$41,0))</f>
        <v>489.66288</v>
      </c>
      <c r="L2041" s="16" t="n">
        <f aca="false">F2041*INDEX(Customers!$H$2:$H$41,MATCH(C2041,Customers!$A$2:$A$41,0))</f>
        <v>560</v>
      </c>
      <c r="M2041" s="16" t="n">
        <f aca="false">J2041*INDEX(Customers!$I$2:$I$41,MATCH(C2041,Customers!$A$2:$A$41,0))/365*Assumptions!$B$6</f>
        <v>643.940225753425</v>
      </c>
      <c r="N2041" s="16" t="n">
        <f aca="false">J2041-K2041-L2041-M2041</f>
        <v>47272.6848942466</v>
      </c>
      <c r="O2041" s="16" t="n">
        <f aca="false">F2041*IF(A2041="2025",INDEX(Products!$D$2:$D$13,MATCH(D2041,Products!$A$2:$A$13,0)),INDEX(Products!$F$2:$F$13,MATCH(D2041,Products!$A$2:$A$13,0)))</f>
        <v>25445.12</v>
      </c>
      <c r="P2041" s="16" t="n">
        <f aca="false">N2041-O2041</f>
        <v>21827.5648942466</v>
      </c>
    </row>
    <row r="2042" customFormat="false" ht="15" hidden="false" customHeight="false" outlineLevel="0" collapsed="false">
      <c r="A2042" s="2" t="s">
        <v>118</v>
      </c>
      <c r="B2042" s="2" t="n">
        <v>1</v>
      </c>
      <c r="C2042" s="2" t="s">
        <v>92</v>
      </c>
      <c r="D2042" s="2" t="s">
        <v>36</v>
      </c>
      <c r="E2042" s="2" t="str">
        <f aca="false">INDEX(Products!$B$2:$B$13,MATCH(D2042,Products!$A$2:$A$13,0))</f>
        <v>FCC</v>
      </c>
      <c r="F2042" s="15" t="n">
        <v>6.8</v>
      </c>
      <c r="G2042" s="16" t="n">
        <f aca="false">IF(A2042="2025",INDEX(Products!$C$2:$C$13,MATCH(D2042,Products!$A$2:$A$13,0)),INDEX(Products!$E$2:$E$13,MATCH(D2042,Products!$A$2:$A$13,0)))</f>
        <v>3700</v>
      </c>
      <c r="H2042" s="13" t="n">
        <f aca="false">IF(A2042="2025",INDEX(Customers!$D$2:$D$41,MATCH(C2042,Customers!$A$2:$A$41,0)),INDEX(Customers!$F$2:$F$41,MATCH(C2042,Customers!$A$2:$A$41,0)))</f>
        <v>0.045</v>
      </c>
      <c r="I2042" s="16" t="n">
        <f aca="false">F2042*G2042</f>
        <v>25160</v>
      </c>
      <c r="J2042" s="16" t="n">
        <f aca="false">I2042*(1-H2042)</f>
        <v>24027.8</v>
      </c>
      <c r="K2042" s="16" t="n">
        <f aca="false">J2042*INDEX(Customers!$G$2:$G$41,MATCH(C2042,Customers!$A$2:$A$41,0))</f>
        <v>240.278</v>
      </c>
      <c r="L2042" s="16" t="n">
        <f aca="false">F2042*INDEX(Customers!$H$2:$H$41,MATCH(C2042,Customers!$A$2:$A$41,0))</f>
        <v>2380</v>
      </c>
      <c r="M2042" s="16" t="n">
        <f aca="false">J2042*INDEX(Customers!$I$2:$I$41,MATCH(C2042,Customers!$A$2:$A$41,0))/365*Assumptions!$B$6</f>
        <v>315.98202739726</v>
      </c>
      <c r="N2042" s="16" t="n">
        <f aca="false">J2042-K2042-L2042-M2042</f>
        <v>21091.5399726027</v>
      </c>
      <c r="O2042" s="16" t="n">
        <f aca="false">F2042*IF(A2042="2025",INDEX(Products!$D$2:$D$13,MATCH(D2042,Products!$A$2:$A$13,0)),INDEX(Products!$F$2:$F$13,MATCH(D2042,Products!$A$2:$A$13,0)))</f>
        <v>16320</v>
      </c>
      <c r="P2042" s="16" t="n">
        <f aca="false">N2042-O2042</f>
        <v>4771.53997260274</v>
      </c>
    </row>
    <row r="2043" customFormat="false" ht="15" hidden="false" customHeight="false" outlineLevel="0" collapsed="false">
      <c r="A2043" s="2" t="s">
        <v>118</v>
      </c>
      <c r="B2043" s="2" t="n">
        <v>2</v>
      </c>
      <c r="C2043" s="2" t="s">
        <v>92</v>
      </c>
      <c r="D2043" s="2" t="s">
        <v>36</v>
      </c>
      <c r="E2043" s="2" t="str">
        <f aca="false">INDEX(Products!$B$2:$B$13,MATCH(D2043,Products!$A$2:$A$13,0))</f>
        <v>FCC</v>
      </c>
      <c r="F2043" s="15" t="n">
        <v>5.4</v>
      </c>
      <c r="G2043" s="16" t="n">
        <f aca="false">IF(A2043="2025",INDEX(Products!$C$2:$C$13,MATCH(D2043,Products!$A$2:$A$13,0)),INDEX(Products!$E$2:$E$13,MATCH(D2043,Products!$A$2:$A$13,0)))</f>
        <v>3700</v>
      </c>
      <c r="H2043" s="13" t="n">
        <f aca="false">IF(A2043="2025",INDEX(Customers!$D$2:$D$41,MATCH(C2043,Customers!$A$2:$A$41,0)),INDEX(Customers!$F$2:$F$41,MATCH(C2043,Customers!$A$2:$A$41,0)))</f>
        <v>0.045</v>
      </c>
      <c r="I2043" s="16" t="n">
        <f aca="false">F2043*G2043</f>
        <v>19980</v>
      </c>
      <c r="J2043" s="16" t="n">
        <f aca="false">I2043*(1-H2043)</f>
        <v>19080.9</v>
      </c>
      <c r="K2043" s="16" t="n">
        <f aca="false">J2043*INDEX(Customers!$G$2:$G$41,MATCH(C2043,Customers!$A$2:$A$41,0))</f>
        <v>190.809</v>
      </c>
      <c r="L2043" s="16" t="n">
        <f aca="false">F2043*INDEX(Customers!$H$2:$H$41,MATCH(C2043,Customers!$A$2:$A$41,0))</f>
        <v>1890</v>
      </c>
      <c r="M2043" s="16" t="n">
        <f aca="false">J2043*INDEX(Customers!$I$2:$I$41,MATCH(C2043,Customers!$A$2:$A$41,0))/365*Assumptions!$B$6</f>
        <v>250.926904109589</v>
      </c>
      <c r="N2043" s="16" t="n">
        <f aca="false">J2043-K2043-L2043-M2043</f>
        <v>16749.1640958904</v>
      </c>
      <c r="O2043" s="16" t="n">
        <f aca="false">F2043*IF(A2043="2025",INDEX(Products!$D$2:$D$13,MATCH(D2043,Products!$A$2:$A$13,0)),INDEX(Products!$F$2:$F$13,MATCH(D2043,Products!$A$2:$A$13,0)))</f>
        <v>12960</v>
      </c>
      <c r="P2043" s="16" t="n">
        <f aca="false">N2043-O2043</f>
        <v>3789.16409589041</v>
      </c>
    </row>
    <row r="2044" customFormat="false" ht="15" hidden="false" customHeight="false" outlineLevel="0" collapsed="false">
      <c r="A2044" s="2" t="s">
        <v>118</v>
      </c>
      <c r="B2044" s="2" t="n">
        <v>3</v>
      </c>
      <c r="C2044" s="2" t="s">
        <v>92</v>
      </c>
      <c r="D2044" s="2" t="s">
        <v>36</v>
      </c>
      <c r="E2044" s="2" t="str">
        <f aca="false">INDEX(Products!$B$2:$B$13,MATCH(D2044,Products!$A$2:$A$13,0))</f>
        <v>FCC</v>
      </c>
      <c r="F2044" s="15" t="n">
        <v>7</v>
      </c>
      <c r="G2044" s="16" t="n">
        <f aca="false">IF(A2044="2025",INDEX(Products!$C$2:$C$13,MATCH(D2044,Products!$A$2:$A$13,0)),INDEX(Products!$E$2:$E$13,MATCH(D2044,Products!$A$2:$A$13,0)))</f>
        <v>3700</v>
      </c>
      <c r="H2044" s="13" t="n">
        <f aca="false">IF(A2044="2025",INDEX(Customers!$D$2:$D$41,MATCH(C2044,Customers!$A$2:$A$41,0)),INDEX(Customers!$F$2:$F$41,MATCH(C2044,Customers!$A$2:$A$41,0)))</f>
        <v>0.045</v>
      </c>
      <c r="I2044" s="16" t="n">
        <f aca="false">F2044*G2044</f>
        <v>25900</v>
      </c>
      <c r="J2044" s="16" t="n">
        <f aca="false">I2044*(1-H2044)</f>
        <v>24734.5</v>
      </c>
      <c r="K2044" s="16" t="n">
        <f aca="false">J2044*INDEX(Customers!$G$2:$G$41,MATCH(C2044,Customers!$A$2:$A$41,0))</f>
        <v>247.345</v>
      </c>
      <c r="L2044" s="16" t="n">
        <f aca="false">F2044*INDEX(Customers!$H$2:$H$41,MATCH(C2044,Customers!$A$2:$A$41,0))</f>
        <v>2450</v>
      </c>
      <c r="M2044" s="16" t="n">
        <f aca="false">J2044*INDEX(Customers!$I$2:$I$41,MATCH(C2044,Customers!$A$2:$A$41,0))/365*Assumptions!$B$6</f>
        <v>325.275616438356</v>
      </c>
      <c r="N2044" s="16" t="n">
        <f aca="false">J2044-K2044-L2044-M2044</f>
        <v>21711.8793835616</v>
      </c>
      <c r="O2044" s="16" t="n">
        <f aca="false">F2044*IF(A2044="2025",INDEX(Products!$D$2:$D$13,MATCH(D2044,Products!$A$2:$A$13,0)),INDEX(Products!$F$2:$F$13,MATCH(D2044,Products!$A$2:$A$13,0)))</f>
        <v>16800</v>
      </c>
      <c r="P2044" s="16" t="n">
        <f aca="false">N2044-O2044</f>
        <v>4911.87938356164</v>
      </c>
    </row>
    <row r="2045" customFormat="false" ht="15" hidden="false" customHeight="false" outlineLevel="0" collapsed="false">
      <c r="A2045" s="2" t="s">
        <v>118</v>
      </c>
      <c r="B2045" s="2" t="n">
        <v>4</v>
      </c>
      <c r="C2045" s="2" t="s">
        <v>92</v>
      </c>
      <c r="D2045" s="2" t="s">
        <v>36</v>
      </c>
      <c r="E2045" s="2" t="str">
        <f aca="false">INDEX(Products!$B$2:$B$13,MATCH(D2045,Products!$A$2:$A$13,0))</f>
        <v>FCC</v>
      </c>
      <c r="F2045" s="15" t="n">
        <v>5.8</v>
      </c>
      <c r="G2045" s="16" t="n">
        <f aca="false">IF(A2045="2025",INDEX(Products!$C$2:$C$13,MATCH(D2045,Products!$A$2:$A$13,0)),INDEX(Products!$E$2:$E$13,MATCH(D2045,Products!$A$2:$A$13,0)))</f>
        <v>3700</v>
      </c>
      <c r="H2045" s="13" t="n">
        <f aca="false">IF(A2045="2025",INDEX(Customers!$D$2:$D$41,MATCH(C2045,Customers!$A$2:$A$41,0)),INDEX(Customers!$F$2:$F$41,MATCH(C2045,Customers!$A$2:$A$41,0)))</f>
        <v>0.045</v>
      </c>
      <c r="I2045" s="16" t="n">
        <f aca="false">F2045*G2045</f>
        <v>21460</v>
      </c>
      <c r="J2045" s="16" t="n">
        <f aca="false">I2045*(1-H2045)</f>
        <v>20494.3</v>
      </c>
      <c r="K2045" s="16" t="n">
        <f aca="false">J2045*INDEX(Customers!$G$2:$G$41,MATCH(C2045,Customers!$A$2:$A$41,0))</f>
        <v>204.943</v>
      </c>
      <c r="L2045" s="16" t="n">
        <f aca="false">F2045*INDEX(Customers!$H$2:$H$41,MATCH(C2045,Customers!$A$2:$A$41,0))</f>
        <v>2030</v>
      </c>
      <c r="M2045" s="16" t="n">
        <f aca="false">J2045*INDEX(Customers!$I$2:$I$41,MATCH(C2045,Customers!$A$2:$A$41,0))/365*Assumptions!$B$6</f>
        <v>269.514082191781</v>
      </c>
      <c r="N2045" s="16" t="n">
        <f aca="false">J2045-K2045-L2045-M2045</f>
        <v>17989.8429178082</v>
      </c>
      <c r="O2045" s="16" t="n">
        <f aca="false">F2045*IF(A2045="2025",INDEX(Products!$D$2:$D$13,MATCH(D2045,Products!$A$2:$A$13,0)),INDEX(Products!$F$2:$F$13,MATCH(D2045,Products!$A$2:$A$13,0)))</f>
        <v>13920</v>
      </c>
      <c r="P2045" s="16" t="n">
        <f aca="false">N2045-O2045</f>
        <v>4069.84291780822</v>
      </c>
    </row>
    <row r="2046" customFormat="false" ht="15" hidden="false" customHeight="false" outlineLevel="0" collapsed="false">
      <c r="A2046" s="2" t="s">
        <v>118</v>
      </c>
      <c r="B2046" s="2" t="n">
        <v>5</v>
      </c>
      <c r="C2046" s="2" t="s">
        <v>92</v>
      </c>
      <c r="D2046" s="2" t="s">
        <v>36</v>
      </c>
      <c r="E2046" s="2" t="str">
        <f aca="false">INDEX(Products!$B$2:$B$13,MATCH(D2046,Products!$A$2:$A$13,0))</f>
        <v>FCC</v>
      </c>
      <c r="F2046" s="15" t="n">
        <v>7.5</v>
      </c>
      <c r="G2046" s="16" t="n">
        <f aca="false">IF(A2046="2025",INDEX(Products!$C$2:$C$13,MATCH(D2046,Products!$A$2:$A$13,0)),INDEX(Products!$E$2:$E$13,MATCH(D2046,Products!$A$2:$A$13,0)))</f>
        <v>3700</v>
      </c>
      <c r="H2046" s="13" t="n">
        <f aca="false">IF(A2046="2025",INDEX(Customers!$D$2:$D$41,MATCH(C2046,Customers!$A$2:$A$41,0)),INDEX(Customers!$F$2:$F$41,MATCH(C2046,Customers!$A$2:$A$41,0)))</f>
        <v>0.045</v>
      </c>
      <c r="I2046" s="16" t="n">
        <f aca="false">F2046*G2046</f>
        <v>27750</v>
      </c>
      <c r="J2046" s="16" t="n">
        <f aca="false">I2046*(1-H2046)</f>
        <v>26501.25</v>
      </c>
      <c r="K2046" s="16" t="n">
        <f aca="false">J2046*INDEX(Customers!$G$2:$G$41,MATCH(C2046,Customers!$A$2:$A$41,0))</f>
        <v>265.0125</v>
      </c>
      <c r="L2046" s="16" t="n">
        <f aca="false">F2046*INDEX(Customers!$H$2:$H$41,MATCH(C2046,Customers!$A$2:$A$41,0))</f>
        <v>2625</v>
      </c>
      <c r="M2046" s="16" t="n">
        <f aca="false">J2046*INDEX(Customers!$I$2:$I$41,MATCH(C2046,Customers!$A$2:$A$41,0))/365*Assumptions!$B$6</f>
        <v>348.509589041096</v>
      </c>
      <c r="N2046" s="16" t="n">
        <f aca="false">J2046-K2046-L2046-M2046</f>
        <v>23262.7279109589</v>
      </c>
      <c r="O2046" s="16" t="n">
        <f aca="false">F2046*IF(A2046="2025",INDEX(Products!$D$2:$D$13,MATCH(D2046,Products!$A$2:$A$13,0)),INDEX(Products!$F$2:$F$13,MATCH(D2046,Products!$A$2:$A$13,0)))</f>
        <v>18000</v>
      </c>
      <c r="P2046" s="16" t="n">
        <f aca="false">N2046-O2046</f>
        <v>5262.7279109589</v>
      </c>
    </row>
    <row r="2047" customFormat="false" ht="15" hidden="false" customHeight="false" outlineLevel="0" collapsed="false">
      <c r="A2047" s="2" t="s">
        <v>118</v>
      </c>
      <c r="B2047" s="2" t="n">
        <v>6</v>
      </c>
      <c r="C2047" s="2" t="s">
        <v>92</v>
      </c>
      <c r="D2047" s="2" t="s">
        <v>36</v>
      </c>
      <c r="E2047" s="2" t="str">
        <f aca="false">INDEX(Products!$B$2:$B$13,MATCH(D2047,Products!$A$2:$A$13,0))</f>
        <v>FCC</v>
      </c>
      <c r="F2047" s="15" t="n">
        <v>7.9</v>
      </c>
      <c r="G2047" s="16" t="n">
        <f aca="false">IF(A2047="2025",INDEX(Products!$C$2:$C$13,MATCH(D2047,Products!$A$2:$A$13,0)),INDEX(Products!$E$2:$E$13,MATCH(D2047,Products!$A$2:$A$13,0)))</f>
        <v>3700</v>
      </c>
      <c r="H2047" s="13" t="n">
        <f aca="false">IF(A2047="2025",INDEX(Customers!$D$2:$D$41,MATCH(C2047,Customers!$A$2:$A$41,0)),INDEX(Customers!$F$2:$F$41,MATCH(C2047,Customers!$A$2:$A$41,0)))</f>
        <v>0.045</v>
      </c>
      <c r="I2047" s="16" t="n">
        <f aca="false">F2047*G2047</f>
        <v>29230</v>
      </c>
      <c r="J2047" s="16" t="n">
        <f aca="false">I2047*(1-H2047)</f>
        <v>27914.65</v>
      </c>
      <c r="K2047" s="16" t="n">
        <f aca="false">J2047*INDEX(Customers!$G$2:$G$41,MATCH(C2047,Customers!$A$2:$A$41,0))</f>
        <v>279.1465</v>
      </c>
      <c r="L2047" s="16" t="n">
        <f aca="false">F2047*INDEX(Customers!$H$2:$H$41,MATCH(C2047,Customers!$A$2:$A$41,0))</f>
        <v>2765</v>
      </c>
      <c r="M2047" s="16" t="n">
        <f aca="false">J2047*INDEX(Customers!$I$2:$I$41,MATCH(C2047,Customers!$A$2:$A$41,0))/365*Assumptions!$B$6</f>
        <v>367.096767123288</v>
      </c>
      <c r="N2047" s="16" t="n">
        <f aca="false">J2047-K2047-L2047-M2047</f>
        <v>24503.4067328767</v>
      </c>
      <c r="O2047" s="16" t="n">
        <f aca="false">F2047*IF(A2047="2025",INDEX(Products!$D$2:$D$13,MATCH(D2047,Products!$A$2:$A$13,0)),INDEX(Products!$F$2:$F$13,MATCH(D2047,Products!$A$2:$A$13,0)))</f>
        <v>18960</v>
      </c>
      <c r="P2047" s="16" t="n">
        <f aca="false">N2047-O2047</f>
        <v>5543.40673287671</v>
      </c>
    </row>
    <row r="2048" customFormat="false" ht="15" hidden="false" customHeight="false" outlineLevel="0" collapsed="false">
      <c r="A2048" s="2" t="s">
        <v>118</v>
      </c>
      <c r="B2048" s="2" t="n">
        <v>7</v>
      </c>
      <c r="C2048" s="2" t="s">
        <v>92</v>
      </c>
      <c r="D2048" s="2" t="s">
        <v>36</v>
      </c>
      <c r="E2048" s="2" t="str">
        <f aca="false">INDEX(Products!$B$2:$B$13,MATCH(D2048,Products!$A$2:$A$13,0))</f>
        <v>FCC</v>
      </c>
      <c r="F2048" s="15" t="n">
        <v>7.1</v>
      </c>
      <c r="G2048" s="16" t="n">
        <f aca="false">IF(A2048="2025",INDEX(Products!$C$2:$C$13,MATCH(D2048,Products!$A$2:$A$13,0)),INDEX(Products!$E$2:$E$13,MATCH(D2048,Products!$A$2:$A$13,0)))</f>
        <v>3700</v>
      </c>
      <c r="H2048" s="13" t="n">
        <f aca="false">IF(A2048="2025",INDEX(Customers!$D$2:$D$41,MATCH(C2048,Customers!$A$2:$A$41,0)),INDEX(Customers!$F$2:$F$41,MATCH(C2048,Customers!$A$2:$A$41,0)))</f>
        <v>0.045</v>
      </c>
      <c r="I2048" s="16" t="n">
        <f aca="false">F2048*G2048</f>
        <v>26270</v>
      </c>
      <c r="J2048" s="16" t="n">
        <f aca="false">I2048*(1-H2048)</f>
        <v>25087.85</v>
      </c>
      <c r="K2048" s="16" t="n">
        <f aca="false">J2048*INDEX(Customers!$G$2:$G$41,MATCH(C2048,Customers!$A$2:$A$41,0))</f>
        <v>250.8785</v>
      </c>
      <c r="L2048" s="16" t="n">
        <f aca="false">F2048*INDEX(Customers!$H$2:$H$41,MATCH(C2048,Customers!$A$2:$A$41,0))</f>
        <v>2485</v>
      </c>
      <c r="M2048" s="16" t="n">
        <f aca="false">J2048*INDEX(Customers!$I$2:$I$41,MATCH(C2048,Customers!$A$2:$A$41,0))/365*Assumptions!$B$6</f>
        <v>329.922410958904</v>
      </c>
      <c r="N2048" s="16" t="n">
        <f aca="false">J2048-K2048-L2048-M2048</f>
        <v>22022.0490890411</v>
      </c>
      <c r="O2048" s="16" t="n">
        <f aca="false">F2048*IF(A2048="2025",INDEX(Products!$D$2:$D$13,MATCH(D2048,Products!$A$2:$A$13,0)),INDEX(Products!$F$2:$F$13,MATCH(D2048,Products!$A$2:$A$13,0)))</f>
        <v>17040</v>
      </c>
      <c r="P2048" s="16" t="n">
        <f aca="false">N2048-O2048</f>
        <v>4982.0490890411</v>
      </c>
    </row>
    <row r="2049" customFormat="false" ht="15" hidden="false" customHeight="false" outlineLevel="0" collapsed="false">
      <c r="A2049" s="2" t="s">
        <v>118</v>
      </c>
      <c r="B2049" s="2" t="n">
        <v>8</v>
      </c>
      <c r="C2049" s="2" t="s">
        <v>92</v>
      </c>
      <c r="D2049" s="2" t="s">
        <v>36</v>
      </c>
      <c r="E2049" s="2" t="str">
        <f aca="false">INDEX(Products!$B$2:$B$13,MATCH(D2049,Products!$A$2:$A$13,0))</f>
        <v>FCC</v>
      </c>
      <c r="F2049" s="15" t="n">
        <v>5.7</v>
      </c>
      <c r="G2049" s="16" t="n">
        <f aca="false">IF(A2049="2025",INDEX(Products!$C$2:$C$13,MATCH(D2049,Products!$A$2:$A$13,0)),INDEX(Products!$E$2:$E$13,MATCH(D2049,Products!$A$2:$A$13,0)))</f>
        <v>3700</v>
      </c>
      <c r="H2049" s="13" t="n">
        <f aca="false">IF(A2049="2025",INDEX(Customers!$D$2:$D$41,MATCH(C2049,Customers!$A$2:$A$41,0)),INDEX(Customers!$F$2:$F$41,MATCH(C2049,Customers!$A$2:$A$41,0)))</f>
        <v>0.045</v>
      </c>
      <c r="I2049" s="16" t="n">
        <f aca="false">F2049*G2049</f>
        <v>21090</v>
      </c>
      <c r="J2049" s="16" t="n">
        <f aca="false">I2049*(1-H2049)</f>
        <v>20140.95</v>
      </c>
      <c r="K2049" s="16" t="n">
        <f aca="false">J2049*INDEX(Customers!$G$2:$G$41,MATCH(C2049,Customers!$A$2:$A$41,0))</f>
        <v>201.4095</v>
      </c>
      <c r="L2049" s="16" t="n">
        <f aca="false">F2049*INDEX(Customers!$H$2:$H$41,MATCH(C2049,Customers!$A$2:$A$41,0))</f>
        <v>1995</v>
      </c>
      <c r="M2049" s="16" t="n">
        <f aca="false">J2049*INDEX(Customers!$I$2:$I$41,MATCH(C2049,Customers!$A$2:$A$41,0))/365*Assumptions!$B$6</f>
        <v>264.867287671233</v>
      </c>
      <c r="N2049" s="16" t="n">
        <f aca="false">J2049-K2049-L2049-M2049</f>
        <v>17679.6732123288</v>
      </c>
      <c r="O2049" s="16" t="n">
        <f aca="false">F2049*IF(A2049="2025",INDEX(Products!$D$2:$D$13,MATCH(D2049,Products!$A$2:$A$13,0)),INDEX(Products!$F$2:$F$13,MATCH(D2049,Products!$A$2:$A$13,0)))</f>
        <v>13680</v>
      </c>
      <c r="P2049" s="16" t="n">
        <f aca="false">N2049-O2049</f>
        <v>3999.67321232877</v>
      </c>
    </row>
    <row r="2050" customFormat="false" ht="15" hidden="false" customHeight="false" outlineLevel="0" collapsed="false">
      <c r="A2050" s="2" t="s">
        <v>118</v>
      </c>
      <c r="B2050" s="2" t="n">
        <v>9</v>
      </c>
      <c r="C2050" s="2" t="s">
        <v>92</v>
      </c>
      <c r="D2050" s="2" t="s">
        <v>36</v>
      </c>
      <c r="E2050" s="2" t="str">
        <f aca="false">INDEX(Products!$B$2:$B$13,MATCH(D2050,Products!$A$2:$A$13,0))</f>
        <v>FCC</v>
      </c>
      <c r="F2050" s="15" t="n">
        <v>6.6</v>
      </c>
      <c r="G2050" s="16" t="n">
        <f aca="false">IF(A2050="2025",INDEX(Products!$C$2:$C$13,MATCH(D2050,Products!$A$2:$A$13,0)),INDEX(Products!$E$2:$E$13,MATCH(D2050,Products!$A$2:$A$13,0)))</f>
        <v>3700</v>
      </c>
      <c r="H2050" s="13" t="n">
        <f aca="false">IF(A2050="2025",INDEX(Customers!$D$2:$D$41,MATCH(C2050,Customers!$A$2:$A$41,0)),INDEX(Customers!$F$2:$F$41,MATCH(C2050,Customers!$A$2:$A$41,0)))</f>
        <v>0.045</v>
      </c>
      <c r="I2050" s="16" t="n">
        <f aca="false">F2050*G2050</f>
        <v>24420</v>
      </c>
      <c r="J2050" s="16" t="n">
        <f aca="false">I2050*(1-H2050)</f>
        <v>23321.1</v>
      </c>
      <c r="K2050" s="16" t="n">
        <f aca="false">J2050*INDEX(Customers!$G$2:$G$41,MATCH(C2050,Customers!$A$2:$A$41,0))</f>
        <v>233.211</v>
      </c>
      <c r="L2050" s="16" t="n">
        <f aca="false">F2050*INDEX(Customers!$H$2:$H$41,MATCH(C2050,Customers!$A$2:$A$41,0))</f>
        <v>2310</v>
      </c>
      <c r="M2050" s="16" t="n">
        <f aca="false">J2050*INDEX(Customers!$I$2:$I$41,MATCH(C2050,Customers!$A$2:$A$41,0))/365*Assumptions!$B$6</f>
        <v>306.688438356164</v>
      </c>
      <c r="N2050" s="16" t="n">
        <f aca="false">J2050-K2050-L2050-M2050</f>
        <v>20471.2005616438</v>
      </c>
      <c r="O2050" s="16" t="n">
        <f aca="false">F2050*IF(A2050="2025",INDEX(Products!$D$2:$D$13,MATCH(D2050,Products!$A$2:$A$13,0)),INDEX(Products!$F$2:$F$13,MATCH(D2050,Products!$A$2:$A$13,0)))</f>
        <v>15840</v>
      </c>
      <c r="P2050" s="16" t="n">
        <f aca="false">N2050-O2050</f>
        <v>4631.20056164384</v>
      </c>
    </row>
    <row r="2051" customFormat="false" ht="15" hidden="false" customHeight="false" outlineLevel="0" collapsed="false">
      <c r="A2051" s="2" t="s">
        <v>118</v>
      </c>
      <c r="B2051" s="2" t="n">
        <v>10</v>
      </c>
      <c r="C2051" s="2" t="s">
        <v>92</v>
      </c>
      <c r="D2051" s="2" t="s">
        <v>36</v>
      </c>
      <c r="E2051" s="2" t="str">
        <f aca="false">INDEX(Products!$B$2:$B$13,MATCH(D2051,Products!$A$2:$A$13,0))</f>
        <v>FCC</v>
      </c>
      <c r="F2051" s="15" t="n">
        <v>7.3</v>
      </c>
      <c r="G2051" s="16" t="n">
        <f aca="false">IF(A2051="2025",INDEX(Products!$C$2:$C$13,MATCH(D2051,Products!$A$2:$A$13,0)),INDEX(Products!$E$2:$E$13,MATCH(D2051,Products!$A$2:$A$13,0)))</f>
        <v>3700</v>
      </c>
      <c r="H2051" s="13" t="n">
        <f aca="false">IF(A2051="2025",INDEX(Customers!$D$2:$D$41,MATCH(C2051,Customers!$A$2:$A$41,0)),INDEX(Customers!$F$2:$F$41,MATCH(C2051,Customers!$A$2:$A$41,0)))</f>
        <v>0.045</v>
      </c>
      <c r="I2051" s="16" t="n">
        <f aca="false">F2051*G2051</f>
        <v>27010</v>
      </c>
      <c r="J2051" s="16" t="n">
        <f aca="false">I2051*(1-H2051)</f>
        <v>25794.55</v>
      </c>
      <c r="K2051" s="16" t="n">
        <f aca="false">J2051*INDEX(Customers!$G$2:$G$41,MATCH(C2051,Customers!$A$2:$A$41,0))</f>
        <v>257.9455</v>
      </c>
      <c r="L2051" s="16" t="n">
        <f aca="false">F2051*INDEX(Customers!$H$2:$H$41,MATCH(C2051,Customers!$A$2:$A$41,0))</f>
        <v>2555</v>
      </c>
      <c r="M2051" s="16" t="n">
        <f aca="false">J2051*INDEX(Customers!$I$2:$I$41,MATCH(C2051,Customers!$A$2:$A$41,0))/365*Assumptions!$B$6</f>
        <v>339.216</v>
      </c>
      <c r="N2051" s="16" t="n">
        <f aca="false">J2051-K2051-L2051-M2051</f>
        <v>22642.3885</v>
      </c>
      <c r="O2051" s="16" t="n">
        <f aca="false">F2051*IF(A2051="2025",INDEX(Products!$D$2:$D$13,MATCH(D2051,Products!$A$2:$A$13,0)),INDEX(Products!$F$2:$F$13,MATCH(D2051,Products!$A$2:$A$13,0)))</f>
        <v>17520</v>
      </c>
      <c r="P2051" s="16" t="n">
        <f aca="false">N2051-O2051</f>
        <v>5122.3885</v>
      </c>
    </row>
    <row r="2052" customFormat="false" ht="15" hidden="false" customHeight="false" outlineLevel="0" collapsed="false">
      <c r="A2052" s="2" t="s">
        <v>118</v>
      </c>
      <c r="B2052" s="2" t="n">
        <v>11</v>
      </c>
      <c r="C2052" s="2" t="s">
        <v>92</v>
      </c>
      <c r="D2052" s="2" t="s">
        <v>36</v>
      </c>
      <c r="E2052" s="2" t="str">
        <f aca="false">INDEX(Products!$B$2:$B$13,MATCH(D2052,Products!$A$2:$A$13,0))</f>
        <v>FCC</v>
      </c>
      <c r="F2052" s="15" t="n">
        <v>5.7</v>
      </c>
      <c r="G2052" s="16" t="n">
        <f aca="false">IF(A2052="2025",INDEX(Products!$C$2:$C$13,MATCH(D2052,Products!$A$2:$A$13,0)),INDEX(Products!$E$2:$E$13,MATCH(D2052,Products!$A$2:$A$13,0)))</f>
        <v>3700</v>
      </c>
      <c r="H2052" s="13" t="n">
        <f aca="false">IF(A2052="2025",INDEX(Customers!$D$2:$D$41,MATCH(C2052,Customers!$A$2:$A$41,0)),INDEX(Customers!$F$2:$F$41,MATCH(C2052,Customers!$A$2:$A$41,0)))</f>
        <v>0.045</v>
      </c>
      <c r="I2052" s="16" t="n">
        <f aca="false">F2052*G2052</f>
        <v>21090</v>
      </c>
      <c r="J2052" s="16" t="n">
        <f aca="false">I2052*(1-H2052)</f>
        <v>20140.95</v>
      </c>
      <c r="K2052" s="16" t="n">
        <f aca="false">J2052*INDEX(Customers!$G$2:$G$41,MATCH(C2052,Customers!$A$2:$A$41,0))</f>
        <v>201.4095</v>
      </c>
      <c r="L2052" s="16" t="n">
        <f aca="false">F2052*INDEX(Customers!$H$2:$H$41,MATCH(C2052,Customers!$A$2:$A$41,0))</f>
        <v>1995</v>
      </c>
      <c r="M2052" s="16" t="n">
        <f aca="false">J2052*INDEX(Customers!$I$2:$I$41,MATCH(C2052,Customers!$A$2:$A$41,0))/365*Assumptions!$B$6</f>
        <v>264.867287671233</v>
      </c>
      <c r="N2052" s="16" t="n">
        <f aca="false">J2052-K2052-L2052-M2052</f>
        <v>17679.6732123288</v>
      </c>
      <c r="O2052" s="16" t="n">
        <f aca="false">F2052*IF(A2052="2025",INDEX(Products!$D$2:$D$13,MATCH(D2052,Products!$A$2:$A$13,0)),INDEX(Products!$F$2:$F$13,MATCH(D2052,Products!$A$2:$A$13,0)))</f>
        <v>13680</v>
      </c>
      <c r="P2052" s="16" t="n">
        <f aca="false">N2052-O2052</f>
        <v>3999.67321232877</v>
      </c>
    </row>
    <row r="2053" customFormat="false" ht="15" hidden="false" customHeight="false" outlineLevel="0" collapsed="false">
      <c r="A2053" s="2" t="s">
        <v>118</v>
      </c>
      <c r="B2053" s="2" t="n">
        <v>12</v>
      </c>
      <c r="C2053" s="2" t="s">
        <v>92</v>
      </c>
      <c r="D2053" s="2" t="s">
        <v>36</v>
      </c>
      <c r="E2053" s="2" t="str">
        <f aca="false">INDEX(Products!$B$2:$B$13,MATCH(D2053,Products!$A$2:$A$13,0))</f>
        <v>FCC</v>
      </c>
      <c r="F2053" s="15" t="n">
        <v>6.4</v>
      </c>
      <c r="G2053" s="16" t="n">
        <f aca="false">IF(A2053="2025",INDEX(Products!$C$2:$C$13,MATCH(D2053,Products!$A$2:$A$13,0)),INDEX(Products!$E$2:$E$13,MATCH(D2053,Products!$A$2:$A$13,0)))</f>
        <v>3700</v>
      </c>
      <c r="H2053" s="13" t="n">
        <f aca="false">IF(A2053="2025",INDEX(Customers!$D$2:$D$41,MATCH(C2053,Customers!$A$2:$A$41,0)),INDEX(Customers!$F$2:$F$41,MATCH(C2053,Customers!$A$2:$A$41,0)))</f>
        <v>0.045</v>
      </c>
      <c r="I2053" s="16" t="n">
        <f aca="false">F2053*G2053</f>
        <v>23680</v>
      </c>
      <c r="J2053" s="16" t="n">
        <f aca="false">I2053*(1-H2053)</f>
        <v>22614.4</v>
      </c>
      <c r="K2053" s="16" t="n">
        <f aca="false">J2053*INDEX(Customers!$G$2:$G$41,MATCH(C2053,Customers!$A$2:$A$41,0))</f>
        <v>226.144</v>
      </c>
      <c r="L2053" s="16" t="n">
        <f aca="false">F2053*INDEX(Customers!$H$2:$H$41,MATCH(C2053,Customers!$A$2:$A$41,0))</f>
        <v>2240</v>
      </c>
      <c r="M2053" s="16" t="n">
        <f aca="false">J2053*INDEX(Customers!$I$2:$I$41,MATCH(C2053,Customers!$A$2:$A$41,0))/365*Assumptions!$B$6</f>
        <v>297.394849315069</v>
      </c>
      <c r="N2053" s="16" t="n">
        <f aca="false">J2053-K2053-L2053-M2053</f>
        <v>19850.8611506849</v>
      </c>
      <c r="O2053" s="16" t="n">
        <f aca="false">F2053*IF(A2053="2025",INDEX(Products!$D$2:$D$13,MATCH(D2053,Products!$A$2:$A$13,0)),INDEX(Products!$F$2:$F$13,MATCH(D2053,Products!$A$2:$A$13,0)))</f>
        <v>15360</v>
      </c>
      <c r="P2053" s="16" t="n">
        <f aca="false">N2053-O2053</f>
        <v>4490.86115068493</v>
      </c>
    </row>
    <row r="2054" customFormat="false" ht="15" hidden="false" customHeight="false" outlineLevel="0" collapsed="false">
      <c r="A2054" s="2" t="s">
        <v>119</v>
      </c>
      <c r="B2054" s="2" t="n">
        <v>1</v>
      </c>
      <c r="C2054" s="2" t="s">
        <v>92</v>
      </c>
      <c r="D2054" s="2" t="s">
        <v>36</v>
      </c>
      <c r="E2054" s="2" t="str">
        <f aca="false">INDEX(Products!$B$2:$B$13,MATCH(D2054,Products!$A$2:$A$13,0))</f>
        <v>FCC</v>
      </c>
      <c r="F2054" s="15" t="n">
        <v>4.5</v>
      </c>
      <c r="G2054" s="16" t="n">
        <f aca="false">IF(A2054="2025",INDEX(Products!$C$2:$C$13,MATCH(D2054,Products!$A$2:$A$13,0)),INDEX(Products!$E$2:$E$13,MATCH(D2054,Products!$A$2:$A$13,0)))</f>
        <v>3885</v>
      </c>
      <c r="H2054" s="13" t="n">
        <f aca="false">IF(A2054="2025",INDEX(Customers!$D$2:$D$41,MATCH(C2054,Customers!$A$2:$A$41,0)),INDEX(Customers!$F$2:$F$41,MATCH(C2054,Customers!$A$2:$A$41,0)))</f>
        <v>0.045</v>
      </c>
      <c r="I2054" s="16" t="n">
        <f aca="false">F2054*G2054</f>
        <v>17482.5</v>
      </c>
      <c r="J2054" s="16" t="n">
        <f aca="false">I2054*(1-H2054)</f>
        <v>16695.7875</v>
      </c>
      <c r="K2054" s="16" t="n">
        <f aca="false">J2054*INDEX(Customers!$G$2:$G$41,MATCH(C2054,Customers!$A$2:$A$41,0))</f>
        <v>166.957875</v>
      </c>
      <c r="L2054" s="16" t="n">
        <f aca="false">F2054*INDEX(Customers!$H$2:$H$41,MATCH(C2054,Customers!$A$2:$A$41,0))</f>
        <v>1575</v>
      </c>
      <c r="M2054" s="16" t="n">
        <f aca="false">J2054*INDEX(Customers!$I$2:$I$41,MATCH(C2054,Customers!$A$2:$A$41,0))/365*Assumptions!$B$6</f>
        <v>219.56104109589</v>
      </c>
      <c r="N2054" s="16" t="n">
        <f aca="false">J2054-K2054-L2054-M2054</f>
        <v>14734.2685839041</v>
      </c>
      <c r="O2054" s="16" t="n">
        <f aca="false">F2054*IF(A2054="2025",INDEX(Products!$D$2:$D$13,MATCH(D2054,Products!$A$2:$A$13,0)),INDEX(Products!$F$2:$F$13,MATCH(D2054,Products!$A$2:$A$13,0)))</f>
        <v>11124</v>
      </c>
      <c r="P2054" s="16" t="n">
        <f aca="false">N2054-O2054</f>
        <v>3610.26858390411</v>
      </c>
    </row>
    <row r="2055" customFormat="false" ht="15" hidden="false" customHeight="false" outlineLevel="0" collapsed="false">
      <c r="A2055" s="2" t="s">
        <v>119</v>
      </c>
      <c r="B2055" s="2" t="n">
        <v>2</v>
      </c>
      <c r="C2055" s="2" t="s">
        <v>92</v>
      </c>
      <c r="D2055" s="2" t="s">
        <v>36</v>
      </c>
      <c r="E2055" s="2" t="str">
        <f aca="false">INDEX(Products!$B$2:$B$13,MATCH(D2055,Products!$A$2:$A$13,0))</f>
        <v>FCC</v>
      </c>
      <c r="F2055" s="15" t="n">
        <v>5.8</v>
      </c>
      <c r="G2055" s="16" t="n">
        <f aca="false">IF(A2055="2025",INDEX(Products!$C$2:$C$13,MATCH(D2055,Products!$A$2:$A$13,0)),INDEX(Products!$E$2:$E$13,MATCH(D2055,Products!$A$2:$A$13,0)))</f>
        <v>3885</v>
      </c>
      <c r="H2055" s="13" t="n">
        <f aca="false">IF(A2055="2025",INDEX(Customers!$D$2:$D$41,MATCH(C2055,Customers!$A$2:$A$41,0)),INDEX(Customers!$F$2:$F$41,MATCH(C2055,Customers!$A$2:$A$41,0)))</f>
        <v>0.045</v>
      </c>
      <c r="I2055" s="16" t="n">
        <f aca="false">F2055*G2055</f>
        <v>22533</v>
      </c>
      <c r="J2055" s="16" t="n">
        <f aca="false">I2055*(1-H2055)</f>
        <v>21519.015</v>
      </c>
      <c r="K2055" s="16" t="n">
        <f aca="false">J2055*INDEX(Customers!$G$2:$G$41,MATCH(C2055,Customers!$A$2:$A$41,0))</f>
        <v>215.19015</v>
      </c>
      <c r="L2055" s="16" t="n">
        <f aca="false">F2055*INDEX(Customers!$H$2:$H$41,MATCH(C2055,Customers!$A$2:$A$41,0))</f>
        <v>2030</v>
      </c>
      <c r="M2055" s="16" t="n">
        <f aca="false">J2055*INDEX(Customers!$I$2:$I$41,MATCH(C2055,Customers!$A$2:$A$41,0))/365*Assumptions!$B$6</f>
        <v>282.98978630137</v>
      </c>
      <c r="N2055" s="16" t="n">
        <f aca="false">J2055-K2055-L2055-M2055</f>
        <v>18990.8350636986</v>
      </c>
      <c r="O2055" s="16" t="n">
        <f aca="false">F2055*IF(A2055="2025",INDEX(Products!$D$2:$D$13,MATCH(D2055,Products!$A$2:$A$13,0)),INDEX(Products!$F$2:$F$13,MATCH(D2055,Products!$A$2:$A$13,0)))</f>
        <v>14337.6</v>
      </c>
      <c r="P2055" s="16" t="n">
        <f aca="false">N2055-O2055</f>
        <v>4653.23506369863</v>
      </c>
    </row>
    <row r="2056" customFormat="false" ht="15" hidden="false" customHeight="false" outlineLevel="0" collapsed="false">
      <c r="A2056" s="2" t="s">
        <v>119</v>
      </c>
      <c r="B2056" s="2" t="n">
        <v>3</v>
      </c>
      <c r="C2056" s="2" t="s">
        <v>92</v>
      </c>
      <c r="D2056" s="2" t="s">
        <v>36</v>
      </c>
      <c r="E2056" s="2" t="str">
        <f aca="false">INDEX(Products!$B$2:$B$13,MATCH(D2056,Products!$A$2:$A$13,0))</f>
        <v>FCC</v>
      </c>
      <c r="F2056" s="15" t="n">
        <v>5.6</v>
      </c>
      <c r="G2056" s="16" t="n">
        <f aca="false">IF(A2056="2025",INDEX(Products!$C$2:$C$13,MATCH(D2056,Products!$A$2:$A$13,0)),INDEX(Products!$E$2:$E$13,MATCH(D2056,Products!$A$2:$A$13,0)))</f>
        <v>3885</v>
      </c>
      <c r="H2056" s="13" t="n">
        <f aca="false">IF(A2056="2025",INDEX(Customers!$D$2:$D$41,MATCH(C2056,Customers!$A$2:$A$41,0)),INDEX(Customers!$F$2:$F$41,MATCH(C2056,Customers!$A$2:$A$41,0)))</f>
        <v>0.045</v>
      </c>
      <c r="I2056" s="16" t="n">
        <f aca="false">F2056*G2056</f>
        <v>21756</v>
      </c>
      <c r="J2056" s="16" t="n">
        <f aca="false">I2056*(1-H2056)</f>
        <v>20776.98</v>
      </c>
      <c r="K2056" s="16" t="n">
        <f aca="false">J2056*INDEX(Customers!$G$2:$G$41,MATCH(C2056,Customers!$A$2:$A$41,0))</f>
        <v>207.7698</v>
      </c>
      <c r="L2056" s="16" t="n">
        <f aca="false">F2056*INDEX(Customers!$H$2:$H$41,MATCH(C2056,Customers!$A$2:$A$41,0))</f>
        <v>1960</v>
      </c>
      <c r="M2056" s="16" t="n">
        <f aca="false">J2056*INDEX(Customers!$I$2:$I$41,MATCH(C2056,Customers!$A$2:$A$41,0))/365*Assumptions!$B$6</f>
        <v>273.231517808219</v>
      </c>
      <c r="N2056" s="16" t="n">
        <f aca="false">J2056-K2056-L2056-M2056</f>
        <v>18335.9786821918</v>
      </c>
      <c r="O2056" s="16" t="n">
        <f aca="false">F2056*IF(A2056="2025",INDEX(Products!$D$2:$D$13,MATCH(D2056,Products!$A$2:$A$13,0)),INDEX(Products!$F$2:$F$13,MATCH(D2056,Products!$A$2:$A$13,0)))</f>
        <v>13843.2</v>
      </c>
      <c r="P2056" s="16" t="n">
        <f aca="false">N2056-O2056</f>
        <v>4492.77868219178</v>
      </c>
    </row>
    <row r="2057" customFormat="false" ht="15" hidden="false" customHeight="false" outlineLevel="0" collapsed="false">
      <c r="A2057" s="2" t="s">
        <v>119</v>
      </c>
      <c r="B2057" s="2" t="n">
        <v>4</v>
      </c>
      <c r="C2057" s="2" t="s">
        <v>92</v>
      </c>
      <c r="D2057" s="2" t="s">
        <v>36</v>
      </c>
      <c r="E2057" s="2" t="str">
        <f aca="false">INDEX(Products!$B$2:$B$13,MATCH(D2057,Products!$A$2:$A$13,0))</f>
        <v>FCC</v>
      </c>
      <c r="F2057" s="15" t="n">
        <v>5.1</v>
      </c>
      <c r="G2057" s="16" t="n">
        <f aca="false">IF(A2057="2025",INDEX(Products!$C$2:$C$13,MATCH(D2057,Products!$A$2:$A$13,0)),INDEX(Products!$E$2:$E$13,MATCH(D2057,Products!$A$2:$A$13,0)))</f>
        <v>3885</v>
      </c>
      <c r="H2057" s="13" t="n">
        <f aca="false">IF(A2057="2025",INDEX(Customers!$D$2:$D$41,MATCH(C2057,Customers!$A$2:$A$41,0)),INDEX(Customers!$F$2:$F$41,MATCH(C2057,Customers!$A$2:$A$41,0)))</f>
        <v>0.045</v>
      </c>
      <c r="I2057" s="16" t="n">
        <f aca="false">F2057*G2057</f>
        <v>19813.5</v>
      </c>
      <c r="J2057" s="16" t="n">
        <f aca="false">I2057*(1-H2057)</f>
        <v>18921.8925</v>
      </c>
      <c r="K2057" s="16" t="n">
        <f aca="false">J2057*INDEX(Customers!$G$2:$G$41,MATCH(C2057,Customers!$A$2:$A$41,0))</f>
        <v>189.218925</v>
      </c>
      <c r="L2057" s="16" t="n">
        <f aca="false">F2057*INDEX(Customers!$H$2:$H$41,MATCH(C2057,Customers!$A$2:$A$41,0))</f>
        <v>1785</v>
      </c>
      <c r="M2057" s="16" t="n">
        <f aca="false">J2057*INDEX(Customers!$I$2:$I$41,MATCH(C2057,Customers!$A$2:$A$41,0))/365*Assumptions!$B$6</f>
        <v>248.835846575342</v>
      </c>
      <c r="N2057" s="16" t="n">
        <f aca="false">J2057-K2057-L2057-M2057</f>
        <v>16698.8377284247</v>
      </c>
      <c r="O2057" s="16" t="n">
        <f aca="false">F2057*IF(A2057="2025",INDEX(Products!$D$2:$D$13,MATCH(D2057,Products!$A$2:$A$13,0)),INDEX(Products!$F$2:$F$13,MATCH(D2057,Products!$A$2:$A$13,0)))</f>
        <v>12607.2</v>
      </c>
      <c r="P2057" s="16" t="n">
        <f aca="false">N2057-O2057</f>
        <v>4091.63772842466</v>
      </c>
    </row>
    <row r="2058" customFormat="false" ht="15" hidden="false" customHeight="false" outlineLevel="0" collapsed="false">
      <c r="A2058" s="2" t="s">
        <v>119</v>
      </c>
      <c r="B2058" s="2" t="n">
        <v>5</v>
      </c>
      <c r="C2058" s="2" t="s">
        <v>92</v>
      </c>
      <c r="D2058" s="2" t="s">
        <v>36</v>
      </c>
      <c r="E2058" s="2" t="str">
        <f aca="false">INDEX(Products!$B$2:$B$13,MATCH(D2058,Products!$A$2:$A$13,0))</f>
        <v>FCC</v>
      </c>
      <c r="F2058" s="15" t="n">
        <v>4.9</v>
      </c>
      <c r="G2058" s="16" t="n">
        <f aca="false">IF(A2058="2025",INDEX(Products!$C$2:$C$13,MATCH(D2058,Products!$A$2:$A$13,0)),INDEX(Products!$E$2:$E$13,MATCH(D2058,Products!$A$2:$A$13,0)))</f>
        <v>3885</v>
      </c>
      <c r="H2058" s="13" t="n">
        <f aca="false">IF(A2058="2025",INDEX(Customers!$D$2:$D$41,MATCH(C2058,Customers!$A$2:$A$41,0)),INDEX(Customers!$F$2:$F$41,MATCH(C2058,Customers!$A$2:$A$41,0)))</f>
        <v>0.045</v>
      </c>
      <c r="I2058" s="16" t="n">
        <f aca="false">F2058*G2058</f>
        <v>19036.5</v>
      </c>
      <c r="J2058" s="16" t="n">
        <f aca="false">I2058*(1-H2058)</f>
        <v>18179.8575</v>
      </c>
      <c r="K2058" s="16" t="n">
        <f aca="false">J2058*INDEX(Customers!$G$2:$G$41,MATCH(C2058,Customers!$A$2:$A$41,0))</f>
        <v>181.798575</v>
      </c>
      <c r="L2058" s="16" t="n">
        <f aca="false">F2058*INDEX(Customers!$H$2:$H$41,MATCH(C2058,Customers!$A$2:$A$41,0))</f>
        <v>1715</v>
      </c>
      <c r="M2058" s="16" t="n">
        <f aca="false">J2058*INDEX(Customers!$I$2:$I$41,MATCH(C2058,Customers!$A$2:$A$41,0))/365*Assumptions!$B$6</f>
        <v>239.077578082192</v>
      </c>
      <c r="N2058" s="16" t="n">
        <f aca="false">J2058-K2058-L2058-M2058</f>
        <v>16043.9813469178</v>
      </c>
      <c r="O2058" s="16" t="n">
        <f aca="false">F2058*IF(A2058="2025",INDEX(Products!$D$2:$D$13,MATCH(D2058,Products!$A$2:$A$13,0)),INDEX(Products!$F$2:$F$13,MATCH(D2058,Products!$A$2:$A$13,0)))</f>
        <v>12112.8</v>
      </c>
      <c r="P2058" s="16" t="n">
        <f aca="false">N2058-O2058</f>
        <v>3931.18134691781</v>
      </c>
    </row>
    <row r="2059" customFormat="false" ht="15" hidden="false" customHeight="false" outlineLevel="0" collapsed="false">
      <c r="A2059" s="2" t="s">
        <v>119</v>
      </c>
      <c r="B2059" s="2" t="n">
        <v>6</v>
      </c>
      <c r="C2059" s="2" t="s">
        <v>92</v>
      </c>
      <c r="D2059" s="2" t="s">
        <v>36</v>
      </c>
      <c r="E2059" s="2" t="str">
        <f aca="false">INDEX(Products!$B$2:$B$13,MATCH(D2059,Products!$A$2:$A$13,0))</f>
        <v>FCC</v>
      </c>
      <c r="F2059" s="15" t="n">
        <v>4.5</v>
      </c>
      <c r="G2059" s="16" t="n">
        <f aca="false">IF(A2059="2025",INDEX(Products!$C$2:$C$13,MATCH(D2059,Products!$A$2:$A$13,0)),INDEX(Products!$E$2:$E$13,MATCH(D2059,Products!$A$2:$A$13,0)))</f>
        <v>3885</v>
      </c>
      <c r="H2059" s="13" t="n">
        <f aca="false">IF(A2059="2025",INDEX(Customers!$D$2:$D$41,MATCH(C2059,Customers!$A$2:$A$41,0)),INDEX(Customers!$F$2:$F$41,MATCH(C2059,Customers!$A$2:$A$41,0)))</f>
        <v>0.045</v>
      </c>
      <c r="I2059" s="16" t="n">
        <f aca="false">F2059*G2059</f>
        <v>17482.5</v>
      </c>
      <c r="J2059" s="16" t="n">
        <f aca="false">I2059*(1-H2059)</f>
        <v>16695.7875</v>
      </c>
      <c r="K2059" s="16" t="n">
        <f aca="false">J2059*INDEX(Customers!$G$2:$G$41,MATCH(C2059,Customers!$A$2:$A$41,0))</f>
        <v>166.957875</v>
      </c>
      <c r="L2059" s="16" t="n">
        <f aca="false">F2059*INDEX(Customers!$H$2:$H$41,MATCH(C2059,Customers!$A$2:$A$41,0))</f>
        <v>1575</v>
      </c>
      <c r="M2059" s="16" t="n">
        <f aca="false">J2059*INDEX(Customers!$I$2:$I$41,MATCH(C2059,Customers!$A$2:$A$41,0))/365*Assumptions!$B$6</f>
        <v>219.56104109589</v>
      </c>
      <c r="N2059" s="16" t="n">
        <f aca="false">J2059-K2059-L2059-M2059</f>
        <v>14734.2685839041</v>
      </c>
      <c r="O2059" s="16" t="n">
        <f aca="false">F2059*IF(A2059="2025",INDEX(Products!$D$2:$D$13,MATCH(D2059,Products!$A$2:$A$13,0)),INDEX(Products!$F$2:$F$13,MATCH(D2059,Products!$A$2:$A$13,0)))</f>
        <v>11124</v>
      </c>
      <c r="P2059" s="16" t="n">
        <f aca="false">N2059-O2059</f>
        <v>3610.26858390411</v>
      </c>
    </row>
    <row r="2060" customFormat="false" ht="15" hidden="false" customHeight="false" outlineLevel="0" collapsed="false">
      <c r="A2060" s="2" t="s">
        <v>119</v>
      </c>
      <c r="B2060" s="2" t="n">
        <v>7</v>
      </c>
      <c r="C2060" s="2" t="s">
        <v>92</v>
      </c>
      <c r="D2060" s="2" t="s">
        <v>36</v>
      </c>
      <c r="E2060" s="2" t="str">
        <f aca="false">INDEX(Products!$B$2:$B$13,MATCH(D2060,Products!$A$2:$A$13,0))</f>
        <v>FCC</v>
      </c>
      <c r="F2060" s="15" t="n">
        <v>4.4</v>
      </c>
      <c r="G2060" s="16" t="n">
        <f aca="false">IF(A2060="2025",INDEX(Products!$C$2:$C$13,MATCH(D2060,Products!$A$2:$A$13,0)),INDEX(Products!$E$2:$E$13,MATCH(D2060,Products!$A$2:$A$13,0)))</f>
        <v>3885</v>
      </c>
      <c r="H2060" s="13" t="n">
        <f aca="false">IF(A2060="2025",INDEX(Customers!$D$2:$D$41,MATCH(C2060,Customers!$A$2:$A$41,0)),INDEX(Customers!$F$2:$F$41,MATCH(C2060,Customers!$A$2:$A$41,0)))</f>
        <v>0.045</v>
      </c>
      <c r="I2060" s="16" t="n">
        <f aca="false">F2060*G2060</f>
        <v>17094</v>
      </c>
      <c r="J2060" s="16" t="n">
        <f aca="false">I2060*(1-H2060)</f>
        <v>16324.77</v>
      </c>
      <c r="K2060" s="16" t="n">
        <f aca="false">J2060*INDEX(Customers!$G$2:$G$41,MATCH(C2060,Customers!$A$2:$A$41,0))</f>
        <v>163.2477</v>
      </c>
      <c r="L2060" s="16" t="n">
        <f aca="false">F2060*INDEX(Customers!$H$2:$H$41,MATCH(C2060,Customers!$A$2:$A$41,0))</f>
        <v>1540</v>
      </c>
      <c r="M2060" s="16" t="n">
        <f aca="false">J2060*INDEX(Customers!$I$2:$I$41,MATCH(C2060,Customers!$A$2:$A$41,0))/365*Assumptions!$B$6</f>
        <v>214.681906849315</v>
      </c>
      <c r="N2060" s="16" t="n">
        <f aca="false">J2060-K2060-L2060-M2060</f>
        <v>14406.8403931507</v>
      </c>
      <c r="O2060" s="16" t="n">
        <f aca="false">F2060*IF(A2060="2025",INDEX(Products!$D$2:$D$13,MATCH(D2060,Products!$A$2:$A$13,0)),INDEX(Products!$F$2:$F$13,MATCH(D2060,Products!$A$2:$A$13,0)))</f>
        <v>10876.8</v>
      </c>
      <c r="P2060" s="16" t="n">
        <f aca="false">N2060-O2060</f>
        <v>3530.04039315068</v>
      </c>
    </row>
    <row r="2061" customFormat="false" ht="15" hidden="false" customHeight="false" outlineLevel="0" collapsed="false">
      <c r="A2061" s="2" t="s">
        <v>119</v>
      </c>
      <c r="B2061" s="2" t="n">
        <v>8</v>
      </c>
      <c r="C2061" s="2" t="s">
        <v>92</v>
      </c>
      <c r="D2061" s="2" t="s">
        <v>36</v>
      </c>
      <c r="E2061" s="2" t="str">
        <f aca="false">INDEX(Products!$B$2:$B$13,MATCH(D2061,Products!$A$2:$A$13,0))</f>
        <v>FCC</v>
      </c>
      <c r="F2061" s="15" t="n">
        <v>4.2</v>
      </c>
      <c r="G2061" s="16" t="n">
        <f aca="false">IF(A2061="2025",INDEX(Products!$C$2:$C$13,MATCH(D2061,Products!$A$2:$A$13,0)),INDEX(Products!$E$2:$E$13,MATCH(D2061,Products!$A$2:$A$13,0)))</f>
        <v>3885</v>
      </c>
      <c r="H2061" s="13" t="n">
        <f aca="false">IF(A2061="2025",INDEX(Customers!$D$2:$D$41,MATCH(C2061,Customers!$A$2:$A$41,0)),INDEX(Customers!$F$2:$F$41,MATCH(C2061,Customers!$A$2:$A$41,0)))</f>
        <v>0.045</v>
      </c>
      <c r="I2061" s="16" t="n">
        <f aca="false">F2061*G2061</f>
        <v>16317</v>
      </c>
      <c r="J2061" s="16" t="n">
        <f aca="false">I2061*(1-H2061)</f>
        <v>15582.735</v>
      </c>
      <c r="K2061" s="16" t="n">
        <f aca="false">J2061*INDEX(Customers!$G$2:$G$41,MATCH(C2061,Customers!$A$2:$A$41,0))</f>
        <v>155.82735</v>
      </c>
      <c r="L2061" s="16" t="n">
        <f aca="false">F2061*INDEX(Customers!$H$2:$H$41,MATCH(C2061,Customers!$A$2:$A$41,0))</f>
        <v>1470</v>
      </c>
      <c r="M2061" s="16" t="n">
        <f aca="false">J2061*INDEX(Customers!$I$2:$I$41,MATCH(C2061,Customers!$A$2:$A$41,0))/365*Assumptions!$B$6</f>
        <v>204.923638356164</v>
      </c>
      <c r="N2061" s="16" t="n">
        <f aca="false">J2061-K2061-L2061-M2061</f>
        <v>13751.9840116438</v>
      </c>
      <c r="O2061" s="16" t="n">
        <f aca="false">F2061*IF(A2061="2025",INDEX(Products!$D$2:$D$13,MATCH(D2061,Products!$A$2:$A$13,0)),INDEX(Products!$F$2:$F$13,MATCH(D2061,Products!$A$2:$A$13,0)))</f>
        <v>10382.4</v>
      </c>
      <c r="P2061" s="16" t="n">
        <f aca="false">N2061-O2061</f>
        <v>3369.58401164384</v>
      </c>
    </row>
    <row r="2062" customFormat="false" ht="15" hidden="false" customHeight="false" outlineLevel="0" collapsed="false">
      <c r="A2062" s="2" t="s">
        <v>119</v>
      </c>
      <c r="B2062" s="2" t="n">
        <v>9</v>
      </c>
      <c r="C2062" s="2" t="s">
        <v>92</v>
      </c>
      <c r="D2062" s="2" t="s">
        <v>36</v>
      </c>
      <c r="E2062" s="2" t="str">
        <f aca="false">INDEX(Products!$B$2:$B$13,MATCH(D2062,Products!$A$2:$A$13,0))</f>
        <v>FCC</v>
      </c>
      <c r="F2062" s="15" t="n">
        <v>4.5</v>
      </c>
      <c r="G2062" s="16" t="n">
        <f aca="false">IF(A2062="2025",INDEX(Products!$C$2:$C$13,MATCH(D2062,Products!$A$2:$A$13,0)),INDEX(Products!$E$2:$E$13,MATCH(D2062,Products!$A$2:$A$13,0)))</f>
        <v>3885</v>
      </c>
      <c r="H2062" s="13" t="n">
        <f aca="false">IF(A2062="2025",INDEX(Customers!$D$2:$D$41,MATCH(C2062,Customers!$A$2:$A$41,0)),INDEX(Customers!$F$2:$F$41,MATCH(C2062,Customers!$A$2:$A$41,0)))</f>
        <v>0.045</v>
      </c>
      <c r="I2062" s="16" t="n">
        <f aca="false">F2062*G2062</f>
        <v>17482.5</v>
      </c>
      <c r="J2062" s="16" t="n">
        <f aca="false">I2062*(1-H2062)</f>
        <v>16695.7875</v>
      </c>
      <c r="K2062" s="16" t="n">
        <f aca="false">J2062*INDEX(Customers!$G$2:$G$41,MATCH(C2062,Customers!$A$2:$A$41,0))</f>
        <v>166.957875</v>
      </c>
      <c r="L2062" s="16" t="n">
        <f aca="false">F2062*INDEX(Customers!$H$2:$H$41,MATCH(C2062,Customers!$A$2:$A$41,0))</f>
        <v>1575</v>
      </c>
      <c r="M2062" s="16" t="n">
        <f aca="false">J2062*INDEX(Customers!$I$2:$I$41,MATCH(C2062,Customers!$A$2:$A$41,0))/365*Assumptions!$B$6</f>
        <v>219.56104109589</v>
      </c>
      <c r="N2062" s="16" t="n">
        <f aca="false">J2062-K2062-L2062-M2062</f>
        <v>14734.2685839041</v>
      </c>
      <c r="O2062" s="16" t="n">
        <f aca="false">F2062*IF(A2062="2025",INDEX(Products!$D$2:$D$13,MATCH(D2062,Products!$A$2:$A$13,0)),INDEX(Products!$F$2:$F$13,MATCH(D2062,Products!$A$2:$A$13,0)))</f>
        <v>11124</v>
      </c>
      <c r="P2062" s="16" t="n">
        <f aca="false">N2062-O2062</f>
        <v>3610.26858390411</v>
      </c>
    </row>
    <row r="2063" customFormat="false" ht="15" hidden="false" customHeight="false" outlineLevel="0" collapsed="false">
      <c r="A2063" s="2" t="s">
        <v>119</v>
      </c>
      <c r="B2063" s="2" t="n">
        <v>10</v>
      </c>
      <c r="C2063" s="2" t="s">
        <v>92</v>
      </c>
      <c r="D2063" s="2" t="s">
        <v>36</v>
      </c>
      <c r="E2063" s="2" t="str">
        <f aca="false">INDEX(Products!$B$2:$B$13,MATCH(D2063,Products!$A$2:$A$13,0))</f>
        <v>FCC</v>
      </c>
      <c r="F2063" s="15" t="n">
        <v>7.5</v>
      </c>
      <c r="G2063" s="16" t="n">
        <f aca="false">IF(A2063="2025",INDEX(Products!$C$2:$C$13,MATCH(D2063,Products!$A$2:$A$13,0)),INDEX(Products!$E$2:$E$13,MATCH(D2063,Products!$A$2:$A$13,0)))</f>
        <v>3885</v>
      </c>
      <c r="H2063" s="13" t="n">
        <f aca="false">IF(A2063="2025",INDEX(Customers!$D$2:$D$41,MATCH(C2063,Customers!$A$2:$A$41,0)),INDEX(Customers!$F$2:$F$41,MATCH(C2063,Customers!$A$2:$A$41,0)))</f>
        <v>0.045</v>
      </c>
      <c r="I2063" s="16" t="n">
        <f aca="false">F2063*G2063</f>
        <v>29137.5</v>
      </c>
      <c r="J2063" s="16" t="n">
        <f aca="false">I2063*(1-H2063)</f>
        <v>27826.3125</v>
      </c>
      <c r="K2063" s="16" t="n">
        <f aca="false">J2063*INDEX(Customers!$G$2:$G$41,MATCH(C2063,Customers!$A$2:$A$41,0))</f>
        <v>278.263125</v>
      </c>
      <c r="L2063" s="16" t="n">
        <f aca="false">F2063*INDEX(Customers!$H$2:$H$41,MATCH(C2063,Customers!$A$2:$A$41,0))</f>
        <v>2625</v>
      </c>
      <c r="M2063" s="16" t="n">
        <f aca="false">J2063*INDEX(Customers!$I$2:$I$41,MATCH(C2063,Customers!$A$2:$A$41,0))/365*Assumptions!$B$6</f>
        <v>365.935068493151</v>
      </c>
      <c r="N2063" s="16" t="n">
        <f aca="false">J2063-K2063-L2063-M2063</f>
        <v>24557.1143065068</v>
      </c>
      <c r="O2063" s="16" t="n">
        <f aca="false">F2063*IF(A2063="2025",INDEX(Products!$D$2:$D$13,MATCH(D2063,Products!$A$2:$A$13,0)),INDEX(Products!$F$2:$F$13,MATCH(D2063,Products!$A$2:$A$13,0)))</f>
        <v>18540</v>
      </c>
      <c r="P2063" s="16" t="n">
        <f aca="false">N2063-O2063</f>
        <v>6017.11430650685</v>
      </c>
    </row>
    <row r="2064" customFormat="false" ht="15" hidden="false" customHeight="false" outlineLevel="0" collapsed="false">
      <c r="A2064" s="2" t="s">
        <v>119</v>
      </c>
      <c r="B2064" s="2" t="n">
        <v>11</v>
      </c>
      <c r="C2064" s="2" t="s">
        <v>92</v>
      </c>
      <c r="D2064" s="2" t="s">
        <v>36</v>
      </c>
      <c r="E2064" s="2" t="str">
        <f aca="false">INDEX(Products!$B$2:$B$13,MATCH(D2064,Products!$A$2:$A$13,0))</f>
        <v>FCC</v>
      </c>
      <c r="F2064" s="15" t="n">
        <v>4.7</v>
      </c>
      <c r="G2064" s="16" t="n">
        <f aca="false">IF(A2064="2025",INDEX(Products!$C$2:$C$13,MATCH(D2064,Products!$A$2:$A$13,0)),INDEX(Products!$E$2:$E$13,MATCH(D2064,Products!$A$2:$A$13,0)))</f>
        <v>3885</v>
      </c>
      <c r="H2064" s="13" t="n">
        <f aca="false">IF(A2064="2025",INDEX(Customers!$D$2:$D$41,MATCH(C2064,Customers!$A$2:$A$41,0)),INDEX(Customers!$F$2:$F$41,MATCH(C2064,Customers!$A$2:$A$41,0)))</f>
        <v>0.045</v>
      </c>
      <c r="I2064" s="16" t="n">
        <f aca="false">F2064*G2064</f>
        <v>18259.5</v>
      </c>
      <c r="J2064" s="16" t="n">
        <f aca="false">I2064*(1-H2064)</f>
        <v>17437.8225</v>
      </c>
      <c r="K2064" s="16" t="n">
        <f aca="false">J2064*INDEX(Customers!$G$2:$G$41,MATCH(C2064,Customers!$A$2:$A$41,0))</f>
        <v>174.378225</v>
      </c>
      <c r="L2064" s="16" t="n">
        <f aca="false">F2064*INDEX(Customers!$H$2:$H$41,MATCH(C2064,Customers!$A$2:$A$41,0))</f>
        <v>1645</v>
      </c>
      <c r="M2064" s="16" t="n">
        <f aca="false">J2064*INDEX(Customers!$I$2:$I$41,MATCH(C2064,Customers!$A$2:$A$41,0))/365*Assumptions!$B$6</f>
        <v>229.319309589041</v>
      </c>
      <c r="N2064" s="16" t="n">
        <f aca="false">J2064-K2064-L2064-M2064</f>
        <v>15389.124965411</v>
      </c>
      <c r="O2064" s="16" t="n">
        <f aca="false">F2064*IF(A2064="2025",INDEX(Products!$D$2:$D$13,MATCH(D2064,Products!$A$2:$A$13,0)),INDEX(Products!$F$2:$F$13,MATCH(D2064,Products!$A$2:$A$13,0)))</f>
        <v>11618.4</v>
      </c>
      <c r="P2064" s="16" t="n">
        <f aca="false">N2064-O2064</f>
        <v>3770.72496541096</v>
      </c>
    </row>
    <row r="2065" customFormat="false" ht="15" hidden="false" customHeight="false" outlineLevel="0" collapsed="false">
      <c r="A2065" s="2" t="s">
        <v>119</v>
      </c>
      <c r="B2065" s="2" t="n">
        <v>12</v>
      </c>
      <c r="C2065" s="2" t="s">
        <v>92</v>
      </c>
      <c r="D2065" s="2" t="s">
        <v>36</v>
      </c>
      <c r="E2065" s="2" t="str">
        <f aca="false">INDEX(Products!$B$2:$B$13,MATCH(D2065,Products!$A$2:$A$13,0))</f>
        <v>FCC</v>
      </c>
      <c r="F2065" s="15" t="n">
        <v>5.5</v>
      </c>
      <c r="G2065" s="16" t="n">
        <f aca="false">IF(A2065="2025",INDEX(Products!$C$2:$C$13,MATCH(D2065,Products!$A$2:$A$13,0)),INDEX(Products!$E$2:$E$13,MATCH(D2065,Products!$A$2:$A$13,0)))</f>
        <v>3885</v>
      </c>
      <c r="H2065" s="13" t="n">
        <f aca="false">IF(A2065="2025",INDEX(Customers!$D$2:$D$41,MATCH(C2065,Customers!$A$2:$A$41,0)),INDEX(Customers!$F$2:$F$41,MATCH(C2065,Customers!$A$2:$A$41,0)))</f>
        <v>0.045</v>
      </c>
      <c r="I2065" s="16" t="n">
        <f aca="false">F2065*G2065</f>
        <v>21367.5</v>
      </c>
      <c r="J2065" s="16" t="n">
        <f aca="false">I2065*(1-H2065)</f>
        <v>20405.9625</v>
      </c>
      <c r="K2065" s="16" t="n">
        <f aca="false">J2065*INDEX(Customers!$G$2:$G$41,MATCH(C2065,Customers!$A$2:$A$41,0))</f>
        <v>204.059625</v>
      </c>
      <c r="L2065" s="16" t="n">
        <f aca="false">F2065*INDEX(Customers!$H$2:$H$41,MATCH(C2065,Customers!$A$2:$A$41,0))</f>
        <v>1925</v>
      </c>
      <c r="M2065" s="16" t="n">
        <f aca="false">J2065*INDEX(Customers!$I$2:$I$41,MATCH(C2065,Customers!$A$2:$A$41,0))/365*Assumptions!$B$6</f>
        <v>268.352383561644</v>
      </c>
      <c r="N2065" s="16" t="n">
        <f aca="false">J2065-K2065-L2065-M2065</f>
        <v>18008.5504914384</v>
      </c>
      <c r="O2065" s="16" t="n">
        <f aca="false">F2065*IF(A2065="2025",INDEX(Products!$D$2:$D$13,MATCH(D2065,Products!$A$2:$A$13,0)),INDEX(Products!$F$2:$F$13,MATCH(D2065,Products!$A$2:$A$13,0)))</f>
        <v>13596</v>
      </c>
      <c r="P2065" s="16" t="n">
        <f aca="false">N2065-O2065</f>
        <v>4412.55049143835</v>
      </c>
    </row>
    <row r="2066" customFormat="false" ht="15" hidden="false" customHeight="false" outlineLevel="0" collapsed="false">
      <c r="A2066" s="2" t="s">
        <v>118</v>
      </c>
      <c r="B2066" s="2" t="n">
        <v>1</v>
      </c>
      <c r="C2066" s="2" t="s">
        <v>92</v>
      </c>
      <c r="D2066" s="2" t="s">
        <v>42</v>
      </c>
      <c r="E2066" s="2" t="str">
        <f aca="false">INDEX(Products!$B$2:$B$13,MATCH(D2066,Products!$A$2:$A$13,0))</f>
        <v>Hydroprocessing</v>
      </c>
      <c r="F2066" s="15" t="n">
        <v>3.9</v>
      </c>
      <c r="G2066" s="16" t="n">
        <f aca="false">IF(A2066="2025",INDEX(Products!$C$2:$C$13,MATCH(D2066,Products!$A$2:$A$13,0)),INDEX(Products!$E$2:$E$13,MATCH(D2066,Products!$A$2:$A$13,0)))</f>
        <v>12450</v>
      </c>
      <c r="H2066" s="13" t="n">
        <f aca="false">IF(A2066="2025",INDEX(Customers!$D$2:$D$41,MATCH(C2066,Customers!$A$2:$A$41,0)),INDEX(Customers!$F$2:$F$41,MATCH(C2066,Customers!$A$2:$A$41,0)))</f>
        <v>0.045</v>
      </c>
      <c r="I2066" s="16" t="n">
        <f aca="false">F2066*G2066</f>
        <v>48555</v>
      </c>
      <c r="J2066" s="16" t="n">
        <f aca="false">I2066*(1-H2066)</f>
        <v>46370.025</v>
      </c>
      <c r="K2066" s="16" t="n">
        <f aca="false">J2066*INDEX(Customers!$G$2:$G$41,MATCH(C2066,Customers!$A$2:$A$41,0))</f>
        <v>463.70025</v>
      </c>
      <c r="L2066" s="16" t="n">
        <f aca="false">F2066*INDEX(Customers!$H$2:$H$41,MATCH(C2066,Customers!$A$2:$A$41,0))</f>
        <v>1365</v>
      </c>
      <c r="M2066" s="16" t="n">
        <f aca="false">J2066*INDEX(Customers!$I$2:$I$41,MATCH(C2066,Customers!$A$2:$A$41,0))/365*Assumptions!$B$6</f>
        <v>609.797589041096</v>
      </c>
      <c r="N2066" s="16" t="n">
        <f aca="false">J2066-K2066-L2066-M2066</f>
        <v>43931.5271609589</v>
      </c>
      <c r="O2066" s="16" t="n">
        <f aca="false">F2066*IF(A2066="2025",INDEX(Products!$D$2:$D$13,MATCH(D2066,Products!$A$2:$A$13,0)),INDEX(Products!$F$2:$F$13,MATCH(D2066,Products!$A$2:$A$13,0)))</f>
        <v>30342</v>
      </c>
      <c r="P2066" s="16" t="n">
        <f aca="false">N2066-O2066</f>
        <v>13589.5271609589</v>
      </c>
    </row>
    <row r="2067" customFormat="false" ht="15" hidden="false" customHeight="false" outlineLevel="0" collapsed="false">
      <c r="A2067" s="2" t="s">
        <v>118</v>
      </c>
      <c r="B2067" s="2" t="n">
        <v>2</v>
      </c>
      <c r="C2067" s="2" t="s">
        <v>92</v>
      </c>
      <c r="D2067" s="2" t="s">
        <v>42</v>
      </c>
      <c r="E2067" s="2" t="str">
        <f aca="false">INDEX(Products!$B$2:$B$13,MATCH(D2067,Products!$A$2:$A$13,0))</f>
        <v>Hydroprocessing</v>
      </c>
      <c r="F2067" s="15" t="n">
        <v>2.8</v>
      </c>
      <c r="G2067" s="16" t="n">
        <f aca="false">IF(A2067="2025",INDEX(Products!$C$2:$C$13,MATCH(D2067,Products!$A$2:$A$13,0)),INDEX(Products!$E$2:$E$13,MATCH(D2067,Products!$A$2:$A$13,0)))</f>
        <v>12450</v>
      </c>
      <c r="H2067" s="13" t="n">
        <f aca="false">IF(A2067="2025",INDEX(Customers!$D$2:$D$41,MATCH(C2067,Customers!$A$2:$A$41,0)),INDEX(Customers!$F$2:$F$41,MATCH(C2067,Customers!$A$2:$A$41,0)))</f>
        <v>0.045</v>
      </c>
      <c r="I2067" s="16" t="n">
        <f aca="false">F2067*G2067</f>
        <v>34860</v>
      </c>
      <c r="J2067" s="16" t="n">
        <f aca="false">I2067*(1-H2067)</f>
        <v>33291.3</v>
      </c>
      <c r="K2067" s="16" t="n">
        <f aca="false">J2067*INDEX(Customers!$G$2:$G$41,MATCH(C2067,Customers!$A$2:$A$41,0))</f>
        <v>332.913</v>
      </c>
      <c r="L2067" s="16" t="n">
        <f aca="false">F2067*INDEX(Customers!$H$2:$H$41,MATCH(C2067,Customers!$A$2:$A$41,0))</f>
        <v>980</v>
      </c>
      <c r="M2067" s="16" t="n">
        <f aca="false">J2067*INDEX(Customers!$I$2:$I$41,MATCH(C2067,Customers!$A$2:$A$41,0))/365*Assumptions!$B$6</f>
        <v>437.803397260274</v>
      </c>
      <c r="N2067" s="16" t="n">
        <f aca="false">J2067-K2067-L2067-M2067</f>
        <v>31540.5836027397</v>
      </c>
      <c r="O2067" s="16" t="n">
        <f aca="false">F2067*IF(A2067="2025",INDEX(Products!$D$2:$D$13,MATCH(D2067,Products!$A$2:$A$13,0)),INDEX(Products!$F$2:$F$13,MATCH(D2067,Products!$A$2:$A$13,0)))</f>
        <v>21784</v>
      </c>
      <c r="P2067" s="16" t="n">
        <f aca="false">N2067-O2067</f>
        <v>9756.58360273972</v>
      </c>
    </row>
    <row r="2068" customFormat="false" ht="15" hidden="false" customHeight="false" outlineLevel="0" collapsed="false">
      <c r="A2068" s="2" t="s">
        <v>118</v>
      </c>
      <c r="B2068" s="2" t="n">
        <v>3</v>
      </c>
      <c r="C2068" s="2" t="s">
        <v>92</v>
      </c>
      <c r="D2068" s="2" t="s">
        <v>42</v>
      </c>
      <c r="E2068" s="2" t="str">
        <f aca="false">INDEX(Products!$B$2:$B$13,MATCH(D2068,Products!$A$2:$A$13,0))</f>
        <v>Hydroprocessing</v>
      </c>
      <c r="F2068" s="15" t="n">
        <v>3.7</v>
      </c>
      <c r="G2068" s="16" t="n">
        <f aca="false">IF(A2068="2025",INDEX(Products!$C$2:$C$13,MATCH(D2068,Products!$A$2:$A$13,0)),INDEX(Products!$E$2:$E$13,MATCH(D2068,Products!$A$2:$A$13,0)))</f>
        <v>12450</v>
      </c>
      <c r="H2068" s="13" t="n">
        <f aca="false">IF(A2068="2025",INDEX(Customers!$D$2:$D$41,MATCH(C2068,Customers!$A$2:$A$41,0)),INDEX(Customers!$F$2:$F$41,MATCH(C2068,Customers!$A$2:$A$41,0)))</f>
        <v>0.045</v>
      </c>
      <c r="I2068" s="16" t="n">
        <f aca="false">F2068*G2068</f>
        <v>46065</v>
      </c>
      <c r="J2068" s="16" t="n">
        <f aca="false">I2068*(1-H2068)</f>
        <v>43992.075</v>
      </c>
      <c r="K2068" s="16" t="n">
        <f aca="false">J2068*INDEX(Customers!$G$2:$G$41,MATCH(C2068,Customers!$A$2:$A$41,0))</f>
        <v>439.92075</v>
      </c>
      <c r="L2068" s="16" t="n">
        <f aca="false">F2068*INDEX(Customers!$H$2:$H$41,MATCH(C2068,Customers!$A$2:$A$41,0))</f>
        <v>1295</v>
      </c>
      <c r="M2068" s="16" t="n">
        <f aca="false">J2068*INDEX(Customers!$I$2:$I$41,MATCH(C2068,Customers!$A$2:$A$41,0))/365*Assumptions!$B$6</f>
        <v>578.525917808219</v>
      </c>
      <c r="N2068" s="16" t="n">
        <f aca="false">J2068-K2068-L2068-M2068</f>
        <v>41678.6283321918</v>
      </c>
      <c r="O2068" s="16" t="n">
        <f aca="false">F2068*IF(A2068="2025",INDEX(Products!$D$2:$D$13,MATCH(D2068,Products!$A$2:$A$13,0)),INDEX(Products!$F$2:$F$13,MATCH(D2068,Products!$A$2:$A$13,0)))</f>
        <v>28786</v>
      </c>
      <c r="P2068" s="16" t="n">
        <f aca="false">N2068-O2068</f>
        <v>12892.6283321918</v>
      </c>
    </row>
    <row r="2069" customFormat="false" ht="15" hidden="false" customHeight="false" outlineLevel="0" collapsed="false">
      <c r="A2069" s="2" t="s">
        <v>118</v>
      </c>
      <c r="B2069" s="2" t="n">
        <v>4</v>
      </c>
      <c r="C2069" s="2" t="s">
        <v>92</v>
      </c>
      <c r="D2069" s="2" t="s">
        <v>42</v>
      </c>
      <c r="E2069" s="2" t="str">
        <f aca="false">INDEX(Products!$B$2:$B$13,MATCH(D2069,Products!$A$2:$A$13,0))</f>
        <v>Hydroprocessing</v>
      </c>
      <c r="F2069" s="15" t="n">
        <v>2.6</v>
      </c>
      <c r="G2069" s="16" t="n">
        <f aca="false">IF(A2069="2025",INDEX(Products!$C$2:$C$13,MATCH(D2069,Products!$A$2:$A$13,0)),INDEX(Products!$E$2:$E$13,MATCH(D2069,Products!$A$2:$A$13,0)))</f>
        <v>12450</v>
      </c>
      <c r="H2069" s="13" t="n">
        <f aca="false">IF(A2069="2025",INDEX(Customers!$D$2:$D$41,MATCH(C2069,Customers!$A$2:$A$41,0)),INDEX(Customers!$F$2:$F$41,MATCH(C2069,Customers!$A$2:$A$41,0)))</f>
        <v>0.045</v>
      </c>
      <c r="I2069" s="16" t="n">
        <f aca="false">F2069*G2069</f>
        <v>32370</v>
      </c>
      <c r="J2069" s="16" t="n">
        <f aca="false">I2069*(1-H2069)</f>
        <v>30913.35</v>
      </c>
      <c r="K2069" s="16" t="n">
        <f aca="false">J2069*INDEX(Customers!$G$2:$G$41,MATCH(C2069,Customers!$A$2:$A$41,0))</f>
        <v>309.1335</v>
      </c>
      <c r="L2069" s="16" t="n">
        <f aca="false">F2069*INDEX(Customers!$H$2:$H$41,MATCH(C2069,Customers!$A$2:$A$41,0))</f>
        <v>910</v>
      </c>
      <c r="M2069" s="16" t="n">
        <f aca="false">J2069*INDEX(Customers!$I$2:$I$41,MATCH(C2069,Customers!$A$2:$A$41,0))/365*Assumptions!$B$6</f>
        <v>406.531726027397</v>
      </c>
      <c r="N2069" s="16" t="n">
        <f aca="false">J2069-K2069-L2069-M2069</f>
        <v>29287.6847739726</v>
      </c>
      <c r="O2069" s="16" t="n">
        <f aca="false">F2069*IF(A2069="2025",INDEX(Products!$D$2:$D$13,MATCH(D2069,Products!$A$2:$A$13,0)),INDEX(Products!$F$2:$F$13,MATCH(D2069,Products!$A$2:$A$13,0)))</f>
        <v>20228</v>
      </c>
      <c r="P2069" s="16" t="n">
        <f aca="false">N2069-O2069</f>
        <v>9059.6847739726</v>
      </c>
    </row>
    <row r="2070" customFormat="false" ht="15" hidden="false" customHeight="false" outlineLevel="0" collapsed="false">
      <c r="A2070" s="2" t="s">
        <v>118</v>
      </c>
      <c r="B2070" s="2" t="n">
        <v>5</v>
      </c>
      <c r="C2070" s="2" t="s">
        <v>92</v>
      </c>
      <c r="D2070" s="2" t="s">
        <v>42</v>
      </c>
      <c r="E2070" s="2" t="str">
        <f aca="false">INDEX(Products!$B$2:$B$13,MATCH(D2070,Products!$A$2:$A$13,0))</f>
        <v>Hydroprocessing</v>
      </c>
      <c r="F2070" s="15" t="n">
        <v>3.8</v>
      </c>
      <c r="G2070" s="16" t="n">
        <f aca="false">IF(A2070="2025",INDEX(Products!$C$2:$C$13,MATCH(D2070,Products!$A$2:$A$13,0)),INDEX(Products!$E$2:$E$13,MATCH(D2070,Products!$A$2:$A$13,0)))</f>
        <v>12450</v>
      </c>
      <c r="H2070" s="13" t="n">
        <f aca="false">IF(A2070="2025",INDEX(Customers!$D$2:$D$41,MATCH(C2070,Customers!$A$2:$A$41,0)),INDEX(Customers!$F$2:$F$41,MATCH(C2070,Customers!$A$2:$A$41,0)))</f>
        <v>0.045</v>
      </c>
      <c r="I2070" s="16" t="n">
        <f aca="false">F2070*G2070</f>
        <v>47310</v>
      </c>
      <c r="J2070" s="16" t="n">
        <f aca="false">I2070*(1-H2070)</f>
        <v>45181.05</v>
      </c>
      <c r="K2070" s="16" t="n">
        <f aca="false">J2070*INDEX(Customers!$G$2:$G$41,MATCH(C2070,Customers!$A$2:$A$41,0))</f>
        <v>451.8105</v>
      </c>
      <c r="L2070" s="16" t="n">
        <f aca="false">F2070*INDEX(Customers!$H$2:$H$41,MATCH(C2070,Customers!$A$2:$A$41,0))</f>
        <v>1330</v>
      </c>
      <c r="M2070" s="16" t="n">
        <f aca="false">J2070*INDEX(Customers!$I$2:$I$41,MATCH(C2070,Customers!$A$2:$A$41,0))/365*Assumptions!$B$6</f>
        <v>594.161753424658</v>
      </c>
      <c r="N2070" s="16" t="n">
        <f aca="false">J2070-K2070-L2070-M2070</f>
        <v>42805.0777465753</v>
      </c>
      <c r="O2070" s="16" t="n">
        <f aca="false">F2070*IF(A2070="2025",INDEX(Products!$D$2:$D$13,MATCH(D2070,Products!$A$2:$A$13,0)),INDEX(Products!$F$2:$F$13,MATCH(D2070,Products!$A$2:$A$13,0)))</f>
        <v>29564</v>
      </c>
      <c r="P2070" s="16" t="n">
        <f aca="false">N2070-O2070</f>
        <v>13241.0777465753</v>
      </c>
    </row>
    <row r="2071" customFormat="false" ht="15" hidden="false" customHeight="false" outlineLevel="0" collapsed="false">
      <c r="A2071" s="2" t="s">
        <v>118</v>
      </c>
      <c r="B2071" s="2" t="n">
        <v>6</v>
      </c>
      <c r="C2071" s="2" t="s">
        <v>92</v>
      </c>
      <c r="D2071" s="2" t="s">
        <v>42</v>
      </c>
      <c r="E2071" s="2" t="str">
        <f aca="false">INDEX(Products!$B$2:$B$13,MATCH(D2071,Products!$A$2:$A$13,0))</f>
        <v>Hydroprocessing</v>
      </c>
      <c r="F2071" s="15" t="n">
        <v>2.9</v>
      </c>
      <c r="G2071" s="16" t="n">
        <f aca="false">IF(A2071="2025",INDEX(Products!$C$2:$C$13,MATCH(D2071,Products!$A$2:$A$13,0)),INDEX(Products!$E$2:$E$13,MATCH(D2071,Products!$A$2:$A$13,0)))</f>
        <v>12450</v>
      </c>
      <c r="H2071" s="13" t="n">
        <f aca="false">IF(A2071="2025",INDEX(Customers!$D$2:$D$41,MATCH(C2071,Customers!$A$2:$A$41,0)),INDEX(Customers!$F$2:$F$41,MATCH(C2071,Customers!$A$2:$A$41,0)))</f>
        <v>0.045</v>
      </c>
      <c r="I2071" s="16" t="n">
        <f aca="false">F2071*G2071</f>
        <v>36105</v>
      </c>
      <c r="J2071" s="16" t="n">
        <f aca="false">I2071*(1-H2071)</f>
        <v>34480.275</v>
      </c>
      <c r="K2071" s="16" t="n">
        <f aca="false">J2071*INDEX(Customers!$G$2:$G$41,MATCH(C2071,Customers!$A$2:$A$41,0))</f>
        <v>344.80275</v>
      </c>
      <c r="L2071" s="16" t="n">
        <f aca="false">F2071*INDEX(Customers!$H$2:$H$41,MATCH(C2071,Customers!$A$2:$A$41,0))</f>
        <v>1015</v>
      </c>
      <c r="M2071" s="16" t="n">
        <f aca="false">J2071*INDEX(Customers!$I$2:$I$41,MATCH(C2071,Customers!$A$2:$A$41,0))/365*Assumptions!$B$6</f>
        <v>453.439232876712</v>
      </c>
      <c r="N2071" s="16" t="n">
        <f aca="false">J2071-K2071-L2071-M2071</f>
        <v>32667.0330171233</v>
      </c>
      <c r="O2071" s="16" t="n">
        <f aca="false">F2071*IF(A2071="2025",INDEX(Products!$D$2:$D$13,MATCH(D2071,Products!$A$2:$A$13,0)),INDEX(Products!$F$2:$F$13,MATCH(D2071,Products!$A$2:$A$13,0)))</f>
        <v>22562</v>
      </c>
      <c r="P2071" s="16" t="n">
        <f aca="false">N2071-O2071</f>
        <v>10105.0330171233</v>
      </c>
    </row>
    <row r="2072" customFormat="false" ht="15" hidden="false" customHeight="false" outlineLevel="0" collapsed="false">
      <c r="A2072" s="2" t="s">
        <v>118</v>
      </c>
      <c r="B2072" s="2" t="n">
        <v>7</v>
      </c>
      <c r="C2072" s="2" t="s">
        <v>92</v>
      </c>
      <c r="D2072" s="2" t="s">
        <v>42</v>
      </c>
      <c r="E2072" s="2" t="str">
        <f aca="false">INDEX(Products!$B$2:$B$13,MATCH(D2072,Products!$A$2:$A$13,0))</f>
        <v>Hydroprocessing</v>
      </c>
      <c r="F2072" s="15" t="n">
        <v>3.3</v>
      </c>
      <c r="G2072" s="16" t="n">
        <f aca="false">IF(A2072="2025",INDEX(Products!$C$2:$C$13,MATCH(D2072,Products!$A$2:$A$13,0)),INDEX(Products!$E$2:$E$13,MATCH(D2072,Products!$A$2:$A$13,0)))</f>
        <v>12450</v>
      </c>
      <c r="H2072" s="13" t="n">
        <f aca="false">IF(A2072="2025",INDEX(Customers!$D$2:$D$41,MATCH(C2072,Customers!$A$2:$A$41,0)),INDEX(Customers!$F$2:$F$41,MATCH(C2072,Customers!$A$2:$A$41,0)))</f>
        <v>0.045</v>
      </c>
      <c r="I2072" s="16" t="n">
        <f aca="false">F2072*G2072</f>
        <v>41085</v>
      </c>
      <c r="J2072" s="16" t="n">
        <f aca="false">I2072*(1-H2072)</f>
        <v>39236.175</v>
      </c>
      <c r="K2072" s="16" t="n">
        <f aca="false">J2072*INDEX(Customers!$G$2:$G$41,MATCH(C2072,Customers!$A$2:$A$41,0))</f>
        <v>392.36175</v>
      </c>
      <c r="L2072" s="16" t="n">
        <f aca="false">F2072*INDEX(Customers!$H$2:$H$41,MATCH(C2072,Customers!$A$2:$A$41,0))</f>
        <v>1155</v>
      </c>
      <c r="M2072" s="16" t="n">
        <f aca="false">J2072*INDEX(Customers!$I$2:$I$41,MATCH(C2072,Customers!$A$2:$A$41,0))/365*Assumptions!$B$6</f>
        <v>515.982575342466</v>
      </c>
      <c r="N2072" s="16" t="n">
        <f aca="false">J2072-K2072-L2072-M2072</f>
        <v>37172.8306746575</v>
      </c>
      <c r="O2072" s="16" t="n">
        <f aca="false">F2072*IF(A2072="2025",INDEX(Products!$D$2:$D$13,MATCH(D2072,Products!$A$2:$A$13,0)),INDEX(Products!$F$2:$F$13,MATCH(D2072,Products!$A$2:$A$13,0)))</f>
        <v>25674</v>
      </c>
      <c r="P2072" s="16" t="n">
        <f aca="false">N2072-O2072</f>
        <v>11498.8306746575</v>
      </c>
    </row>
    <row r="2073" customFormat="false" ht="15" hidden="false" customHeight="false" outlineLevel="0" collapsed="false">
      <c r="A2073" s="2" t="s">
        <v>118</v>
      </c>
      <c r="B2073" s="2" t="n">
        <v>8</v>
      </c>
      <c r="C2073" s="2" t="s">
        <v>92</v>
      </c>
      <c r="D2073" s="2" t="s">
        <v>42</v>
      </c>
      <c r="E2073" s="2" t="str">
        <f aca="false">INDEX(Products!$B$2:$B$13,MATCH(D2073,Products!$A$2:$A$13,0))</f>
        <v>Hydroprocessing</v>
      </c>
      <c r="F2073" s="15" t="n">
        <v>2.7</v>
      </c>
      <c r="G2073" s="16" t="n">
        <f aca="false">IF(A2073="2025",INDEX(Products!$C$2:$C$13,MATCH(D2073,Products!$A$2:$A$13,0)),INDEX(Products!$E$2:$E$13,MATCH(D2073,Products!$A$2:$A$13,0)))</f>
        <v>12450</v>
      </c>
      <c r="H2073" s="13" t="n">
        <f aca="false">IF(A2073="2025",INDEX(Customers!$D$2:$D$41,MATCH(C2073,Customers!$A$2:$A$41,0)),INDEX(Customers!$F$2:$F$41,MATCH(C2073,Customers!$A$2:$A$41,0)))</f>
        <v>0.045</v>
      </c>
      <c r="I2073" s="16" t="n">
        <f aca="false">F2073*G2073</f>
        <v>33615</v>
      </c>
      <c r="J2073" s="16" t="n">
        <f aca="false">I2073*(1-H2073)</f>
        <v>32102.325</v>
      </c>
      <c r="K2073" s="16" t="n">
        <f aca="false">J2073*INDEX(Customers!$G$2:$G$41,MATCH(C2073,Customers!$A$2:$A$41,0))</f>
        <v>321.02325</v>
      </c>
      <c r="L2073" s="16" t="n">
        <f aca="false">F2073*INDEX(Customers!$H$2:$H$41,MATCH(C2073,Customers!$A$2:$A$41,0))</f>
        <v>945</v>
      </c>
      <c r="M2073" s="16" t="n">
        <f aca="false">J2073*INDEX(Customers!$I$2:$I$41,MATCH(C2073,Customers!$A$2:$A$41,0))/365*Assumptions!$B$6</f>
        <v>422.167561643836</v>
      </c>
      <c r="N2073" s="16" t="n">
        <f aca="false">J2073-K2073-L2073-M2073</f>
        <v>30414.1341883562</v>
      </c>
      <c r="O2073" s="16" t="n">
        <f aca="false">F2073*IF(A2073="2025",INDEX(Products!$D$2:$D$13,MATCH(D2073,Products!$A$2:$A$13,0)),INDEX(Products!$F$2:$F$13,MATCH(D2073,Products!$A$2:$A$13,0)))</f>
        <v>21006</v>
      </c>
      <c r="P2073" s="16" t="n">
        <f aca="false">N2073-O2073</f>
        <v>9408.13418835616</v>
      </c>
    </row>
    <row r="2074" customFormat="false" ht="15" hidden="false" customHeight="false" outlineLevel="0" collapsed="false">
      <c r="A2074" s="2" t="s">
        <v>118</v>
      </c>
      <c r="B2074" s="2" t="n">
        <v>9</v>
      </c>
      <c r="C2074" s="2" t="s">
        <v>92</v>
      </c>
      <c r="D2074" s="2" t="s">
        <v>42</v>
      </c>
      <c r="E2074" s="2" t="str">
        <f aca="false">INDEX(Products!$B$2:$B$13,MATCH(D2074,Products!$A$2:$A$13,0))</f>
        <v>Hydroprocessing</v>
      </c>
      <c r="F2074" s="15" t="n">
        <v>2.5</v>
      </c>
      <c r="G2074" s="16" t="n">
        <f aca="false">IF(A2074="2025",INDEX(Products!$C$2:$C$13,MATCH(D2074,Products!$A$2:$A$13,0)),INDEX(Products!$E$2:$E$13,MATCH(D2074,Products!$A$2:$A$13,0)))</f>
        <v>12450</v>
      </c>
      <c r="H2074" s="13" t="n">
        <f aca="false">IF(A2074="2025",INDEX(Customers!$D$2:$D$41,MATCH(C2074,Customers!$A$2:$A$41,0)),INDEX(Customers!$F$2:$F$41,MATCH(C2074,Customers!$A$2:$A$41,0)))</f>
        <v>0.045</v>
      </c>
      <c r="I2074" s="16" t="n">
        <f aca="false">F2074*G2074</f>
        <v>31125</v>
      </c>
      <c r="J2074" s="16" t="n">
        <f aca="false">I2074*(1-H2074)</f>
        <v>29724.375</v>
      </c>
      <c r="K2074" s="16" t="n">
        <f aca="false">J2074*INDEX(Customers!$G$2:$G$41,MATCH(C2074,Customers!$A$2:$A$41,0))</f>
        <v>297.24375</v>
      </c>
      <c r="L2074" s="16" t="n">
        <f aca="false">F2074*INDEX(Customers!$H$2:$H$41,MATCH(C2074,Customers!$A$2:$A$41,0))</f>
        <v>875</v>
      </c>
      <c r="M2074" s="16" t="n">
        <f aca="false">J2074*INDEX(Customers!$I$2:$I$41,MATCH(C2074,Customers!$A$2:$A$41,0))/365*Assumptions!$B$6</f>
        <v>390.895890410959</v>
      </c>
      <c r="N2074" s="16" t="n">
        <f aca="false">J2074-K2074-L2074-M2074</f>
        <v>28161.235359589</v>
      </c>
      <c r="O2074" s="16" t="n">
        <f aca="false">F2074*IF(A2074="2025",INDEX(Products!$D$2:$D$13,MATCH(D2074,Products!$A$2:$A$13,0)),INDEX(Products!$F$2:$F$13,MATCH(D2074,Products!$A$2:$A$13,0)))</f>
        <v>19450</v>
      </c>
      <c r="P2074" s="16" t="n">
        <f aca="false">N2074-O2074</f>
        <v>8711.23535958904</v>
      </c>
    </row>
    <row r="2075" customFormat="false" ht="15" hidden="false" customHeight="false" outlineLevel="0" collapsed="false">
      <c r="A2075" s="2" t="s">
        <v>118</v>
      </c>
      <c r="B2075" s="2" t="n">
        <v>10</v>
      </c>
      <c r="C2075" s="2" t="s">
        <v>92</v>
      </c>
      <c r="D2075" s="2" t="s">
        <v>42</v>
      </c>
      <c r="E2075" s="2" t="str">
        <f aca="false">INDEX(Products!$B$2:$B$13,MATCH(D2075,Products!$A$2:$A$13,0))</f>
        <v>Hydroprocessing</v>
      </c>
      <c r="F2075" s="15" t="n">
        <v>2.5</v>
      </c>
      <c r="G2075" s="16" t="n">
        <f aca="false">IF(A2075="2025",INDEX(Products!$C$2:$C$13,MATCH(D2075,Products!$A$2:$A$13,0)),INDEX(Products!$E$2:$E$13,MATCH(D2075,Products!$A$2:$A$13,0)))</f>
        <v>12450</v>
      </c>
      <c r="H2075" s="13" t="n">
        <f aca="false">IF(A2075="2025",INDEX(Customers!$D$2:$D$41,MATCH(C2075,Customers!$A$2:$A$41,0)),INDEX(Customers!$F$2:$F$41,MATCH(C2075,Customers!$A$2:$A$41,0)))</f>
        <v>0.045</v>
      </c>
      <c r="I2075" s="16" t="n">
        <f aca="false">F2075*G2075</f>
        <v>31125</v>
      </c>
      <c r="J2075" s="16" t="n">
        <f aca="false">I2075*(1-H2075)</f>
        <v>29724.375</v>
      </c>
      <c r="K2075" s="16" t="n">
        <f aca="false">J2075*INDEX(Customers!$G$2:$G$41,MATCH(C2075,Customers!$A$2:$A$41,0))</f>
        <v>297.24375</v>
      </c>
      <c r="L2075" s="16" t="n">
        <f aca="false">F2075*INDEX(Customers!$H$2:$H$41,MATCH(C2075,Customers!$A$2:$A$41,0))</f>
        <v>875</v>
      </c>
      <c r="M2075" s="16" t="n">
        <f aca="false">J2075*INDEX(Customers!$I$2:$I$41,MATCH(C2075,Customers!$A$2:$A$41,0))/365*Assumptions!$B$6</f>
        <v>390.895890410959</v>
      </c>
      <c r="N2075" s="16" t="n">
        <f aca="false">J2075-K2075-L2075-M2075</f>
        <v>28161.235359589</v>
      </c>
      <c r="O2075" s="16" t="n">
        <f aca="false">F2075*IF(A2075="2025",INDEX(Products!$D$2:$D$13,MATCH(D2075,Products!$A$2:$A$13,0)),INDEX(Products!$F$2:$F$13,MATCH(D2075,Products!$A$2:$A$13,0)))</f>
        <v>19450</v>
      </c>
      <c r="P2075" s="16" t="n">
        <f aca="false">N2075-O2075</f>
        <v>8711.23535958904</v>
      </c>
    </row>
    <row r="2076" customFormat="false" ht="15" hidden="false" customHeight="false" outlineLevel="0" collapsed="false">
      <c r="A2076" s="2" t="s">
        <v>118</v>
      </c>
      <c r="B2076" s="2" t="n">
        <v>11</v>
      </c>
      <c r="C2076" s="2" t="s">
        <v>92</v>
      </c>
      <c r="D2076" s="2" t="s">
        <v>42</v>
      </c>
      <c r="E2076" s="2" t="str">
        <f aca="false">INDEX(Products!$B$2:$B$13,MATCH(D2076,Products!$A$2:$A$13,0))</f>
        <v>Hydroprocessing</v>
      </c>
      <c r="F2076" s="15" t="n">
        <v>2.5</v>
      </c>
      <c r="G2076" s="16" t="n">
        <f aca="false">IF(A2076="2025",INDEX(Products!$C$2:$C$13,MATCH(D2076,Products!$A$2:$A$13,0)),INDEX(Products!$E$2:$E$13,MATCH(D2076,Products!$A$2:$A$13,0)))</f>
        <v>12450</v>
      </c>
      <c r="H2076" s="13" t="n">
        <f aca="false">IF(A2076="2025",INDEX(Customers!$D$2:$D$41,MATCH(C2076,Customers!$A$2:$A$41,0)),INDEX(Customers!$F$2:$F$41,MATCH(C2076,Customers!$A$2:$A$41,0)))</f>
        <v>0.045</v>
      </c>
      <c r="I2076" s="16" t="n">
        <f aca="false">F2076*G2076</f>
        <v>31125</v>
      </c>
      <c r="J2076" s="16" t="n">
        <f aca="false">I2076*(1-H2076)</f>
        <v>29724.375</v>
      </c>
      <c r="K2076" s="16" t="n">
        <f aca="false">J2076*INDEX(Customers!$G$2:$G$41,MATCH(C2076,Customers!$A$2:$A$41,0))</f>
        <v>297.24375</v>
      </c>
      <c r="L2076" s="16" t="n">
        <f aca="false">F2076*INDEX(Customers!$H$2:$H$41,MATCH(C2076,Customers!$A$2:$A$41,0))</f>
        <v>875</v>
      </c>
      <c r="M2076" s="16" t="n">
        <f aca="false">J2076*INDEX(Customers!$I$2:$I$41,MATCH(C2076,Customers!$A$2:$A$41,0))/365*Assumptions!$B$6</f>
        <v>390.895890410959</v>
      </c>
      <c r="N2076" s="16" t="n">
        <f aca="false">J2076-K2076-L2076-M2076</f>
        <v>28161.235359589</v>
      </c>
      <c r="O2076" s="16" t="n">
        <f aca="false">F2076*IF(A2076="2025",INDEX(Products!$D$2:$D$13,MATCH(D2076,Products!$A$2:$A$13,0)),INDEX(Products!$F$2:$F$13,MATCH(D2076,Products!$A$2:$A$13,0)))</f>
        <v>19450</v>
      </c>
      <c r="P2076" s="16" t="n">
        <f aca="false">N2076-O2076</f>
        <v>8711.23535958904</v>
      </c>
    </row>
    <row r="2077" customFormat="false" ht="15" hidden="false" customHeight="false" outlineLevel="0" collapsed="false">
      <c r="A2077" s="2" t="s">
        <v>118</v>
      </c>
      <c r="B2077" s="2" t="n">
        <v>12</v>
      </c>
      <c r="C2077" s="2" t="s">
        <v>92</v>
      </c>
      <c r="D2077" s="2" t="s">
        <v>42</v>
      </c>
      <c r="E2077" s="2" t="str">
        <f aca="false">INDEX(Products!$B$2:$B$13,MATCH(D2077,Products!$A$2:$A$13,0))</f>
        <v>Hydroprocessing</v>
      </c>
      <c r="F2077" s="15" t="n">
        <v>3.1</v>
      </c>
      <c r="G2077" s="16" t="n">
        <f aca="false">IF(A2077="2025",INDEX(Products!$C$2:$C$13,MATCH(D2077,Products!$A$2:$A$13,0)),INDEX(Products!$E$2:$E$13,MATCH(D2077,Products!$A$2:$A$13,0)))</f>
        <v>12450</v>
      </c>
      <c r="H2077" s="13" t="n">
        <f aca="false">IF(A2077="2025",INDEX(Customers!$D$2:$D$41,MATCH(C2077,Customers!$A$2:$A$41,0)),INDEX(Customers!$F$2:$F$41,MATCH(C2077,Customers!$A$2:$A$41,0)))</f>
        <v>0.045</v>
      </c>
      <c r="I2077" s="16" t="n">
        <f aca="false">F2077*G2077</f>
        <v>38595</v>
      </c>
      <c r="J2077" s="16" t="n">
        <f aca="false">I2077*(1-H2077)</f>
        <v>36858.225</v>
      </c>
      <c r="K2077" s="16" t="n">
        <f aca="false">J2077*INDEX(Customers!$G$2:$G$41,MATCH(C2077,Customers!$A$2:$A$41,0))</f>
        <v>368.58225</v>
      </c>
      <c r="L2077" s="16" t="n">
        <f aca="false">F2077*INDEX(Customers!$H$2:$H$41,MATCH(C2077,Customers!$A$2:$A$41,0))</f>
        <v>1085</v>
      </c>
      <c r="M2077" s="16" t="n">
        <f aca="false">J2077*INDEX(Customers!$I$2:$I$41,MATCH(C2077,Customers!$A$2:$A$41,0))/365*Assumptions!$B$6</f>
        <v>484.710904109589</v>
      </c>
      <c r="N2077" s="16" t="n">
        <f aca="false">J2077-K2077-L2077-M2077</f>
        <v>34919.9318458904</v>
      </c>
      <c r="O2077" s="16" t="n">
        <f aca="false">F2077*IF(A2077="2025",INDEX(Products!$D$2:$D$13,MATCH(D2077,Products!$A$2:$A$13,0)),INDEX(Products!$F$2:$F$13,MATCH(D2077,Products!$A$2:$A$13,0)))</f>
        <v>24118</v>
      </c>
      <c r="P2077" s="16" t="n">
        <f aca="false">N2077-O2077</f>
        <v>10801.9318458904</v>
      </c>
    </row>
    <row r="2078" customFormat="false" ht="15" hidden="false" customHeight="false" outlineLevel="0" collapsed="false">
      <c r="A2078" s="2" t="s">
        <v>119</v>
      </c>
      <c r="B2078" s="2" t="n">
        <v>1</v>
      </c>
      <c r="C2078" s="2" t="s">
        <v>92</v>
      </c>
      <c r="D2078" s="2" t="s">
        <v>42</v>
      </c>
      <c r="E2078" s="2" t="str">
        <f aca="false">INDEX(Products!$B$2:$B$13,MATCH(D2078,Products!$A$2:$A$13,0))</f>
        <v>Hydroprocessing</v>
      </c>
      <c r="F2078" s="15" t="n">
        <v>2.9</v>
      </c>
      <c r="G2078" s="16" t="n">
        <f aca="false">IF(A2078="2025",INDEX(Products!$C$2:$C$13,MATCH(D2078,Products!$A$2:$A$13,0)),INDEX(Products!$E$2:$E$13,MATCH(D2078,Products!$A$2:$A$13,0)))</f>
        <v>13072.5</v>
      </c>
      <c r="H2078" s="13" t="n">
        <f aca="false">IF(A2078="2025",INDEX(Customers!$D$2:$D$41,MATCH(C2078,Customers!$A$2:$A$41,0)),INDEX(Customers!$F$2:$F$41,MATCH(C2078,Customers!$A$2:$A$41,0)))</f>
        <v>0.045</v>
      </c>
      <c r="I2078" s="16" t="n">
        <f aca="false">F2078*G2078</f>
        <v>37910.25</v>
      </c>
      <c r="J2078" s="16" t="n">
        <f aca="false">I2078*(1-H2078)</f>
        <v>36204.28875</v>
      </c>
      <c r="K2078" s="16" t="n">
        <f aca="false">J2078*INDEX(Customers!$G$2:$G$41,MATCH(C2078,Customers!$A$2:$A$41,0))</f>
        <v>362.0428875</v>
      </c>
      <c r="L2078" s="16" t="n">
        <f aca="false">F2078*INDEX(Customers!$H$2:$H$41,MATCH(C2078,Customers!$A$2:$A$41,0))</f>
        <v>1015</v>
      </c>
      <c r="M2078" s="16" t="n">
        <f aca="false">J2078*INDEX(Customers!$I$2:$I$41,MATCH(C2078,Customers!$A$2:$A$41,0))/365*Assumptions!$B$6</f>
        <v>476.111194520548</v>
      </c>
      <c r="N2078" s="16" t="n">
        <f aca="false">J2078-K2078-L2078-M2078</f>
        <v>34351.1346679795</v>
      </c>
      <c r="O2078" s="16" t="n">
        <f aca="false">F2078*IF(A2078="2025",INDEX(Products!$D$2:$D$13,MATCH(D2078,Products!$A$2:$A$13,0)),INDEX(Products!$F$2:$F$13,MATCH(D2078,Products!$A$2:$A$13,0)))</f>
        <v>23238.86</v>
      </c>
      <c r="P2078" s="16" t="n">
        <f aca="false">N2078-O2078</f>
        <v>11112.2746679795</v>
      </c>
    </row>
    <row r="2079" customFormat="false" ht="15" hidden="false" customHeight="false" outlineLevel="0" collapsed="false">
      <c r="A2079" s="2" t="s">
        <v>119</v>
      </c>
      <c r="B2079" s="2" t="n">
        <v>2</v>
      </c>
      <c r="C2079" s="2" t="s">
        <v>92</v>
      </c>
      <c r="D2079" s="2" t="s">
        <v>42</v>
      </c>
      <c r="E2079" s="2" t="str">
        <f aca="false">INDEX(Products!$B$2:$B$13,MATCH(D2079,Products!$A$2:$A$13,0))</f>
        <v>Hydroprocessing</v>
      </c>
      <c r="F2079" s="15" t="n">
        <v>3.2</v>
      </c>
      <c r="G2079" s="16" t="n">
        <f aca="false">IF(A2079="2025",INDEX(Products!$C$2:$C$13,MATCH(D2079,Products!$A$2:$A$13,0)),INDEX(Products!$E$2:$E$13,MATCH(D2079,Products!$A$2:$A$13,0)))</f>
        <v>13072.5</v>
      </c>
      <c r="H2079" s="13" t="n">
        <f aca="false">IF(A2079="2025",INDEX(Customers!$D$2:$D$41,MATCH(C2079,Customers!$A$2:$A$41,0)),INDEX(Customers!$F$2:$F$41,MATCH(C2079,Customers!$A$2:$A$41,0)))</f>
        <v>0.045</v>
      </c>
      <c r="I2079" s="16" t="n">
        <f aca="false">F2079*G2079</f>
        <v>41832</v>
      </c>
      <c r="J2079" s="16" t="n">
        <f aca="false">I2079*(1-H2079)</f>
        <v>39949.56</v>
      </c>
      <c r="K2079" s="16" t="n">
        <f aca="false">J2079*INDEX(Customers!$G$2:$G$41,MATCH(C2079,Customers!$A$2:$A$41,0))</f>
        <v>399.4956</v>
      </c>
      <c r="L2079" s="16" t="n">
        <f aca="false">F2079*INDEX(Customers!$H$2:$H$41,MATCH(C2079,Customers!$A$2:$A$41,0))</f>
        <v>1120</v>
      </c>
      <c r="M2079" s="16" t="n">
        <f aca="false">J2079*INDEX(Customers!$I$2:$I$41,MATCH(C2079,Customers!$A$2:$A$41,0))/365*Assumptions!$B$6</f>
        <v>525.364076712329</v>
      </c>
      <c r="N2079" s="16" t="n">
        <f aca="false">J2079-K2079-L2079-M2079</f>
        <v>37904.7003232877</v>
      </c>
      <c r="O2079" s="16" t="n">
        <f aca="false">F2079*IF(A2079="2025",INDEX(Products!$D$2:$D$13,MATCH(D2079,Products!$A$2:$A$13,0)),INDEX(Products!$F$2:$F$13,MATCH(D2079,Products!$A$2:$A$13,0)))</f>
        <v>25642.88</v>
      </c>
      <c r="P2079" s="16" t="n">
        <f aca="false">N2079-O2079</f>
        <v>12261.8203232877</v>
      </c>
    </row>
    <row r="2080" customFormat="false" ht="15" hidden="false" customHeight="false" outlineLevel="0" collapsed="false">
      <c r="A2080" s="2" t="s">
        <v>119</v>
      </c>
      <c r="B2080" s="2" t="n">
        <v>3</v>
      </c>
      <c r="C2080" s="2" t="s">
        <v>92</v>
      </c>
      <c r="D2080" s="2" t="s">
        <v>42</v>
      </c>
      <c r="E2080" s="2" t="str">
        <f aca="false">INDEX(Products!$B$2:$B$13,MATCH(D2080,Products!$A$2:$A$13,0))</f>
        <v>Hydroprocessing</v>
      </c>
      <c r="F2080" s="15" t="n">
        <v>2.7</v>
      </c>
      <c r="G2080" s="16" t="n">
        <f aca="false">IF(A2080="2025",INDEX(Products!$C$2:$C$13,MATCH(D2080,Products!$A$2:$A$13,0)),INDEX(Products!$E$2:$E$13,MATCH(D2080,Products!$A$2:$A$13,0)))</f>
        <v>13072.5</v>
      </c>
      <c r="H2080" s="13" t="n">
        <f aca="false">IF(A2080="2025",INDEX(Customers!$D$2:$D$41,MATCH(C2080,Customers!$A$2:$A$41,0)),INDEX(Customers!$F$2:$F$41,MATCH(C2080,Customers!$A$2:$A$41,0)))</f>
        <v>0.045</v>
      </c>
      <c r="I2080" s="16" t="n">
        <f aca="false">F2080*G2080</f>
        <v>35295.75</v>
      </c>
      <c r="J2080" s="16" t="n">
        <f aca="false">I2080*(1-H2080)</f>
        <v>33707.44125</v>
      </c>
      <c r="K2080" s="16" t="n">
        <f aca="false">J2080*INDEX(Customers!$G$2:$G$41,MATCH(C2080,Customers!$A$2:$A$41,0))</f>
        <v>337.0744125</v>
      </c>
      <c r="L2080" s="16" t="n">
        <f aca="false">F2080*INDEX(Customers!$H$2:$H$41,MATCH(C2080,Customers!$A$2:$A$41,0))</f>
        <v>945</v>
      </c>
      <c r="M2080" s="16" t="n">
        <f aca="false">J2080*INDEX(Customers!$I$2:$I$41,MATCH(C2080,Customers!$A$2:$A$41,0))/365*Assumptions!$B$6</f>
        <v>443.275939726027</v>
      </c>
      <c r="N2080" s="16" t="n">
        <f aca="false">J2080-K2080-L2080-M2080</f>
        <v>31982.090897774</v>
      </c>
      <c r="O2080" s="16" t="n">
        <f aca="false">F2080*IF(A2080="2025",INDEX(Products!$D$2:$D$13,MATCH(D2080,Products!$A$2:$A$13,0)),INDEX(Products!$F$2:$F$13,MATCH(D2080,Products!$A$2:$A$13,0)))</f>
        <v>21636.18</v>
      </c>
      <c r="P2080" s="16" t="n">
        <f aca="false">N2080-O2080</f>
        <v>10345.910897774</v>
      </c>
    </row>
    <row r="2081" customFormat="false" ht="15" hidden="false" customHeight="false" outlineLevel="0" collapsed="false">
      <c r="A2081" s="2" t="s">
        <v>119</v>
      </c>
      <c r="B2081" s="2" t="n">
        <v>4</v>
      </c>
      <c r="C2081" s="2" t="s">
        <v>92</v>
      </c>
      <c r="D2081" s="2" t="s">
        <v>42</v>
      </c>
      <c r="E2081" s="2" t="str">
        <f aca="false">INDEX(Products!$B$2:$B$13,MATCH(D2081,Products!$A$2:$A$13,0))</f>
        <v>Hydroprocessing</v>
      </c>
      <c r="F2081" s="15" t="n">
        <v>2.2</v>
      </c>
      <c r="G2081" s="16" t="n">
        <f aca="false">IF(A2081="2025",INDEX(Products!$C$2:$C$13,MATCH(D2081,Products!$A$2:$A$13,0)),INDEX(Products!$E$2:$E$13,MATCH(D2081,Products!$A$2:$A$13,0)))</f>
        <v>13072.5</v>
      </c>
      <c r="H2081" s="13" t="n">
        <f aca="false">IF(A2081="2025",INDEX(Customers!$D$2:$D$41,MATCH(C2081,Customers!$A$2:$A$41,0)),INDEX(Customers!$F$2:$F$41,MATCH(C2081,Customers!$A$2:$A$41,0)))</f>
        <v>0.045</v>
      </c>
      <c r="I2081" s="16" t="n">
        <f aca="false">F2081*G2081</f>
        <v>28759.5</v>
      </c>
      <c r="J2081" s="16" t="n">
        <f aca="false">I2081*(1-H2081)</f>
        <v>27465.3225</v>
      </c>
      <c r="K2081" s="16" t="n">
        <f aca="false">J2081*INDEX(Customers!$G$2:$G$41,MATCH(C2081,Customers!$A$2:$A$41,0))</f>
        <v>274.653225</v>
      </c>
      <c r="L2081" s="16" t="n">
        <f aca="false">F2081*INDEX(Customers!$H$2:$H$41,MATCH(C2081,Customers!$A$2:$A$41,0))</f>
        <v>770</v>
      </c>
      <c r="M2081" s="16" t="n">
        <f aca="false">J2081*INDEX(Customers!$I$2:$I$41,MATCH(C2081,Customers!$A$2:$A$41,0))/365*Assumptions!$B$6</f>
        <v>361.187802739726</v>
      </c>
      <c r="N2081" s="16" t="n">
        <f aca="false">J2081-K2081-L2081-M2081</f>
        <v>26059.4814722603</v>
      </c>
      <c r="O2081" s="16" t="n">
        <f aca="false">F2081*IF(A2081="2025",INDEX(Products!$D$2:$D$13,MATCH(D2081,Products!$A$2:$A$13,0)),INDEX(Products!$F$2:$F$13,MATCH(D2081,Products!$A$2:$A$13,0)))</f>
        <v>17629.48</v>
      </c>
      <c r="P2081" s="16" t="n">
        <f aca="false">N2081-O2081</f>
        <v>8430.00147226027</v>
      </c>
    </row>
    <row r="2082" customFormat="false" ht="15" hidden="false" customHeight="false" outlineLevel="0" collapsed="false">
      <c r="A2082" s="2" t="s">
        <v>119</v>
      </c>
      <c r="B2082" s="2" t="n">
        <v>5</v>
      </c>
      <c r="C2082" s="2" t="s">
        <v>92</v>
      </c>
      <c r="D2082" s="2" t="s">
        <v>42</v>
      </c>
      <c r="E2082" s="2" t="str">
        <f aca="false">INDEX(Products!$B$2:$B$13,MATCH(D2082,Products!$A$2:$A$13,0))</f>
        <v>Hydroprocessing</v>
      </c>
      <c r="F2082" s="15" t="n">
        <v>3</v>
      </c>
      <c r="G2082" s="16" t="n">
        <f aca="false">IF(A2082="2025",INDEX(Products!$C$2:$C$13,MATCH(D2082,Products!$A$2:$A$13,0)),INDEX(Products!$E$2:$E$13,MATCH(D2082,Products!$A$2:$A$13,0)))</f>
        <v>13072.5</v>
      </c>
      <c r="H2082" s="13" t="n">
        <f aca="false">IF(A2082="2025",INDEX(Customers!$D$2:$D$41,MATCH(C2082,Customers!$A$2:$A$41,0)),INDEX(Customers!$F$2:$F$41,MATCH(C2082,Customers!$A$2:$A$41,0)))</f>
        <v>0.045</v>
      </c>
      <c r="I2082" s="16" t="n">
        <f aca="false">F2082*G2082</f>
        <v>39217.5</v>
      </c>
      <c r="J2082" s="16" t="n">
        <f aca="false">I2082*(1-H2082)</f>
        <v>37452.7125</v>
      </c>
      <c r="K2082" s="16" t="n">
        <f aca="false">J2082*INDEX(Customers!$G$2:$G$41,MATCH(C2082,Customers!$A$2:$A$41,0))</f>
        <v>374.527125</v>
      </c>
      <c r="L2082" s="16" t="n">
        <f aca="false">F2082*INDEX(Customers!$H$2:$H$41,MATCH(C2082,Customers!$A$2:$A$41,0))</f>
        <v>1050</v>
      </c>
      <c r="M2082" s="16" t="n">
        <f aca="false">J2082*INDEX(Customers!$I$2:$I$41,MATCH(C2082,Customers!$A$2:$A$41,0))/365*Assumptions!$B$6</f>
        <v>492.528821917808</v>
      </c>
      <c r="N2082" s="16" t="n">
        <f aca="false">J2082-K2082-L2082-M2082</f>
        <v>35535.6565530822</v>
      </c>
      <c r="O2082" s="16" t="n">
        <f aca="false">F2082*IF(A2082="2025",INDEX(Products!$D$2:$D$13,MATCH(D2082,Products!$A$2:$A$13,0)),INDEX(Products!$F$2:$F$13,MATCH(D2082,Products!$A$2:$A$13,0)))</f>
        <v>24040.2</v>
      </c>
      <c r="P2082" s="16" t="n">
        <f aca="false">N2082-O2082</f>
        <v>11495.4565530822</v>
      </c>
    </row>
    <row r="2083" customFormat="false" ht="15" hidden="false" customHeight="false" outlineLevel="0" collapsed="false">
      <c r="A2083" s="2" t="s">
        <v>119</v>
      </c>
      <c r="B2083" s="2" t="n">
        <v>6</v>
      </c>
      <c r="C2083" s="2" t="s">
        <v>92</v>
      </c>
      <c r="D2083" s="2" t="s">
        <v>42</v>
      </c>
      <c r="E2083" s="2" t="str">
        <f aca="false">INDEX(Products!$B$2:$B$13,MATCH(D2083,Products!$A$2:$A$13,0))</f>
        <v>Hydroprocessing</v>
      </c>
      <c r="F2083" s="15" t="n">
        <v>2.2</v>
      </c>
      <c r="G2083" s="16" t="n">
        <f aca="false">IF(A2083="2025",INDEX(Products!$C$2:$C$13,MATCH(D2083,Products!$A$2:$A$13,0)),INDEX(Products!$E$2:$E$13,MATCH(D2083,Products!$A$2:$A$13,0)))</f>
        <v>13072.5</v>
      </c>
      <c r="H2083" s="13" t="n">
        <f aca="false">IF(A2083="2025",INDEX(Customers!$D$2:$D$41,MATCH(C2083,Customers!$A$2:$A$41,0)),INDEX(Customers!$F$2:$F$41,MATCH(C2083,Customers!$A$2:$A$41,0)))</f>
        <v>0.045</v>
      </c>
      <c r="I2083" s="16" t="n">
        <f aca="false">F2083*G2083</f>
        <v>28759.5</v>
      </c>
      <c r="J2083" s="16" t="n">
        <f aca="false">I2083*(1-H2083)</f>
        <v>27465.3225</v>
      </c>
      <c r="K2083" s="16" t="n">
        <f aca="false">J2083*INDEX(Customers!$G$2:$G$41,MATCH(C2083,Customers!$A$2:$A$41,0))</f>
        <v>274.653225</v>
      </c>
      <c r="L2083" s="16" t="n">
        <f aca="false">F2083*INDEX(Customers!$H$2:$H$41,MATCH(C2083,Customers!$A$2:$A$41,0))</f>
        <v>770</v>
      </c>
      <c r="M2083" s="16" t="n">
        <f aca="false">J2083*INDEX(Customers!$I$2:$I$41,MATCH(C2083,Customers!$A$2:$A$41,0))/365*Assumptions!$B$6</f>
        <v>361.187802739726</v>
      </c>
      <c r="N2083" s="16" t="n">
        <f aca="false">J2083-K2083-L2083-M2083</f>
        <v>26059.4814722603</v>
      </c>
      <c r="O2083" s="16" t="n">
        <f aca="false">F2083*IF(A2083="2025",INDEX(Products!$D$2:$D$13,MATCH(D2083,Products!$A$2:$A$13,0)),INDEX(Products!$F$2:$F$13,MATCH(D2083,Products!$A$2:$A$13,0)))</f>
        <v>17629.48</v>
      </c>
      <c r="P2083" s="16" t="n">
        <f aca="false">N2083-O2083</f>
        <v>8430.00147226027</v>
      </c>
    </row>
    <row r="2084" customFormat="false" ht="15" hidden="false" customHeight="false" outlineLevel="0" collapsed="false">
      <c r="A2084" s="2" t="s">
        <v>119</v>
      </c>
      <c r="B2084" s="2" t="n">
        <v>7</v>
      </c>
      <c r="C2084" s="2" t="s">
        <v>92</v>
      </c>
      <c r="D2084" s="2" t="s">
        <v>42</v>
      </c>
      <c r="E2084" s="2" t="str">
        <f aca="false">INDEX(Products!$B$2:$B$13,MATCH(D2084,Products!$A$2:$A$13,0))</f>
        <v>Hydroprocessing</v>
      </c>
      <c r="F2084" s="15" t="n">
        <v>3.6</v>
      </c>
      <c r="G2084" s="16" t="n">
        <f aca="false">IF(A2084="2025",INDEX(Products!$C$2:$C$13,MATCH(D2084,Products!$A$2:$A$13,0)),INDEX(Products!$E$2:$E$13,MATCH(D2084,Products!$A$2:$A$13,0)))</f>
        <v>13072.5</v>
      </c>
      <c r="H2084" s="13" t="n">
        <f aca="false">IF(A2084="2025",INDEX(Customers!$D$2:$D$41,MATCH(C2084,Customers!$A$2:$A$41,0)),INDEX(Customers!$F$2:$F$41,MATCH(C2084,Customers!$A$2:$A$41,0)))</f>
        <v>0.045</v>
      </c>
      <c r="I2084" s="16" t="n">
        <f aca="false">F2084*G2084</f>
        <v>47061</v>
      </c>
      <c r="J2084" s="16" t="n">
        <f aca="false">I2084*(1-H2084)</f>
        <v>44943.255</v>
      </c>
      <c r="K2084" s="16" t="n">
        <f aca="false">J2084*INDEX(Customers!$G$2:$G$41,MATCH(C2084,Customers!$A$2:$A$41,0))</f>
        <v>449.43255</v>
      </c>
      <c r="L2084" s="16" t="n">
        <f aca="false">F2084*INDEX(Customers!$H$2:$H$41,MATCH(C2084,Customers!$A$2:$A$41,0))</f>
        <v>1260</v>
      </c>
      <c r="M2084" s="16" t="n">
        <f aca="false">J2084*INDEX(Customers!$I$2:$I$41,MATCH(C2084,Customers!$A$2:$A$41,0))/365*Assumptions!$B$6</f>
        <v>591.03458630137</v>
      </c>
      <c r="N2084" s="16" t="n">
        <f aca="false">J2084-K2084-L2084-M2084</f>
        <v>42642.7878636986</v>
      </c>
      <c r="O2084" s="16" t="n">
        <f aca="false">F2084*IF(A2084="2025",INDEX(Products!$D$2:$D$13,MATCH(D2084,Products!$A$2:$A$13,0)),INDEX(Products!$F$2:$F$13,MATCH(D2084,Products!$A$2:$A$13,0)))</f>
        <v>28848.24</v>
      </c>
      <c r="P2084" s="16" t="n">
        <f aca="false">N2084-O2084</f>
        <v>13794.5478636986</v>
      </c>
    </row>
    <row r="2085" customFormat="false" ht="15" hidden="false" customHeight="false" outlineLevel="0" collapsed="false">
      <c r="A2085" s="2" t="s">
        <v>119</v>
      </c>
      <c r="B2085" s="2" t="n">
        <v>8</v>
      </c>
      <c r="C2085" s="2" t="s">
        <v>92</v>
      </c>
      <c r="D2085" s="2" t="s">
        <v>42</v>
      </c>
      <c r="E2085" s="2" t="str">
        <f aca="false">INDEX(Products!$B$2:$B$13,MATCH(D2085,Products!$A$2:$A$13,0))</f>
        <v>Hydroprocessing</v>
      </c>
      <c r="F2085" s="15" t="n">
        <v>3.3</v>
      </c>
      <c r="G2085" s="16" t="n">
        <f aca="false">IF(A2085="2025",INDEX(Products!$C$2:$C$13,MATCH(D2085,Products!$A$2:$A$13,0)),INDEX(Products!$E$2:$E$13,MATCH(D2085,Products!$A$2:$A$13,0)))</f>
        <v>13072.5</v>
      </c>
      <c r="H2085" s="13" t="n">
        <f aca="false">IF(A2085="2025",INDEX(Customers!$D$2:$D$41,MATCH(C2085,Customers!$A$2:$A$41,0)),INDEX(Customers!$F$2:$F$41,MATCH(C2085,Customers!$A$2:$A$41,0)))</f>
        <v>0.045</v>
      </c>
      <c r="I2085" s="16" t="n">
        <f aca="false">F2085*G2085</f>
        <v>43139.25</v>
      </c>
      <c r="J2085" s="16" t="n">
        <f aca="false">I2085*(1-H2085)</f>
        <v>41197.98375</v>
      </c>
      <c r="K2085" s="16" t="n">
        <f aca="false">J2085*INDEX(Customers!$G$2:$G$41,MATCH(C2085,Customers!$A$2:$A$41,0))</f>
        <v>411.9798375</v>
      </c>
      <c r="L2085" s="16" t="n">
        <f aca="false">F2085*INDEX(Customers!$H$2:$H$41,MATCH(C2085,Customers!$A$2:$A$41,0))</f>
        <v>1155</v>
      </c>
      <c r="M2085" s="16" t="n">
        <f aca="false">J2085*INDEX(Customers!$I$2:$I$41,MATCH(C2085,Customers!$A$2:$A$41,0))/365*Assumptions!$B$6</f>
        <v>541.781704109589</v>
      </c>
      <c r="N2085" s="16" t="n">
        <f aca="false">J2085-K2085-L2085-M2085</f>
        <v>39089.2222083904</v>
      </c>
      <c r="O2085" s="16" t="n">
        <f aca="false">F2085*IF(A2085="2025",INDEX(Products!$D$2:$D$13,MATCH(D2085,Products!$A$2:$A$13,0)),INDEX(Products!$F$2:$F$13,MATCH(D2085,Products!$A$2:$A$13,0)))</f>
        <v>26444.22</v>
      </c>
      <c r="P2085" s="16" t="n">
        <f aca="false">N2085-O2085</f>
        <v>12645.0022083904</v>
      </c>
    </row>
    <row r="2086" customFormat="false" ht="15" hidden="false" customHeight="false" outlineLevel="0" collapsed="false">
      <c r="A2086" s="2" t="s">
        <v>119</v>
      </c>
      <c r="B2086" s="2" t="n">
        <v>9</v>
      </c>
      <c r="C2086" s="2" t="s">
        <v>92</v>
      </c>
      <c r="D2086" s="2" t="s">
        <v>42</v>
      </c>
      <c r="E2086" s="2" t="str">
        <f aca="false">INDEX(Products!$B$2:$B$13,MATCH(D2086,Products!$A$2:$A$13,0))</f>
        <v>Hydroprocessing</v>
      </c>
      <c r="F2086" s="15" t="n">
        <v>3</v>
      </c>
      <c r="G2086" s="16" t="n">
        <f aca="false">IF(A2086="2025",INDEX(Products!$C$2:$C$13,MATCH(D2086,Products!$A$2:$A$13,0)),INDEX(Products!$E$2:$E$13,MATCH(D2086,Products!$A$2:$A$13,0)))</f>
        <v>13072.5</v>
      </c>
      <c r="H2086" s="13" t="n">
        <f aca="false">IF(A2086="2025",INDEX(Customers!$D$2:$D$41,MATCH(C2086,Customers!$A$2:$A$41,0)),INDEX(Customers!$F$2:$F$41,MATCH(C2086,Customers!$A$2:$A$41,0)))</f>
        <v>0.045</v>
      </c>
      <c r="I2086" s="16" t="n">
        <f aca="false">F2086*G2086</f>
        <v>39217.5</v>
      </c>
      <c r="J2086" s="16" t="n">
        <f aca="false">I2086*(1-H2086)</f>
        <v>37452.7125</v>
      </c>
      <c r="K2086" s="16" t="n">
        <f aca="false">J2086*INDEX(Customers!$G$2:$G$41,MATCH(C2086,Customers!$A$2:$A$41,0))</f>
        <v>374.527125</v>
      </c>
      <c r="L2086" s="16" t="n">
        <f aca="false">F2086*INDEX(Customers!$H$2:$H$41,MATCH(C2086,Customers!$A$2:$A$41,0))</f>
        <v>1050</v>
      </c>
      <c r="M2086" s="16" t="n">
        <f aca="false">J2086*INDEX(Customers!$I$2:$I$41,MATCH(C2086,Customers!$A$2:$A$41,0))/365*Assumptions!$B$6</f>
        <v>492.528821917808</v>
      </c>
      <c r="N2086" s="16" t="n">
        <f aca="false">J2086-K2086-L2086-M2086</f>
        <v>35535.6565530822</v>
      </c>
      <c r="O2086" s="16" t="n">
        <f aca="false">F2086*IF(A2086="2025",INDEX(Products!$D$2:$D$13,MATCH(D2086,Products!$A$2:$A$13,0)),INDEX(Products!$F$2:$F$13,MATCH(D2086,Products!$A$2:$A$13,0)))</f>
        <v>24040.2</v>
      </c>
      <c r="P2086" s="16" t="n">
        <f aca="false">N2086-O2086</f>
        <v>11495.4565530822</v>
      </c>
    </row>
    <row r="2087" customFormat="false" ht="15" hidden="false" customHeight="false" outlineLevel="0" collapsed="false">
      <c r="A2087" s="2" t="s">
        <v>119</v>
      </c>
      <c r="B2087" s="2" t="n">
        <v>10</v>
      </c>
      <c r="C2087" s="2" t="s">
        <v>92</v>
      </c>
      <c r="D2087" s="2" t="s">
        <v>42</v>
      </c>
      <c r="E2087" s="2" t="str">
        <f aca="false">INDEX(Products!$B$2:$B$13,MATCH(D2087,Products!$A$2:$A$13,0))</f>
        <v>Hydroprocessing</v>
      </c>
      <c r="F2087" s="15" t="n">
        <v>2.2</v>
      </c>
      <c r="G2087" s="16" t="n">
        <f aca="false">IF(A2087="2025",INDEX(Products!$C$2:$C$13,MATCH(D2087,Products!$A$2:$A$13,0)),INDEX(Products!$E$2:$E$13,MATCH(D2087,Products!$A$2:$A$13,0)))</f>
        <v>13072.5</v>
      </c>
      <c r="H2087" s="13" t="n">
        <f aca="false">IF(A2087="2025",INDEX(Customers!$D$2:$D$41,MATCH(C2087,Customers!$A$2:$A$41,0)),INDEX(Customers!$F$2:$F$41,MATCH(C2087,Customers!$A$2:$A$41,0)))</f>
        <v>0.045</v>
      </c>
      <c r="I2087" s="16" t="n">
        <f aca="false">F2087*G2087</f>
        <v>28759.5</v>
      </c>
      <c r="J2087" s="16" t="n">
        <f aca="false">I2087*(1-H2087)</f>
        <v>27465.3225</v>
      </c>
      <c r="K2087" s="16" t="n">
        <f aca="false">J2087*INDEX(Customers!$G$2:$G$41,MATCH(C2087,Customers!$A$2:$A$41,0))</f>
        <v>274.653225</v>
      </c>
      <c r="L2087" s="16" t="n">
        <f aca="false">F2087*INDEX(Customers!$H$2:$H$41,MATCH(C2087,Customers!$A$2:$A$41,0))</f>
        <v>770</v>
      </c>
      <c r="M2087" s="16" t="n">
        <f aca="false">J2087*INDEX(Customers!$I$2:$I$41,MATCH(C2087,Customers!$A$2:$A$41,0))/365*Assumptions!$B$6</f>
        <v>361.187802739726</v>
      </c>
      <c r="N2087" s="16" t="n">
        <f aca="false">J2087-K2087-L2087-M2087</f>
        <v>26059.4814722603</v>
      </c>
      <c r="O2087" s="16" t="n">
        <f aca="false">F2087*IF(A2087="2025",INDEX(Products!$D$2:$D$13,MATCH(D2087,Products!$A$2:$A$13,0)),INDEX(Products!$F$2:$F$13,MATCH(D2087,Products!$A$2:$A$13,0)))</f>
        <v>17629.48</v>
      </c>
      <c r="P2087" s="16" t="n">
        <f aca="false">N2087-O2087</f>
        <v>8430.00147226027</v>
      </c>
    </row>
    <row r="2088" customFormat="false" ht="15" hidden="false" customHeight="false" outlineLevel="0" collapsed="false">
      <c r="A2088" s="2" t="s">
        <v>119</v>
      </c>
      <c r="B2088" s="2" t="n">
        <v>11</v>
      </c>
      <c r="C2088" s="2" t="s">
        <v>92</v>
      </c>
      <c r="D2088" s="2" t="s">
        <v>42</v>
      </c>
      <c r="E2088" s="2" t="str">
        <f aca="false">INDEX(Products!$B$2:$B$13,MATCH(D2088,Products!$A$2:$A$13,0))</f>
        <v>Hydroprocessing</v>
      </c>
      <c r="F2088" s="15" t="n">
        <v>2.8</v>
      </c>
      <c r="G2088" s="16" t="n">
        <f aca="false">IF(A2088="2025",INDEX(Products!$C$2:$C$13,MATCH(D2088,Products!$A$2:$A$13,0)),INDEX(Products!$E$2:$E$13,MATCH(D2088,Products!$A$2:$A$13,0)))</f>
        <v>13072.5</v>
      </c>
      <c r="H2088" s="13" t="n">
        <f aca="false">IF(A2088="2025",INDEX(Customers!$D$2:$D$41,MATCH(C2088,Customers!$A$2:$A$41,0)),INDEX(Customers!$F$2:$F$41,MATCH(C2088,Customers!$A$2:$A$41,0)))</f>
        <v>0.045</v>
      </c>
      <c r="I2088" s="16" t="n">
        <f aca="false">F2088*G2088</f>
        <v>36603</v>
      </c>
      <c r="J2088" s="16" t="n">
        <f aca="false">I2088*(1-H2088)</f>
        <v>34955.865</v>
      </c>
      <c r="K2088" s="16" t="n">
        <f aca="false">J2088*INDEX(Customers!$G$2:$G$41,MATCH(C2088,Customers!$A$2:$A$41,0))</f>
        <v>349.55865</v>
      </c>
      <c r="L2088" s="16" t="n">
        <f aca="false">F2088*INDEX(Customers!$H$2:$H$41,MATCH(C2088,Customers!$A$2:$A$41,0))</f>
        <v>980</v>
      </c>
      <c r="M2088" s="16" t="n">
        <f aca="false">J2088*INDEX(Customers!$I$2:$I$41,MATCH(C2088,Customers!$A$2:$A$41,0))/365*Assumptions!$B$6</f>
        <v>459.693567123288</v>
      </c>
      <c r="N2088" s="16" t="n">
        <f aca="false">J2088-K2088-L2088-M2088</f>
        <v>33166.6127828767</v>
      </c>
      <c r="O2088" s="16" t="n">
        <f aca="false">F2088*IF(A2088="2025",INDEX(Products!$D$2:$D$13,MATCH(D2088,Products!$A$2:$A$13,0)),INDEX(Products!$F$2:$F$13,MATCH(D2088,Products!$A$2:$A$13,0)))</f>
        <v>22437.52</v>
      </c>
      <c r="P2088" s="16" t="n">
        <f aca="false">N2088-O2088</f>
        <v>10729.0927828767</v>
      </c>
    </row>
    <row r="2089" customFormat="false" ht="15" hidden="false" customHeight="false" outlineLevel="0" collapsed="false">
      <c r="A2089" s="2" t="s">
        <v>119</v>
      </c>
      <c r="B2089" s="2" t="n">
        <v>12</v>
      </c>
      <c r="C2089" s="2" t="s">
        <v>92</v>
      </c>
      <c r="D2089" s="2" t="s">
        <v>42</v>
      </c>
      <c r="E2089" s="2" t="str">
        <f aca="false">INDEX(Products!$B$2:$B$13,MATCH(D2089,Products!$A$2:$A$13,0))</f>
        <v>Hydroprocessing</v>
      </c>
      <c r="F2089" s="15" t="n">
        <v>2.2</v>
      </c>
      <c r="G2089" s="16" t="n">
        <f aca="false">IF(A2089="2025",INDEX(Products!$C$2:$C$13,MATCH(D2089,Products!$A$2:$A$13,0)),INDEX(Products!$E$2:$E$13,MATCH(D2089,Products!$A$2:$A$13,0)))</f>
        <v>13072.5</v>
      </c>
      <c r="H2089" s="13" t="n">
        <f aca="false">IF(A2089="2025",INDEX(Customers!$D$2:$D$41,MATCH(C2089,Customers!$A$2:$A$41,0)),INDEX(Customers!$F$2:$F$41,MATCH(C2089,Customers!$A$2:$A$41,0)))</f>
        <v>0.045</v>
      </c>
      <c r="I2089" s="16" t="n">
        <f aca="false">F2089*G2089</f>
        <v>28759.5</v>
      </c>
      <c r="J2089" s="16" t="n">
        <f aca="false">I2089*(1-H2089)</f>
        <v>27465.3225</v>
      </c>
      <c r="K2089" s="16" t="n">
        <f aca="false">J2089*INDEX(Customers!$G$2:$G$41,MATCH(C2089,Customers!$A$2:$A$41,0))</f>
        <v>274.653225</v>
      </c>
      <c r="L2089" s="16" t="n">
        <f aca="false">F2089*INDEX(Customers!$H$2:$H$41,MATCH(C2089,Customers!$A$2:$A$41,0))</f>
        <v>770</v>
      </c>
      <c r="M2089" s="16" t="n">
        <f aca="false">J2089*INDEX(Customers!$I$2:$I$41,MATCH(C2089,Customers!$A$2:$A$41,0))/365*Assumptions!$B$6</f>
        <v>361.187802739726</v>
      </c>
      <c r="N2089" s="16" t="n">
        <f aca="false">J2089-K2089-L2089-M2089</f>
        <v>26059.4814722603</v>
      </c>
      <c r="O2089" s="16" t="n">
        <f aca="false">F2089*IF(A2089="2025",INDEX(Products!$D$2:$D$13,MATCH(D2089,Products!$A$2:$A$13,0)),INDEX(Products!$F$2:$F$13,MATCH(D2089,Products!$A$2:$A$13,0)))</f>
        <v>17629.48</v>
      </c>
      <c r="P2089" s="16" t="n">
        <f aca="false">N2089-O2089</f>
        <v>8430.00147226027</v>
      </c>
    </row>
    <row r="2090" customFormat="false" ht="15" hidden="false" customHeight="false" outlineLevel="0" collapsed="false">
      <c r="A2090" s="2" t="s">
        <v>118</v>
      </c>
      <c r="B2090" s="2" t="n">
        <v>1</v>
      </c>
      <c r="C2090" s="2" t="s">
        <v>93</v>
      </c>
      <c r="D2090" s="2" t="s">
        <v>41</v>
      </c>
      <c r="E2090" s="2" t="str">
        <f aca="false">INDEX(Products!$B$2:$B$13,MATCH(D2090,Products!$A$2:$A$13,0))</f>
        <v>Hydroprocessing</v>
      </c>
      <c r="F2090" s="15" t="n">
        <v>4.1</v>
      </c>
      <c r="G2090" s="16" t="n">
        <f aca="false">IF(A2090="2025",INDEX(Products!$C$2:$C$13,MATCH(D2090,Products!$A$2:$A$13,0)),INDEX(Products!$E$2:$E$13,MATCH(D2090,Products!$A$2:$A$13,0)))</f>
        <v>14770</v>
      </c>
      <c r="H2090" s="13" t="n">
        <f aca="false">IF(A2090="2025",INDEX(Customers!$D$2:$D$41,MATCH(C2090,Customers!$A$2:$A$41,0)),INDEX(Customers!$F$2:$F$41,MATCH(C2090,Customers!$A$2:$A$41,0)))</f>
        <v>0.047</v>
      </c>
      <c r="I2090" s="16" t="n">
        <f aca="false">F2090*G2090</f>
        <v>60557</v>
      </c>
      <c r="J2090" s="16" t="n">
        <f aca="false">I2090*(1-H2090)</f>
        <v>57710.821</v>
      </c>
      <c r="K2090" s="16" t="n">
        <f aca="false">J2090*INDEX(Customers!$G$2:$G$41,MATCH(C2090,Customers!$A$2:$A$41,0))</f>
        <v>0</v>
      </c>
      <c r="L2090" s="16" t="n">
        <f aca="false">F2090*INDEX(Customers!$H$2:$H$41,MATCH(C2090,Customers!$A$2:$A$41,0))</f>
        <v>1640</v>
      </c>
      <c r="M2090" s="16" t="n">
        <f aca="false">J2090*INDEX(Customers!$I$2:$I$41,MATCH(C2090,Customers!$A$2:$A$41,0))/365*Assumptions!$B$6</f>
        <v>1138.40523616438</v>
      </c>
      <c r="N2090" s="16" t="n">
        <f aca="false">J2090-K2090-L2090-M2090</f>
        <v>54932.4157638356</v>
      </c>
      <c r="O2090" s="16" t="n">
        <f aca="false">F2090*IF(A2090="2025",INDEX(Products!$D$2:$D$13,MATCH(D2090,Products!$A$2:$A$13,0)),INDEX(Products!$F$2:$F$13,MATCH(D2090,Products!$A$2:$A$13,0)))</f>
        <v>38868</v>
      </c>
      <c r="P2090" s="16" t="n">
        <f aca="false">N2090-O2090</f>
        <v>16064.4157638356</v>
      </c>
    </row>
    <row r="2091" customFormat="false" ht="15" hidden="false" customHeight="false" outlineLevel="0" collapsed="false">
      <c r="A2091" s="2" t="s">
        <v>118</v>
      </c>
      <c r="B2091" s="2" t="n">
        <v>2</v>
      </c>
      <c r="C2091" s="2" t="s">
        <v>93</v>
      </c>
      <c r="D2091" s="2" t="s">
        <v>41</v>
      </c>
      <c r="E2091" s="2" t="str">
        <f aca="false">INDEX(Products!$B$2:$B$13,MATCH(D2091,Products!$A$2:$A$13,0))</f>
        <v>Hydroprocessing</v>
      </c>
      <c r="F2091" s="15" t="n">
        <v>2.9</v>
      </c>
      <c r="G2091" s="16" t="n">
        <f aca="false">IF(A2091="2025",INDEX(Products!$C$2:$C$13,MATCH(D2091,Products!$A$2:$A$13,0)),INDEX(Products!$E$2:$E$13,MATCH(D2091,Products!$A$2:$A$13,0)))</f>
        <v>14770</v>
      </c>
      <c r="H2091" s="13" t="n">
        <f aca="false">IF(A2091="2025",INDEX(Customers!$D$2:$D$41,MATCH(C2091,Customers!$A$2:$A$41,0)),INDEX(Customers!$F$2:$F$41,MATCH(C2091,Customers!$A$2:$A$41,0)))</f>
        <v>0.047</v>
      </c>
      <c r="I2091" s="16" t="n">
        <f aca="false">F2091*G2091</f>
        <v>42833</v>
      </c>
      <c r="J2091" s="16" t="n">
        <f aca="false">I2091*(1-H2091)</f>
        <v>40819.849</v>
      </c>
      <c r="K2091" s="16" t="n">
        <f aca="false">J2091*INDEX(Customers!$G$2:$G$41,MATCH(C2091,Customers!$A$2:$A$41,0))</f>
        <v>0</v>
      </c>
      <c r="L2091" s="16" t="n">
        <f aca="false">F2091*INDEX(Customers!$H$2:$H$41,MATCH(C2091,Customers!$A$2:$A$41,0))</f>
        <v>1160</v>
      </c>
      <c r="M2091" s="16" t="n">
        <f aca="false">J2091*INDEX(Customers!$I$2:$I$41,MATCH(C2091,Customers!$A$2:$A$41,0))/365*Assumptions!$B$6</f>
        <v>805.213459726027</v>
      </c>
      <c r="N2091" s="16" t="n">
        <f aca="false">J2091-K2091-L2091-M2091</f>
        <v>38854.635540274</v>
      </c>
      <c r="O2091" s="16" t="n">
        <f aca="false">F2091*IF(A2091="2025",INDEX(Products!$D$2:$D$13,MATCH(D2091,Products!$A$2:$A$13,0)),INDEX(Products!$F$2:$F$13,MATCH(D2091,Products!$A$2:$A$13,0)))</f>
        <v>27492</v>
      </c>
      <c r="P2091" s="16" t="n">
        <f aca="false">N2091-O2091</f>
        <v>11362.635540274</v>
      </c>
    </row>
    <row r="2092" customFormat="false" ht="15" hidden="false" customHeight="false" outlineLevel="0" collapsed="false">
      <c r="A2092" s="2" t="s">
        <v>118</v>
      </c>
      <c r="B2092" s="2" t="n">
        <v>3</v>
      </c>
      <c r="C2092" s="2" t="s">
        <v>93</v>
      </c>
      <c r="D2092" s="2" t="s">
        <v>41</v>
      </c>
      <c r="E2092" s="2" t="str">
        <f aca="false">INDEX(Products!$B$2:$B$13,MATCH(D2092,Products!$A$2:$A$13,0))</f>
        <v>Hydroprocessing</v>
      </c>
      <c r="F2092" s="15" t="n">
        <v>3.6</v>
      </c>
      <c r="G2092" s="16" t="n">
        <f aca="false">IF(A2092="2025",INDEX(Products!$C$2:$C$13,MATCH(D2092,Products!$A$2:$A$13,0)),INDEX(Products!$E$2:$E$13,MATCH(D2092,Products!$A$2:$A$13,0)))</f>
        <v>14770</v>
      </c>
      <c r="H2092" s="13" t="n">
        <f aca="false">IF(A2092="2025",INDEX(Customers!$D$2:$D$41,MATCH(C2092,Customers!$A$2:$A$41,0)),INDEX(Customers!$F$2:$F$41,MATCH(C2092,Customers!$A$2:$A$41,0)))</f>
        <v>0.047</v>
      </c>
      <c r="I2092" s="16" t="n">
        <f aca="false">F2092*G2092</f>
        <v>53172</v>
      </c>
      <c r="J2092" s="16" t="n">
        <f aca="false">I2092*(1-H2092)</f>
        <v>50672.916</v>
      </c>
      <c r="K2092" s="16" t="n">
        <f aca="false">J2092*INDEX(Customers!$G$2:$G$41,MATCH(C2092,Customers!$A$2:$A$41,0))</f>
        <v>0</v>
      </c>
      <c r="L2092" s="16" t="n">
        <f aca="false">F2092*INDEX(Customers!$H$2:$H$41,MATCH(C2092,Customers!$A$2:$A$41,0))</f>
        <v>1440</v>
      </c>
      <c r="M2092" s="16" t="n">
        <f aca="false">J2092*INDEX(Customers!$I$2:$I$41,MATCH(C2092,Customers!$A$2:$A$41,0))/365*Assumptions!$B$6</f>
        <v>999.575329315068</v>
      </c>
      <c r="N2092" s="16" t="n">
        <f aca="false">J2092-K2092-L2092-M2092</f>
        <v>48233.3406706849</v>
      </c>
      <c r="O2092" s="16" t="n">
        <f aca="false">F2092*IF(A2092="2025",INDEX(Products!$D$2:$D$13,MATCH(D2092,Products!$A$2:$A$13,0)),INDEX(Products!$F$2:$F$13,MATCH(D2092,Products!$A$2:$A$13,0)))</f>
        <v>34128</v>
      </c>
      <c r="P2092" s="16" t="n">
        <f aca="false">N2092-O2092</f>
        <v>14105.3406706849</v>
      </c>
    </row>
    <row r="2093" customFormat="false" ht="15" hidden="false" customHeight="false" outlineLevel="0" collapsed="false">
      <c r="A2093" s="2" t="s">
        <v>118</v>
      </c>
      <c r="B2093" s="2" t="n">
        <v>4</v>
      </c>
      <c r="C2093" s="2" t="s">
        <v>93</v>
      </c>
      <c r="D2093" s="2" t="s">
        <v>41</v>
      </c>
      <c r="E2093" s="2" t="str">
        <f aca="false">INDEX(Products!$B$2:$B$13,MATCH(D2093,Products!$A$2:$A$13,0))</f>
        <v>Hydroprocessing</v>
      </c>
      <c r="F2093" s="15" t="n">
        <v>3</v>
      </c>
      <c r="G2093" s="16" t="n">
        <f aca="false">IF(A2093="2025",INDEX(Products!$C$2:$C$13,MATCH(D2093,Products!$A$2:$A$13,0)),INDEX(Products!$E$2:$E$13,MATCH(D2093,Products!$A$2:$A$13,0)))</f>
        <v>14770</v>
      </c>
      <c r="H2093" s="13" t="n">
        <f aca="false">IF(A2093="2025",INDEX(Customers!$D$2:$D$41,MATCH(C2093,Customers!$A$2:$A$41,0)),INDEX(Customers!$F$2:$F$41,MATCH(C2093,Customers!$A$2:$A$41,0)))</f>
        <v>0.047</v>
      </c>
      <c r="I2093" s="16" t="n">
        <f aca="false">F2093*G2093</f>
        <v>44310</v>
      </c>
      <c r="J2093" s="16" t="n">
        <f aca="false">I2093*(1-H2093)</f>
        <v>42227.43</v>
      </c>
      <c r="K2093" s="16" t="n">
        <f aca="false">J2093*INDEX(Customers!$G$2:$G$41,MATCH(C2093,Customers!$A$2:$A$41,0))</f>
        <v>0</v>
      </c>
      <c r="L2093" s="16" t="n">
        <f aca="false">F2093*INDEX(Customers!$H$2:$H$41,MATCH(C2093,Customers!$A$2:$A$41,0))</f>
        <v>1200</v>
      </c>
      <c r="M2093" s="16" t="n">
        <f aca="false">J2093*INDEX(Customers!$I$2:$I$41,MATCH(C2093,Customers!$A$2:$A$41,0))/365*Assumptions!$B$6</f>
        <v>832.979441095891</v>
      </c>
      <c r="N2093" s="16" t="n">
        <f aca="false">J2093-K2093-L2093-M2093</f>
        <v>40194.4505589041</v>
      </c>
      <c r="O2093" s="16" t="n">
        <f aca="false">F2093*IF(A2093="2025",INDEX(Products!$D$2:$D$13,MATCH(D2093,Products!$A$2:$A$13,0)),INDEX(Products!$F$2:$F$13,MATCH(D2093,Products!$A$2:$A$13,0)))</f>
        <v>28440</v>
      </c>
      <c r="P2093" s="16" t="n">
        <f aca="false">N2093-O2093</f>
        <v>11754.4505589041</v>
      </c>
    </row>
    <row r="2094" customFormat="false" ht="15" hidden="false" customHeight="false" outlineLevel="0" collapsed="false">
      <c r="A2094" s="2" t="s">
        <v>118</v>
      </c>
      <c r="B2094" s="2" t="n">
        <v>5</v>
      </c>
      <c r="C2094" s="2" t="s">
        <v>93</v>
      </c>
      <c r="D2094" s="2" t="s">
        <v>41</v>
      </c>
      <c r="E2094" s="2" t="str">
        <f aca="false">INDEX(Products!$B$2:$B$13,MATCH(D2094,Products!$A$2:$A$13,0))</f>
        <v>Hydroprocessing</v>
      </c>
      <c r="F2094" s="15" t="n">
        <v>3.9</v>
      </c>
      <c r="G2094" s="16" t="n">
        <f aca="false">IF(A2094="2025",INDEX(Products!$C$2:$C$13,MATCH(D2094,Products!$A$2:$A$13,0)),INDEX(Products!$E$2:$E$13,MATCH(D2094,Products!$A$2:$A$13,0)))</f>
        <v>14770</v>
      </c>
      <c r="H2094" s="13" t="n">
        <f aca="false">IF(A2094="2025",INDEX(Customers!$D$2:$D$41,MATCH(C2094,Customers!$A$2:$A$41,0)),INDEX(Customers!$F$2:$F$41,MATCH(C2094,Customers!$A$2:$A$41,0)))</f>
        <v>0.047</v>
      </c>
      <c r="I2094" s="16" t="n">
        <f aca="false">F2094*G2094</f>
        <v>57603</v>
      </c>
      <c r="J2094" s="16" t="n">
        <f aca="false">I2094*(1-H2094)</f>
        <v>54895.659</v>
      </c>
      <c r="K2094" s="16" t="n">
        <f aca="false">J2094*INDEX(Customers!$G$2:$G$41,MATCH(C2094,Customers!$A$2:$A$41,0))</f>
        <v>0</v>
      </c>
      <c r="L2094" s="16" t="n">
        <f aca="false">F2094*INDEX(Customers!$H$2:$H$41,MATCH(C2094,Customers!$A$2:$A$41,0))</f>
        <v>1560</v>
      </c>
      <c r="M2094" s="16" t="n">
        <f aca="false">J2094*INDEX(Customers!$I$2:$I$41,MATCH(C2094,Customers!$A$2:$A$41,0))/365*Assumptions!$B$6</f>
        <v>1082.87327342466</v>
      </c>
      <c r="N2094" s="16" t="n">
        <f aca="false">J2094-K2094-L2094-M2094</f>
        <v>52252.7857265753</v>
      </c>
      <c r="O2094" s="16" t="n">
        <f aca="false">F2094*IF(A2094="2025",INDEX(Products!$D$2:$D$13,MATCH(D2094,Products!$A$2:$A$13,0)),INDEX(Products!$F$2:$F$13,MATCH(D2094,Products!$A$2:$A$13,0)))</f>
        <v>36972</v>
      </c>
      <c r="P2094" s="16" t="n">
        <f aca="false">N2094-O2094</f>
        <v>15280.7857265753</v>
      </c>
    </row>
    <row r="2095" customFormat="false" ht="15" hidden="false" customHeight="false" outlineLevel="0" collapsed="false">
      <c r="A2095" s="2" t="s">
        <v>118</v>
      </c>
      <c r="B2095" s="2" t="n">
        <v>6</v>
      </c>
      <c r="C2095" s="2" t="s">
        <v>93</v>
      </c>
      <c r="D2095" s="2" t="s">
        <v>41</v>
      </c>
      <c r="E2095" s="2" t="str">
        <f aca="false">INDEX(Products!$B$2:$B$13,MATCH(D2095,Products!$A$2:$A$13,0))</f>
        <v>Hydroprocessing</v>
      </c>
      <c r="F2095" s="15" t="n">
        <v>4.8</v>
      </c>
      <c r="G2095" s="16" t="n">
        <f aca="false">IF(A2095="2025",INDEX(Products!$C$2:$C$13,MATCH(D2095,Products!$A$2:$A$13,0)),INDEX(Products!$E$2:$E$13,MATCH(D2095,Products!$A$2:$A$13,0)))</f>
        <v>14770</v>
      </c>
      <c r="H2095" s="13" t="n">
        <f aca="false">IF(A2095="2025",INDEX(Customers!$D$2:$D$41,MATCH(C2095,Customers!$A$2:$A$41,0)),INDEX(Customers!$F$2:$F$41,MATCH(C2095,Customers!$A$2:$A$41,0)))</f>
        <v>0.047</v>
      </c>
      <c r="I2095" s="16" t="n">
        <f aca="false">F2095*G2095</f>
        <v>70896</v>
      </c>
      <c r="J2095" s="16" t="n">
        <f aca="false">I2095*(1-H2095)</f>
        <v>67563.888</v>
      </c>
      <c r="K2095" s="16" t="n">
        <f aca="false">J2095*INDEX(Customers!$G$2:$G$41,MATCH(C2095,Customers!$A$2:$A$41,0))</f>
        <v>0</v>
      </c>
      <c r="L2095" s="16" t="n">
        <f aca="false">F2095*INDEX(Customers!$H$2:$H$41,MATCH(C2095,Customers!$A$2:$A$41,0))</f>
        <v>1920</v>
      </c>
      <c r="M2095" s="16" t="n">
        <f aca="false">J2095*INDEX(Customers!$I$2:$I$41,MATCH(C2095,Customers!$A$2:$A$41,0))/365*Assumptions!$B$6</f>
        <v>1332.76710575342</v>
      </c>
      <c r="N2095" s="16" t="n">
        <f aca="false">J2095-K2095-L2095-M2095</f>
        <v>64311.1208942466</v>
      </c>
      <c r="O2095" s="16" t="n">
        <f aca="false">F2095*IF(A2095="2025",INDEX(Products!$D$2:$D$13,MATCH(D2095,Products!$A$2:$A$13,0)),INDEX(Products!$F$2:$F$13,MATCH(D2095,Products!$A$2:$A$13,0)))</f>
        <v>45504</v>
      </c>
      <c r="P2095" s="16" t="n">
        <f aca="false">N2095-O2095</f>
        <v>18807.1208942466</v>
      </c>
    </row>
    <row r="2096" customFormat="false" ht="15" hidden="false" customHeight="false" outlineLevel="0" collapsed="false">
      <c r="A2096" s="2" t="s">
        <v>118</v>
      </c>
      <c r="B2096" s="2" t="n">
        <v>7</v>
      </c>
      <c r="C2096" s="2" t="s">
        <v>93</v>
      </c>
      <c r="D2096" s="2" t="s">
        <v>41</v>
      </c>
      <c r="E2096" s="2" t="str">
        <f aca="false">INDEX(Products!$B$2:$B$13,MATCH(D2096,Products!$A$2:$A$13,0))</f>
        <v>Hydroprocessing</v>
      </c>
      <c r="F2096" s="15" t="n">
        <v>3.6</v>
      </c>
      <c r="G2096" s="16" t="n">
        <f aca="false">IF(A2096="2025",INDEX(Products!$C$2:$C$13,MATCH(D2096,Products!$A$2:$A$13,0)),INDEX(Products!$E$2:$E$13,MATCH(D2096,Products!$A$2:$A$13,0)))</f>
        <v>14770</v>
      </c>
      <c r="H2096" s="13" t="n">
        <f aca="false">IF(A2096="2025",INDEX(Customers!$D$2:$D$41,MATCH(C2096,Customers!$A$2:$A$41,0)),INDEX(Customers!$F$2:$F$41,MATCH(C2096,Customers!$A$2:$A$41,0)))</f>
        <v>0.047</v>
      </c>
      <c r="I2096" s="16" t="n">
        <f aca="false">F2096*G2096</f>
        <v>53172</v>
      </c>
      <c r="J2096" s="16" t="n">
        <f aca="false">I2096*(1-H2096)</f>
        <v>50672.916</v>
      </c>
      <c r="K2096" s="16" t="n">
        <f aca="false">J2096*INDEX(Customers!$G$2:$G$41,MATCH(C2096,Customers!$A$2:$A$41,0))</f>
        <v>0</v>
      </c>
      <c r="L2096" s="16" t="n">
        <f aca="false">F2096*INDEX(Customers!$H$2:$H$41,MATCH(C2096,Customers!$A$2:$A$41,0))</f>
        <v>1440</v>
      </c>
      <c r="M2096" s="16" t="n">
        <f aca="false">J2096*INDEX(Customers!$I$2:$I$41,MATCH(C2096,Customers!$A$2:$A$41,0))/365*Assumptions!$B$6</f>
        <v>999.575329315068</v>
      </c>
      <c r="N2096" s="16" t="n">
        <f aca="false">J2096-K2096-L2096-M2096</f>
        <v>48233.3406706849</v>
      </c>
      <c r="O2096" s="16" t="n">
        <f aca="false">F2096*IF(A2096="2025",INDEX(Products!$D$2:$D$13,MATCH(D2096,Products!$A$2:$A$13,0)),INDEX(Products!$F$2:$F$13,MATCH(D2096,Products!$A$2:$A$13,0)))</f>
        <v>34128</v>
      </c>
      <c r="P2096" s="16" t="n">
        <f aca="false">N2096-O2096</f>
        <v>14105.3406706849</v>
      </c>
    </row>
    <row r="2097" customFormat="false" ht="15" hidden="false" customHeight="false" outlineLevel="0" collapsed="false">
      <c r="A2097" s="2" t="s">
        <v>118</v>
      </c>
      <c r="B2097" s="2" t="n">
        <v>8</v>
      </c>
      <c r="C2097" s="2" t="s">
        <v>93</v>
      </c>
      <c r="D2097" s="2" t="s">
        <v>41</v>
      </c>
      <c r="E2097" s="2" t="str">
        <f aca="false">INDEX(Products!$B$2:$B$13,MATCH(D2097,Products!$A$2:$A$13,0))</f>
        <v>Hydroprocessing</v>
      </c>
      <c r="F2097" s="15" t="n">
        <v>4.2</v>
      </c>
      <c r="G2097" s="16" t="n">
        <f aca="false">IF(A2097="2025",INDEX(Products!$C$2:$C$13,MATCH(D2097,Products!$A$2:$A$13,0)),INDEX(Products!$E$2:$E$13,MATCH(D2097,Products!$A$2:$A$13,0)))</f>
        <v>14770</v>
      </c>
      <c r="H2097" s="13" t="n">
        <f aca="false">IF(A2097="2025",INDEX(Customers!$D$2:$D$41,MATCH(C2097,Customers!$A$2:$A$41,0)),INDEX(Customers!$F$2:$F$41,MATCH(C2097,Customers!$A$2:$A$41,0)))</f>
        <v>0.047</v>
      </c>
      <c r="I2097" s="16" t="n">
        <f aca="false">F2097*G2097</f>
        <v>62034</v>
      </c>
      <c r="J2097" s="16" t="n">
        <f aca="false">I2097*(1-H2097)</f>
        <v>59118.402</v>
      </c>
      <c r="K2097" s="16" t="n">
        <f aca="false">J2097*INDEX(Customers!$G$2:$G$41,MATCH(C2097,Customers!$A$2:$A$41,0))</f>
        <v>0</v>
      </c>
      <c r="L2097" s="16" t="n">
        <f aca="false">F2097*INDEX(Customers!$H$2:$H$41,MATCH(C2097,Customers!$A$2:$A$41,0))</f>
        <v>1680</v>
      </c>
      <c r="M2097" s="16" t="n">
        <f aca="false">J2097*INDEX(Customers!$I$2:$I$41,MATCH(C2097,Customers!$A$2:$A$41,0))/365*Assumptions!$B$6</f>
        <v>1166.17121753425</v>
      </c>
      <c r="N2097" s="16" t="n">
        <f aca="false">J2097-K2097-L2097-M2097</f>
        <v>56272.2307824658</v>
      </c>
      <c r="O2097" s="16" t="n">
        <f aca="false">F2097*IF(A2097="2025",INDEX(Products!$D$2:$D$13,MATCH(D2097,Products!$A$2:$A$13,0)),INDEX(Products!$F$2:$F$13,MATCH(D2097,Products!$A$2:$A$13,0)))</f>
        <v>39816</v>
      </c>
      <c r="P2097" s="16" t="n">
        <f aca="false">N2097-O2097</f>
        <v>16456.2307824657</v>
      </c>
    </row>
    <row r="2098" customFormat="false" ht="15" hidden="false" customHeight="false" outlineLevel="0" collapsed="false">
      <c r="A2098" s="2" t="s">
        <v>118</v>
      </c>
      <c r="B2098" s="2" t="n">
        <v>9</v>
      </c>
      <c r="C2098" s="2" t="s">
        <v>93</v>
      </c>
      <c r="D2098" s="2" t="s">
        <v>41</v>
      </c>
      <c r="E2098" s="2" t="str">
        <f aca="false">INDEX(Products!$B$2:$B$13,MATCH(D2098,Products!$A$2:$A$13,0))</f>
        <v>Hydroprocessing</v>
      </c>
      <c r="F2098" s="15" t="n">
        <v>2.8</v>
      </c>
      <c r="G2098" s="16" t="n">
        <f aca="false">IF(A2098="2025",INDEX(Products!$C$2:$C$13,MATCH(D2098,Products!$A$2:$A$13,0)),INDEX(Products!$E$2:$E$13,MATCH(D2098,Products!$A$2:$A$13,0)))</f>
        <v>14770</v>
      </c>
      <c r="H2098" s="13" t="n">
        <f aca="false">IF(A2098="2025",INDEX(Customers!$D$2:$D$41,MATCH(C2098,Customers!$A$2:$A$41,0)),INDEX(Customers!$F$2:$F$41,MATCH(C2098,Customers!$A$2:$A$41,0)))</f>
        <v>0.047</v>
      </c>
      <c r="I2098" s="16" t="n">
        <f aca="false">F2098*G2098</f>
        <v>41356</v>
      </c>
      <c r="J2098" s="16" t="n">
        <f aca="false">I2098*(1-H2098)</f>
        <v>39412.268</v>
      </c>
      <c r="K2098" s="16" t="n">
        <f aca="false">J2098*INDEX(Customers!$G$2:$G$41,MATCH(C2098,Customers!$A$2:$A$41,0))</f>
        <v>0</v>
      </c>
      <c r="L2098" s="16" t="n">
        <f aca="false">F2098*INDEX(Customers!$H$2:$H$41,MATCH(C2098,Customers!$A$2:$A$41,0))</f>
        <v>1120</v>
      </c>
      <c r="M2098" s="16" t="n">
        <f aca="false">J2098*INDEX(Customers!$I$2:$I$41,MATCH(C2098,Customers!$A$2:$A$41,0))/365*Assumptions!$B$6</f>
        <v>777.447478356164</v>
      </c>
      <c r="N2098" s="16" t="n">
        <f aca="false">J2098-K2098-L2098-M2098</f>
        <v>37514.8205216438</v>
      </c>
      <c r="O2098" s="16" t="n">
        <f aca="false">F2098*IF(A2098="2025",INDEX(Products!$D$2:$D$13,MATCH(D2098,Products!$A$2:$A$13,0)),INDEX(Products!$F$2:$F$13,MATCH(D2098,Products!$A$2:$A$13,0)))</f>
        <v>26544</v>
      </c>
      <c r="P2098" s="16" t="n">
        <f aca="false">N2098-O2098</f>
        <v>10970.8205216438</v>
      </c>
    </row>
    <row r="2099" customFormat="false" ht="15" hidden="false" customHeight="false" outlineLevel="0" collapsed="false">
      <c r="A2099" s="2" t="s">
        <v>118</v>
      </c>
      <c r="B2099" s="2" t="n">
        <v>10</v>
      </c>
      <c r="C2099" s="2" t="s">
        <v>93</v>
      </c>
      <c r="D2099" s="2" t="s">
        <v>41</v>
      </c>
      <c r="E2099" s="2" t="str">
        <f aca="false">INDEX(Products!$B$2:$B$13,MATCH(D2099,Products!$A$2:$A$13,0))</f>
        <v>Hydroprocessing</v>
      </c>
      <c r="F2099" s="15" t="n">
        <v>3.2</v>
      </c>
      <c r="G2099" s="16" t="n">
        <f aca="false">IF(A2099="2025",INDEX(Products!$C$2:$C$13,MATCH(D2099,Products!$A$2:$A$13,0)),INDEX(Products!$E$2:$E$13,MATCH(D2099,Products!$A$2:$A$13,0)))</f>
        <v>14770</v>
      </c>
      <c r="H2099" s="13" t="n">
        <f aca="false">IF(A2099="2025",INDEX(Customers!$D$2:$D$41,MATCH(C2099,Customers!$A$2:$A$41,0)),INDEX(Customers!$F$2:$F$41,MATCH(C2099,Customers!$A$2:$A$41,0)))</f>
        <v>0.047</v>
      </c>
      <c r="I2099" s="16" t="n">
        <f aca="false">F2099*G2099</f>
        <v>47264</v>
      </c>
      <c r="J2099" s="16" t="n">
        <f aca="false">I2099*(1-H2099)</f>
        <v>45042.592</v>
      </c>
      <c r="K2099" s="16" t="n">
        <f aca="false">J2099*INDEX(Customers!$G$2:$G$41,MATCH(C2099,Customers!$A$2:$A$41,0))</f>
        <v>0</v>
      </c>
      <c r="L2099" s="16" t="n">
        <f aca="false">F2099*INDEX(Customers!$H$2:$H$41,MATCH(C2099,Customers!$A$2:$A$41,0))</f>
        <v>1280</v>
      </c>
      <c r="M2099" s="16" t="n">
        <f aca="false">J2099*INDEX(Customers!$I$2:$I$41,MATCH(C2099,Customers!$A$2:$A$41,0))/365*Assumptions!$B$6</f>
        <v>888.511403835616</v>
      </c>
      <c r="N2099" s="16" t="n">
        <f aca="false">J2099-K2099-L2099-M2099</f>
        <v>42874.0805961644</v>
      </c>
      <c r="O2099" s="16" t="n">
        <f aca="false">F2099*IF(A2099="2025",INDEX(Products!$D$2:$D$13,MATCH(D2099,Products!$A$2:$A$13,0)),INDEX(Products!$F$2:$F$13,MATCH(D2099,Products!$A$2:$A$13,0)))</f>
        <v>30336</v>
      </c>
      <c r="P2099" s="16" t="n">
        <f aca="false">N2099-O2099</f>
        <v>12538.0805961644</v>
      </c>
    </row>
    <row r="2100" customFormat="false" ht="15" hidden="false" customHeight="false" outlineLevel="0" collapsed="false">
      <c r="A2100" s="2" t="s">
        <v>118</v>
      </c>
      <c r="B2100" s="2" t="n">
        <v>11</v>
      </c>
      <c r="C2100" s="2" t="s">
        <v>93</v>
      </c>
      <c r="D2100" s="2" t="s">
        <v>41</v>
      </c>
      <c r="E2100" s="2" t="str">
        <f aca="false">INDEX(Products!$B$2:$B$13,MATCH(D2100,Products!$A$2:$A$13,0))</f>
        <v>Hydroprocessing</v>
      </c>
      <c r="F2100" s="15" t="n">
        <v>2.9</v>
      </c>
      <c r="G2100" s="16" t="n">
        <f aca="false">IF(A2100="2025",INDEX(Products!$C$2:$C$13,MATCH(D2100,Products!$A$2:$A$13,0)),INDEX(Products!$E$2:$E$13,MATCH(D2100,Products!$A$2:$A$13,0)))</f>
        <v>14770</v>
      </c>
      <c r="H2100" s="13" t="n">
        <f aca="false">IF(A2100="2025",INDEX(Customers!$D$2:$D$41,MATCH(C2100,Customers!$A$2:$A$41,0)),INDEX(Customers!$F$2:$F$41,MATCH(C2100,Customers!$A$2:$A$41,0)))</f>
        <v>0.047</v>
      </c>
      <c r="I2100" s="16" t="n">
        <f aca="false">F2100*G2100</f>
        <v>42833</v>
      </c>
      <c r="J2100" s="16" t="n">
        <f aca="false">I2100*(1-H2100)</f>
        <v>40819.849</v>
      </c>
      <c r="K2100" s="16" t="n">
        <f aca="false">J2100*INDEX(Customers!$G$2:$G$41,MATCH(C2100,Customers!$A$2:$A$41,0))</f>
        <v>0</v>
      </c>
      <c r="L2100" s="16" t="n">
        <f aca="false">F2100*INDEX(Customers!$H$2:$H$41,MATCH(C2100,Customers!$A$2:$A$41,0))</f>
        <v>1160</v>
      </c>
      <c r="M2100" s="16" t="n">
        <f aca="false">J2100*INDEX(Customers!$I$2:$I$41,MATCH(C2100,Customers!$A$2:$A$41,0))/365*Assumptions!$B$6</f>
        <v>805.213459726027</v>
      </c>
      <c r="N2100" s="16" t="n">
        <f aca="false">J2100-K2100-L2100-M2100</f>
        <v>38854.635540274</v>
      </c>
      <c r="O2100" s="16" t="n">
        <f aca="false">F2100*IF(A2100="2025",INDEX(Products!$D$2:$D$13,MATCH(D2100,Products!$A$2:$A$13,0)),INDEX(Products!$F$2:$F$13,MATCH(D2100,Products!$A$2:$A$13,0)))</f>
        <v>27492</v>
      </c>
      <c r="P2100" s="16" t="n">
        <f aca="false">N2100-O2100</f>
        <v>11362.635540274</v>
      </c>
    </row>
    <row r="2101" customFormat="false" ht="15" hidden="false" customHeight="false" outlineLevel="0" collapsed="false">
      <c r="A2101" s="2" t="s">
        <v>118</v>
      </c>
      <c r="B2101" s="2" t="n">
        <v>12</v>
      </c>
      <c r="C2101" s="2" t="s">
        <v>93</v>
      </c>
      <c r="D2101" s="2" t="s">
        <v>41</v>
      </c>
      <c r="E2101" s="2" t="str">
        <f aca="false">INDEX(Products!$B$2:$B$13,MATCH(D2101,Products!$A$2:$A$13,0))</f>
        <v>Hydroprocessing</v>
      </c>
      <c r="F2101" s="15" t="n">
        <v>3</v>
      </c>
      <c r="G2101" s="16" t="n">
        <f aca="false">IF(A2101="2025",INDEX(Products!$C$2:$C$13,MATCH(D2101,Products!$A$2:$A$13,0)),INDEX(Products!$E$2:$E$13,MATCH(D2101,Products!$A$2:$A$13,0)))</f>
        <v>14770</v>
      </c>
      <c r="H2101" s="13" t="n">
        <f aca="false">IF(A2101="2025",INDEX(Customers!$D$2:$D$41,MATCH(C2101,Customers!$A$2:$A$41,0)),INDEX(Customers!$F$2:$F$41,MATCH(C2101,Customers!$A$2:$A$41,0)))</f>
        <v>0.047</v>
      </c>
      <c r="I2101" s="16" t="n">
        <f aca="false">F2101*G2101</f>
        <v>44310</v>
      </c>
      <c r="J2101" s="16" t="n">
        <f aca="false">I2101*(1-H2101)</f>
        <v>42227.43</v>
      </c>
      <c r="K2101" s="16" t="n">
        <f aca="false">J2101*INDEX(Customers!$G$2:$G$41,MATCH(C2101,Customers!$A$2:$A$41,0))</f>
        <v>0</v>
      </c>
      <c r="L2101" s="16" t="n">
        <f aca="false">F2101*INDEX(Customers!$H$2:$H$41,MATCH(C2101,Customers!$A$2:$A$41,0))</f>
        <v>1200</v>
      </c>
      <c r="M2101" s="16" t="n">
        <f aca="false">J2101*INDEX(Customers!$I$2:$I$41,MATCH(C2101,Customers!$A$2:$A$41,0))/365*Assumptions!$B$6</f>
        <v>832.979441095891</v>
      </c>
      <c r="N2101" s="16" t="n">
        <f aca="false">J2101-K2101-L2101-M2101</f>
        <v>40194.4505589041</v>
      </c>
      <c r="O2101" s="16" t="n">
        <f aca="false">F2101*IF(A2101="2025",INDEX(Products!$D$2:$D$13,MATCH(D2101,Products!$A$2:$A$13,0)),INDEX(Products!$F$2:$F$13,MATCH(D2101,Products!$A$2:$A$13,0)))</f>
        <v>28440</v>
      </c>
      <c r="P2101" s="16" t="n">
        <f aca="false">N2101-O2101</f>
        <v>11754.4505589041</v>
      </c>
    </row>
    <row r="2102" customFormat="false" ht="15" hidden="false" customHeight="false" outlineLevel="0" collapsed="false">
      <c r="A2102" s="2" t="s">
        <v>119</v>
      </c>
      <c r="B2102" s="2" t="n">
        <v>1</v>
      </c>
      <c r="C2102" s="2" t="s">
        <v>93</v>
      </c>
      <c r="D2102" s="2" t="s">
        <v>41</v>
      </c>
      <c r="E2102" s="2" t="str">
        <f aca="false">INDEX(Products!$B$2:$B$13,MATCH(D2102,Products!$A$2:$A$13,0))</f>
        <v>Hydroprocessing</v>
      </c>
      <c r="F2102" s="15" t="n">
        <v>2.9</v>
      </c>
      <c r="G2102" s="16" t="n">
        <f aca="false">IF(A2102="2025",INDEX(Products!$C$2:$C$13,MATCH(D2102,Products!$A$2:$A$13,0)),INDEX(Products!$E$2:$E$13,MATCH(D2102,Products!$A$2:$A$13,0)))</f>
        <v>15508.5</v>
      </c>
      <c r="H2102" s="13" t="n">
        <f aca="false">IF(A2102="2025",INDEX(Customers!$D$2:$D$41,MATCH(C2102,Customers!$A$2:$A$41,0)),INDEX(Customers!$F$2:$F$41,MATCH(C2102,Customers!$A$2:$A$41,0)))</f>
        <v>0.047</v>
      </c>
      <c r="I2102" s="16" t="n">
        <f aca="false">F2102*G2102</f>
        <v>44974.65</v>
      </c>
      <c r="J2102" s="16" t="n">
        <f aca="false">I2102*(1-H2102)</f>
        <v>42860.84145</v>
      </c>
      <c r="K2102" s="16" t="n">
        <f aca="false">J2102*INDEX(Customers!$G$2:$G$41,MATCH(C2102,Customers!$A$2:$A$41,0))</f>
        <v>0</v>
      </c>
      <c r="L2102" s="16" t="n">
        <f aca="false">F2102*INDEX(Customers!$H$2:$H$41,MATCH(C2102,Customers!$A$2:$A$41,0))</f>
        <v>1160</v>
      </c>
      <c r="M2102" s="16" t="n">
        <f aca="false">J2102*INDEX(Customers!$I$2:$I$41,MATCH(C2102,Customers!$A$2:$A$41,0))/365*Assumptions!$B$6</f>
        <v>845.474132712329</v>
      </c>
      <c r="N2102" s="16" t="n">
        <f aca="false">J2102-K2102-L2102-M2102</f>
        <v>40855.3673172877</v>
      </c>
      <c r="O2102" s="16" t="n">
        <f aca="false">F2102*IF(A2102="2025",INDEX(Products!$D$2:$D$13,MATCH(D2102,Products!$A$2:$A$13,0)),INDEX(Products!$F$2:$F$13,MATCH(D2102,Products!$A$2:$A$13,0)))</f>
        <v>28316.76</v>
      </c>
      <c r="P2102" s="16" t="n">
        <f aca="false">N2102-O2102</f>
        <v>12538.6073172877</v>
      </c>
    </row>
    <row r="2103" customFormat="false" ht="15" hidden="false" customHeight="false" outlineLevel="0" collapsed="false">
      <c r="A2103" s="2" t="s">
        <v>119</v>
      </c>
      <c r="B2103" s="2" t="n">
        <v>2</v>
      </c>
      <c r="C2103" s="2" t="s">
        <v>93</v>
      </c>
      <c r="D2103" s="2" t="s">
        <v>41</v>
      </c>
      <c r="E2103" s="2" t="str">
        <f aca="false">INDEX(Products!$B$2:$B$13,MATCH(D2103,Products!$A$2:$A$13,0))</f>
        <v>Hydroprocessing</v>
      </c>
      <c r="F2103" s="15" t="n">
        <v>4</v>
      </c>
      <c r="G2103" s="16" t="n">
        <f aca="false">IF(A2103="2025",INDEX(Products!$C$2:$C$13,MATCH(D2103,Products!$A$2:$A$13,0)),INDEX(Products!$E$2:$E$13,MATCH(D2103,Products!$A$2:$A$13,0)))</f>
        <v>15508.5</v>
      </c>
      <c r="H2103" s="13" t="n">
        <f aca="false">IF(A2103="2025",INDEX(Customers!$D$2:$D$41,MATCH(C2103,Customers!$A$2:$A$41,0)),INDEX(Customers!$F$2:$F$41,MATCH(C2103,Customers!$A$2:$A$41,0)))</f>
        <v>0.047</v>
      </c>
      <c r="I2103" s="16" t="n">
        <f aca="false">F2103*G2103</f>
        <v>62034</v>
      </c>
      <c r="J2103" s="16" t="n">
        <f aca="false">I2103*(1-H2103)</f>
        <v>59118.402</v>
      </c>
      <c r="K2103" s="16" t="n">
        <f aca="false">J2103*INDEX(Customers!$G$2:$G$41,MATCH(C2103,Customers!$A$2:$A$41,0))</f>
        <v>0</v>
      </c>
      <c r="L2103" s="16" t="n">
        <f aca="false">F2103*INDEX(Customers!$H$2:$H$41,MATCH(C2103,Customers!$A$2:$A$41,0))</f>
        <v>1600</v>
      </c>
      <c r="M2103" s="16" t="n">
        <f aca="false">J2103*INDEX(Customers!$I$2:$I$41,MATCH(C2103,Customers!$A$2:$A$41,0))/365*Assumptions!$B$6</f>
        <v>1166.17121753425</v>
      </c>
      <c r="N2103" s="16" t="n">
        <f aca="false">J2103-K2103-L2103-M2103</f>
        <v>56352.2307824658</v>
      </c>
      <c r="O2103" s="16" t="n">
        <f aca="false">F2103*IF(A2103="2025",INDEX(Products!$D$2:$D$13,MATCH(D2103,Products!$A$2:$A$13,0)),INDEX(Products!$F$2:$F$13,MATCH(D2103,Products!$A$2:$A$13,0)))</f>
        <v>39057.6</v>
      </c>
      <c r="P2103" s="16" t="n">
        <f aca="false">N2103-O2103</f>
        <v>17294.6307824658</v>
      </c>
    </row>
    <row r="2104" customFormat="false" ht="15" hidden="false" customHeight="false" outlineLevel="0" collapsed="false">
      <c r="A2104" s="2" t="s">
        <v>119</v>
      </c>
      <c r="B2104" s="2" t="n">
        <v>3</v>
      </c>
      <c r="C2104" s="2" t="s">
        <v>93</v>
      </c>
      <c r="D2104" s="2" t="s">
        <v>41</v>
      </c>
      <c r="E2104" s="2" t="str">
        <f aca="false">INDEX(Products!$B$2:$B$13,MATCH(D2104,Products!$A$2:$A$13,0))</f>
        <v>Hydroprocessing</v>
      </c>
      <c r="F2104" s="15" t="n">
        <v>3.6</v>
      </c>
      <c r="G2104" s="16" t="n">
        <f aca="false">IF(A2104="2025",INDEX(Products!$C$2:$C$13,MATCH(D2104,Products!$A$2:$A$13,0)),INDEX(Products!$E$2:$E$13,MATCH(D2104,Products!$A$2:$A$13,0)))</f>
        <v>15508.5</v>
      </c>
      <c r="H2104" s="13" t="n">
        <f aca="false">IF(A2104="2025",INDEX(Customers!$D$2:$D$41,MATCH(C2104,Customers!$A$2:$A$41,0)),INDEX(Customers!$F$2:$F$41,MATCH(C2104,Customers!$A$2:$A$41,0)))</f>
        <v>0.047</v>
      </c>
      <c r="I2104" s="16" t="n">
        <f aca="false">F2104*G2104</f>
        <v>55830.6</v>
      </c>
      <c r="J2104" s="16" t="n">
        <f aca="false">I2104*(1-H2104)</f>
        <v>53206.5618</v>
      </c>
      <c r="K2104" s="16" t="n">
        <f aca="false">J2104*INDEX(Customers!$G$2:$G$41,MATCH(C2104,Customers!$A$2:$A$41,0))</f>
        <v>0</v>
      </c>
      <c r="L2104" s="16" t="n">
        <f aca="false">F2104*INDEX(Customers!$H$2:$H$41,MATCH(C2104,Customers!$A$2:$A$41,0))</f>
        <v>1440</v>
      </c>
      <c r="M2104" s="16" t="n">
        <f aca="false">J2104*INDEX(Customers!$I$2:$I$41,MATCH(C2104,Customers!$A$2:$A$41,0))/365*Assumptions!$B$6</f>
        <v>1049.55409578082</v>
      </c>
      <c r="N2104" s="16" t="n">
        <f aca="false">J2104-K2104-L2104-M2104</f>
        <v>50717.0077042192</v>
      </c>
      <c r="O2104" s="16" t="n">
        <f aca="false">F2104*IF(A2104="2025",INDEX(Products!$D$2:$D$13,MATCH(D2104,Products!$A$2:$A$13,0)),INDEX(Products!$F$2:$F$13,MATCH(D2104,Products!$A$2:$A$13,0)))</f>
        <v>35151.84</v>
      </c>
      <c r="P2104" s="16" t="n">
        <f aca="false">N2104-O2104</f>
        <v>15565.1677042192</v>
      </c>
    </row>
    <row r="2105" customFormat="false" ht="15" hidden="false" customHeight="false" outlineLevel="0" collapsed="false">
      <c r="A2105" s="2" t="s">
        <v>119</v>
      </c>
      <c r="B2105" s="2" t="n">
        <v>4</v>
      </c>
      <c r="C2105" s="2" t="s">
        <v>93</v>
      </c>
      <c r="D2105" s="2" t="s">
        <v>41</v>
      </c>
      <c r="E2105" s="2" t="str">
        <f aca="false">INDEX(Products!$B$2:$B$13,MATCH(D2105,Products!$A$2:$A$13,0))</f>
        <v>Hydroprocessing</v>
      </c>
      <c r="F2105" s="15" t="n">
        <v>3.9</v>
      </c>
      <c r="G2105" s="16" t="n">
        <f aca="false">IF(A2105="2025",INDEX(Products!$C$2:$C$13,MATCH(D2105,Products!$A$2:$A$13,0)),INDEX(Products!$E$2:$E$13,MATCH(D2105,Products!$A$2:$A$13,0)))</f>
        <v>15508.5</v>
      </c>
      <c r="H2105" s="13" t="n">
        <f aca="false">IF(A2105="2025",INDEX(Customers!$D$2:$D$41,MATCH(C2105,Customers!$A$2:$A$41,0)),INDEX(Customers!$F$2:$F$41,MATCH(C2105,Customers!$A$2:$A$41,0)))</f>
        <v>0.047</v>
      </c>
      <c r="I2105" s="16" t="n">
        <f aca="false">F2105*G2105</f>
        <v>60483.15</v>
      </c>
      <c r="J2105" s="16" t="n">
        <f aca="false">I2105*(1-H2105)</f>
        <v>57640.44195</v>
      </c>
      <c r="K2105" s="16" t="n">
        <f aca="false">J2105*INDEX(Customers!$G$2:$G$41,MATCH(C2105,Customers!$A$2:$A$41,0))</f>
        <v>0</v>
      </c>
      <c r="L2105" s="16" t="n">
        <f aca="false">F2105*INDEX(Customers!$H$2:$H$41,MATCH(C2105,Customers!$A$2:$A$41,0))</f>
        <v>1560</v>
      </c>
      <c r="M2105" s="16" t="n">
        <f aca="false">J2105*INDEX(Customers!$I$2:$I$41,MATCH(C2105,Customers!$A$2:$A$41,0))/365*Assumptions!$B$6</f>
        <v>1137.01693709589</v>
      </c>
      <c r="N2105" s="16" t="n">
        <f aca="false">J2105-K2105-L2105-M2105</f>
        <v>54943.4250129041</v>
      </c>
      <c r="O2105" s="16" t="n">
        <f aca="false">F2105*IF(A2105="2025",INDEX(Products!$D$2:$D$13,MATCH(D2105,Products!$A$2:$A$13,0)),INDEX(Products!$F$2:$F$13,MATCH(D2105,Products!$A$2:$A$13,0)))</f>
        <v>38081.16</v>
      </c>
      <c r="P2105" s="16" t="n">
        <f aca="false">N2105-O2105</f>
        <v>16862.2650129041</v>
      </c>
    </row>
    <row r="2106" customFormat="false" ht="15" hidden="false" customHeight="false" outlineLevel="0" collapsed="false">
      <c r="A2106" s="2" t="s">
        <v>119</v>
      </c>
      <c r="B2106" s="2" t="n">
        <v>5</v>
      </c>
      <c r="C2106" s="2" t="s">
        <v>93</v>
      </c>
      <c r="D2106" s="2" t="s">
        <v>41</v>
      </c>
      <c r="E2106" s="2" t="str">
        <f aca="false">INDEX(Products!$B$2:$B$13,MATCH(D2106,Products!$A$2:$A$13,0))</f>
        <v>Hydroprocessing</v>
      </c>
      <c r="F2106" s="15" t="n">
        <v>3.9</v>
      </c>
      <c r="G2106" s="16" t="n">
        <f aca="false">IF(A2106="2025",INDEX(Products!$C$2:$C$13,MATCH(D2106,Products!$A$2:$A$13,0)),INDEX(Products!$E$2:$E$13,MATCH(D2106,Products!$A$2:$A$13,0)))</f>
        <v>15508.5</v>
      </c>
      <c r="H2106" s="13" t="n">
        <f aca="false">IF(A2106="2025",INDEX(Customers!$D$2:$D$41,MATCH(C2106,Customers!$A$2:$A$41,0)),INDEX(Customers!$F$2:$F$41,MATCH(C2106,Customers!$A$2:$A$41,0)))</f>
        <v>0.047</v>
      </c>
      <c r="I2106" s="16" t="n">
        <f aca="false">F2106*G2106</f>
        <v>60483.15</v>
      </c>
      <c r="J2106" s="16" t="n">
        <f aca="false">I2106*(1-H2106)</f>
        <v>57640.44195</v>
      </c>
      <c r="K2106" s="16" t="n">
        <f aca="false">J2106*INDEX(Customers!$G$2:$G$41,MATCH(C2106,Customers!$A$2:$A$41,0))</f>
        <v>0</v>
      </c>
      <c r="L2106" s="16" t="n">
        <f aca="false">F2106*INDEX(Customers!$H$2:$H$41,MATCH(C2106,Customers!$A$2:$A$41,0))</f>
        <v>1560</v>
      </c>
      <c r="M2106" s="16" t="n">
        <f aca="false">J2106*INDEX(Customers!$I$2:$I$41,MATCH(C2106,Customers!$A$2:$A$41,0))/365*Assumptions!$B$6</f>
        <v>1137.01693709589</v>
      </c>
      <c r="N2106" s="16" t="n">
        <f aca="false">J2106-K2106-L2106-M2106</f>
        <v>54943.4250129041</v>
      </c>
      <c r="O2106" s="16" t="n">
        <f aca="false">F2106*IF(A2106="2025",INDEX(Products!$D$2:$D$13,MATCH(D2106,Products!$A$2:$A$13,0)),INDEX(Products!$F$2:$F$13,MATCH(D2106,Products!$A$2:$A$13,0)))</f>
        <v>38081.16</v>
      </c>
      <c r="P2106" s="16" t="n">
        <f aca="false">N2106-O2106</f>
        <v>16862.2650129041</v>
      </c>
    </row>
    <row r="2107" customFormat="false" ht="15" hidden="false" customHeight="false" outlineLevel="0" collapsed="false">
      <c r="A2107" s="2" t="s">
        <v>119</v>
      </c>
      <c r="B2107" s="2" t="n">
        <v>6</v>
      </c>
      <c r="C2107" s="2" t="s">
        <v>93</v>
      </c>
      <c r="D2107" s="2" t="s">
        <v>41</v>
      </c>
      <c r="E2107" s="2" t="str">
        <f aca="false">INDEX(Products!$B$2:$B$13,MATCH(D2107,Products!$A$2:$A$13,0))</f>
        <v>Hydroprocessing</v>
      </c>
      <c r="F2107" s="15" t="n">
        <v>3.3</v>
      </c>
      <c r="G2107" s="16" t="n">
        <f aca="false">IF(A2107="2025",INDEX(Products!$C$2:$C$13,MATCH(D2107,Products!$A$2:$A$13,0)),INDEX(Products!$E$2:$E$13,MATCH(D2107,Products!$A$2:$A$13,0)))</f>
        <v>15508.5</v>
      </c>
      <c r="H2107" s="13" t="n">
        <f aca="false">IF(A2107="2025",INDEX(Customers!$D$2:$D$41,MATCH(C2107,Customers!$A$2:$A$41,0)),INDEX(Customers!$F$2:$F$41,MATCH(C2107,Customers!$A$2:$A$41,0)))</f>
        <v>0.047</v>
      </c>
      <c r="I2107" s="16" t="n">
        <f aca="false">F2107*G2107</f>
        <v>51178.05</v>
      </c>
      <c r="J2107" s="16" t="n">
        <f aca="false">I2107*(1-H2107)</f>
        <v>48772.68165</v>
      </c>
      <c r="K2107" s="16" t="n">
        <f aca="false">J2107*INDEX(Customers!$G$2:$G$41,MATCH(C2107,Customers!$A$2:$A$41,0))</f>
        <v>0</v>
      </c>
      <c r="L2107" s="16" t="n">
        <f aca="false">F2107*INDEX(Customers!$H$2:$H$41,MATCH(C2107,Customers!$A$2:$A$41,0))</f>
        <v>1320</v>
      </c>
      <c r="M2107" s="16" t="n">
        <f aca="false">J2107*INDEX(Customers!$I$2:$I$41,MATCH(C2107,Customers!$A$2:$A$41,0))/365*Assumptions!$B$6</f>
        <v>962.091254465753</v>
      </c>
      <c r="N2107" s="16" t="n">
        <f aca="false">J2107-K2107-L2107-M2107</f>
        <v>46490.5903955342</v>
      </c>
      <c r="O2107" s="16" t="n">
        <f aca="false">F2107*IF(A2107="2025",INDEX(Products!$D$2:$D$13,MATCH(D2107,Products!$A$2:$A$13,0)),INDEX(Products!$F$2:$F$13,MATCH(D2107,Products!$A$2:$A$13,0)))</f>
        <v>32222.52</v>
      </c>
      <c r="P2107" s="16" t="n">
        <f aca="false">N2107-O2107</f>
        <v>14268.0703955342</v>
      </c>
    </row>
    <row r="2108" customFormat="false" ht="15" hidden="false" customHeight="false" outlineLevel="0" collapsed="false">
      <c r="A2108" s="2" t="s">
        <v>119</v>
      </c>
      <c r="B2108" s="2" t="n">
        <v>7</v>
      </c>
      <c r="C2108" s="2" t="s">
        <v>93</v>
      </c>
      <c r="D2108" s="2" t="s">
        <v>41</v>
      </c>
      <c r="E2108" s="2" t="str">
        <f aca="false">INDEX(Products!$B$2:$B$13,MATCH(D2108,Products!$A$2:$A$13,0))</f>
        <v>Hydroprocessing</v>
      </c>
      <c r="F2108" s="15" t="n">
        <v>4.5</v>
      </c>
      <c r="G2108" s="16" t="n">
        <f aca="false">IF(A2108="2025",INDEX(Products!$C$2:$C$13,MATCH(D2108,Products!$A$2:$A$13,0)),INDEX(Products!$E$2:$E$13,MATCH(D2108,Products!$A$2:$A$13,0)))</f>
        <v>15508.5</v>
      </c>
      <c r="H2108" s="13" t="n">
        <f aca="false">IF(A2108="2025",INDEX(Customers!$D$2:$D$41,MATCH(C2108,Customers!$A$2:$A$41,0)),INDEX(Customers!$F$2:$F$41,MATCH(C2108,Customers!$A$2:$A$41,0)))</f>
        <v>0.047</v>
      </c>
      <c r="I2108" s="16" t="n">
        <f aca="false">F2108*G2108</f>
        <v>69788.25</v>
      </c>
      <c r="J2108" s="16" t="n">
        <f aca="false">I2108*(1-H2108)</f>
        <v>66508.20225</v>
      </c>
      <c r="K2108" s="16" t="n">
        <f aca="false">J2108*INDEX(Customers!$G$2:$G$41,MATCH(C2108,Customers!$A$2:$A$41,0))</f>
        <v>0</v>
      </c>
      <c r="L2108" s="16" t="n">
        <f aca="false">F2108*INDEX(Customers!$H$2:$H$41,MATCH(C2108,Customers!$A$2:$A$41,0))</f>
        <v>1800</v>
      </c>
      <c r="M2108" s="16" t="n">
        <f aca="false">J2108*INDEX(Customers!$I$2:$I$41,MATCH(C2108,Customers!$A$2:$A$41,0))/365*Assumptions!$B$6</f>
        <v>1311.94261972603</v>
      </c>
      <c r="N2108" s="16" t="n">
        <f aca="false">J2108-K2108-L2108-M2108</f>
        <v>63396.259630274</v>
      </c>
      <c r="O2108" s="16" t="n">
        <f aca="false">F2108*IF(A2108="2025",INDEX(Products!$D$2:$D$13,MATCH(D2108,Products!$A$2:$A$13,0)),INDEX(Products!$F$2:$F$13,MATCH(D2108,Products!$A$2:$A$13,0)))</f>
        <v>43939.8</v>
      </c>
      <c r="P2108" s="16" t="n">
        <f aca="false">N2108-O2108</f>
        <v>19456.459630274</v>
      </c>
    </row>
    <row r="2109" customFormat="false" ht="15" hidden="false" customHeight="false" outlineLevel="0" collapsed="false">
      <c r="A2109" s="2" t="s">
        <v>119</v>
      </c>
      <c r="B2109" s="2" t="n">
        <v>8</v>
      </c>
      <c r="C2109" s="2" t="s">
        <v>93</v>
      </c>
      <c r="D2109" s="2" t="s">
        <v>41</v>
      </c>
      <c r="E2109" s="2" t="str">
        <f aca="false">INDEX(Products!$B$2:$B$13,MATCH(D2109,Products!$A$2:$A$13,0))</f>
        <v>Hydroprocessing</v>
      </c>
      <c r="F2109" s="15" t="n">
        <v>3.7</v>
      </c>
      <c r="G2109" s="16" t="n">
        <f aca="false">IF(A2109="2025",INDEX(Products!$C$2:$C$13,MATCH(D2109,Products!$A$2:$A$13,0)),INDEX(Products!$E$2:$E$13,MATCH(D2109,Products!$A$2:$A$13,0)))</f>
        <v>15508.5</v>
      </c>
      <c r="H2109" s="13" t="n">
        <f aca="false">IF(A2109="2025",INDEX(Customers!$D$2:$D$41,MATCH(C2109,Customers!$A$2:$A$41,0)),INDEX(Customers!$F$2:$F$41,MATCH(C2109,Customers!$A$2:$A$41,0)))</f>
        <v>0.047</v>
      </c>
      <c r="I2109" s="16" t="n">
        <f aca="false">F2109*G2109</f>
        <v>57381.45</v>
      </c>
      <c r="J2109" s="16" t="n">
        <f aca="false">I2109*(1-H2109)</f>
        <v>54684.52185</v>
      </c>
      <c r="K2109" s="16" t="n">
        <f aca="false">J2109*INDEX(Customers!$G$2:$G$41,MATCH(C2109,Customers!$A$2:$A$41,0))</f>
        <v>0</v>
      </c>
      <c r="L2109" s="16" t="n">
        <f aca="false">F2109*INDEX(Customers!$H$2:$H$41,MATCH(C2109,Customers!$A$2:$A$41,0))</f>
        <v>1480</v>
      </c>
      <c r="M2109" s="16" t="n">
        <f aca="false">J2109*INDEX(Customers!$I$2:$I$41,MATCH(C2109,Customers!$A$2:$A$41,0))/365*Assumptions!$B$6</f>
        <v>1078.70837621918</v>
      </c>
      <c r="N2109" s="16" t="n">
        <f aca="false">J2109-K2109-L2109-M2109</f>
        <v>52125.8134737808</v>
      </c>
      <c r="O2109" s="16" t="n">
        <f aca="false">F2109*IF(A2109="2025",INDEX(Products!$D$2:$D$13,MATCH(D2109,Products!$A$2:$A$13,0)),INDEX(Products!$F$2:$F$13,MATCH(D2109,Products!$A$2:$A$13,0)))</f>
        <v>36128.28</v>
      </c>
      <c r="P2109" s="16" t="n">
        <f aca="false">N2109-O2109</f>
        <v>15997.5334737808</v>
      </c>
    </row>
    <row r="2110" customFormat="false" ht="15" hidden="false" customHeight="false" outlineLevel="0" collapsed="false">
      <c r="A2110" s="2" t="s">
        <v>119</v>
      </c>
      <c r="B2110" s="2" t="n">
        <v>9</v>
      </c>
      <c r="C2110" s="2" t="s">
        <v>93</v>
      </c>
      <c r="D2110" s="2" t="s">
        <v>41</v>
      </c>
      <c r="E2110" s="2" t="str">
        <f aca="false">INDEX(Products!$B$2:$B$13,MATCH(D2110,Products!$A$2:$A$13,0))</f>
        <v>Hydroprocessing</v>
      </c>
      <c r="F2110" s="15" t="n">
        <v>4.5</v>
      </c>
      <c r="G2110" s="16" t="n">
        <f aca="false">IF(A2110="2025",INDEX(Products!$C$2:$C$13,MATCH(D2110,Products!$A$2:$A$13,0)),INDEX(Products!$E$2:$E$13,MATCH(D2110,Products!$A$2:$A$13,0)))</f>
        <v>15508.5</v>
      </c>
      <c r="H2110" s="13" t="n">
        <f aca="false">IF(A2110="2025",INDEX(Customers!$D$2:$D$41,MATCH(C2110,Customers!$A$2:$A$41,0)),INDEX(Customers!$F$2:$F$41,MATCH(C2110,Customers!$A$2:$A$41,0)))</f>
        <v>0.047</v>
      </c>
      <c r="I2110" s="16" t="n">
        <f aca="false">F2110*G2110</f>
        <v>69788.25</v>
      </c>
      <c r="J2110" s="16" t="n">
        <f aca="false">I2110*(1-H2110)</f>
        <v>66508.20225</v>
      </c>
      <c r="K2110" s="16" t="n">
        <f aca="false">J2110*INDEX(Customers!$G$2:$G$41,MATCH(C2110,Customers!$A$2:$A$41,0))</f>
        <v>0</v>
      </c>
      <c r="L2110" s="16" t="n">
        <f aca="false">F2110*INDEX(Customers!$H$2:$H$41,MATCH(C2110,Customers!$A$2:$A$41,0))</f>
        <v>1800</v>
      </c>
      <c r="M2110" s="16" t="n">
        <f aca="false">J2110*INDEX(Customers!$I$2:$I$41,MATCH(C2110,Customers!$A$2:$A$41,0))/365*Assumptions!$B$6</f>
        <v>1311.94261972603</v>
      </c>
      <c r="N2110" s="16" t="n">
        <f aca="false">J2110-K2110-L2110-M2110</f>
        <v>63396.259630274</v>
      </c>
      <c r="O2110" s="16" t="n">
        <f aca="false">F2110*IF(A2110="2025",INDEX(Products!$D$2:$D$13,MATCH(D2110,Products!$A$2:$A$13,0)),INDEX(Products!$F$2:$F$13,MATCH(D2110,Products!$A$2:$A$13,0)))</f>
        <v>43939.8</v>
      </c>
      <c r="P2110" s="16" t="n">
        <f aca="false">N2110-O2110</f>
        <v>19456.459630274</v>
      </c>
    </row>
    <row r="2111" customFormat="false" ht="15" hidden="false" customHeight="false" outlineLevel="0" collapsed="false">
      <c r="A2111" s="2" t="s">
        <v>119</v>
      </c>
      <c r="B2111" s="2" t="n">
        <v>10</v>
      </c>
      <c r="C2111" s="2" t="s">
        <v>93</v>
      </c>
      <c r="D2111" s="2" t="s">
        <v>41</v>
      </c>
      <c r="E2111" s="2" t="str">
        <f aca="false">INDEX(Products!$B$2:$B$13,MATCH(D2111,Products!$A$2:$A$13,0))</f>
        <v>Hydroprocessing</v>
      </c>
      <c r="F2111" s="15" t="n">
        <v>4.3</v>
      </c>
      <c r="G2111" s="16" t="n">
        <f aca="false">IF(A2111="2025",INDEX(Products!$C$2:$C$13,MATCH(D2111,Products!$A$2:$A$13,0)),INDEX(Products!$E$2:$E$13,MATCH(D2111,Products!$A$2:$A$13,0)))</f>
        <v>15508.5</v>
      </c>
      <c r="H2111" s="13" t="n">
        <f aca="false">IF(A2111="2025",INDEX(Customers!$D$2:$D$41,MATCH(C2111,Customers!$A$2:$A$41,0)),INDEX(Customers!$F$2:$F$41,MATCH(C2111,Customers!$A$2:$A$41,0)))</f>
        <v>0.047</v>
      </c>
      <c r="I2111" s="16" t="n">
        <f aca="false">F2111*G2111</f>
        <v>66686.55</v>
      </c>
      <c r="J2111" s="16" t="n">
        <f aca="false">I2111*(1-H2111)</f>
        <v>63552.28215</v>
      </c>
      <c r="K2111" s="16" t="n">
        <f aca="false">J2111*INDEX(Customers!$G$2:$G$41,MATCH(C2111,Customers!$A$2:$A$41,0))</f>
        <v>0</v>
      </c>
      <c r="L2111" s="16" t="n">
        <f aca="false">F2111*INDEX(Customers!$H$2:$H$41,MATCH(C2111,Customers!$A$2:$A$41,0))</f>
        <v>1720</v>
      </c>
      <c r="M2111" s="16" t="n">
        <f aca="false">J2111*INDEX(Customers!$I$2:$I$41,MATCH(C2111,Customers!$A$2:$A$41,0))/365*Assumptions!$B$6</f>
        <v>1253.63405884932</v>
      </c>
      <c r="N2111" s="16" t="n">
        <f aca="false">J2111-K2111-L2111-M2111</f>
        <v>60578.6480911507</v>
      </c>
      <c r="O2111" s="16" t="n">
        <f aca="false">F2111*IF(A2111="2025",INDEX(Products!$D$2:$D$13,MATCH(D2111,Products!$A$2:$A$13,0)),INDEX(Products!$F$2:$F$13,MATCH(D2111,Products!$A$2:$A$13,0)))</f>
        <v>41986.92</v>
      </c>
      <c r="P2111" s="16" t="n">
        <f aca="false">N2111-O2111</f>
        <v>18591.7280911507</v>
      </c>
    </row>
    <row r="2112" customFormat="false" ht="15" hidden="false" customHeight="false" outlineLevel="0" collapsed="false">
      <c r="A2112" s="2" t="s">
        <v>119</v>
      </c>
      <c r="B2112" s="2" t="n">
        <v>11</v>
      </c>
      <c r="C2112" s="2" t="s">
        <v>93</v>
      </c>
      <c r="D2112" s="2" t="s">
        <v>41</v>
      </c>
      <c r="E2112" s="2" t="str">
        <f aca="false">INDEX(Products!$B$2:$B$13,MATCH(D2112,Products!$A$2:$A$13,0))</f>
        <v>Hydroprocessing</v>
      </c>
      <c r="F2112" s="15" t="n">
        <v>4.1</v>
      </c>
      <c r="G2112" s="16" t="n">
        <f aca="false">IF(A2112="2025",INDEX(Products!$C$2:$C$13,MATCH(D2112,Products!$A$2:$A$13,0)),INDEX(Products!$E$2:$E$13,MATCH(D2112,Products!$A$2:$A$13,0)))</f>
        <v>15508.5</v>
      </c>
      <c r="H2112" s="13" t="n">
        <f aca="false">IF(A2112="2025",INDEX(Customers!$D$2:$D$41,MATCH(C2112,Customers!$A$2:$A$41,0)),INDEX(Customers!$F$2:$F$41,MATCH(C2112,Customers!$A$2:$A$41,0)))</f>
        <v>0.047</v>
      </c>
      <c r="I2112" s="16" t="n">
        <f aca="false">F2112*G2112</f>
        <v>63584.85</v>
      </c>
      <c r="J2112" s="16" t="n">
        <f aca="false">I2112*(1-H2112)</f>
        <v>60596.36205</v>
      </c>
      <c r="K2112" s="16" t="n">
        <f aca="false">J2112*INDEX(Customers!$G$2:$G$41,MATCH(C2112,Customers!$A$2:$A$41,0))</f>
        <v>0</v>
      </c>
      <c r="L2112" s="16" t="n">
        <f aca="false">F2112*INDEX(Customers!$H$2:$H$41,MATCH(C2112,Customers!$A$2:$A$41,0))</f>
        <v>1640</v>
      </c>
      <c r="M2112" s="16" t="n">
        <f aca="false">J2112*INDEX(Customers!$I$2:$I$41,MATCH(C2112,Customers!$A$2:$A$41,0))/365*Assumptions!$B$6</f>
        <v>1195.3254979726</v>
      </c>
      <c r="N2112" s="16" t="n">
        <f aca="false">J2112-K2112-L2112-M2112</f>
        <v>57761.0365520274</v>
      </c>
      <c r="O2112" s="16" t="n">
        <f aca="false">F2112*IF(A2112="2025",INDEX(Products!$D$2:$D$13,MATCH(D2112,Products!$A$2:$A$13,0)),INDEX(Products!$F$2:$F$13,MATCH(D2112,Products!$A$2:$A$13,0)))</f>
        <v>40034.04</v>
      </c>
      <c r="P2112" s="16" t="n">
        <f aca="false">N2112-O2112</f>
        <v>17726.9965520274</v>
      </c>
    </row>
    <row r="2113" customFormat="false" ht="15" hidden="false" customHeight="false" outlineLevel="0" collapsed="false">
      <c r="A2113" s="2" t="s">
        <v>119</v>
      </c>
      <c r="B2113" s="2" t="n">
        <v>12</v>
      </c>
      <c r="C2113" s="2" t="s">
        <v>93</v>
      </c>
      <c r="D2113" s="2" t="s">
        <v>41</v>
      </c>
      <c r="E2113" s="2" t="str">
        <f aca="false">INDEX(Products!$B$2:$B$13,MATCH(D2113,Products!$A$2:$A$13,0))</f>
        <v>Hydroprocessing</v>
      </c>
      <c r="F2113" s="15" t="n">
        <v>3.7</v>
      </c>
      <c r="G2113" s="16" t="n">
        <f aca="false">IF(A2113="2025",INDEX(Products!$C$2:$C$13,MATCH(D2113,Products!$A$2:$A$13,0)),INDEX(Products!$E$2:$E$13,MATCH(D2113,Products!$A$2:$A$13,0)))</f>
        <v>15508.5</v>
      </c>
      <c r="H2113" s="13" t="n">
        <f aca="false">IF(A2113="2025",INDEX(Customers!$D$2:$D$41,MATCH(C2113,Customers!$A$2:$A$41,0)),INDEX(Customers!$F$2:$F$41,MATCH(C2113,Customers!$A$2:$A$41,0)))</f>
        <v>0.047</v>
      </c>
      <c r="I2113" s="16" t="n">
        <f aca="false">F2113*G2113</f>
        <v>57381.45</v>
      </c>
      <c r="J2113" s="16" t="n">
        <f aca="false">I2113*(1-H2113)</f>
        <v>54684.52185</v>
      </c>
      <c r="K2113" s="16" t="n">
        <f aca="false">J2113*INDEX(Customers!$G$2:$G$41,MATCH(C2113,Customers!$A$2:$A$41,0))</f>
        <v>0</v>
      </c>
      <c r="L2113" s="16" t="n">
        <f aca="false">F2113*INDEX(Customers!$H$2:$H$41,MATCH(C2113,Customers!$A$2:$A$41,0))</f>
        <v>1480</v>
      </c>
      <c r="M2113" s="16" t="n">
        <f aca="false">J2113*INDEX(Customers!$I$2:$I$41,MATCH(C2113,Customers!$A$2:$A$41,0))/365*Assumptions!$B$6</f>
        <v>1078.70837621918</v>
      </c>
      <c r="N2113" s="16" t="n">
        <f aca="false">J2113-K2113-L2113-M2113</f>
        <v>52125.8134737808</v>
      </c>
      <c r="O2113" s="16" t="n">
        <f aca="false">F2113*IF(A2113="2025",INDEX(Products!$D$2:$D$13,MATCH(D2113,Products!$A$2:$A$13,0)),INDEX(Products!$F$2:$F$13,MATCH(D2113,Products!$A$2:$A$13,0)))</f>
        <v>36128.28</v>
      </c>
      <c r="P2113" s="16" t="n">
        <f aca="false">N2113-O2113</f>
        <v>15997.5334737808</v>
      </c>
    </row>
    <row r="2114" customFormat="false" ht="15" hidden="false" customHeight="false" outlineLevel="0" collapsed="false">
      <c r="A2114" s="2" t="s">
        <v>118</v>
      </c>
      <c r="B2114" s="2" t="n">
        <v>1</v>
      </c>
      <c r="C2114" s="2" t="s">
        <v>93</v>
      </c>
      <c r="D2114" s="2" t="s">
        <v>38</v>
      </c>
      <c r="E2114" s="2" t="str">
        <f aca="false">INDEX(Products!$B$2:$B$13,MATCH(D2114,Products!$A$2:$A$13,0))</f>
        <v>FCC</v>
      </c>
      <c r="F2114" s="15" t="n">
        <v>9.4</v>
      </c>
      <c r="G2114" s="16" t="n">
        <f aca="false">IF(A2114="2025",INDEX(Products!$C$2:$C$13,MATCH(D2114,Products!$A$2:$A$13,0)),INDEX(Products!$E$2:$E$13,MATCH(D2114,Products!$A$2:$A$13,0)))</f>
        <v>4360</v>
      </c>
      <c r="H2114" s="13" t="n">
        <f aca="false">IF(A2114="2025",INDEX(Customers!$D$2:$D$41,MATCH(C2114,Customers!$A$2:$A$41,0)),INDEX(Customers!$F$2:$F$41,MATCH(C2114,Customers!$A$2:$A$41,0)))</f>
        <v>0.047</v>
      </c>
      <c r="I2114" s="16" t="n">
        <f aca="false">F2114*G2114</f>
        <v>40984</v>
      </c>
      <c r="J2114" s="16" t="n">
        <f aca="false">I2114*(1-H2114)</f>
        <v>39057.752</v>
      </c>
      <c r="K2114" s="16" t="n">
        <f aca="false">J2114*INDEX(Customers!$G$2:$G$41,MATCH(C2114,Customers!$A$2:$A$41,0))</f>
        <v>0</v>
      </c>
      <c r="L2114" s="16" t="n">
        <f aca="false">F2114*INDEX(Customers!$H$2:$H$41,MATCH(C2114,Customers!$A$2:$A$41,0))</f>
        <v>3760</v>
      </c>
      <c r="M2114" s="16" t="n">
        <f aca="false">J2114*INDEX(Customers!$I$2:$I$41,MATCH(C2114,Customers!$A$2:$A$41,0))/365*Assumptions!$B$6</f>
        <v>770.454286027397</v>
      </c>
      <c r="N2114" s="16" t="n">
        <f aca="false">J2114-K2114-L2114-M2114</f>
        <v>34527.2977139726</v>
      </c>
      <c r="O2114" s="16" t="n">
        <f aca="false">F2114*IF(A2114="2025",INDEX(Products!$D$2:$D$13,MATCH(D2114,Products!$A$2:$A$13,0)),INDEX(Products!$F$2:$F$13,MATCH(D2114,Products!$A$2:$A$13,0)))</f>
        <v>26038</v>
      </c>
      <c r="P2114" s="16" t="n">
        <f aca="false">N2114-O2114</f>
        <v>8489.29771397261</v>
      </c>
    </row>
    <row r="2115" customFormat="false" ht="15" hidden="false" customHeight="false" outlineLevel="0" collapsed="false">
      <c r="A2115" s="2" t="s">
        <v>118</v>
      </c>
      <c r="B2115" s="2" t="n">
        <v>2</v>
      </c>
      <c r="C2115" s="2" t="s">
        <v>93</v>
      </c>
      <c r="D2115" s="2" t="s">
        <v>38</v>
      </c>
      <c r="E2115" s="2" t="str">
        <f aca="false">INDEX(Products!$B$2:$B$13,MATCH(D2115,Products!$A$2:$A$13,0))</f>
        <v>FCC</v>
      </c>
      <c r="F2115" s="15" t="n">
        <v>8.7</v>
      </c>
      <c r="G2115" s="16" t="n">
        <f aca="false">IF(A2115="2025",INDEX(Products!$C$2:$C$13,MATCH(D2115,Products!$A$2:$A$13,0)),INDEX(Products!$E$2:$E$13,MATCH(D2115,Products!$A$2:$A$13,0)))</f>
        <v>4360</v>
      </c>
      <c r="H2115" s="13" t="n">
        <f aca="false">IF(A2115="2025",INDEX(Customers!$D$2:$D$41,MATCH(C2115,Customers!$A$2:$A$41,0)),INDEX(Customers!$F$2:$F$41,MATCH(C2115,Customers!$A$2:$A$41,0)))</f>
        <v>0.047</v>
      </c>
      <c r="I2115" s="16" t="n">
        <f aca="false">F2115*G2115</f>
        <v>37932</v>
      </c>
      <c r="J2115" s="16" t="n">
        <f aca="false">I2115*(1-H2115)</f>
        <v>36149.196</v>
      </c>
      <c r="K2115" s="16" t="n">
        <f aca="false">J2115*INDEX(Customers!$G$2:$G$41,MATCH(C2115,Customers!$A$2:$A$41,0))</f>
        <v>0</v>
      </c>
      <c r="L2115" s="16" t="n">
        <f aca="false">F2115*INDEX(Customers!$H$2:$H$41,MATCH(C2115,Customers!$A$2:$A$41,0))</f>
        <v>3480</v>
      </c>
      <c r="M2115" s="16" t="n">
        <f aca="false">J2115*INDEX(Customers!$I$2:$I$41,MATCH(C2115,Customers!$A$2:$A$41,0))/365*Assumptions!$B$6</f>
        <v>713.080030684931</v>
      </c>
      <c r="N2115" s="16" t="n">
        <f aca="false">J2115-K2115-L2115-M2115</f>
        <v>31956.1159693151</v>
      </c>
      <c r="O2115" s="16" t="n">
        <f aca="false">F2115*IF(A2115="2025",INDEX(Products!$D$2:$D$13,MATCH(D2115,Products!$A$2:$A$13,0)),INDEX(Products!$F$2:$F$13,MATCH(D2115,Products!$A$2:$A$13,0)))</f>
        <v>24099</v>
      </c>
      <c r="P2115" s="16" t="n">
        <f aca="false">N2115-O2115</f>
        <v>7857.11596931507</v>
      </c>
    </row>
    <row r="2116" customFormat="false" ht="15" hidden="false" customHeight="false" outlineLevel="0" collapsed="false">
      <c r="A2116" s="2" t="s">
        <v>118</v>
      </c>
      <c r="B2116" s="2" t="n">
        <v>3</v>
      </c>
      <c r="C2116" s="2" t="s">
        <v>93</v>
      </c>
      <c r="D2116" s="2" t="s">
        <v>38</v>
      </c>
      <c r="E2116" s="2" t="str">
        <f aca="false">INDEX(Products!$B$2:$B$13,MATCH(D2116,Products!$A$2:$A$13,0))</f>
        <v>FCC</v>
      </c>
      <c r="F2116" s="15" t="n">
        <v>9</v>
      </c>
      <c r="G2116" s="16" t="n">
        <f aca="false">IF(A2116="2025",INDEX(Products!$C$2:$C$13,MATCH(D2116,Products!$A$2:$A$13,0)),INDEX(Products!$E$2:$E$13,MATCH(D2116,Products!$A$2:$A$13,0)))</f>
        <v>4360</v>
      </c>
      <c r="H2116" s="13" t="n">
        <f aca="false">IF(A2116="2025",INDEX(Customers!$D$2:$D$41,MATCH(C2116,Customers!$A$2:$A$41,0)),INDEX(Customers!$F$2:$F$41,MATCH(C2116,Customers!$A$2:$A$41,0)))</f>
        <v>0.047</v>
      </c>
      <c r="I2116" s="16" t="n">
        <f aca="false">F2116*G2116</f>
        <v>39240</v>
      </c>
      <c r="J2116" s="16" t="n">
        <f aca="false">I2116*(1-H2116)</f>
        <v>37395.72</v>
      </c>
      <c r="K2116" s="16" t="n">
        <f aca="false">J2116*INDEX(Customers!$G$2:$G$41,MATCH(C2116,Customers!$A$2:$A$41,0))</f>
        <v>0</v>
      </c>
      <c r="L2116" s="16" t="n">
        <f aca="false">F2116*INDEX(Customers!$H$2:$H$41,MATCH(C2116,Customers!$A$2:$A$41,0))</f>
        <v>3600</v>
      </c>
      <c r="M2116" s="16" t="n">
        <f aca="false">J2116*INDEX(Customers!$I$2:$I$41,MATCH(C2116,Customers!$A$2:$A$41,0))/365*Assumptions!$B$6</f>
        <v>737.668997260274</v>
      </c>
      <c r="N2116" s="16" t="n">
        <f aca="false">J2116-K2116-L2116-M2116</f>
        <v>33058.0510027397</v>
      </c>
      <c r="O2116" s="16" t="n">
        <f aca="false">F2116*IF(A2116="2025",INDEX(Products!$D$2:$D$13,MATCH(D2116,Products!$A$2:$A$13,0)),INDEX(Products!$F$2:$F$13,MATCH(D2116,Products!$A$2:$A$13,0)))</f>
        <v>24930</v>
      </c>
      <c r="P2116" s="16" t="n">
        <f aca="false">N2116-O2116</f>
        <v>8128.05100273973</v>
      </c>
    </row>
    <row r="2117" customFormat="false" ht="15" hidden="false" customHeight="false" outlineLevel="0" collapsed="false">
      <c r="A2117" s="2" t="s">
        <v>118</v>
      </c>
      <c r="B2117" s="2" t="n">
        <v>4</v>
      </c>
      <c r="C2117" s="2" t="s">
        <v>93</v>
      </c>
      <c r="D2117" s="2" t="s">
        <v>38</v>
      </c>
      <c r="E2117" s="2" t="str">
        <f aca="false">INDEX(Products!$B$2:$B$13,MATCH(D2117,Products!$A$2:$A$13,0))</f>
        <v>FCC</v>
      </c>
      <c r="F2117" s="15" t="n">
        <v>5.8</v>
      </c>
      <c r="G2117" s="16" t="n">
        <f aca="false">IF(A2117="2025",INDEX(Products!$C$2:$C$13,MATCH(D2117,Products!$A$2:$A$13,0)),INDEX(Products!$E$2:$E$13,MATCH(D2117,Products!$A$2:$A$13,0)))</f>
        <v>4360</v>
      </c>
      <c r="H2117" s="13" t="n">
        <f aca="false">IF(A2117="2025",INDEX(Customers!$D$2:$D$41,MATCH(C2117,Customers!$A$2:$A$41,0)),INDEX(Customers!$F$2:$F$41,MATCH(C2117,Customers!$A$2:$A$41,0)))</f>
        <v>0.047</v>
      </c>
      <c r="I2117" s="16" t="n">
        <f aca="false">F2117*G2117</f>
        <v>25288</v>
      </c>
      <c r="J2117" s="16" t="n">
        <f aca="false">I2117*(1-H2117)</f>
        <v>24099.464</v>
      </c>
      <c r="K2117" s="16" t="n">
        <f aca="false">J2117*INDEX(Customers!$G$2:$G$41,MATCH(C2117,Customers!$A$2:$A$41,0))</f>
        <v>0</v>
      </c>
      <c r="L2117" s="16" t="n">
        <f aca="false">F2117*INDEX(Customers!$H$2:$H$41,MATCH(C2117,Customers!$A$2:$A$41,0))</f>
        <v>2320</v>
      </c>
      <c r="M2117" s="16" t="n">
        <f aca="false">J2117*INDEX(Customers!$I$2:$I$41,MATCH(C2117,Customers!$A$2:$A$41,0))/365*Assumptions!$B$6</f>
        <v>475.386687123288</v>
      </c>
      <c r="N2117" s="16" t="n">
        <f aca="false">J2117-K2117-L2117-M2117</f>
        <v>21304.0773128767</v>
      </c>
      <c r="O2117" s="16" t="n">
        <f aca="false">F2117*IF(A2117="2025",INDEX(Products!$D$2:$D$13,MATCH(D2117,Products!$A$2:$A$13,0)),INDEX(Products!$F$2:$F$13,MATCH(D2117,Products!$A$2:$A$13,0)))</f>
        <v>16066</v>
      </c>
      <c r="P2117" s="16" t="n">
        <f aca="false">N2117-O2117</f>
        <v>5238.07731287671</v>
      </c>
    </row>
    <row r="2118" customFormat="false" ht="15" hidden="false" customHeight="false" outlineLevel="0" collapsed="false">
      <c r="A2118" s="2" t="s">
        <v>118</v>
      </c>
      <c r="B2118" s="2" t="n">
        <v>5</v>
      </c>
      <c r="C2118" s="2" t="s">
        <v>93</v>
      </c>
      <c r="D2118" s="2" t="s">
        <v>38</v>
      </c>
      <c r="E2118" s="2" t="str">
        <f aca="false">INDEX(Products!$B$2:$B$13,MATCH(D2118,Products!$A$2:$A$13,0))</f>
        <v>FCC</v>
      </c>
      <c r="F2118" s="15" t="n">
        <v>7.3</v>
      </c>
      <c r="G2118" s="16" t="n">
        <f aca="false">IF(A2118="2025",INDEX(Products!$C$2:$C$13,MATCH(D2118,Products!$A$2:$A$13,0)),INDEX(Products!$E$2:$E$13,MATCH(D2118,Products!$A$2:$A$13,0)))</f>
        <v>4360</v>
      </c>
      <c r="H2118" s="13" t="n">
        <f aca="false">IF(A2118="2025",INDEX(Customers!$D$2:$D$41,MATCH(C2118,Customers!$A$2:$A$41,0)),INDEX(Customers!$F$2:$F$41,MATCH(C2118,Customers!$A$2:$A$41,0)))</f>
        <v>0.047</v>
      </c>
      <c r="I2118" s="16" t="n">
        <f aca="false">F2118*G2118</f>
        <v>31828</v>
      </c>
      <c r="J2118" s="16" t="n">
        <f aca="false">I2118*(1-H2118)</f>
        <v>30332.084</v>
      </c>
      <c r="K2118" s="16" t="n">
        <f aca="false">J2118*INDEX(Customers!$G$2:$G$41,MATCH(C2118,Customers!$A$2:$A$41,0))</f>
        <v>0</v>
      </c>
      <c r="L2118" s="16" t="n">
        <f aca="false">F2118*INDEX(Customers!$H$2:$H$41,MATCH(C2118,Customers!$A$2:$A$41,0))</f>
        <v>2920</v>
      </c>
      <c r="M2118" s="16" t="n">
        <f aca="false">J2118*INDEX(Customers!$I$2:$I$41,MATCH(C2118,Customers!$A$2:$A$41,0))/365*Assumptions!$B$6</f>
        <v>598.33152</v>
      </c>
      <c r="N2118" s="16" t="n">
        <f aca="false">J2118-K2118-L2118-M2118</f>
        <v>26813.75248</v>
      </c>
      <c r="O2118" s="16" t="n">
        <f aca="false">F2118*IF(A2118="2025",INDEX(Products!$D$2:$D$13,MATCH(D2118,Products!$A$2:$A$13,0)),INDEX(Products!$F$2:$F$13,MATCH(D2118,Products!$A$2:$A$13,0)))</f>
        <v>20221</v>
      </c>
      <c r="P2118" s="16" t="n">
        <f aca="false">N2118-O2118</f>
        <v>6592.75248</v>
      </c>
    </row>
    <row r="2119" customFormat="false" ht="15" hidden="false" customHeight="false" outlineLevel="0" collapsed="false">
      <c r="A2119" s="2" t="s">
        <v>118</v>
      </c>
      <c r="B2119" s="2" t="n">
        <v>6</v>
      </c>
      <c r="C2119" s="2" t="s">
        <v>93</v>
      </c>
      <c r="D2119" s="2" t="s">
        <v>38</v>
      </c>
      <c r="E2119" s="2" t="str">
        <f aca="false">INDEX(Products!$B$2:$B$13,MATCH(D2119,Products!$A$2:$A$13,0))</f>
        <v>FCC</v>
      </c>
      <c r="F2119" s="15" t="n">
        <v>8.5</v>
      </c>
      <c r="G2119" s="16" t="n">
        <f aca="false">IF(A2119="2025",INDEX(Products!$C$2:$C$13,MATCH(D2119,Products!$A$2:$A$13,0)),INDEX(Products!$E$2:$E$13,MATCH(D2119,Products!$A$2:$A$13,0)))</f>
        <v>4360</v>
      </c>
      <c r="H2119" s="13" t="n">
        <f aca="false">IF(A2119="2025",INDEX(Customers!$D$2:$D$41,MATCH(C2119,Customers!$A$2:$A$41,0)),INDEX(Customers!$F$2:$F$41,MATCH(C2119,Customers!$A$2:$A$41,0)))</f>
        <v>0.047</v>
      </c>
      <c r="I2119" s="16" t="n">
        <f aca="false">F2119*G2119</f>
        <v>37060</v>
      </c>
      <c r="J2119" s="16" t="n">
        <f aca="false">I2119*(1-H2119)</f>
        <v>35318.18</v>
      </c>
      <c r="K2119" s="16" t="n">
        <f aca="false">J2119*INDEX(Customers!$G$2:$G$41,MATCH(C2119,Customers!$A$2:$A$41,0))</f>
        <v>0</v>
      </c>
      <c r="L2119" s="16" t="n">
        <f aca="false">F2119*INDEX(Customers!$H$2:$H$41,MATCH(C2119,Customers!$A$2:$A$41,0))</f>
        <v>3400</v>
      </c>
      <c r="M2119" s="16" t="n">
        <f aca="false">J2119*INDEX(Customers!$I$2:$I$41,MATCH(C2119,Customers!$A$2:$A$41,0))/365*Assumptions!$B$6</f>
        <v>696.68738630137</v>
      </c>
      <c r="N2119" s="16" t="n">
        <f aca="false">J2119-K2119-L2119-M2119</f>
        <v>31221.4926136986</v>
      </c>
      <c r="O2119" s="16" t="n">
        <f aca="false">F2119*IF(A2119="2025",INDEX(Products!$D$2:$D$13,MATCH(D2119,Products!$A$2:$A$13,0)),INDEX(Products!$F$2:$F$13,MATCH(D2119,Products!$A$2:$A$13,0)))</f>
        <v>23545</v>
      </c>
      <c r="P2119" s="16" t="n">
        <f aca="false">N2119-O2119</f>
        <v>7676.49261369863</v>
      </c>
    </row>
    <row r="2120" customFormat="false" ht="15" hidden="false" customHeight="false" outlineLevel="0" collapsed="false">
      <c r="A2120" s="2" t="s">
        <v>118</v>
      </c>
      <c r="B2120" s="2" t="n">
        <v>7</v>
      </c>
      <c r="C2120" s="2" t="s">
        <v>93</v>
      </c>
      <c r="D2120" s="2" t="s">
        <v>38</v>
      </c>
      <c r="E2120" s="2" t="str">
        <f aca="false">INDEX(Products!$B$2:$B$13,MATCH(D2120,Products!$A$2:$A$13,0))</f>
        <v>FCC</v>
      </c>
      <c r="F2120" s="15" t="n">
        <v>5.8</v>
      </c>
      <c r="G2120" s="16" t="n">
        <f aca="false">IF(A2120="2025",INDEX(Products!$C$2:$C$13,MATCH(D2120,Products!$A$2:$A$13,0)),INDEX(Products!$E$2:$E$13,MATCH(D2120,Products!$A$2:$A$13,0)))</f>
        <v>4360</v>
      </c>
      <c r="H2120" s="13" t="n">
        <f aca="false">IF(A2120="2025",INDEX(Customers!$D$2:$D$41,MATCH(C2120,Customers!$A$2:$A$41,0)),INDEX(Customers!$F$2:$F$41,MATCH(C2120,Customers!$A$2:$A$41,0)))</f>
        <v>0.047</v>
      </c>
      <c r="I2120" s="16" t="n">
        <f aca="false">F2120*G2120</f>
        <v>25288</v>
      </c>
      <c r="J2120" s="16" t="n">
        <f aca="false">I2120*(1-H2120)</f>
        <v>24099.464</v>
      </c>
      <c r="K2120" s="16" t="n">
        <f aca="false">J2120*INDEX(Customers!$G$2:$G$41,MATCH(C2120,Customers!$A$2:$A$41,0))</f>
        <v>0</v>
      </c>
      <c r="L2120" s="16" t="n">
        <f aca="false">F2120*INDEX(Customers!$H$2:$H$41,MATCH(C2120,Customers!$A$2:$A$41,0))</f>
        <v>2320</v>
      </c>
      <c r="M2120" s="16" t="n">
        <f aca="false">J2120*INDEX(Customers!$I$2:$I$41,MATCH(C2120,Customers!$A$2:$A$41,0))/365*Assumptions!$B$6</f>
        <v>475.386687123288</v>
      </c>
      <c r="N2120" s="16" t="n">
        <f aca="false">J2120-K2120-L2120-M2120</f>
        <v>21304.0773128767</v>
      </c>
      <c r="O2120" s="16" t="n">
        <f aca="false">F2120*IF(A2120="2025",INDEX(Products!$D$2:$D$13,MATCH(D2120,Products!$A$2:$A$13,0)),INDEX(Products!$F$2:$F$13,MATCH(D2120,Products!$A$2:$A$13,0)))</f>
        <v>16066</v>
      </c>
      <c r="P2120" s="16" t="n">
        <f aca="false">N2120-O2120</f>
        <v>5238.07731287671</v>
      </c>
    </row>
    <row r="2121" customFormat="false" ht="15" hidden="false" customHeight="false" outlineLevel="0" collapsed="false">
      <c r="A2121" s="2" t="s">
        <v>118</v>
      </c>
      <c r="B2121" s="2" t="n">
        <v>8</v>
      </c>
      <c r="C2121" s="2" t="s">
        <v>93</v>
      </c>
      <c r="D2121" s="2" t="s">
        <v>38</v>
      </c>
      <c r="E2121" s="2" t="str">
        <f aca="false">INDEX(Products!$B$2:$B$13,MATCH(D2121,Products!$A$2:$A$13,0))</f>
        <v>FCC</v>
      </c>
      <c r="F2121" s="15" t="n">
        <v>7.8</v>
      </c>
      <c r="G2121" s="16" t="n">
        <f aca="false">IF(A2121="2025",INDEX(Products!$C$2:$C$13,MATCH(D2121,Products!$A$2:$A$13,0)),INDEX(Products!$E$2:$E$13,MATCH(D2121,Products!$A$2:$A$13,0)))</f>
        <v>4360</v>
      </c>
      <c r="H2121" s="13" t="n">
        <f aca="false">IF(A2121="2025",INDEX(Customers!$D$2:$D$41,MATCH(C2121,Customers!$A$2:$A$41,0)),INDEX(Customers!$F$2:$F$41,MATCH(C2121,Customers!$A$2:$A$41,0)))</f>
        <v>0.047</v>
      </c>
      <c r="I2121" s="16" t="n">
        <f aca="false">F2121*G2121</f>
        <v>34008</v>
      </c>
      <c r="J2121" s="16" t="n">
        <f aca="false">I2121*(1-H2121)</f>
        <v>32409.624</v>
      </c>
      <c r="K2121" s="16" t="n">
        <f aca="false">J2121*INDEX(Customers!$G$2:$G$41,MATCH(C2121,Customers!$A$2:$A$41,0))</f>
        <v>0</v>
      </c>
      <c r="L2121" s="16" t="n">
        <f aca="false">F2121*INDEX(Customers!$H$2:$H$41,MATCH(C2121,Customers!$A$2:$A$41,0))</f>
        <v>3120</v>
      </c>
      <c r="M2121" s="16" t="n">
        <f aca="false">J2121*INDEX(Customers!$I$2:$I$41,MATCH(C2121,Customers!$A$2:$A$41,0))/365*Assumptions!$B$6</f>
        <v>639.313130958904</v>
      </c>
      <c r="N2121" s="16" t="n">
        <f aca="false">J2121-K2121-L2121-M2121</f>
        <v>28650.3108690411</v>
      </c>
      <c r="O2121" s="16" t="n">
        <f aca="false">F2121*IF(A2121="2025",INDEX(Products!$D$2:$D$13,MATCH(D2121,Products!$A$2:$A$13,0)),INDEX(Products!$F$2:$F$13,MATCH(D2121,Products!$A$2:$A$13,0)))</f>
        <v>21606</v>
      </c>
      <c r="P2121" s="16" t="n">
        <f aca="false">N2121-O2121</f>
        <v>7044.3108690411</v>
      </c>
    </row>
    <row r="2122" customFormat="false" ht="15" hidden="false" customHeight="false" outlineLevel="0" collapsed="false">
      <c r="A2122" s="2" t="s">
        <v>118</v>
      </c>
      <c r="B2122" s="2" t="n">
        <v>9</v>
      </c>
      <c r="C2122" s="2" t="s">
        <v>93</v>
      </c>
      <c r="D2122" s="2" t="s">
        <v>38</v>
      </c>
      <c r="E2122" s="2" t="str">
        <f aca="false">INDEX(Products!$B$2:$B$13,MATCH(D2122,Products!$A$2:$A$13,0))</f>
        <v>FCC</v>
      </c>
      <c r="F2122" s="15" t="n">
        <v>8</v>
      </c>
      <c r="G2122" s="16" t="n">
        <f aca="false">IF(A2122="2025",INDEX(Products!$C$2:$C$13,MATCH(D2122,Products!$A$2:$A$13,0)),INDEX(Products!$E$2:$E$13,MATCH(D2122,Products!$A$2:$A$13,0)))</f>
        <v>4360</v>
      </c>
      <c r="H2122" s="13" t="n">
        <f aca="false">IF(A2122="2025",INDEX(Customers!$D$2:$D$41,MATCH(C2122,Customers!$A$2:$A$41,0)),INDEX(Customers!$F$2:$F$41,MATCH(C2122,Customers!$A$2:$A$41,0)))</f>
        <v>0.047</v>
      </c>
      <c r="I2122" s="16" t="n">
        <f aca="false">F2122*G2122</f>
        <v>34880</v>
      </c>
      <c r="J2122" s="16" t="n">
        <f aca="false">I2122*(1-H2122)</f>
        <v>33240.64</v>
      </c>
      <c r="K2122" s="16" t="n">
        <f aca="false">J2122*INDEX(Customers!$G$2:$G$41,MATCH(C2122,Customers!$A$2:$A$41,0))</f>
        <v>0</v>
      </c>
      <c r="L2122" s="16" t="n">
        <f aca="false">F2122*INDEX(Customers!$H$2:$H$41,MATCH(C2122,Customers!$A$2:$A$41,0))</f>
        <v>3200</v>
      </c>
      <c r="M2122" s="16" t="n">
        <f aca="false">J2122*INDEX(Customers!$I$2:$I$41,MATCH(C2122,Customers!$A$2:$A$41,0))/365*Assumptions!$B$6</f>
        <v>655.705775342466</v>
      </c>
      <c r="N2122" s="16" t="n">
        <f aca="false">J2122-K2122-L2122-M2122</f>
        <v>29384.9342246575</v>
      </c>
      <c r="O2122" s="16" t="n">
        <f aca="false">F2122*IF(A2122="2025",INDEX(Products!$D$2:$D$13,MATCH(D2122,Products!$A$2:$A$13,0)),INDEX(Products!$F$2:$F$13,MATCH(D2122,Products!$A$2:$A$13,0)))</f>
        <v>22160</v>
      </c>
      <c r="P2122" s="16" t="n">
        <f aca="false">N2122-O2122</f>
        <v>7224.93422465753</v>
      </c>
    </row>
    <row r="2123" customFormat="false" ht="15" hidden="false" customHeight="false" outlineLevel="0" collapsed="false">
      <c r="A2123" s="2" t="s">
        <v>118</v>
      </c>
      <c r="B2123" s="2" t="n">
        <v>10</v>
      </c>
      <c r="C2123" s="2" t="s">
        <v>93</v>
      </c>
      <c r="D2123" s="2" t="s">
        <v>38</v>
      </c>
      <c r="E2123" s="2" t="str">
        <f aca="false">INDEX(Products!$B$2:$B$13,MATCH(D2123,Products!$A$2:$A$13,0))</f>
        <v>FCC</v>
      </c>
      <c r="F2123" s="15" t="n">
        <v>6.7</v>
      </c>
      <c r="G2123" s="16" t="n">
        <f aca="false">IF(A2123="2025",INDEX(Products!$C$2:$C$13,MATCH(D2123,Products!$A$2:$A$13,0)),INDEX(Products!$E$2:$E$13,MATCH(D2123,Products!$A$2:$A$13,0)))</f>
        <v>4360</v>
      </c>
      <c r="H2123" s="13" t="n">
        <f aca="false">IF(A2123="2025",INDEX(Customers!$D$2:$D$41,MATCH(C2123,Customers!$A$2:$A$41,0)),INDEX(Customers!$F$2:$F$41,MATCH(C2123,Customers!$A$2:$A$41,0)))</f>
        <v>0.047</v>
      </c>
      <c r="I2123" s="16" t="n">
        <f aca="false">F2123*G2123</f>
        <v>29212</v>
      </c>
      <c r="J2123" s="16" t="n">
        <f aca="false">I2123*(1-H2123)</f>
        <v>27839.036</v>
      </c>
      <c r="K2123" s="16" t="n">
        <f aca="false">J2123*INDEX(Customers!$G$2:$G$41,MATCH(C2123,Customers!$A$2:$A$41,0))</f>
        <v>0</v>
      </c>
      <c r="L2123" s="16" t="n">
        <f aca="false">F2123*INDEX(Customers!$H$2:$H$41,MATCH(C2123,Customers!$A$2:$A$41,0))</f>
        <v>2680</v>
      </c>
      <c r="M2123" s="16" t="n">
        <f aca="false">J2123*INDEX(Customers!$I$2:$I$41,MATCH(C2123,Customers!$A$2:$A$41,0))/365*Assumptions!$B$6</f>
        <v>549.153586849315</v>
      </c>
      <c r="N2123" s="16" t="n">
        <f aca="false">J2123-K2123-L2123-M2123</f>
        <v>24609.8824131507</v>
      </c>
      <c r="O2123" s="16" t="n">
        <f aca="false">F2123*IF(A2123="2025",INDEX(Products!$D$2:$D$13,MATCH(D2123,Products!$A$2:$A$13,0)),INDEX(Products!$F$2:$F$13,MATCH(D2123,Products!$A$2:$A$13,0)))</f>
        <v>18559</v>
      </c>
      <c r="P2123" s="16" t="n">
        <f aca="false">N2123-O2123</f>
        <v>6050.88241315068</v>
      </c>
    </row>
    <row r="2124" customFormat="false" ht="15" hidden="false" customHeight="false" outlineLevel="0" collapsed="false">
      <c r="A2124" s="2" t="s">
        <v>118</v>
      </c>
      <c r="B2124" s="2" t="n">
        <v>11</v>
      </c>
      <c r="C2124" s="2" t="s">
        <v>93</v>
      </c>
      <c r="D2124" s="2" t="s">
        <v>38</v>
      </c>
      <c r="E2124" s="2" t="str">
        <f aca="false">INDEX(Products!$B$2:$B$13,MATCH(D2124,Products!$A$2:$A$13,0))</f>
        <v>FCC</v>
      </c>
      <c r="F2124" s="15" t="n">
        <v>6.8</v>
      </c>
      <c r="G2124" s="16" t="n">
        <f aca="false">IF(A2124="2025",INDEX(Products!$C$2:$C$13,MATCH(D2124,Products!$A$2:$A$13,0)),INDEX(Products!$E$2:$E$13,MATCH(D2124,Products!$A$2:$A$13,0)))</f>
        <v>4360</v>
      </c>
      <c r="H2124" s="13" t="n">
        <f aca="false">IF(A2124="2025",INDEX(Customers!$D$2:$D$41,MATCH(C2124,Customers!$A$2:$A$41,0)),INDEX(Customers!$F$2:$F$41,MATCH(C2124,Customers!$A$2:$A$41,0)))</f>
        <v>0.047</v>
      </c>
      <c r="I2124" s="16" t="n">
        <f aca="false">F2124*G2124</f>
        <v>29648</v>
      </c>
      <c r="J2124" s="16" t="n">
        <f aca="false">I2124*(1-H2124)</f>
        <v>28254.544</v>
      </c>
      <c r="K2124" s="16" t="n">
        <f aca="false">J2124*INDEX(Customers!$G$2:$G$41,MATCH(C2124,Customers!$A$2:$A$41,0))</f>
        <v>0</v>
      </c>
      <c r="L2124" s="16" t="n">
        <f aca="false">F2124*INDEX(Customers!$H$2:$H$41,MATCH(C2124,Customers!$A$2:$A$41,0))</f>
        <v>2720</v>
      </c>
      <c r="M2124" s="16" t="n">
        <f aca="false">J2124*INDEX(Customers!$I$2:$I$41,MATCH(C2124,Customers!$A$2:$A$41,0))/365*Assumptions!$B$6</f>
        <v>557.349909041096</v>
      </c>
      <c r="N2124" s="16" t="n">
        <f aca="false">J2124-K2124-L2124-M2124</f>
        <v>24977.1940909589</v>
      </c>
      <c r="O2124" s="16" t="n">
        <f aca="false">F2124*IF(A2124="2025",INDEX(Products!$D$2:$D$13,MATCH(D2124,Products!$A$2:$A$13,0)),INDEX(Products!$F$2:$F$13,MATCH(D2124,Products!$A$2:$A$13,0)))</f>
        <v>18836</v>
      </c>
      <c r="P2124" s="16" t="n">
        <f aca="false">N2124-O2124</f>
        <v>6141.1940909589</v>
      </c>
    </row>
    <row r="2125" customFormat="false" ht="15" hidden="false" customHeight="false" outlineLevel="0" collapsed="false">
      <c r="A2125" s="2" t="s">
        <v>118</v>
      </c>
      <c r="B2125" s="2" t="n">
        <v>12</v>
      </c>
      <c r="C2125" s="2" t="s">
        <v>93</v>
      </c>
      <c r="D2125" s="2" t="s">
        <v>38</v>
      </c>
      <c r="E2125" s="2" t="str">
        <f aca="false">INDEX(Products!$B$2:$B$13,MATCH(D2125,Products!$A$2:$A$13,0))</f>
        <v>FCC</v>
      </c>
      <c r="F2125" s="15" t="n">
        <v>8.9</v>
      </c>
      <c r="G2125" s="16" t="n">
        <f aca="false">IF(A2125="2025",INDEX(Products!$C$2:$C$13,MATCH(D2125,Products!$A$2:$A$13,0)),INDEX(Products!$E$2:$E$13,MATCH(D2125,Products!$A$2:$A$13,0)))</f>
        <v>4360</v>
      </c>
      <c r="H2125" s="13" t="n">
        <f aca="false">IF(A2125="2025",INDEX(Customers!$D$2:$D$41,MATCH(C2125,Customers!$A$2:$A$41,0)),INDEX(Customers!$F$2:$F$41,MATCH(C2125,Customers!$A$2:$A$41,0)))</f>
        <v>0.047</v>
      </c>
      <c r="I2125" s="16" t="n">
        <f aca="false">F2125*G2125</f>
        <v>38804</v>
      </c>
      <c r="J2125" s="16" t="n">
        <f aca="false">I2125*(1-H2125)</f>
        <v>36980.212</v>
      </c>
      <c r="K2125" s="16" t="n">
        <f aca="false">J2125*INDEX(Customers!$G$2:$G$41,MATCH(C2125,Customers!$A$2:$A$41,0))</f>
        <v>0</v>
      </c>
      <c r="L2125" s="16" t="n">
        <f aca="false">F2125*INDEX(Customers!$H$2:$H$41,MATCH(C2125,Customers!$A$2:$A$41,0))</f>
        <v>3560</v>
      </c>
      <c r="M2125" s="16" t="n">
        <f aca="false">J2125*INDEX(Customers!$I$2:$I$41,MATCH(C2125,Customers!$A$2:$A$41,0))/365*Assumptions!$B$6</f>
        <v>729.472675068493</v>
      </c>
      <c r="N2125" s="16" t="n">
        <f aca="false">J2125-K2125-L2125-M2125</f>
        <v>32690.7393249315</v>
      </c>
      <c r="O2125" s="16" t="n">
        <f aca="false">F2125*IF(A2125="2025",INDEX(Products!$D$2:$D$13,MATCH(D2125,Products!$A$2:$A$13,0)),INDEX(Products!$F$2:$F$13,MATCH(D2125,Products!$A$2:$A$13,0)))</f>
        <v>24653</v>
      </c>
      <c r="P2125" s="16" t="n">
        <f aca="false">N2125-O2125</f>
        <v>8037.73932493151</v>
      </c>
    </row>
    <row r="2126" customFormat="false" ht="15" hidden="false" customHeight="false" outlineLevel="0" collapsed="false">
      <c r="A2126" s="2" t="s">
        <v>119</v>
      </c>
      <c r="B2126" s="2" t="n">
        <v>1</v>
      </c>
      <c r="C2126" s="2" t="s">
        <v>93</v>
      </c>
      <c r="D2126" s="2" t="s">
        <v>38</v>
      </c>
      <c r="E2126" s="2" t="str">
        <f aca="false">INDEX(Products!$B$2:$B$13,MATCH(D2126,Products!$A$2:$A$13,0))</f>
        <v>FCC</v>
      </c>
      <c r="F2126" s="15" t="n">
        <v>5.7</v>
      </c>
      <c r="G2126" s="16" t="n">
        <f aca="false">IF(A2126="2025",INDEX(Products!$C$2:$C$13,MATCH(D2126,Products!$A$2:$A$13,0)),INDEX(Products!$E$2:$E$13,MATCH(D2126,Products!$A$2:$A$13,0)))</f>
        <v>4578</v>
      </c>
      <c r="H2126" s="13" t="n">
        <f aca="false">IF(A2126="2025",INDEX(Customers!$D$2:$D$41,MATCH(C2126,Customers!$A$2:$A$41,0)),INDEX(Customers!$F$2:$F$41,MATCH(C2126,Customers!$A$2:$A$41,0)))</f>
        <v>0.047</v>
      </c>
      <c r="I2126" s="16" t="n">
        <f aca="false">F2126*G2126</f>
        <v>26094.6</v>
      </c>
      <c r="J2126" s="16" t="n">
        <f aca="false">I2126*(1-H2126)</f>
        <v>24868.1538</v>
      </c>
      <c r="K2126" s="16" t="n">
        <f aca="false">J2126*INDEX(Customers!$G$2:$G$41,MATCH(C2126,Customers!$A$2:$A$41,0))</f>
        <v>0</v>
      </c>
      <c r="L2126" s="16" t="n">
        <f aca="false">F2126*INDEX(Customers!$H$2:$H$41,MATCH(C2126,Customers!$A$2:$A$41,0))</f>
        <v>2280</v>
      </c>
      <c r="M2126" s="16" t="n">
        <f aca="false">J2126*INDEX(Customers!$I$2:$I$41,MATCH(C2126,Customers!$A$2:$A$41,0))/365*Assumptions!$B$6</f>
        <v>490.549883178082</v>
      </c>
      <c r="N2126" s="16" t="n">
        <f aca="false">J2126-K2126-L2126-M2126</f>
        <v>22097.6039168219</v>
      </c>
      <c r="O2126" s="16" t="n">
        <f aca="false">F2126*IF(A2126="2025",INDEX(Products!$D$2:$D$13,MATCH(D2126,Products!$A$2:$A$13,0)),INDEX(Products!$F$2:$F$13,MATCH(D2126,Products!$A$2:$A$13,0)))</f>
        <v>16262.67</v>
      </c>
      <c r="P2126" s="16" t="n">
        <f aca="false">N2126-O2126</f>
        <v>5834.93391682192</v>
      </c>
    </row>
    <row r="2127" customFormat="false" ht="15" hidden="false" customHeight="false" outlineLevel="0" collapsed="false">
      <c r="A2127" s="2" t="s">
        <v>119</v>
      </c>
      <c r="B2127" s="2" t="n">
        <v>2</v>
      </c>
      <c r="C2127" s="2" t="s">
        <v>93</v>
      </c>
      <c r="D2127" s="2" t="s">
        <v>38</v>
      </c>
      <c r="E2127" s="2" t="str">
        <f aca="false">INDEX(Products!$B$2:$B$13,MATCH(D2127,Products!$A$2:$A$13,0))</f>
        <v>FCC</v>
      </c>
      <c r="F2127" s="15" t="n">
        <v>5.4</v>
      </c>
      <c r="G2127" s="16" t="n">
        <f aca="false">IF(A2127="2025",INDEX(Products!$C$2:$C$13,MATCH(D2127,Products!$A$2:$A$13,0)),INDEX(Products!$E$2:$E$13,MATCH(D2127,Products!$A$2:$A$13,0)))</f>
        <v>4578</v>
      </c>
      <c r="H2127" s="13" t="n">
        <f aca="false">IF(A2127="2025",INDEX(Customers!$D$2:$D$41,MATCH(C2127,Customers!$A$2:$A$41,0)),INDEX(Customers!$F$2:$F$41,MATCH(C2127,Customers!$A$2:$A$41,0)))</f>
        <v>0.047</v>
      </c>
      <c r="I2127" s="16" t="n">
        <f aca="false">F2127*G2127</f>
        <v>24721.2</v>
      </c>
      <c r="J2127" s="16" t="n">
        <f aca="false">I2127*(1-H2127)</f>
        <v>23559.3036</v>
      </c>
      <c r="K2127" s="16" t="n">
        <f aca="false">J2127*INDEX(Customers!$G$2:$G$41,MATCH(C2127,Customers!$A$2:$A$41,0))</f>
        <v>0</v>
      </c>
      <c r="L2127" s="16" t="n">
        <f aca="false">F2127*INDEX(Customers!$H$2:$H$41,MATCH(C2127,Customers!$A$2:$A$41,0))</f>
        <v>2160</v>
      </c>
      <c r="M2127" s="16" t="n">
        <f aca="false">J2127*INDEX(Customers!$I$2:$I$41,MATCH(C2127,Customers!$A$2:$A$41,0))/365*Assumptions!$B$6</f>
        <v>464.731468273973</v>
      </c>
      <c r="N2127" s="16" t="n">
        <f aca="false">J2127-K2127-L2127-M2127</f>
        <v>20934.572131726</v>
      </c>
      <c r="O2127" s="16" t="n">
        <f aca="false">F2127*IF(A2127="2025",INDEX(Products!$D$2:$D$13,MATCH(D2127,Products!$A$2:$A$13,0)),INDEX(Products!$F$2:$F$13,MATCH(D2127,Products!$A$2:$A$13,0)))</f>
        <v>15406.74</v>
      </c>
      <c r="P2127" s="16" t="n">
        <f aca="false">N2127-O2127</f>
        <v>5527.83213172603</v>
      </c>
    </row>
    <row r="2128" customFormat="false" ht="15" hidden="false" customHeight="false" outlineLevel="0" collapsed="false">
      <c r="A2128" s="2" t="s">
        <v>119</v>
      </c>
      <c r="B2128" s="2" t="n">
        <v>3</v>
      </c>
      <c r="C2128" s="2" t="s">
        <v>93</v>
      </c>
      <c r="D2128" s="2" t="s">
        <v>38</v>
      </c>
      <c r="E2128" s="2" t="str">
        <f aca="false">INDEX(Products!$B$2:$B$13,MATCH(D2128,Products!$A$2:$A$13,0))</f>
        <v>FCC</v>
      </c>
      <c r="F2128" s="15" t="n">
        <v>9.6</v>
      </c>
      <c r="G2128" s="16" t="n">
        <f aca="false">IF(A2128="2025",INDEX(Products!$C$2:$C$13,MATCH(D2128,Products!$A$2:$A$13,0)),INDEX(Products!$E$2:$E$13,MATCH(D2128,Products!$A$2:$A$13,0)))</f>
        <v>4578</v>
      </c>
      <c r="H2128" s="13" t="n">
        <f aca="false">IF(A2128="2025",INDEX(Customers!$D$2:$D$41,MATCH(C2128,Customers!$A$2:$A$41,0)),INDEX(Customers!$F$2:$F$41,MATCH(C2128,Customers!$A$2:$A$41,0)))</f>
        <v>0.047</v>
      </c>
      <c r="I2128" s="16" t="n">
        <f aca="false">F2128*G2128</f>
        <v>43948.8</v>
      </c>
      <c r="J2128" s="16" t="n">
        <f aca="false">I2128*(1-H2128)</f>
        <v>41883.2064</v>
      </c>
      <c r="K2128" s="16" t="n">
        <f aca="false">J2128*INDEX(Customers!$G$2:$G$41,MATCH(C2128,Customers!$A$2:$A$41,0))</f>
        <v>0</v>
      </c>
      <c r="L2128" s="16" t="n">
        <f aca="false">F2128*INDEX(Customers!$H$2:$H$41,MATCH(C2128,Customers!$A$2:$A$41,0))</f>
        <v>3840</v>
      </c>
      <c r="M2128" s="16" t="n">
        <f aca="false">J2128*INDEX(Customers!$I$2:$I$41,MATCH(C2128,Customers!$A$2:$A$41,0))/365*Assumptions!$B$6</f>
        <v>826.189276931507</v>
      </c>
      <c r="N2128" s="16" t="n">
        <f aca="false">J2128-K2128-L2128-M2128</f>
        <v>37217.0171230685</v>
      </c>
      <c r="O2128" s="16" t="n">
        <f aca="false">F2128*IF(A2128="2025",INDEX(Products!$D$2:$D$13,MATCH(D2128,Products!$A$2:$A$13,0)),INDEX(Products!$F$2:$F$13,MATCH(D2128,Products!$A$2:$A$13,0)))</f>
        <v>27389.76</v>
      </c>
      <c r="P2128" s="16" t="n">
        <f aca="false">N2128-O2128</f>
        <v>9827.25712306849</v>
      </c>
    </row>
    <row r="2129" customFormat="false" ht="15" hidden="false" customHeight="false" outlineLevel="0" collapsed="false">
      <c r="A2129" s="2" t="s">
        <v>119</v>
      </c>
      <c r="B2129" s="2" t="n">
        <v>4</v>
      </c>
      <c r="C2129" s="2" t="s">
        <v>93</v>
      </c>
      <c r="D2129" s="2" t="s">
        <v>38</v>
      </c>
      <c r="E2129" s="2" t="str">
        <f aca="false">INDEX(Products!$B$2:$B$13,MATCH(D2129,Products!$A$2:$A$13,0))</f>
        <v>FCC</v>
      </c>
      <c r="F2129" s="15" t="n">
        <v>8.6</v>
      </c>
      <c r="G2129" s="16" t="n">
        <f aca="false">IF(A2129="2025",INDEX(Products!$C$2:$C$13,MATCH(D2129,Products!$A$2:$A$13,0)),INDEX(Products!$E$2:$E$13,MATCH(D2129,Products!$A$2:$A$13,0)))</f>
        <v>4578</v>
      </c>
      <c r="H2129" s="13" t="n">
        <f aca="false">IF(A2129="2025",INDEX(Customers!$D$2:$D$41,MATCH(C2129,Customers!$A$2:$A$41,0)),INDEX(Customers!$F$2:$F$41,MATCH(C2129,Customers!$A$2:$A$41,0)))</f>
        <v>0.047</v>
      </c>
      <c r="I2129" s="16" t="n">
        <f aca="false">F2129*G2129</f>
        <v>39370.8</v>
      </c>
      <c r="J2129" s="16" t="n">
        <f aca="false">I2129*(1-H2129)</f>
        <v>37520.3724</v>
      </c>
      <c r="K2129" s="16" t="n">
        <f aca="false">J2129*INDEX(Customers!$G$2:$G$41,MATCH(C2129,Customers!$A$2:$A$41,0))</f>
        <v>0</v>
      </c>
      <c r="L2129" s="16" t="n">
        <f aca="false">F2129*INDEX(Customers!$H$2:$H$41,MATCH(C2129,Customers!$A$2:$A$41,0))</f>
        <v>3440</v>
      </c>
      <c r="M2129" s="16" t="n">
        <f aca="false">J2129*INDEX(Customers!$I$2:$I$41,MATCH(C2129,Customers!$A$2:$A$41,0))/365*Assumptions!$B$6</f>
        <v>740.127893917808</v>
      </c>
      <c r="N2129" s="16" t="n">
        <f aca="false">J2129-K2129-L2129-M2129</f>
        <v>33340.2445060822</v>
      </c>
      <c r="O2129" s="16" t="n">
        <f aca="false">F2129*IF(A2129="2025",INDEX(Products!$D$2:$D$13,MATCH(D2129,Products!$A$2:$A$13,0)),INDEX(Products!$F$2:$F$13,MATCH(D2129,Products!$A$2:$A$13,0)))</f>
        <v>24536.66</v>
      </c>
      <c r="P2129" s="16" t="n">
        <f aca="false">N2129-O2129</f>
        <v>8803.58450608219</v>
      </c>
    </row>
    <row r="2130" customFormat="false" ht="15" hidden="false" customHeight="false" outlineLevel="0" collapsed="false">
      <c r="A2130" s="2" t="s">
        <v>119</v>
      </c>
      <c r="B2130" s="2" t="n">
        <v>5</v>
      </c>
      <c r="C2130" s="2" t="s">
        <v>93</v>
      </c>
      <c r="D2130" s="2" t="s">
        <v>38</v>
      </c>
      <c r="E2130" s="2" t="str">
        <f aca="false">INDEX(Products!$B$2:$B$13,MATCH(D2130,Products!$A$2:$A$13,0))</f>
        <v>FCC</v>
      </c>
      <c r="F2130" s="15" t="n">
        <v>7.9</v>
      </c>
      <c r="G2130" s="16" t="n">
        <f aca="false">IF(A2130="2025",INDEX(Products!$C$2:$C$13,MATCH(D2130,Products!$A$2:$A$13,0)),INDEX(Products!$E$2:$E$13,MATCH(D2130,Products!$A$2:$A$13,0)))</f>
        <v>4578</v>
      </c>
      <c r="H2130" s="13" t="n">
        <f aca="false">IF(A2130="2025",INDEX(Customers!$D$2:$D$41,MATCH(C2130,Customers!$A$2:$A$41,0)),INDEX(Customers!$F$2:$F$41,MATCH(C2130,Customers!$A$2:$A$41,0)))</f>
        <v>0.047</v>
      </c>
      <c r="I2130" s="16" t="n">
        <f aca="false">F2130*G2130</f>
        <v>36166.2</v>
      </c>
      <c r="J2130" s="16" t="n">
        <f aca="false">I2130*(1-H2130)</f>
        <v>34466.3886</v>
      </c>
      <c r="K2130" s="16" t="n">
        <f aca="false">J2130*INDEX(Customers!$G$2:$G$41,MATCH(C2130,Customers!$A$2:$A$41,0))</f>
        <v>0</v>
      </c>
      <c r="L2130" s="16" t="n">
        <f aca="false">F2130*INDEX(Customers!$H$2:$H$41,MATCH(C2130,Customers!$A$2:$A$41,0))</f>
        <v>3160</v>
      </c>
      <c r="M2130" s="16" t="n">
        <f aca="false">J2130*INDEX(Customers!$I$2:$I$41,MATCH(C2130,Customers!$A$2:$A$41,0))/365*Assumptions!$B$6</f>
        <v>679.884925808219</v>
      </c>
      <c r="N2130" s="16" t="n">
        <f aca="false">J2130-K2130-L2130-M2130</f>
        <v>30626.5036741918</v>
      </c>
      <c r="O2130" s="16" t="n">
        <f aca="false">F2130*IF(A2130="2025",INDEX(Products!$D$2:$D$13,MATCH(D2130,Products!$A$2:$A$13,0)),INDEX(Products!$F$2:$F$13,MATCH(D2130,Products!$A$2:$A$13,0)))</f>
        <v>22539.49</v>
      </c>
      <c r="P2130" s="16" t="n">
        <f aca="false">N2130-O2130</f>
        <v>8087.01367419179</v>
      </c>
    </row>
    <row r="2131" customFormat="false" ht="15" hidden="false" customHeight="false" outlineLevel="0" collapsed="false">
      <c r="A2131" s="2" t="s">
        <v>119</v>
      </c>
      <c r="B2131" s="2" t="n">
        <v>6</v>
      </c>
      <c r="C2131" s="2" t="s">
        <v>93</v>
      </c>
      <c r="D2131" s="2" t="s">
        <v>38</v>
      </c>
      <c r="E2131" s="2" t="str">
        <f aca="false">INDEX(Products!$B$2:$B$13,MATCH(D2131,Products!$A$2:$A$13,0))</f>
        <v>FCC</v>
      </c>
      <c r="F2131" s="15" t="n">
        <v>8.9</v>
      </c>
      <c r="G2131" s="16" t="n">
        <f aca="false">IF(A2131="2025",INDEX(Products!$C$2:$C$13,MATCH(D2131,Products!$A$2:$A$13,0)),INDEX(Products!$E$2:$E$13,MATCH(D2131,Products!$A$2:$A$13,0)))</f>
        <v>4578</v>
      </c>
      <c r="H2131" s="13" t="n">
        <f aca="false">IF(A2131="2025",INDEX(Customers!$D$2:$D$41,MATCH(C2131,Customers!$A$2:$A$41,0)),INDEX(Customers!$F$2:$F$41,MATCH(C2131,Customers!$A$2:$A$41,0)))</f>
        <v>0.047</v>
      </c>
      <c r="I2131" s="16" t="n">
        <f aca="false">F2131*G2131</f>
        <v>40744.2</v>
      </c>
      <c r="J2131" s="16" t="n">
        <f aca="false">I2131*(1-H2131)</f>
        <v>38829.2226</v>
      </c>
      <c r="K2131" s="16" t="n">
        <f aca="false">J2131*INDEX(Customers!$G$2:$G$41,MATCH(C2131,Customers!$A$2:$A$41,0))</f>
        <v>0</v>
      </c>
      <c r="L2131" s="16" t="n">
        <f aca="false">F2131*INDEX(Customers!$H$2:$H$41,MATCH(C2131,Customers!$A$2:$A$41,0))</f>
        <v>3560</v>
      </c>
      <c r="M2131" s="16" t="n">
        <f aca="false">J2131*INDEX(Customers!$I$2:$I$41,MATCH(C2131,Customers!$A$2:$A$41,0))/365*Assumptions!$B$6</f>
        <v>765.946308821918</v>
      </c>
      <c r="N2131" s="16" t="n">
        <f aca="false">J2131-K2131-L2131-M2131</f>
        <v>34503.2762911781</v>
      </c>
      <c r="O2131" s="16" t="n">
        <f aca="false">F2131*IF(A2131="2025",INDEX(Products!$D$2:$D$13,MATCH(D2131,Products!$A$2:$A$13,0)),INDEX(Products!$F$2:$F$13,MATCH(D2131,Products!$A$2:$A$13,0)))</f>
        <v>25392.59</v>
      </c>
      <c r="P2131" s="16" t="n">
        <f aca="false">N2131-O2131</f>
        <v>9110.68629117808</v>
      </c>
    </row>
    <row r="2132" customFormat="false" ht="15" hidden="false" customHeight="false" outlineLevel="0" collapsed="false">
      <c r="A2132" s="2" t="s">
        <v>119</v>
      </c>
      <c r="B2132" s="2" t="n">
        <v>7</v>
      </c>
      <c r="C2132" s="2" t="s">
        <v>93</v>
      </c>
      <c r="D2132" s="2" t="s">
        <v>38</v>
      </c>
      <c r="E2132" s="2" t="str">
        <f aca="false">INDEX(Products!$B$2:$B$13,MATCH(D2132,Products!$A$2:$A$13,0))</f>
        <v>FCC</v>
      </c>
      <c r="F2132" s="15" t="n">
        <v>6.6</v>
      </c>
      <c r="G2132" s="16" t="n">
        <f aca="false">IF(A2132="2025",INDEX(Products!$C$2:$C$13,MATCH(D2132,Products!$A$2:$A$13,0)),INDEX(Products!$E$2:$E$13,MATCH(D2132,Products!$A$2:$A$13,0)))</f>
        <v>4578</v>
      </c>
      <c r="H2132" s="13" t="n">
        <f aca="false">IF(A2132="2025",INDEX(Customers!$D$2:$D$41,MATCH(C2132,Customers!$A$2:$A$41,0)),INDEX(Customers!$F$2:$F$41,MATCH(C2132,Customers!$A$2:$A$41,0)))</f>
        <v>0.047</v>
      </c>
      <c r="I2132" s="16" t="n">
        <f aca="false">F2132*G2132</f>
        <v>30214.8</v>
      </c>
      <c r="J2132" s="16" t="n">
        <f aca="false">I2132*(1-H2132)</f>
        <v>28794.7044</v>
      </c>
      <c r="K2132" s="16" t="n">
        <f aca="false">J2132*INDEX(Customers!$G$2:$G$41,MATCH(C2132,Customers!$A$2:$A$41,0))</f>
        <v>0</v>
      </c>
      <c r="L2132" s="16" t="n">
        <f aca="false">F2132*INDEX(Customers!$H$2:$H$41,MATCH(C2132,Customers!$A$2:$A$41,0))</f>
        <v>2640</v>
      </c>
      <c r="M2132" s="16" t="n">
        <f aca="false">J2132*INDEX(Customers!$I$2:$I$41,MATCH(C2132,Customers!$A$2:$A$41,0))/365*Assumptions!$B$6</f>
        <v>568.005127890411</v>
      </c>
      <c r="N2132" s="16" t="n">
        <f aca="false">J2132-K2132-L2132-M2132</f>
        <v>25586.6992721096</v>
      </c>
      <c r="O2132" s="16" t="n">
        <f aca="false">F2132*IF(A2132="2025",INDEX(Products!$D$2:$D$13,MATCH(D2132,Products!$A$2:$A$13,0)),INDEX(Products!$F$2:$F$13,MATCH(D2132,Products!$A$2:$A$13,0)))</f>
        <v>18830.46</v>
      </c>
      <c r="P2132" s="16" t="n">
        <f aca="false">N2132-O2132</f>
        <v>6756.23927210959</v>
      </c>
    </row>
    <row r="2133" customFormat="false" ht="15" hidden="false" customHeight="false" outlineLevel="0" collapsed="false">
      <c r="A2133" s="2" t="s">
        <v>119</v>
      </c>
      <c r="B2133" s="2" t="n">
        <v>8</v>
      </c>
      <c r="C2133" s="2" t="s">
        <v>93</v>
      </c>
      <c r="D2133" s="2" t="s">
        <v>38</v>
      </c>
      <c r="E2133" s="2" t="str">
        <f aca="false">INDEX(Products!$B$2:$B$13,MATCH(D2133,Products!$A$2:$A$13,0))</f>
        <v>FCC</v>
      </c>
      <c r="F2133" s="15" t="n">
        <v>8.5</v>
      </c>
      <c r="G2133" s="16" t="n">
        <f aca="false">IF(A2133="2025",INDEX(Products!$C$2:$C$13,MATCH(D2133,Products!$A$2:$A$13,0)),INDEX(Products!$E$2:$E$13,MATCH(D2133,Products!$A$2:$A$13,0)))</f>
        <v>4578</v>
      </c>
      <c r="H2133" s="13" t="n">
        <f aca="false">IF(A2133="2025",INDEX(Customers!$D$2:$D$41,MATCH(C2133,Customers!$A$2:$A$41,0)),INDEX(Customers!$F$2:$F$41,MATCH(C2133,Customers!$A$2:$A$41,0)))</f>
        <v>0.047</v>
      </c>
      <c r="I2133" s="16" t="n">
        <f aca="false">F2133*G2133</f>
        <v>38913</v>
      </c>
      <c r="J2133" s="16" t="n">
        <f aca="false">I2133*(1-H2133)</f>
        <v>37084.089</v>
      </c>
      <c r="K2133" s="16" t="n">
        <f aca="false">J2133*INDEX(Customers!$G$2:$G$41,MATCH(C2133,Customers!$A$2:$A$41,0))</f>
        <v>0</v>
      </c>
      <c r="L2133" s="16" t="n">
        <f aca="false">F2133*INDEX(Customers!$H$2:$H$41,MATCH(C2133,Customers!$A$2:$A$41,0))</f>
        <v>3400</v>
      </c>
      <c r="M2133" s="16" t="n">
        <f aca="false">J2133*INDEX(Customers!$I$2:$I$41,MATCH(C2133,Customers!$A$2:$A$41,0))/365*Assumptions!$B$6</f>
        <v>731.521755616438</v>
      </c>
      <c r="N2133" s="16" t="n">
        <f aca="false">J2133-K2133-L2133-M2133</f>
        <v>32952.5672443836</v>
      </c>
      <c r="O2133" s="16" t="n">
        <f aca="false">F2133*IF(A2133="2025",INDEX(Products!$D$2:$D$13,MATCH(D2133,Products!$A$2:$A$13,0)),INDEX(Products!$F$2:$F$13,MATCH(D2133,Products!$A$2:$A$13,0)))</f>
        <v>24251.35</v>
      </c>
      <c r="P2133" s="16" t="n">
        <f aca="false">N2133-O2133</f>
        <v>8701.21724438357</v>
      </c>
    </row>
    <row r="2134" customFormat="false" ht="15" hidden="false" customHeight="false" outlineLevel="0" collapsed="false">
      <c r="A2134" s="2" t="s">
        <v>119</v>
      </c>
      <c r="B2134" s="2" t="n">
        <v>9</v>
      </c>
      <c r="C2134" s="2" t="s">
        <v>93</v>
      </c>
      <c r="D2134" s="2" t="s">
        <v>38</v>
      </c>
      <c r="E2134" s="2" t="str">
        <f aca="false">INDEX(Products!$B$2:$B$13,MATCH(D2134,Products!$A$2:$A$13,0))</f>
        <v>FCC</v>
      </c>
      <c r="F2134" s="15" t="n">
        <v>8.1</v>
      </c>
      <c r="G2134" s="16" t="n">
        <f aca="false">IF(A2134="2025",INDEX(Products!$C$2:$C$13,MATCH(D2134,Products!$A$2:$A$13,0)),INDEX(Products!$E$2:$E$13,MATCH(D2134,Products!$A$2:$A$13,0)))</f>
        <v>4578</v>
      </c>
      <c r="H2134" s="13" t="n">
        <f aca="false">IF(A2134="2025",INDEX(Customers!$D$2:$D$41,MATCH(C2134,Customers!$A$2:$A$41,0)),INDEX(Customers!$F$2:$F$41,MATCH(C2134,Customers!$A$2:$A$41,0)))</f>
        <v>0.047</v>
      </c>
      <c r="I2134" s="16" t="n">
        <f aca="false">F2134*G2134</f>
        <v>37081.8</v>
      </c>
      <c r="J2134" s="16" t="n">
        <f aca="false">I2134*(1-H2134)</f>
        <v>35338.9554</v>
      </c>
      <c r="K2134" s="16" t="n">
        <f aca="false">J2134*INDEX(Customers!$G$2:$G$41,MATCH(C2134,Customers!$A$2:$A$41,0))</f>
        <v>0</v>
      </c>
      <c r="L2134" s="16" t="n">
        <f aca="false">F2134*INDEX(Customers!$H$2:$H$41,MATCH(C2134,Customers!$A$2:$A$41,0))</f>
        <v>3240</v>
      </c>
      <c r="M2134" s="16" t="n">
        <f aca="false">J2134*INDEX(Customers!$I$2:$I$41,MATCH(C2134,Customers!$A$2:$A$41,0))/365*Assumptions!$B$6</f>
        <v>697.097202410959</v>
      </c>
      <c r="N2134" s="16" t="n">
        <f aca="false">J2134-K2134-L2134-M2134</f>
        <v>31401.858197589</v>
      </c>
      <c r="O2134" s="16" t="n">
        <f aca="false">F2134*IF(A2134="2025",INDEX(Products!$D$2:$D$13,MATCH(D2134,Products!$A$2:$A$13,0)),INDEX(Products!$F$2:$F$13,MATCH(D2134,Products!$A$2:$A$13,0)))</f>
        <v>23110.11</v>
      </c>
      <c r="P2134" s="16" t="n">
        <f aca="false">N2134-O2134</f>
        <v>8291.74819758904</v>
      </c>
    </row>
    <row r="2135" customFormat="false" ht="15" hidden="false" customHeight="false" outlineLevel="0" collapsed="false">
      <c r="A2135" s="2" t="s">
        <v>119</v>
      </c>
      <c r="B2135" s="2" t="n">
        <v>10</v>
      </c>
      <c r="C2135" s="2" t="s">
        <v>93</v>
      </c>
      <c r="D2135" s="2" t="s">
        <v>38</v>
      </c>
      <c r="E2135" s="2" t="str">
        <f aca="false">INDEX(Products!$B$2:$B$13,MATCH(D2135,Products!$A$2:$A$13,0))</f>
        <v>FCC</v>
      </c>
      <c r="F2135" s="15" t="n">
        <v>6.7</v>
      </c>
      <c r="G2135" s="16" t="n">
        <f aca="false">IF(A2135="2025",INDEX(Products!$C$2:$C$13,MATCH(D2135,Products!$A$2:$A$13,0)),INDEX(Products!$E$2:$E$13,MATCH(D2135,Products!$A$2:$A$13,0)))</f>
        <v>4578</v>
      </c>
      <c r="H2135" s="13" t="n">
        <f aca="false">IF(A2135="2025",INDEX(Customers!$D$2:$D$41,MATCH(C2135,Customers!$A$2:$A$41,0)),INDEX(Customers!$F$2:$F$41,MATCH(C2135,Customers!$A$2:$A$41,0)))</f>
        <v>0.047</v>
      </c>
      <c r="I2135" s="16" t="n">
        <f aca="false">F2135*G2135</f>
        <v>30672.6</v>
      </c>
      <c r="J2135" s="16" t="n">
        <f aca="false">I2135*(1-H2135)</f>
        <v>29230.9878</v>
      </c>
      <c r="K2135" s="16" t="n">
        <f aca="false">J2135*INDEX(Customers!$G$2:$G$41,MATCH(C2135,Customers!$A$2:$A$41,0))</f>
        <v>0</v>
      </c>
      <c r="L2135" s="16" t="n">
        <f aca="false">F2135*INDEX(Customers!$H$2:$H$41,MATCH(C2135,Customers!$A$2:$A$41,0))</f>
        <v>2680</v>
      </c>
      <c r="M2135" s="16" t="n">
        <f aca="false">J2135*INDEX(Customers!$I$2:$I$41,MATCH(C2135,Customers!$A$2:$A$41,0))/365*Assumptions!$B$6</f>
        <v>576.611266191781</v>
      </c>
      <c r="N2135" s="16" t="n">
        <f aca="false">J2135-K2135-L2135-M2135</f>
        <v>25974.3765338082</v>
      </c>
      <c r="O2135" s="16" t="n">
        <f aca="false">F2135*IF(A2135="2025",INDEX(Products!$D$2:$D$13,MATCH(D2135,Products!$A$2:$A$13,0)),INDEX(Products!$F$2:$F$13,MATCH(D2135,Products!$A$2:$A$13,0)))</f>
        <v>19115.77</v>
      </c>
      <c r="P2135" s="16" t="n">
        <f aca="false">N2135-O2135</f>
        <v>6858.60653380822</v>
      </c>
    </row>
    <row r="2136" customFormat="false" ht="15" hidden="false" customHeight="false" outlineLevel="0" collapsed="false">
      <c r="A2136" s="2" t="s">
        <v>119</v>
      </c>
      <c r="B2136" s="2" t="n">
        <v>11</v>
      </c>
      <c r="C2136" s="2" t="s">
        <v>93</v>
      </c>
      <c r="D2136" s="2" t="s">
        <v>38</v>
      </c>
      <c r="E2136" s="2" t="str">
        <f aca="false">INDEX(Products!$B$2:$B$13,MATCH(D2136,Products!$A$2:$A$13,0))</f>
        <v>FCC</v>
      </c>
      <c r="F2136" s="15" t="n">
        <v>6.7</v>
      </c>
      <c r="G2136" s="16" t="n">
        <f aca="false">IF(A2136="2025",INDEX(Products!$C$2:$C$13,MATCH(D2136,Products!$A$2:$A$13,0)),INDEX(Products!$E$2:$E$13,MATCH(D2136,Products!$A$2:$A$13,0)))</f>
        <v>4578</v>
      </c>
      <c r="H2136" s="13" t="n">
        <f aca="false">IF(A2136="2025",INDEX(Customers!$D$2:$D$41,MATCH(C2136,Customers!$A$2:$A$41,0)),INDEX(Customers!$F$2:$F$41,MATCH(C2136,Customers!$A$2:$A$41,0)))</f>
        <v>0.047</v>
      </c>
      <c r="I2136" s="16" t="n">
        <f aca="false">F2136*G2136</f>
        <v>30672.6</v>
      </c>
      <c r="J2136" s="16" t="n">
        <f aca="false">I2136*(1-H2136)</f>
        <v>29230.9878</v>
      </c>
      <c r="K2136" s="16" t="n">
        <f aca="false">J2136*INDEX(Customers!$G$2:$G$41,MATCH(C2136,Customers!$A$2:$A$41,0))</f>
        <v>0</v>
      </c>
      <c r="L2136" s="16" t="n">
        <f aca="false">F2136*INDEX(Customers!$H$2:$H$41,MATCH(C2136,Customers!$A$2:$A$41,0))</f>
        <v>2680</v>
      </c>
      <c r="M2136" s="16" t="n">
        <f aca="false">J2136*INDEX(Customers!$I$2:$I$41,MATCH(C2136,Customers!$A$2:$A$41,0))/365*Assumptions!$B$6</f>
        <v>576.611266191781</v>
      </c>
      <c r="N2136" s="16" t="n">
        <f aca="false">J2136-K2136-L2136-M2136</f>
        <v>25974.3765338082</v>
      </c>
      <c r="O2136" s="16" t="n">
        <f aca="false">F2136*IF(A2136="2025",INDEX(Products!$D$2:$D$13,MATCH(D2136,Products!$A$2:$A$13,0)),INDEX(Products!$F$2:$F$13,MATCH(D2136,Products!$A$2:$A$13,0)))</f>
        <v>19115.77</v>
      </c>
      <c r="P2136" s="16" t="n">
        <f aca="false">N2136-O2136</f>
        <v>6858.60653380822</v>
      </c>
    </row>
    <row r="2137" customFormat="false" ht="15" hidden="false" customHeight="false" outlineLevel="0" collapsed="false">
      <c r="A2137" s="2" t="s">
        <v>119</v>
      </c>
      <c r="B2137" s="2" t="n">
        <v>12</v>
      </c>
      <c r="C2137" s="2" t="s">
        <v>93</v>
      </c>
      <c r="D2137" s="2" t="s">
        <v>38</v>
      </c>
      <c r="E2137" s="2" t="str">
        <f aca="false">INDEX(Products!$B$2:$B$13,MATCH(D2137,Products!$A$2:$A$13,0))</f>
        <v>FCC</v>
      </c>
      <c r="F2137" s="15" t="n">
        <v>7.6</v>
      </c>
      <c r="G2137" s="16" t="n">
        <f aca="false">IF(A2137="2025",INDEX(Products!$C$2:$C$13,MATCH(D2137,Products!$A$2:$A$13,0)),INDEX(Products!$E$2:$E$13,MATCH(D2137,Products!$A$2:$A$13,0)))</f>
        <v>4578</v>
      </c>
      <c r="H2137" s="13" t="n">
        <f aca="false">IF(A2137="2025",INDEX(Customers!$D$2:$D$41,MATCH(C2137,Customers!$A$2:$A$41,0)),INDEX(Customers!$F$2:$F$41,MATCH(C2137,Customers!$A$2:$A$41,0)))</f>
        <v>0.047</v>
      </c>
      <c r="I2137" s="16" t="n">
        <f aca="false">F2137*G2137</f>
        <v>34792.8</v>
      </c>
      <c r="J2137" s="16" t="n">
        <f aca="false">I2137*(1-H2137)</f>
        <v>33157.5384</v>
      </c>
      <c r="K2137" s="16" t="n">
        <f aca="false">J2137*INDEX(Customers!$G$2:$G$41,MATCH(C2137,Customers!$A$2:$A$41,0))</f>
        <v>0</v>
      </c>
      <c r="L2137" s="16" t="n">
        <f aca="false">F2137*INDEX(Customers!$H$2:$H$41,MATCH(C2137,Customers!$A$2:$A$41,0))</f>
        <v>3040</v>
      </c>
      <c r="M2137" s="16" t="n">
        <f aca="false">J2137*INDEX(Customers!$I$2:$I$41,MATCH(C2137,Customers!$A$2:$A$41,0))/365*Assumptions!$B$6</f>
        <v>654.06651090411</v>
      </c>
      <c r="N2137" s="16" t="n">
        <f aca="false">J2137-K2137-L2137-M2137</f>
        <v>29463.4718890959</v>
      </c>
      <c r="O2137" s="16" t="n">
        <f aca="false">F2137*IF(A2137="2025",INDEX(Products!$D$2:$D$13,MATCH(D2137,Products!$A$2:$A$13,0)),INDEX(Products!$F$2:$F$13,MATCH(D2137,Products!$A$2:$A$13,0)))</f>
        <v>21683.56</v>
      </c>
      <c r="P2137" s="16" t="n">
        <f aca="false">N2137-O2137</f>
        <v>7779.91188909589</v>
      </c>
    </row>
    <row r="2138" customFormat="false" ht="15" hidden="false" customHeight="false" outlineLevel="0" collapsed="false">
      <c r="A2138" s="2" t="s">
        <v>118</v>
      </c>
      <c r="B2138" s="2" t="n">
        <v>1</v>
      </c>
      <c r="C2138" s="2" t="s">
        <v>94</v>
      </c>
      <c r="D2138" s="2" t="s">
        <v>46</v>
      </c>
      <c r="E2138" s="2" t="str">
        <f aca="false">INDEX(Products!$B$2:$B$13,MATCH(D2138,Products!$A$2:$A$13,0))</f>
        <v>Specialty</v>
      </c>
      <c r="F2138" s="15" t="n">
        <v>22.2</v>
      </c>
      <c r="G2138" s="16" t="n">
        <f aca="false">IF(A2138="2025",INDEX(Products!$C$2:$C$13,MATCH(D2138,Products!$A$2:$A$13,0)),INDEX(Products!$E$2:$E$13,MATCH(D2138,Products!$A$2:$A$13,0)))</f>
        <v>25560</v>
      </c>
      <c r="H2138" s="13" t="n">
        <f aca="false">IF(A2138="2025",INDEX(Customers!$D$2:$D$41,MATCH(C2138,Customers!$A$2:$A$41,0)),INDEX(Customers!$F$2:$F$41,MATCH(C2138,Customers!$A$2:$A$41,0)))</f>
        <v>0.126</v>
      </c>
      <c r="I2138" s="16" t="n">
        <f aca="false">F2138*G2138</f>
        <v>567432</v>
      </c>
      <c r="J2138" s="16" t="n">
        <f aca="false">I2138*(1-H2138)</f>
        <v>495935.568</v>
      </c>
      <c r="K2138" s="16" t="n">
        <f aca="false">J2138*INDEX(Customers!$G$2:$G$41,MATCH(C2138,Customers!$A$2:$A$41,0))</f>
        <v>4959.35568</v>
      </c>
      <c r="L2138" s="16" t="n">
        <f aca="false">F2138*INDEX(Customers!$H$2:$H$41,MATCH(C2138,Customers!$A$2:$A$41,0))</f>
        <v>7548</v>
      </c>
      <c r="M2138" s="16" t="n">
        <f aca="false">J2138*INDEX(Customers!$I$2:$I$41,MATCH(C2138,Customers!$A$2:$A$41,0))/365*Assumptions!$B$6</f>
        <v>3260.94620054795</v>
      </c>
      <c r="N2138" s="16" t="n">
        <f aca="false">J2138-K2138-L2138-M2138</f>
        <v>480167.266119452</v>
      </c>
      <c r="O2138" s="16" t="n">
        <f aca="false">F2138*IF(A2138="2025",INDEX(Products!$D$2:$D$13,MATCH(D2138,Products!$A$2:$A$13,0)),INDEX(Products!$F$2:$F$13,MATCH(D2138,Products!$A$2:$A$13,0)))</f>
        <v>271950</v>
      </c>
      <c r="P2138" s="16" t="n">
        <f aca="false">N2138-O2138</f>
        <v>208217.266119452</v>
      </c>
    </row>
    <row r="2139" customFormat="false" ht="15" hidden="false" customHeight="false" outlineLevel="0" collapsed="false">
      <c r="A2139" s="2" t="s">
        <v>118</v>
      </c>
      <c r="B2139" s="2" t="n">
        <v>2</v>
      </c>
      <c r="C2139" s="2" t="s">
        <v>94</v>
      </c>
      <c r="D2139" s="2" t="s">
        <v>46</v>
      </c>
      <c r="E2139" s="2" t="str">
        <f aca="false">INDEX(Products!$B$2:$B$13,MATCH(D2139,Products!$A$2:$A$13,0))</f>
        <v>Specialty</v>
      </c>
      <c r="F2139" s="15" t="n">
        <v>22.1</v>
      </c>
      <c r="G2139" s="16" t="n">
        <f aca="false">IF(A2139="2025",INDEX(Products!$C$2:$C$13,MATCH(D2139,Products!$A$2:$A$13,0)),INDEX(Products!$E$2:$E$13,MATCH(D2139,Products!$A$2:$A$13,0)))</f>
        <v>25560</v>
      </c>
      <c r="H2139" s="13" t="n">
        <f aca="false">IF(A2139="2025",INDEX(Customers!$D$2:$D$41,MATCH(C2139,Customers!$A$2:$A$41,0)),INDEX(Customers!$F$2:$F$41,MATCH(C2139,Customers!$A$2:$A$41,0)))</f>
        <v>0.126</v>
      </c>
      <c r="I2139" s="16" t="n">
        <f aca="false">F2139*G2139</f>
        <v>564876</v>
      </c>
      <c r="J2139" s="16" t="n">
        <f aca="false">I2139*(1-H2139)</f>
        <v>493701.624</v>
      </c>
      <c r="K2139" s="16" t="n">
        <f aca="false">J2139*INDEX(Customers!$G$2:$G$41,MATCH(C2139,Customers!$A$2:$A$41,0))</f>
        <v>4937.01624</v>
      </c>
      <c r="L2139" s="16" t="n">
        <f aca="false">F2139*INDEX(Customers!$H$2:$H$41,MATCH(C2139,Customers!$A$2:$A$41,0))</f>
        <v>7514</v>
      </c>
      <c r="M2139" s="16" t="n">
        <f aca="false">J2139*INDEX(Customers!$I$2:$I$41,MATCH(C2139,Customers!$A$2:$A$41,0))/365*Assumptions!$B$6</f>
        <v>3246.25725369863</v>
      </c>
      <c r="N2139" s="16" t="n">
        <f aca="false">J2139-K2139-L2139-M2139</f>
        <v>478004.350506301</v>
      </c>
      <c r="O2139" s="16" t="n">
        <f aca="false">F2139*IF(A2139="2025",INDEX(Products!$D$2:$D$13,MATCH(D2139,Products!$A$2:$A$13,0)),INDEX(Products!$F$2:$F$13,MATCH(D2139,Products!$A$2:$A$13,0)))</f>
        <v>270725</v>
      </c>
      <c r="P2139" s="16" t="n">
        <f aca="false">N2139-O2139</f>
        <v>207279.350506301</v>
      </c>
    </row>
    <row r="2140" customFormat="false" ht="15" hidden="false" customHeight="false" outlineLevel="0" collapsed="false">
      <c r="A2140" s="2" t="s">
        <v>118</v>
      </c>
      <c r="B2140" s="2" t="n">
        <v>3</v>
      </c>
      <c r="C2140" s="2" t="s">
        <v>94</v>
      </c>
      <c r="D2140" s="2" t="s">
        <v>46</v>
      </c>
      <c r="E2140" s="2" t="str">
        <f aca="false">INDEX(Products!$B$2:$B$13,MATCH(D2140,Products!$A$2:$A$13,0))</f>
        <v>Specialty</v>
      </c>
      <c r="F2140" s="15" t="n">
        <v>18.7</v>
      </c>
      <c r="G2140" s="16" t="n">
        <f aca="false">IF(A2140="2025",INDEX(Products!$C$2:$C$13,MATCH(D2140,Products!$A$2:$A$13,0)),INDEX(Products!$E$2:$E$13,MATCH(D2140,Products!$A$2:$A$13,0)))</f>
        <v>25560</v>
      </c>
      <c r="H2140" s="13" t="n">
        <f aca="false">IF(A2140="2025",INDEX(Customers!$D$2:$D$41,MATCH(C2140,Customers!$A$2:$A$41,0)),INDEX(Customers!$F$2:$F$41,MATCH(C2140,Customers!$A$2:$A$41,0)))</f>
        <v>0.126</v>
      </c>
      <c r="I2140" s="16" t="n">
        <f aca="false">F2140*G2140</f>
        <v>477972</v>
      </c>
      <c r="J2140" s="16" t="n">
        <f aca="false">I2140*(1-H2140)</f>
        <v>417747.528</v>
      </c>
      <c r="K2140" s="16" t="n">
        <f aca="false">J2140*INDEX(Customers!$G$2:$G$41,MATCH(C2140,Customers!$A$2:$A$41,0))</f>
        <v>4177.47528</v>
      </c>
      <c r="L2140" s="16" t="n">
        <f aca="false">F2140*INDEX(Customers!$H$2:$H$41,MATCH(C2140,Customers!$A$2:$A$41,0))</f>
        <v>6358</v>
      </c>
      <c r="M2140" s="16" t="n">
        <f aca="false">J2140*INDEX(Customers!$I$2:$I$41,MATCH(C2140,Customers!$A$2:$A$41,0))/365*Assumptions!$B$6</f>
        <v>2746.83306082192</v>
      </c>
      <c r="N2140" s="16" t="n">
        <f aca="false">J2140-K2140-L2140-M2140</f>
        <v>404465.219659178</v>
      </c>
      <c r="O2140" s="16" t="n">
        <f aca="false">F2140*IF(A2140="2025",INDEX(Products!$D$2:$D$13,MATCH(D2140,Products!$A$2:$A$13,0)),INDEX(Products!$F$2:$F$13,MATCH(D2140,Products!$A$2:$A$13,0)))</f>
        <v>229075</v>
      </c>
      <c r="P2140" s="16" t="n">
        <f aca="false">N2140-O2140</f>
        <v>175390.219659178</v>
      </c>
    </row>
    <row r="2141" customFormat="false" ht="15" hidden="false" customHeight="false" outlineLevel="0" collapsed="false">
      <c r="A2141" s="2" t="s">
        <v>118</v>
      </c>
      <c r="B2141" s="2" t="n">
        <v>4</v>
      </c>
      <c r="C2141" s="2" t="s">
        <v>94</v>
      </c>
      <c r="D2141" s="2" t="s">
        <v>46</v>
      </c>
      <c r="E2141" s="2" t="str">
        <f aca="false">INDEX(Products!$B$2:$B$13,MATCH(D2141,Products!$A$2:$A$13,0))</f>
        <v>Specialty</v>
      </c>
      <c r="F2141" s="15" t="n">
        <v>14.7</v>
      </c>
      <c r="G2141" s="16" t="n">
        <f aca="false">IF(A2141="2025",INDEX(Products!$C$2:$C$13,MATCH(D2141,Products!$A$2:$A$13,0)),INDEX(Products!$E$2:$E$13,MATCH(D2141,Products!$A$2:$A$13,0)))</f>
        <v>25560</v>
      </c>
      <c r="H2141" s="13" t="n">
        <f aca="false">IF(A2141="2025",INDEX(Customers!$D$2:$D$41,MATCH(C2141,Customers!$A$2:$A$41,0)),INDEX(Customers!$F$2:$F$41,MATCH(C2141,Customers!$A$2:$A$41,0)))</f>
        <v>0.126</v>
      </c>
      <c r="I2141" s="16" t="n">
        <f aca="false">F2141*G2141</f>
        <v>375732</v>
      </c>
      <c r="J2141" s="16" t="n">
        <f aca="false">I2141*(1-H2141)</f>
        <v>328389.768</v>
      </c>
      <c r="K2141" s="16" t="n">
        <f aca="false">J2141*INDEX(Customers!$G$2:$G$41,MATCH(C2141,Customers!$A$2:$A$41,0))</f>
        <v>3283.89768</v>
      </c>
      <c r="L2141" s="16" t="n">
        <f aca="false">F2141*INDEX(Customers!$H$2:$H$41,MATCH(C2141,Customers!$A$2:$A$41,0))</f>
        <v>4998</v>
      </c>
      <c r="M2141" s="16" t="n">
        <f aca="false">J2141*INDEX(Customers!$I$2:$I$41,MATCH(C2141,Customers!$A$2:$A$41,0))/365*Assumptions!$B$6</f>
        <v>2159.27518684931</v>
      </c>
      <c r="N2141" s="16" t="n">
        <f aca="false">J2141-K2141-L2141-M2141</f>
        <v>317948.595133151</v>
      </c>
      <c r="O2141" s="16" t="n">
        <f aca="false">F2141*IF(A2141="2025",INDEX(Products!$D$2:$D$13,MATCH(D2141,Products!$A$2:$A$13,0)),INDEX(Products!$F$2:$F$13,MATCH(D2141,Products!$A$2:$A$13,0)))</f>
        <v>180075</v>
      </c>
      <c r="P2141" s="16" t="n">
        <f aca="false">N2141-O2141</f>
        <v>137873.595133151</v>
      </c>
    </row>
    <row r="2142" customFormat="false" ht="15" hidden="false" customHeight="false" outlineLevel="0" collapsed="false">
      <c r="A2142" s="2" t="s">
        <v>118</v>
      </c>
      <c r="B2142" s="2" t="n">
        <v>5</v>
      </c>
      <c r="C2142" s="2" t="s">
        <v>94</v>
      </c>
      <c r="D2142" s="2" t="s">
        <v>46</v>
      </c>
      <c r="E2142" s="2" t="str">
        <f aca="false">INDEX(Products!$B$2:$B$13,MATCH(D2142,Products!$A$2:$A$13,0))</f>
        <v>Specialty</v>
      </c>
      <c r="F2142" s="15" t="n">
        <v>12.6</v>
      </c>
      <c r="G2142" s="16" t="n">
        <f aca="false">IF(A2142="2025",INDEX(Products!$C$2:$C$13,MATCH(D2142,Products!$A$2:$A$13,0)),INDEX(Products!$E$2:$E$13,MATCH(D2142,Products!$A$2:$A$13,0)))</f>
        <v>25560</v>
      </c>
      <c r="H2142" s="13" t="n">
        <f aca="false">IF(A2142="2025",INDEX(Customers!$D$2:$D$41,MATCH(C2142,Customers!$A$2:$A$41,0)),INDEX(Customers!$F$2:$F$41,MATCH(C2142,Customers!$A$2:$A$41,0)))</f>
        <v>0.126</v>
      </c>
      <c r="I2142" s="16" t="n">
        <f aca="false">F2142*G2142</f>
        <v>322056</v>
      </c>
      <c r="J2142" s="16" t="n">
        <f aca="false">I2142*(1-H2142)</f>
        <v>281476.944</v>
      </c>
      <c r="K2142" s="16" t="n">
        <f aca="false">J2142*INDEX(Customers!$G$2:$G$41,MATCH(C2142,Customers!$A$2:$A$41,0))</f>
        <v>2814.76944</v>
      </c>
      <c r="L2142" s="16" t="n">
        <f aca="false">F2142*INDEX(Customers!$H$2:$H$41,MATCH(C2142,Customers!$A$2:$A$41,0))</f>
        <v>4284</v>
      </c>
      <c r="M2142" s="16" t="n">
        <f aca="false">J2142*INDEX(Customers!$I$2:$I$41,MATCH(C2142,Customers!$A$2:$A$41,0))/365*Assumptions!$B$6</f>
        <v>1850.8073030137</v>
      </c>
      <c r="N2142" s="16" t="n">
        <f aca="false">J2142-K2142-L2142-M2142</f>
        <v>272527.367256986</v>
      </c>
      <c r="O2142" s="16" t="n">
        <f aca="false">F2142*IF(A2142="2025",INDEX(Products!$D$2:$D$13,MATCH(D2142,Products!$A$2:$A$13,0)),INDEX(Products!$F$2:$F$13,MATCH(D2142,Products!$A$2:$A$13,0)))</f>
        <v>154350</v>
      </c>
      <c r="P2142" s="16" t="n">
        <f aca="false">N2142-O2142</f>
        <v>118177.367256986</v>
      </c>
    </row>
    <row r="2143" customFormat="false" ht="15" hidden="false" customHeight="false" outlineLevel="0" collapsed="false">
      <c r="A2143" s="2" t="s">
        <v>118</v>
      </c>
      <c r="B2143" s="2" t="n">
        <v>6</v>
      </c>
      <c r="C2143" s="2" t="s">
        <v>94</v>
      </c>
      <c r="D2143" s="2" t="s">
        <v>46</v>
      </c>
      <c r="E2143" s="2" t="str">
        <f aca="false">INDEX(Products!$B$2:$B$13,MATCH(D2143,Products!$A$2:$A$13,0))</f>
        <v>Specialty</v>
      </c>
      <c r="F2143" s="15" t="n">
        <v>18.3</v>
      </c>
      <c r="G2143" s="16" t="n">
        <f aca="false">IF(A2143="2025",INDEX(Products!$C$2:$C$13,MATCH(D2143,Products!$A$2:$A$13,0)),INDEX(Products!$E$2:$E$13,MATCH(D2143,Products!$A$2:$A$13,0)))</f>
        <v>25560</v>
      </c>
      <c r="H2143" s="13" t="n">
        <f aca="false">IF(A2143="2025",INDEX(Customers!$D$2:$D$41,MATCH(C2143,Customers!$A$2:$A$41,0)),INDEX(Customers!$F$2:$F$41,MATCH(C2143,Customers!$A$2:$A$41,0)))</f>
        <v>0.126</v>
      </c>
      <c r="I2143" s="16" t="n">
        <f aca="false">F2143*G2143</f>
        <v>467748</v>
      </c>
      <c r="J2143" s="16" t="n">
        <f aca="false">I2143*(1-H2143)</f>
        <v>408811.752</v>
      </c>
      <c r="K2143" s="16" t="n">
        <f aca="false">J2143*INDEX(Customers!$G$2:$G$41,MATCH(C2143,Customers!$A$2:$A$41,0))</f>
        <v>4088.11752</v>
      </c>
      <c r="L2143" s="16" t="n">
        <f aca="false">F2143*INDEX(Customers!$H$2:$H$41,MATCH(C2143,Customers!$A$2:$A$41,0))</f>
        <v>6222</v>
      </c>
      <c r="M2143" s="16" t="n">
        <f aca="false">J2143*INDEX(Customers!$I$2:$I$41,MATCH(C2143,Customers!$A$2:$A$41,0))/365*Assumptions!$B$6</f>
        <v>2688.07727342466</v>
      </c>
      <c r="N2143" s="16" t="n">
        <f aca="false">J2143-K2143-L2143-M2143</f>
        <v>395813.557206575</v>
      </c>
      <c r="O2143" s="16" t="n">
        <f aca="false">F2143*IF(A2143="2025",INDEX(Products!$D$2:$D$13,MATCH(D2143,Products!$A$2:$A$13,0)),INDEX(Products!$F$2:$F$13,MATCH(D2143,Products!$A$2:$A$13,0)))</f>
        <v>224175</v>
      </c>
      <c r="P2143" s="16" t="n">
        <f aca="false">N2143-O2143</f>
        <v>171638.557206575</v>
      </c>
    </row>
    <row r="2144" customFormat="false" ht="15" hidden="false" customHeight="false" outlineLevel="0" collapsed="false">
      <c r="A2144" s="2" t="s">
        <v>118</v>
      </c>
      <c r="B2144" s="2" t="n">
        <v>7</v>
      </c>
      <c r="C2144" s="2" t="s">
        <v>94</v>
      </c>
      <c r="D2144" s="2" t="s">
        <v>46</v>
      </c>
      <c r="E2144" s="2" t="str">
        <f aca="false">INDEX(Products!$B$2:$B$13,MATCH(D2144,Products!$A$2:$A$13,0))</f>
        <v>Specialty</v>
      </c>
      <c r="F2144" s="15" t="n">
        <v>15.1</v>
      </c>
      <c r="G2144" s="16" t="n">
        <f aca="false">IF(A2144="2025",INDEX(Products!$C$2:$C$13,MATCH(D2144,Products!$A$2:$A$13,0)),INDEX(Products!$E$2:$E$13,MATCH(D2144,Products!$A$2:$A$13,0)))</f>
        <v>25560</v>
      </c>
      <c r="H2144" s="13" t="n">
        <f aca="false">IF(A2144="2025",INDEX(Customers!$D$2:$D$41,MATCH(C2144,Customers!$A$2:$A$41,0)),INDEX(Customers!$F$2:$F$41,MATCH(C2144,Customers!$A$2:$A$41,0)))</f>
        <v>0.126</v>
      </c>
      <c r="I2144" s="16" t="n">
        <f aca="false">F2144*G2144</f>
        <v>385956</v>
      </c>
      <c r="J2144" s="16" t="n">
        <f aca="false">I2144*(1-H2144)</f>
        <v>337325.544</v>
      </c>
      <c r="K2144" s="16" t="n">
        <f aca="false">J2144*INDEX(Customers!$G$2:$G$41,MATCH(C2144,Customers!$A$2:$A$41,0))</f>
        <v>3373.25544</v>
      </c>
      <c r="L2144" s="16" t="n">
        <f aca="false">F2144*INDEX(Customers!$H$2:$H$41,MATCH(C2144,Customers!$A$2:$A$41,0))</f>
        <v>5134</v>
      </c>
      <c r="M2144" s="16" t="n">
        <f aca="false">J2144*INDEX(Customers!$I$2:$I$41,MATCH(C2144,Customers!$A$2:$A$41,0))/365*Assumptions!$B$6</f>
        <v>2218.03097424658</v>
      </c>
      <c r="N2144" s="16" t="n">
        <f aca="false">J2144-K2144-L2144-M2144</f>
        <v>326600.257585753</v>
      </c>
      <c r="O2144" s="16" t="n">
        <f aca="false">F2144*IF(A2144="2025",INDEX(Products!$D$2:$D$13,MATCH(D2144,Products!$A$2:$A$13,0)),INDEX(Products!$F$2:$F$13,MATCH(D2144,Products!$A$2:$A$13,0)))</f>
        <v>184975</v>
      </c>
      <c r="P2144" s="16" t="n">
        <f aca="false">N2144-O2144</f>
        <v>141625.257585753</v>
      </c>
    </row>
    <row r="2145" customFormat="false" ht="15" hidden="false" customHeight="false" outlineLevel="0" collapsed="false">
      <c r="A2145" s="2" t="s">
        <v>118</v>
      </c>
      <c r="B2145" s="2" t="n">
        <v>8</v>
      </c>
      <c r="C2145" s="2" t="s">
        <v>94</v>
      </c>
      <c r="D2145" s="2" t="s">
        <v>46</v>
      </c>
      <c r="E2145" s="2" t="str">
        <f aca="false">INDEX(Products!$B$2:$B$13,MATCH(D2145,Products!$A$2:$A$13,0))</f>
        <v>Specialty</v>
      </c>
      <c r="F2145" s="15" t="n">
        <v>15.5</v>
      </c>
      <c r="G2145" s="16" t="n">
        <f aca="false">IF(A2145="2025",INDEX(Products!$C$2:$C$13,MATCH(D2145,Products!$A$2:$A$13,0)),INDEX(Products!$E$2:$E$13,MATCH(D2145,Products!$A$2:$A$13,0)))</f>
        <v>25560</v>
      </c>
      <c r="H2145" s="13" t="n">
        <f aca="false">IF(A2145="2025",INDEX(Customers!$D$2:$D$41,MATCH(C2145,Customers!$A$2:$A$41,0)),INDEX(Customers!$F$2:$F$41,MATCH(C2145,Customers!$A$2:$A$41,0)))</f>
        <v>0.126</v>
      </c>
      <c r="I2145" s="16" t="n">
        <f aca="false">F2145*G2145</f>
        <v>396180</v>
      </c>
      <c r="J2145" s="16" t="n">
        <f aca="false">I2145*(1-H2145)</f>
        <v>346261.32</v>
      </c>
      <c r="K2145" s="16" t="n">
        <f aca="false">J2145*INDEX(Customers!$G$2:$G$41,MATCH(C2145,Customers!$A$2:$A$41,0))</f>
        <v>3462.6132</v>
      </c>
      <c r="L2145" s="16" t="n">
        <f aca="false">F2145*INDEX(Customers!$H$2:$H$41,MATCH(C2145,Customers!$A$2:$A$41,0))</f>
        <v>5270</v>
      </c>
      <c r="M2145" s="16" t="n">
        <f aca="false">J2145*INDEX(Customers!$I$2:$I$41,MATCH(C2145,Customers!$A$2:$A$41,0))/365*Assumptions!$B$6</f>
        <v>2276.78676164384</v>
      </c>
      <c r="N2145" s="16" t="n">
        <f aca="false">J2145-K2145-L2145-M2145</f>
        <v>335251.920038356</v>
      </c>
      <c r="O2145" s="16" t="n">
        <f aca="false">F2145*IF(A2145="2025",INDEX(Products!$D$2:$D$13,MATCH(D2145,Products!$A$2:$A$13,0)),INDEX(Products!$F$2:$F$13,MATCH(D2145,Products!$A$2:$A$13,0)))</f>
        <v>189875</v>
      </c>
      <c r="P2145" s="16" t="n">
        <f aca="false">N2145-O2145</f>
        <v>145376.920038356</v>
      </c>
    </row>
    <row r="2146" customFormat="false" ht="15" hidden="false" customHeight="false" outlineLevel="0" collapsed="false">
      <c r="A2146" s="2" t="s">
        <v>118</v>
      </c>
      <c r="B2146" s="2" t="n">
        <v>9</v>
      </c>
      <c r="C2146" s="2" t="s">
        <v>94</v>
      </c>
      <c r="D2146" s="2" t="s">
        <v>46</v>
      </c>
      <c r="E2146" s="2" t="str">
        <f aca="false">INDEX(Products!$B$2:$B$13,MATCH(D2146,Products!$A$2:$A$13,0))</f>
        <v>Specialty</v>
      </c>
      <c r="F2146" s="15" t="n">
        <v>19.6</v>
      </c>
      <c r="G2146" s="16" t="n">
        <f aca="false">IF(A2146="2025",INDEX(Products!$C$2:$C$13,MATCH(D2146,Products!$A$2:$A$13,0)),INDEX(Products!$E$2:$E$13,MATCH(D2146,Products!$A$2:$A$13,0)))</f>
        <v>25560</v>
      </c>
      <c r="H2146" s="13" t="n">
        <f aca="false">IF(A2146="2025",INDEX(Customers!$D$2:$D$41,MATCH(C2146,Customers!$A$2:$A$41,0)),INDEX(Customers!$F$2:$F$41,MATCH(C2146,Customers!$A$2:$A$41,0)))</f>
        <v>0.126</v>
      </c>
      <c r="I2146" s="16" t="n">
        <f aca="false">F2146*G2146</f>
        <v>500976</v>
      </c>
      <c r="J2146" s="16" t="n">
        <f aca="false">I2146*(1-H2146)</f>
        <v>437853.024</v>
      </c>
      <c r="K2146" s="16" t="n">
        <f aca="false">J2146*INDEX(Customers!$G$2:$G$41,MATCH(C2146,Customers!$A$2:$A$41,0))</f>
        <v>4378.53024</v>
      </c>
      <c r="L2146" s="16" t="n">
        <f aca="false">F2146*INDEX(Customers!$H$2:$H$41,MATCH(C2146,Customers!$A$2:$A$41,0))</f>
        <v>6664</v>
      </c>
      <c r="M2146" s="16" t="n">
        <f aca="false">J2146*INDEX(Customers!$I$2:$I$41,MATCH(C2146,Customers!$A$2:$A$41,0))/365*Assumptions!$B$6</f>
        <v>2879.03358246575</v>
      </c>
      <c r="N2146" s="16" t="n">
        <f aca="false">J2146-K2146-L2146-M2146</f>
        <v>423931.460177534</v>
      </c>
      <c r="O2146" s="16" t="n">
        <f aca="false">F2146*IF(A2146="2025",INDEX(Products!$D$2:$D$13,MATCH(D2146,Products!$A$2:$A$13,0)),INDEX(Products!$F$2:$F$13,MATCH(D2146,Products!$A$2:$A$13,0)))</f>
        <v>240100</v>
      </c>
      <c r="P2146" s="16" t="n">
        <f aca="false">N2146-O2146</f>
        <v>183831.460177534</v>
      </c>
    </row>
    <row r="2147" customFormat="false" ht="15" hidden="false" customHeight="false" outlineLevel="0" collapsed="false">
      <c r="A2147" s="2" t="s">
        <v>118</v>
      </c>
      <c r="B2147" s="2" t="n">
        <v>10</v>
      </c>
      <c r="C2147" s="2" t="s">
        <v>94</v>
      </c>
      <c r="D2147" s="2" t="s">
        <v>46</v>
      </c>
      <c r="E2147" s="2" t="str">
        <f aca="false">INDEX(Products!$B$2:$B$13,MATCH(D2147,Products!$A$2:$A$13,0))</f>
        <v>Specialty</v>
      </c>
      <c r="F2147" s="15" t="n">
        <v>13.8</v>
      </c>
      <c r="G2147" s="16" t="n">
        <f aca="false">IF(A2147="2025",INDEX(Products!$C$2:$C$13,MATCH(D2147,Products!$A$2:$A$13,0)),INDEX(Products!$E$2:$E$13,MATCH(D2147,Products!$A$2:$A$13,0)))</f>
        <v>25560</v>
      </c>
      <c r="H2147" s="13" t="n">
        <f aca="false">IF(A2147="2025",INDEX(Customers!$D$2:$D$41,MATCH(C2147,Customers!$A$2:$A$41,0)),INDEX(Customers!$F$2:$F$41,MATCH(C2147,Customers!$A$2:$A$41,0)))</f>
        <v>0.126</v>
      </c>
      <c r="I2147" s="16" t="n">
        <f aca="false">F2147*G2147</f>
        <v>352728</v>
      </c>
      <c r="J2147" s="16" t="n">
        <f aca="false">I2147*(1-H2147)</f>
        <v>308284.272</v>
      </c>
      <c r="K2147" s="16" t="n">
        <f aca="false">J2147*INDEX(Customers!$G$2:$G$41,MATCH(C2147,Customers!$A$2:$A$41,0))</f>
        <v>3082.84272</v>
      </c>
      <c r="L2147" s="16" t="n">
        <f aca="false">F2147*INDEX(Customers!$H$2:$H$41,MATCH(C2147,Customers!$A$2:$A$41,0))</f>
        <v>4692</v>
      </c>
      <c r="M2147" s="16" t="n">
        <f aca="false">J2147*INDEX(Customers!$I$2:$I$41,MATCH(C2147,Customers!$A$2:$A$41,0))/365*Assumptions!$B$6</f>
        <v>2027.07466520548</v>
      </c>
      <c r="N2147" s="16" t="n">
        <f aca="false">J2147-K2147-L2147-M2147</f>
        <v>298482.354614795</v>
      </c>
      <c r="O2147" s="16" t="n">
        <f aca="false">F2147*IF(A2147="2025",INDEX(Products!$D$2:$D$13,MATCH(D2147,Products!$A$2:$A$13,0)),INDEX(Products!$F$2:$F$13,MATCH(D2147,Products!$A$2:$A$13,0)))</f>
        <v>169050</v>
      </c>
      <c r="P2147" s="16" t="n">
        <f aca="false">N2147-O2147</f>
        <v>129432.354614794</v>
      </c>
    </row>
    <row r="2148" customFormat="false" ht="15" hidden="false" customHeight="false" outlineLevel="0" collapsed="false">
      <c r="A2148" s="2" t="s">
        <v>118</v>
      </c>
      <c r="B2148" s="2" t="n">
        <v>11</v>
      </c>
      <c r="C2148" s="2" t="s">
        <v>94</v>
      </c>
      <c r="D2148" s="2" t="s">
        <v>46</v>
      </c>
      <c r="E2148" s="2" t="str">
        <f aca="false">INDEX(Products!$B$2:$B$13,MATCH(D2148,Products!$A$2:$A$13,0))</f>
        <v>Specialty</v>
      </c>
      <c r="F2148" s="15" t="n">
        <v>18.9</v>
      </c>
      <c r="G2148" s="16" t="n">
        <f aca="false">IF(A2148="2025",INDEX(Products!$C$2:$C$13,MATCH(D2148,Products!$A$2:$A$13,0)),INDEX(Products!$E$2:$E$13,MATCH(D2148,Products!$A$2:$A$13,0)))</f>
        <v>25560</v>
      </c>
      <c r="H2148" s="13" t="n">
        <f aca="false">IF(A2148="2025",INDEX(Customers!$D$2:$D$41,MATCH(C2148,Customers!$A$2:$A$41,0)),INDEX(Customers!$F$2:$F$41,MATCH(C2148,Customers!$A$2:$A$41,0)))</f>
        <v>0.126</v>
      </c>
      <c r="I2148" s="16" t="n">
        <f aca="false">F2148*G2148</f>
        <v>483084</v>
      </c>
      <c r="J2148" s="16" t="n">
        <f aca="false">I2148*(1-H2148)</f>
        <v>422215.416</v>
      </c>
      <c r="K2148" s="16" t="n">
        <f aca="false">J2148*INDEX(Customers!$G$2:$G$41,MATCH(C2148,Customers!$A$2:$A$41,0))</f>
        <v>4222.15416</v>
      </c>
      <c r="L2148" s="16" t="n">
        <f aca="false">F2148*INDEX(Customers!$H$2:$H$41,MATCH(C2148,Customers!$A$2:$A$41,0))</f>
        <v>6426</v>
      </c>
      <c r="M2148" s="16" t="n">
        <f aca="false">J2148*INDEX(Customers!$I$2:$I$41,MATCH(C2148,Customers!$A$2:$A$41,0))/365*Assumptions!$B$6</f>
        <v>2776.21095452055</v>
      </c>
      <c r="N2148" s="16" t="n">
        <f aca="false">J2148-K2148-L2148-M2148</f>
        <v>408791.050885479</v>
      </c>
      <c r="O2148" s="16" t="n">
        <f aca="false">F2148*IF(A2148="2025",INDEX(Products!$D$2:$D$13,MATCH(D2148,Products!$A$2:$A$13,0)),INDEX(Products!$F$2:$F$13,MATCH(D2148,Products!$A$2:$A$13,0)))</f>
        <v>231525</v>
      </c>
      <c r="P2148" s="16" t="n">
        <f aca="false">N2148-O2148</f>
        <v>177266.050885479</v>
      </c>
    </row>
    <row r="2149" customFormat="false" ht="15" hidden="false" customHeight="false" outlineLevel="0" collapsed="false">
      <c r="A2149" s="2" t="s">
        <v>118</v>
      </c>
      <c r="B2149" s="2" t="n">
        <v>12</v>
      </c>
      <c r="C2149" s="2" t="s">
        <v>94</v>
      </c>
      <c r="D2149" s="2" t="s">
        <v>46</v>
      </c>
      <c r="E2149" s="2" t="str">
        <f aca="false">INDEX(Products!$B$2:$B$13,MATCH(D2149,Products!$A$2:$A$13,0))</f>
        <v>Specialty</v>
      </c>
      <c r="F2149" s="15" t="n">
        <v>20.4</v>
      </c>
      <c r="G2149" s="16" t="n">
        <f aca="false">IF(A2149="2025",INDEX(Products!$C$2:$C$13,MATCH(D2149,Products!$A$2:$A$13,0)),INDEX(Products!$E$2:$E$13,MATCH(D2149,Products!$A$2:$A$13,0)))</f>
        <v>25560</v>
      </c>
      <c r="H2149" s="13" t="n">
        <f aca="false">IF(A2149="2025",INDEX(Customers!$D$2:$D$41,MATCH(C2149,Customers!$A$2:$A$41,0)),INDEX(Customers!$F$2:$F$41,MATCH(C2149,Customers!$A$2:$A$41,0)))</f>
        <v>0.126</v>
      </c>
      <c r="I2149" s="16" t="n">
        <f aca="false">F2149*G2149</f>
        <v>521424</v>
      </c>
      <c r="J2149" s="16" t="n">
        <f aca="false">I2149*(1-H2149)</f>
        <v>455724.576</v>
      </c>
      <c r="K2149" s="16" t="n">
        <f aca="false">J2149*INDEX(Customers!$G$2:$G$41,MATCH(C2149,Customers!$A$2:$A$41,0))</f>
        <v>4557.24576</v>
      </c>
      <c r="L2149" s="16" t="n">
        <f aca="false">F2149*INDEX(Customers!$H$2:$H$41,MATCH(C2149,Customers!$A$2:$A$41,0))</f>
        <v>6936</v>
      </c>
      <c r="M2149" s="16" t="n">
        <f aca="false">J2149*INDEX(Customers!$I$2:$I$41,MATCH(C2149,Customers!$A$2:$A$41,0))/365*Assumptions!$B$6</f>
        <v>2996.54515726027</v>
      </c>
      <c r="N2149" s="16" t="n">
        <f aca="false">J2149-K2149-L2149-M2149</f>
        <v>441234.78508274</v>
      </c>
      <c r="O2149" s="16" t="n">
        <f aca="false">F2149*IF(A2149="2025",INDEX(Products!$D$2:$D$13,MATCH(D2149,Products!$A$2:$A$13,0)),INDEX(Products!$F$2:$F$13,MATCH(D2149,Products!$A$2:$A$13,0)))</f>
        <v>249900</v>
      </c>
      <c r="P2149" s="16" t="n">
        <f aca="false">N2149-O2149</f>
        <v>191334.78508274</v>
      </c>
    </row>
    <row r="2150" customFormat="false" ht="15" hidden="false" customHeight="false" outlineLevel="0" collapsed="false">
      <c r="A2150" s="2" t="s">
        <v>119</v>
      </c>
      <c r="B2150" s="2" t="n">
        <v>1</v>
      </c>
      <c r="C2150" s="2" t="s">
        <v>94</v>
      </c>
      <c r="D2150" s="2" t="s">
        <v>46</v>
      </c>
      <c r="E2150" s="2" t="str">
        <f aca="false">INDEX(Products!$B$2:$B$13,MATCH(D2150,Products!$A$2:$A$13,0))</f>
        <v>Specialty</v>
      </c>
      <c r="F2150" s="15" t="n">
        <v>14.6</v>
      </c>
      <c r="G2150" s="16" t="n">
        <f aca="false">IF(A2150="2025",INDEX(Products!$C$2:$C$13,MATCH(D2150,Products!$A$2:$A$13,0)),INDEX(Products!$E$2:$E$13,MATCH(D2150,Products!$A$2:$A$13,0)))</f>
        <v>26838</v>
      </c>
      <c r="H2150" s="13" t="n">
        <f aca="false">IF(A2150="2025",INDEX(Customers!$D$2:$D$41,MATCH(C2150,Customers!$A$2:$A$41,0)),INDEX(Customers!$F$2:$F$41,MATCH(C2150,Customers!$A$2:$A$41,0)))</f>
        <v>0.126</v>
      </c>
      <c r="I2150" s="16" t="n">
        <f aca="false">F2150*G2150</f>
        <v>391834.8</v>
      </c>
      <c r="J2150" s="16" t="n">
        <f aca="false">I2150*(1-H2150)</f>
        <v>342463.6152</v>
      </c>
      <c r="K2150" s="16" t="n">
        <f aca="false">J2150*INDEX(Customers!$G$2:$G$41,MATCH(C2150,Customers!$A$2:$A$41,0))</f>
        <v>3424.636152</v>
      </c>
      <c r="L2150" s="16" t="n">
        <f aca="false">F2150*INDEX(Customers!$H$2:$H$41,MATCH(C2150,Customers!$A$2:$A$41,0))</f>
        <v>4964</v>
      </c>
      <c r="M2150" s="16" t="n">
        <f aca="false">J2150*INDEX(Customers!$I$2:$I$41,MATCH(C2150,Customers!$A$2:$A$41,0))/365*Assumptions!$B$6</f>
        <v>2251.815552</v>
      </c>
      <c r="N2150" s="16" t="n">
        <f aca="false">J2150-K2150-L2150-M2150</f>
        <v>331823.163496</v>
      </c>
      <c r="O2150" s="16" t="n">
        <f aca="false">F2150*IF(A2150="2025",INDEX(Products!$D$2:$D$13,MATCH(D2150,Products!$A$2:$A$13,0)),INDEX(Products!$F$2:$F$13,MATCH(D2150,Products!$A$2:$A$13,0)))</f>
        <v>184215.5</v>
      </c>
      <c r="P2150" s="16" t="n">
        <f aca="false">N2150-O2150</f>
        <v>147607.663496</v>
      </c>
    </row>
    <row r="2151" customFormat="false" ht="15" hidden="false" customHeight="false" outlineLevel="0" collapsed="false">
      <c r="A2151" s="2" t="s">
        <v>119</v>
      </c>
      <c r="B2151" s="2" t="n">
        <v>2</v>
      </c>
      <c r="C2151" s="2" t="s">
        <v>94</v>
      </c>
      <c r="D2151" s="2" t="s">
        <v>46</v>
      </c>
      <c r="E2151" s="2" t="str">
        <f aca="false">INDEX(Products!$B$2:$B$13,MATCH(D2151,Products!$A$2:$A$13,0))</f>
        <v>Specialty</v>
      </c>
      <c r="F2151" s="15" t="n">
        <v>21.1</v>
      </c>
      <c r="G2151" s="16" t="n">
        <f aca="false">IF(A2151="2025",INDEX(Products!$C$2:$C$13,MATCH(D2151,Products!$A$2:$A$13,0)),INDEX(Products!$E$2:$E$13,MATCH(D2151,Products!$A$2:$A$13,0)))</f>
        <v>26838</v>
      </c>
      <c r="H2151" s="13" t="n">
        <f aca="false">IF(A2151="2025",INDEX(Customers!$D$2:$D$41,MATCH(C2151,Customers!$A$2:$A$41,0)),INDEX(Customers!$F$2:$F$41,MATCH(C2151,Customers!$A$2:$A$41,0)))</f>
        <v>0.126</v>
      </c>
      <c r="I2151" s="16" t="n">
        <f aca="false">F2151*G2151</f>
        <v>566281.8</v>
      </c>
      <c r="J2151" s="16" t="n">
        <f aca="false">I2151*(1-H2151)</f>
        <v>494930.2932</v>
      </c>
      <c r="K2151" s="16" t="n">
        <f aca="false">J2151*INDEX(Customers!$G$2:$G$41,MATCH(C2151,Customers!$A$2:$A$41,0))</f>
        <v>4949.302932</v>
      </c>
      <c r="L2151" s="16" t="n">
        <f aca="false">F2151*INDEX(Customers!$H$2:$H$41,MATCH(C2151,Customers!$A$2:$A$41,0))</f>
        <v>7174</v>
      </c>
      <c r="M2151" s="16" t="n">
        <f aca="false">J2151*INDEX(Customers!$I$2:$I$41,MATCH(C2151,Customers!$A$2:$A$41,0))/365*Assumptions!$B$6</f>
        <v>3254.33617446575</v>
      </c>
      <c r="N2151" s="16" t="n">
        <f aca="false">J2151-K2151-L2151-M2151</f>
        <v>479552.654093534</v>
      </c>
      <c r="O2151" s="16" t="n">
        <f aca="false">F2151*IF(A2151="2025",INDEX(Products!$D$2:$D$13,MATCH(D2151,Products!$A$2:$A$13,0)),INDEX(Products!$F$2:$F$13,MATCH(D2151,Products!$A$2:$A$13,0)))</f>
        <v>266229.25</v>
      </c>
      <c r="P2151" s="16" t="n">
        <f aca="false">N2151-O2151</f>
        <v>213323.404093534</v>
      </c>
    </row>
    <row r="2152" customFormat="false" ht="15" hidden="false" customHeight="false" outlineLevel="0" collapsed="false">
      <c r="A2152" s="2" t="s">
        <v>119</v>
      </c>
      <c r="B2152" s="2" t="n">
        <v>3</v>
      </c>
      <c r="C2152" s="2" t="s">
        <v>94</v>
      </c>
      <c r="D2152" s="2" t="s">
        <v>46</v>
      </c>
      <c r="E2152" s="2" t="str">
        <f aca="false">INDEX(Products!$B$2:$B$13,MATCH(D2152,Products!$A$2:$A$13,0))</f>
        <v>Specialty</v>
      </c>
      <c r="F2152" s="15" t="n">
        <v>23</v>
      </c>
      <c r="G2152" s="16" t="n">
        <f aca="false">IF(A2152="2025",INDEX(Products!$C$2:$C$13,MATCH(D2152,Products!$A$2:$A$13,0)),INDEX(Products!$E$2:$E$13,MATCH(D2152,Products!$A$2:$A$13,0)))</f>
        <v>26838</v>
      </c>
      <c r="H2152" s="13" t="n">
        <f aca="false">IF(A2152="2025",INDEX(Customers!$D$2:$D$41,MATCH(C2152,Customers!$A$2:$A$41,0)),INDEX(Customers!$F$2:$F$41,MATCH(C2152,Customers!$A$2:$A$41,0)))</f>
        <v>0.126</v>
      </c>
      <c r="I2152" s="16" t="n">
        <f aca="false">F2152*G2152</f>
        <v>617274</v>
      </c>
      <c r="J2152" s="16" t="n">
        <f aca="false">I2152*(1-H2152)</f>
        <v>539497.476</v>
      </c>
      <c r="K2152" s="16" t="n">
        <f aca="false">J2152*INDEX(Customers!$G$2:$G$41,MATCH(C2152,Customers!$A$2:$A$41,0))</f>
        <v>5394.97476</v>
      </c>
      <c r="L2152" s="16" t="n">
        <f aca="false">F2152*INDEX(Customers!$H$2:$H$41,MATCH(C2152,Customers!$A$2:$A$41,0))</f>
        <v>7820</v>
      </c>
      <c r="M2152" s="16" t="n">
        <f aca="false">J2152*INDEX(Customers!$I$2:$I$41,MATCH(C2152,Customers!$A$2:$A$41,0))/365*Assumptions!$B$6</f>
        <v>3547.38066410959</v>
      </c>
      <c r="N2152" s="16" t="n">
        <f aca="false">J2152-K2152-L2152-M2152</f>
        <v>522735.12057589</v>
      </c>
      <c r="O2152" s="16" t="n">
        <f aca="false">F2152*IF(A2152="2025",INDEX(Products!$D$2:$D$13,MATCH(D2152,Products!$A$2:$A$13,0)),INDEX(Products!$F$2:$F$13,MATCH(D2152,Products!$A$2:$A$13,0)))</f>
        <v>290202.5</v>
      </c>
      <c r="P2152" s="16" t="n">
        <f aca="false">N2152-O2152</f>
        <v>232532.62057589</v>
      </c>
    </row>
    <row r="2153" customFormat="false" ht="15" hidden="false" customHeight="false" outlineLevel="0" collapsed="false">
      <c r="A2153" s="2" t="s">
        <v>119</v>
      </c>
      <c r="B2153" s="2" t="n">
        <v>4</v>
      </c>
      <c r="C2153" s="2" t="s">
        <v>94</v>
      </c>
      <c r="D2153" s="2" t="s">
        <v>46</v>
      </c>
      <c r="E2153" s="2" t="str">
        <f aca="false">INDEX(Products!$B$2:$B$13,MATCH(D2153,Products!$A$2:$A$13,0))</f>
        <v>Specialty</v>
      </c>
      <c r="F2153" s="15" t="n">
        <v>19.5</v>
      </c>
      <c r="G2153" s="16" t="n">
        <f aca="false">IF(A2153="2025",INDEX(Products!$C$2:$C$13,MATCH(D2153,Products!$A$2:$A$13,0)),INDEX(Products!$E$2:$E$13,MATCH(D2153,Products!$A$2:$A$13,0)))</f>
        <v>26838</v>
      </c>
      <c r="H2153" s="13" t="n">
        <f aca="false">IF(A2153="2025",INDEX(Customers!$D$2:$D$41,MATCH(C2153,Customers!$A$2:$A$41,0)),INDEX(Customers!$F$2:$F$41,MATCH(C2153,Customers!$A$2:$A$41,0)))</f>
        <v>0.126</v>
      </c>
      <c r="I2153" s="16" t="n">
        <f aca="false">F2153*G2153</f>
        <v>523341</v>
      </c>
      <c r="J2153" s="16" t="n">
        <f aca="false">I2153*(1-H2153)</f>
        <v>457400.034</v>
      </c>
      <c r="K2153" s="16" t="n">
        <f aca="false">J2153*INDEX(Customers!$G$2:$G$41,MATCH(C2153,Customers!$A$2:$A$41,0))</f>
        <v>4574.00034</v>
      </c>
      <c r="L2153" s="16" t="n">
        <f aca="false">F2153*INDEX(Customers!$H$2:$H$41,MATCH(C2153,Customers!$A$2:$A$41,0))</f>
        <v>6630</v>
      </c>
      <c r="M2153" s="16" t="n">
        <f aca="false">J2153*INDEX(Customers!$I$2:$I$41,MATCH(C2153,Customers!$A$2:$A$41,0))/365*Assumptions!$B$6</f>
        <v>3007.56186739726</v>
      </c>
      <c r="N2153" s="16" t="n">
        <f aca="false">J2153-K2153-L2153-M2153</f>
        <v>443188.471792603</v>
      </c>
      <c r="O2153" s="16" t="n">
        <f aca="false">F2153*IF(A2153="2025",INDEX(Products!$D$2:$D$13,MATCH(D2153,Products!$A$2:$A$13,0)),INDEX(Products!$F$2:$F$13,MATCH(D2153,Products!$A$2:$A$13,0)))</f>
        <v>246041.25</v>
      </c>
      <c r="P2153" s="16" t="n">
        <f aca="false">N2153-O2153</f>
        <v>197147.221792603</v>
      </c>
    </row>
    <row r="2154" customFormat="false" ht="15" hidden="false" customHeight="false" outlineLevel="0" collapsed="false">
      <c r="A2154" s="2" t="s">
        <v>119</v>
      </c>
      <c r="B2154" s="2" t="n">
        <v>5</v>
      </c>
      <c r="C2154" s="2" t="s">
        <v>94</v>
      </c>
      <c r="D2154" s="2" t="s">
        <v>46</v>
      </c>
      <c r="E2154" s="2" t="str">
        <f aca="false">INDEX(Products!$B$2:$B$13,MATCH(D2154,Products!$A$2:$A$13,0))</f>
        <v>Specialty</v>
      </c>
      <c r="F2154" s="15" t="n">
        <v>17.9</v>
      </c>
      <c r="G2154" s="16" t="n">
        <f aca="false">IF(A2154="2025",INDEX(Products!$C$2:$C$13,MATCH(D2154,Products!$A$2:$A$13,0)),INDEX(Products!$E$2:$E$13,MATCH(D2154,Products!$A$2:$A$13,0)))</f>
        <v>26838</v>
      </c>
      <c r="H2154" s="13" t="n">
        <f aca="false">IF(A2154="2025",INDEX(Customers!$D$2:$D$41,MATCH(C2154,Customers!$A$2:$A$41,0)),INDEX(Customers!$F$2:$F$41,MATCH(C2154,Customers!$A$2:$A$41,0)))</f>
        <v>0.126</v>
      </c>
      <c r="I2154" s="16" t="n">
        <f aca="false">F2154*G2154</f>
        <v>480400.2</v>
      </c>
      <c r="J2154" s="16" t="n">
        <f aca="false">I2154*(1-H2154)</f>
        <v>419869.7748</v>
      </c>
      <c r="K2154" s="16" t="n">
        <f aca="false">J2154*INDEX(Customers!$G$2:$G$41,MATCH(C2154,Customers!$A$2:$A$41,0))</f>
        <v>4198.697748</v>
      </c>
      <c r="L2154" s="16" t="n">
        <f aca="false">F2154*INDEX(Customers!$H$2:$H$41,MATCH(C2154,Customers!$A$2:$A$41,0))</f>
        <v>6086</v>
      </c>
      <c r="M2154" s="16" t="n">
        <f aca="false">J2154*INDEX(Customers!$I$2:$I$41,MATCH(C2154,Customers!$A$2:$A$41,0))/365*Assumptions!$B$6</f>
        <v>2760.78756032877</v>
      </c>
      <c r="N2154" s="16" t="n">
        <f aca="false">J2154-K2154-L2154-M2154</f>
        <v>406824.289491671</v>
      </c>
      <c r="O2154" s="16" t="n">
        <f aca="false">F2154*IF(A2154="2025",INDEX(Products!$D$2:$D$13,MATCH(D2154,Products!$A$2:$A$13,0)),INDEX(Products!$F$2:$F$13,MATCH(D2154,Products!$A$2:$A$13,0)))</f>
        <v>225853.25</v>
      </c>
      <c r="P2154" s="16" t="n">
        <f aca="false">N2154-O2154</f>
        <v>180971.039491671</v>
      </c>
    </row>
    <row r="2155" customFormat="false" ht="15" hidden="false" customHeight="false" outlineLevel="0" collapsed="false">
      <c r="A2155" s="2" t="s">
        <v>119</v>
      </c>
      <c r="B2155" s="2" t="n">
        <v>6</v>
      </c>
      <c r="C2155" s="2" t="s">
        <v>94</v>
      </c>
      <c r="D2155" s="2" t="s">
        <v>46</v>
      </c>
      <c r="E2155" s="2" t="str">
        <f aca="false">INDEX(Products!$B$2:$B$13,MATCH(D2155,Products!$A$2:$A$13,0))</f>
        <v>Specialty</v>
      </c>
      <c r="F2155" s="15" t="n">
        <v>16.1</v>
      </c>
      <c r="G2155" s="16" t="n">
        <f aca="false">IF(A2155="2025",INDEX(Products!$C$2:$C$13,MATCH(D2155,Products!$A$2:$A$13,0)),INDEX(Products!$E$2:$E$13,MATCH(D2155,Products!$A$2:$A$13,0)))</f>
        <v>26838</v>
      </c>
      <c r="H2155" s="13" t="n">
        <f aca="false">IF(A2155="2025",INDEX(Customers!$D$2:$D$41,MATCH(C2155,Customers!$A$2:$A$41,0)),INDEX(Customers!$F$2:$F$41,MATCH(C2155,Customers!$A$2:$A$41,0)))</f>
        <v>0.126</v>
      </c>
      <c r="I2155" s="16" t="n">
        <f aca="false">F2155*G2155</f>
        <v>432091.8</v>
      </c>
      <c r="J2155" s="16" t="n">
        <f aca="false">I2155*(1-H2155)</f>
        <v>377648.2332</v>
      </c>
      <c r="K2155" s="16" t="n">
        <f aca="false">J2155*INDEX(Customers!$G$2:$G$41,MATCH(C2155,Customers!$A$2:$A$41,0))</f>
        <v>3776.482332</v>
      </c>
      <c r="L2155" s="16" t="n">
        <f aca="false">F2155*INDEX(Customers!$H$2:$H$41,MATCH(C2155,Customers!$A$2:$A$41,0))</f>
        <v>5474</v>
      </c>
      <c r="M2155" s="16" t="n">
        <f aca="false">J2155*INDEX(Customers!$I$2:$I$41,MATCH(C2155,Customers!$A$2:$A$41,0))/365*Assumptions!$B$6</f>
        <v>2483.16646487671</v>
      </c>
      <c r="N2155" s="16" t="n">
        <f aca="false">J2155-K2155-L2155-M2155</f>
        <v>365914.584403123</v>
      </c>
      <c r="O2155" s="16" t="n">
        <f aca="false">F2155*IF(A2155="2025",INDEX(Products!$D$2:$D$13,MATCH(D2155,Products!$A$2:$A$13,0)),INDEX(Products!$F$2:$F$13,MATCH(D2155,Products!$A$2:$A$13,0)))</f>
        <v>203141.75</v>
      </c>
      <c r="P2155" s="16" t="n">
        <f aca="false">N2155-O2155</f>
        <v>162772.834403123</v>
      </c>
    </row>
    <row r="2156" customFormat="false" ht="15" hidden="false" customHeight="false" outlineLevel="0" collapsed="false">
      <c r="A2156" s="2" t="s">
        <v>119</v>
      </c>
      <c r="B2156" s="2" t="n">
        <v>7</v>
      </c>
      <c r="C2156" s="2" t="s">
        <v>94</v>
      </c>
      <c r="D2156" s="2" t="s">
        <v>46</v>
      </c>
      <c r="E2156" s="2" t="str">
        <f aca="false">INDEX(Products!$B$2:$B$13,MATCH(D2156,Products!$A$2:$A$13,0))</f>
        <v>Specialty</v>
      </c>
      <c r="F2156" s="15" t="n">
        <v>25.9</v>
      </c>
      <c r="G2156" s="16" t="n">
        <f aca="false">IF(A2156="2025",INDEX(Products!$C$2:$C$13,MATCH(D2156,Products!$A$2:$A$13,0)),INDEX(Products!$E$2:$E$13,MATCH(D2156,Products!$A$2:$A$13,0)))</f>
        <v>26838</v>
      </c>
      <c r="H2156" s="13" t="n">
        <f aca="false">IF(A2156="2025",INDEX(Customers!$D$2:$D$41,MATCH(C2156,Customers!$A$2:$A$41,0)),INDEX(Customers!$F$2:$F$41,MATCH(C2156,Customers!$A$2:$A$41,0)))</f>
        <v>0.126</v>
      </c>
      <c r="I2156" s="16" t="n">
        <f aca="false">F2156*G2156</f>
        <v>695104.2</v>
      </c>
      <c r="J2156" s="16" t="n">
        <f aca="false">I2156*(1-H2156)</f>
        <v>607521.0708</v>
      </c>
      <c r="K2156" s="16" t="n">
        <f aca="false">J2156*INDEX(Customers!$G$2:$G$41,MATCH(C2156,Customers!$A$2:$A$41,0))</f>
        <v>6075.210708</v>
      </c>
      <c r="L2156" s="16" t="n">
        <f aca="false">F2156*INDEX(Customers!$H$2:$H$41,MATCH(C2156,Customers!$A$2:$A$41,0))</f>
        <v>8806</v>
      </c>
      <c r="M2156" s="16" t="n">
        <f aca="false">J2156*INDEX(Customers!$I$2:$I$41,MATCH(C2156,Customers!$A$2:$A$41,0))/365*Assumptions!$B$6</f>
        <v>3994.65909567123</v>
      </c>
      <c r="N2156" s="16" t="n">
        <f aca="false">J2156-K2156-L2156-M2156</f>
        <v>588645.200996329</v>
      </c>
      <c r="O2156" s="16" t="n">
        <f aca="false">F2156*IF(A2156="2025",INDEX(Products!$D$2:$D$13,MATCH(D2156,Products!$A$2:$A$13,0)),INDEX(Products!$F$2:$F$13,MATCH(D2156,Products!$A$2:$A$13,0)))</f>
        <v>326793.25</v>
      </c>
      <c r="P2156" s="16" t="n">
        <f aca="false">N2156-O2156</f>
        <v>261851.950996329</v>
      </c>
    </row>
    <row r="2157" customFormat="false" ht="15" hidden="false" customHeight="false" outlineLevel="0" collapsed="false">
      <c r="A2157" s="2" t="s">
        <v>119</v>
      </c>
      <c r="B2157" s="2" t="n">
        <v>8</v>
      </c>
      <c r="C2157" s="2" t="s">
        <v>94</v>
      </c>
      <c r="D2157" s="2" t="s">
        <v>46</v>
      </c>
      <c r="E2157" s="2" t="str">
        <f aca="false">INDEX(Products!$B$2:$B$13,MATCH(D2157,Products!$A$2:$A$13,0))</f>
        <v>Specialty</v>
      </c>
      <c r="F2157" s="15" t="n">
        <v>19.2</v>
      </c>
      <c r="G2157" s="16" t="n">
        <f aca="false">IF(A2157="2025",INDEX(Products!$C$2:$C$13,MATCH(D2157,Products!$A$2:$A$13,0)),INDEX(Products!$E$2:$E$13,MATCH(D2157,Products!$A$2:$A$13,0)))</f>
        <v>26838</v>
      </c>
      <c r="H2157" s="13" t="n">
        <f aca="false">IF(A2157="2025",INDEX(Customers!$D$2:$D$41,MATCH(C2157,Customers!$A$2:$A$41,0)),INDEX(Customers!$F$2:$F$41,MATCH(C2157,Customers!$A$2:$A$41,0)))</f>
        <v>0.126</v>
      </c>
      <c r="I2157" s="16" t="n">
        <f aca="false">F2157*G2157</f>
        <v>515289.6</v>
      </c>
      <c r="J2157" s="16" t="n">
        <f aca="false">I2157*(1-H2157)</f>
        <v>450363.1104</v>
      </c>
      <c r="K2157" s="16" t="n">
        <f aca="false">J2157*INDEX(Customers!$G$2:$G$41,MATCH(C2157,Customers!$A$2:$A$41,0))</f>
        <v>4503.631104</v>
      </c>
      <c r="L2157" s="16" t="n">
        <f aca="false">F2157*INDEX(Customers!$H$2:$H$41,MATCH(C2157,Customers!$A$2:$A$41,0))</f>
        <v>6528</v>
      </c>
      <c r="M2157" s="16" t="n">
        <f aca="false">J2157*INDEX(Customers!$I$2:$I$41,MATCH(C2157,Customers!$A$2:$A$41,0))/365*Assumptions!$B$6</f>
        <v>2961.29168482192</v>
      </c>
      <c r="N2157" s="16" t="n">
        <f aca="false">J2157-K2157-L2157-M2157</f>
        <v>436370.187611178</v>
      </c>
      <c r="O2157" s="16" t="n">
        <f aca="false">F2157*IF(A2157="2025",INDEX(Products!$D$2:$D$13,MATCH(D2157,Products!$A$2:$A$13,0)),INDEX(Products!$F$2:$F$13,MATCH(D2157,Products!$A$2:$A$13,0)))</f>
        <v>242256</v>
      </c>
      <c r="P2157" s="16" t="n">
        <f aca="false">N2157-O2157</f>
        <v>194114.187611178</v>
      </c>
    </row>
    <row r="2158" customFormat="false" ht="15" hidden="false" customHeight="false" outlineLevel="0" collapsed="false">
      <c r="A2158" s="2" t="s">
        <v>119</v>
      </c>
      <c r="B2158" s="2" t="n">
        <v>9</v>
      </c>
      <c r="C2158" s="2" t="s">
        <v>94</v>
      </c>
      <c r="D2158" s="2" t="s">
        <v>46</v>
      </c>
      <c r="E2158" s="2" t="str">
        <f aca="false">INDEX(Products!$B$2:$B$13,MATCH(D2158,Products!$A$2:$A$13,0))</f>
        <v>Specialty</v>
      </c>
      <c r="F2158" s="15" t="n">
        <v>16.6</v>
      </c>
      <c r="G2158" s="16" t="n">
        <f aca="false">IF(A2158="2025",INDEX(Products!$C$2:$C$13,MATCH(D2158,Products!$A$2:$A$13,0)),INDEX(Products!$E$2:$E$13,MATCH(D2158,Products!$A$2:$A$13,0)))</f>
        <v>26838</v>
      </c>
      <c r="H2158" s="13" t="n">
        <f aca="false">IF(A2158="2025",INDEX(Customers!$D$2:$D$41,MATCH(C2158,Customers!$A$2:$A$41,0)),INDEX(Customers!$F$2:$F$41,MATCH(C2158,Customers!$A$2:$A$41,0)))</f>
        <v>0.126</v>
      </c>
      <c r="I2158" s="16" t="n">
        <f aca="false">F2158*G2158</f>
        <v>445510.8</v>
      </c>
      <c r="J2158" s="16" t="n">
        <f aca="false">I2158*(1-H2158)</f>
        <v>389376.4392</v>
      </c>
      <c r="K2158" s="16" t="n">
        <f aca="false">J2158*INDEX(Customers!$G$2:$G$41,MATCH(C2158,Customers!$A$2:$A$41,0))</f>
        <v>3893.764392</v>
      </c>
      <c r="L2158" s="16" t="n">
        <f aca="false">F2158*INDEX(Customers!$H$2:$H$41,MATCH(C2158,Customers!$A$2:$A$41,0))</f>
        <v>5644</v>
      </c>
      <c r="M2158" s="16" t="n">
        <f aca="false">J2158*INDEX(Customers!$I$2:$I$41,MATCH(C2158,Customers!$A$2:$A$41,0))/365*Assumptions!$B$6</f>
        <v>2560.28343583562</v>
      </c>
      <c r="N2158" s="16" t="n">
        <f aca="false">J2158-K2158-L2158-M2158</f>
        <v>377278.391372164</v>
      </c>
      <c r="O2158" s="16" t="n">
        <f aca="false">F2158*IF(A2158="2025",INDEX(Products!$D$2:$D$13,MATCH(D2158,Products!$A$2:$A$13,0)),INDEX(Products!$F$2:$F$13,MATCH(D2158,Products!$A$2:$A$13,0)))</f>
        <v>209450.5</v>
      </c>
      <c r="P2158" s="16" t="n">
        <f aca="false">N2158-O2158</f>
        <v>167827.891372164</v>
      </c>
    </row>
    <row r="2159" customFormat="false" ht="15" hidden="false" customHeight="false" outlineLevel="0" collapsed="false">
      <c r="A2159" s="2" t="s">
        <v>119</v>
      </c>
      <c r="B2159" s="2" t="n">
        <v>10</v>
      </c>
      <c r="C2159" s="2" t="s">
        <v>94</v>
      </c>
      <c r="D2159" s="2" t="s">
        <v>46</v>
      </c>
      <c r="E2159" s="2" t="str">
        <f aca="false">INDEX(Products!$B$2:$B$13,MATCH(D2159,Products!$A$2:$A$13,0))</f>
        <v>Specialty</v>
      </c>
      <c r="F2159" s="15" t="n">
        <v>14.8</v>
      </c>
      <c r="G2159" s="16" t="n">
        <f aca="false">IF(A2159="2025",INDEX(Products!$C$2:$C$13,MATCH(D2159,Products!$A$2:$A$13,0)),INDEX(Products!$E$2:$E$13,MATCH(D2159,Products!$A$2:$A$13,0)))</f>
        <v>26838</v>
      </c>
      <c r="H2159" s="13" t="n">
        <f aca="false">IF(A2159="2025",INDEX(Customers!$D$2:$D$41,MATCH(C2159,Customers!$A$2:$A$41,0)),INDEX(Customers!$F$2:$F$41,MATCH(C2159,Customers!$A$2:$A$41,0)))</f>
        <v>0.126</v>
      </c>
      <c r="I2159" s="16" t="n">
        <f aca="false">F2159*G2159</f>
        <v>397202.4</v>
      </c>
      <c r="J2159" s="16" t="n">
        <f aca="false">I2159*(1-H2159)</f>
        <v>347154.8976</v>
      </c>
      <c r="K2159" s="16" t="n">
        <f aca="false">J2159*INDEX(Customers!$G$2:$G$41,MATCH(C2159,Customers!$A$2:$A$41,0))</f>
        <v>3471.548976</v>
      </c>
      <c r="L2159" s="16" t="n">
        <f aca="false">F2159*INDEX(Customers!$H$2:$H$41,MATCH(C2159,Customers!$A$2:$A$41,0))</f>
        <v>5032</v>
      </c>
      <c r="M2159" s="16" t="n">
        <f aca="false">J2159*INDEX(Customers!$I$2:$I$41,MATCH(C2159,Customers!$A$2:$A$41,0))/365*Assumptions!$B$6</f>
        <v>2282.66234038356</v>
      </c>
      <c r="N2159" s="16" t="n">
        <f aca="false">J2159-K2159-L2159-M2159</f>
        <v>336368.686283616</v>
      </c>
      <c r="O2159" s="16" t="n">
        <f aca="false">F2159*IF(A2159="2025",INDEX(Products!$D$2:$D$13,MATCH(D2159,Products!$A$2:$A$13,0)),INDEX(Products!$F$2:$F$13,MATCH(D2159,Products!$A$2:$A$13,0)))</f>
        <v>186739</v>
      </c>
      <c r="P2159" s="16" t="n">
        <f aca="false">N2159-O2159</f>
        <v>149629.686283616</v>
      </c>
    </row>
    <row r="2160" customFormat="false" ht="15" hidden="false" customHeight="false" outlineLevel="0" collapsed="false">
      <c r="A2160" s="2" t="s">
        <v>119</v>
      </c>
      <c r="B2160" s="2" t="n">
        <v>11</v>
      </c>
      <c r="C2160" s="2" t="s">
        <v>94</v>
      </c>
      <c r="D2160" s="2" t="s">
        <v>46</v>
      </c>
      <c r="E2160" s="2" t="str">
        <f aca="false">INDEX(Products!$B$2:$B$13,MATCH(D2160,Products!$A$2:$A$13,0))</f>
        <v>Specialty</v>
      </c>
      <c r="F2160" s="15" t="n">
        <v>17.1</v>
      </c>
      <c r="G2160" s="16" t="n">
        <f aca="false">IF(A2160="2025",INDEX(Products!$C$2:$C$13,MATCH(D2160,Products!$A$2:$A$13,0)),INDEX(Products!$E$2:$E$13,MATCH(D2160,Products!$A$2:$A$13,0)))</f>
        <v>26838</v>
      </c>
      <c r="H2160" s="13" t="n">
        <f aca="false">IF(A2160="2025",INDEX(Customers!$D$2:$D$41,MATCH(C2160,Customers!$A$2:$A$41,0)),INDEX(Customers!$F$2:$F$41,MATCH(C2160,Customers!$A$2:$A$41,0)))</f>
        <v>0.126</v>
      </c>
      <c r="I2160" s="16" t="n">
        <f aca="false">F2160*G2160</f>
        <v>458929.8</v>
      </c>
      <c r="J2160" s="16" t="n">
        <f aca="false">I2160*(1-H2160)</f>
        <v>401104.6452</v>
      </c>
      <c r="K2160" s="16" t="n">
        <f aca="false">J2160*INDEX(Customers!$G$2:$G$41,MATCH(C2160,Customers!$A$2:$A$41,0))</f>
        <v>4011.046452</v>
      </c>
      <c r="L2160" s="16" t="n">
        <f aca="false">F2160*INDEX(Customers!$H$2:$H$41,MATCH(C2160,Customers!$A$2:$A$41,0))</f>
        <v>5814</v>
      </c>
      <c r="M2160" s="16" t="n">
        <f aca="false">J2160*INDEX(Customers!$I$2:$I$41,MATCH(C2160,Customers!$A$2:$A$41,0))/365*Assumptions!$B$6</f>
        <v>2637.40040679452</v>
      </c>
      <c r="N2160" s="16" t="n">
        <f aca="false">J2160-K2160-L2160-M2160</f>
        <v>388642.198341206</v>
      </c>
      <c r="O2160" s="16" t="n">
        <f aca="false">F2160*IF(A2160="2025",INDEX(Products!$D$2:$D$13,MATCH(D2160,Products!$A$2:$A$13,0)),INDEX(Products!$F$2:$F$13,MATCH(D2160,Products!$A$2:$A$13,0)))</f>
        <v>215759.25</v>
      </c>
      <c r="P2160" s="16" t="n">
        <f aca="false">N2160-O2160</f>
        <v>172882.948341206</v>
      </c>
    </row>
    <row r="2161" customFormat="false" ht="15" hidden="false" customHeight="false" outlineLevel="0" collapsed="false">
      <c r="A2161" s="2" t="s">
        <v>119</v>
      </c>
      <c r="B2161" s="2" t="n">
        <v>12</v>
      </c>
      <c r="C2161" s="2" t="s">
        <v>94</v>
      </c>
      <c r="D2161" s="2" t="s">
        <v>46</v>
      </c>
      <c r="E2161" s="2" t="str">
        <f aca="false">INDEX(Products!$B$2:$B$13,MATCH(D2161,Products!$A$2:$A$13,0))</f>
        <v>Specialty</v>
      </c>
      <c r="F2161" s="15" t="n">
        <v>24.3</v>
      </c>
      <c r="G2161" s="16" t="n">
        <f aca="false">IF(A2161="2025",INDEX(Products!$C$2:$C$13,MATCH(D2161,Products!$A$2:$A$13,0)),INDEX(Products!$E$2:$E$13,MATCH(D2161,Products!$A$2:$A$13,0)))</f>
        <v>26838</v>
      </c>
      <c r="H2161" s="13" t="n">
        <f aca="false">IF(A2161="2025",INDEX(Customers!$D$2:$D$41,MATCH(C2161,Customers!$A$2:$A$41,0)),INDEX(Customers!$F$2:$F$41,MATCH(C2161,Customers!$A$2:$A$41,0)))</f>
        <v>0.126</v>
      </c>
      <c r="I2161" s="16" t="n">
        <f aca="false">F2161*G2161</f>
        <v>652163.4</v>
      </c>
      <c r="J2161" s="16" t="n">
        <f aca="false">I2161*(1-H2161)</f>
        <v>569990.8116</v>
      </c>
      <c r="K2161" s="16" t="n">
        <f aca="false">J2161*INDEX(Customers!$G$2:$G$41,MATCH(C2161,Customers!$A$2:$A$41,0))</f>
        <v>5699.908116</v>
      </c>
      <c r="L2161" s="16" t="n">
        <f aca="false">F2161*INDEX(Customers!$H$2:$H$41,MATCH(C2161,Customers!$A$2:$A$41,0))</f>
        <v>8262</v>
      </c>
      <c r="M2161" s="16" t="n">
        <f aca="false">J2161*INDEX(Customers!$I$2:$I$41,MATCH(C2161,Customers!$A$2:$A$41,0))/365*Assumptions!$B$6</f>
        <v>3747.88478860274</v>
      </c>
      <c r="N2161" s="16" t="n">
        <f aca="false">J2161-K2161-L2161-M2161</f>
        <v>552281.018695397</v>
      </c>
      <c r="O2161" s="16" t="n">
        <f aca="false">F2161*IF(A2161="2025",INDEX(Products!$D$2:$D$13,MATCH(D2161,Products!$A$2:$A$13,0)),INDEX(Products!$F$2:$F$13,MATCH(D2161,Products!$A$2:$A$13,0)))</f>
        <v>306605.25</v>
      </c>
      <c r="P2161" s="16" t="n">
        <f aca="false">N2161-O2161</f>
        <v>245675.768695397</v>
      </c>
    </row>
    <row r="2162" customFormat="false" ht="15" hidden="false" customHeight="false" outlineLevel="0" collapsed="false">
      <c r="A2162" s="2" t="s">
        <v>118</v>
      </c>
      <c r="B2162" s="2" t="n">
        <v>1</v>
      </c>
      <c r="C2162" s="2" t="s">
        <v>94</v>
      </c>
      <c r="D2162" s="2" t="s">
        <v>36</v>
      </c>
      <c r="E2162" s="2" t="str">
        <f aca="false">INDEX(Products!$B$2:$B$13,MATCH(D2162,Products!$A$2:$A$13,0))</f>
        <v>FCC</v>
      </c>
      <c r="F2162" s="15" t="n">
        <v>46</v>
      </c>
      <c r="G2162" s="16" t="n">
        <f aca="false">IF(A2162="2025",INDEX(Products!$C$2:$C$13,MATCH(D2162,Products!$A$2:$A$13,0)),INDEX(Products!$E$2:$E$13,MATCH(D2162,Products!$A$2:$A$13,0)))</f>
        <v>3700</v>
      </c>
      <c r="H2162" s="13" t="n">
        <f aca="false">IF(A2162="2025",INDEX(Customers!$D$2:$D$41,MATCH(C2162,Customers!$A$2:$A$41,0)),INDEX(Customers!$F$2:$F$41,MATCH(C2162,Customers!$A$2:$A$41,0)))</f>
        <v>0.126</v>
      </c>
      <c r="I2162" s="16" t="n">
        <f aca="false">F2162*G2162</f>
        <v>170200</v>
      </c>
      <c r="J2162" s="16" t="n">
        <f aca="false">I2162*(1-H2162)</f>
        <v>148754.8</v>
      </c>
      <c r="K2162" s="16" t="n">
        <f aca="false">J2162*INDEX(Customers!$G$2:$G$41,MATCH(C2162,Customers!$A$2:$A$41,0))</f>
        <v>1487.548</v>
      </c>
      <c r="L2162" s="16" t="n">
        <f aca="false">F2162*INDEX(Customers!$H$2:$H$41,MATCH(C2162,Customers!$A$2:$A$41,0))</f>
        <v>15640</v>
      </c>
      <c r="M2162" s="16" t="n">
        <f aca="false">J2162*INDEX(Customers!$I$2:$I$41,MATCH(C2162,Customers!$A$2:$A$41,0))/365*Assumptions!$B$6</f>
        <v>978.113753424658</v>
      </c>
      <c r="N2162" s="16" t="n">
        <f aca="false">J2162-K2162-L2162-M2162</f>
        <v>130649.138246575</v>
      </c>
      <c r="O2162" s="16" t="n">
        <f aca="false">F2162*IF(A2162="2025",INDEX(Products!$D$2:$D$13,MATCH(D2162,Products!$A$2:$A$13,0)),INDEX(Products!$F$2:$F$13,MATCH(D2162,Products!$A$2:$A$13,0)))</f>
        <v>110400</v>
      </c>
      <c r="P2162" s="16" t="n">
        <f aca="false">N2162-O2162</f>
        <v>20249.1382465753</v>
      </c>
    </row>
    <row r="2163" customFormat="false" ht="15" hidden="false" customHeight="false" outlineLevel="0" collapsed="false">
      <c r="A2163" s="2" t="s">
        <v>118</v>
      </c>
      <c r="B2163" s="2" t="n">
        <v>2</v>
      </c>
      <c r="C2163" s="2" t="s">
        <v>94</v>
      </c>
      <c r="D2163" s="2" t="s">
        <v>36</v>
      </c>
      <c r="E2163" s="2" t="str">
        <f aca="false">INDEX(Products!$B$2:$B$13,MATCH(D2163,Products!$A$2:$A$13,0))</f>
        <v>FCC</v>
      </c>
      <c r="F2163" s="15" t="n">
        <v>62.6</v>
      </c>
      <c r="G2163" s="16" t="n">
        <f aca="false">IF(A2163="2025",INDEX(Products!$C$2:$C$13,MATCH(D2163,Products!$A$2:$A$13,0)),INDEX(Products!$E$2:$E$13,MATCH(D2163,Products!$A$2:$A$13,0)))</f>
        <v>3700</v>
      </c>
      <c r="H2163" s="13" t="n">
        <f aca="false">IF(A2163="2025",INDEX(Customers!$D$2:$D$41,MATCH(C2163,Customers!$A$2:$A$41,0)),INDEX(Customers!$F$2:$F$41,MATCH(C2163,Customers!$A$2:$A$41,0)))</f>
        <v>0.126</v>
      </c>
      <c r="I2163" s="16" t="n">
        <f aca="false">F2163*G2163</f>
        <v>231620</v>
      </c>
      <c r="J2163" s="16" t="n">
        <f aca="false">I2163*(1-H2163)</f>
        <v>202435.88</v>
      </c>
      <c r="K2163" s="16" t="n">
        <f aca="false">J2163*INDEX(Customers!$G$2:$G$41,MATCH(C2163,Customers!$A$2:$A$41,0))</f>
        <v>2024.3588</v>
      </c>
      <c r="L2163" s="16" t="n">
        <f aca="false">F2163*INDEX(Customers!$H$2:$H$41,MATCH(C2163,Customers!$A$2:$A$41,0))</f>
        <v>21284</v>
      </c>
      <c r="M2163" s="16" t="n">
        <f aca="false">J2163*INDEX(Customers!$I$2:$I$41,MATCH(C2163,Customers!$A$2:$A$41,0))/365*Assumptions!$B$6</f>
        <v>1331.08523835616</v>
      </c>
      <c r="N2163" s="16" t="n">
        <f aca="false">J2163-K2163-L2163-M2163</f>
        <v>177796.435961644</v>
      </c>
      <c r="O2163" s="16" t="n">
        <f aca="false">F2163*IF(A2163="2025",INDEX(Products!$D$2:$D$13,MATCH(D2163,Products!$A$2:$A$13,0)),INDEX(Products!$F$2:$F$13,MATCH(D2163,Products!$A$2:$A$13,0)))</f>
        <v>150240</v>
      </c>
      <c r="P2163" s="16" t="n">
        <f aca="false">N2163-O2163</f>
        <v>27556.4359616438</v>
      </c>
    </row>
    <row r="2164" customFormat="false" ht="15" hidden="false" customHeight="false" outlineLevel="0" collapsed="false">
      <c r="A2164" s="2" t="s">
        <v>118</v>
      </c>
      <c r="B2164" s="2" t="n">
        <v>3</v>
      </c>
      <c r="C2164" s="2" t="s">
        <v>94</v>
      </c>
      <c r="D2164" s="2" t="s">
        <v>36</v>
      </c>
      <c r="E2164" s="2" t="str">
        <f aca="false">INDEX(Products!$B$2:$B$13,MATCH(D2164,Products!$A$2:$A$13,0))</f>
        <v>FCC</v>
      </c>
      <c r="F2164" s="15" t="n">
        <v>70.9</v>
      </c>
      <c r="G2164" s="16" t="n">
        <f aca="false">IF(A2164="2025",INDEX(Products!$C$2:$C$13,MATCH(D2164,Products!$A$2:$A$13,0)),INDEX(Products!$E$2:$E$13,MATCH(D2164,Products!$A$2:$A$13,0)))</f>
        <v>3700</v>
      </c>
      <c r="H2164" s="13" t="n">
        <f aca="false">IF(A2164="2025",INDEX(Customers!$D$2:$D$41,MATCH(C2164,Customers!$A$2:$A$41,0)),INDEX(Customers!$F$2:$F$41,MATCH(C2164,Customers!$A$2:$A$41,0)))</f>
        <v>0.126</v>
      </c>
      <c r="I2164" s="16" t="n">
        <f aca="false">F2164*G2164</f>
        <v>262330</v>
      </c>
      <c r="J2164" s="16" t="n">
        <f aca="false">I2164*(1-H2164)</f>
        <v>229276.42</v>
      </c>
      <c r="K2164" s="16" t="n">
        <f aca="false">J2164*INDEX(Customers!$G$2:$G$41,MATCH(C2164,Customers!$A$2:$A$41,0))</f>
        <v>2292.7642</v>
      </c>
      <c r="L2164" s="16" t="n">
        <f aca="false">F2164*INDEX(Customers!$H$2:$H$41,MATCH(C2164,Customers!$A$2:$A$41,0))</f>
        <v>24106</v>
      </c>
      <c r="M2164" s="16" t="n">
        <f aca="false">J2164*INDEX(Customers!$I$2:$I$41,MATCH(C2164,Customers!$A$2:$A$41,0))/365*Assumptions!$B$6</f>
        <v>1507.57098082192</v>
      </c>
      <c r="N2164" s="16" t="n">
        <f aca="false">J2164-K2164-L2164-M2164</f>
        <v>201370.084819178</v>
      </c>
      <c r="O2164" s="16" t="n">
        <f aca="false">F2164*IF(A2164="2025",INDEX(Products!$D$2:$D$13,MATCH(D2164,Products!$A$2:$A$13,0)),INDEX(Products!$F$2:$F$13,MATCH(D2164,Products!$A$2:$A$13,0)))</f>
        <v>170160</v>
      </c>
      <c r="P2164" s="16" t="n">
        <f aca="false">N2164-O2164</f>
        <v>31210.0848191781</v>
      </c>
    </row>
    <row r="2165" customFormat="false" ht="15" hidden="false" customHeight="false" outlineLevel="0" collapsed="false">
      <c r="A2165" s="2" t="s">
        <v>118</v>
      </c>
      <c r="B2165" s="2" t="n">
        <v>4</v>
      </c>
      <c r="C2165" s="2" t="s">
        <v>94</v>
      </c>
      <c r="D2165" s="2" t="s">
        <v>36</v>
      </c>
      <c r="E2165" s="2" t="str">
        <f aca="false">INDEX(Products!$B$2:$B$13,MATCH(D2165,Products!$A$2:$A$13,0))</f>
        <v>FCC</v>
      </c>
      <c r="F2165" s="15" t="n">
        <v>52.8</v>
      </c>
      <c r="G2165" s="16" t="n">
        <f aca="false">IF(A2165="2025",INDEX(Products!$C$2:$C$13,MATCH(D2165,Products!$A$2:$A$13,0)),INDEX(Products!$E$2:$E$13,MATCH(D2165,Products!$A$2:$A$13,0)))</f>
        <v>3700</v>
      </c>
      <c r="H2165" s="13" t="n">
        <f aca="false">IF(A2165="2025",INDEX(Customers!$D$2:$D$41,MATCH(C2165,Customers!$A$2:$A$41,0)),INDEX(Customers!$F$2:$F$41,MATCH(C2165,Customers!$A$2:$A$41,0)))</f>
        <v>0.126</v>
      </c>
      <c r="I2165" s="16" t="n">
        <f aca="false">F2165*G2165</f>
        <v>195360</v>
      </c>
      <c r="J2165" s="16" t="n">
        <f aca="false">I2165*(1-H2165)</f>
        <v>170744.64</v>
      </c>
      <c r="K2165" s="16" t="n">
        <f aca="false">J2165*INDEX(Customers!$G$2:$G$41,MATCH(C2165,Customers!$A$2:$A$41,0))</f>
        <v>1707.4464</v>
      </c>
      <c r="L2165" s="16" t="n">
        <f aca="false">F2165*INDEX(Customers!$H$2:$H$41,MATCH(C2165,Customers!$A$2:$A$41,0))</f>
        <v>17952</v>
      </c>
      <c r="M2165" s="16" t="n">
        <f aca="false">J2165*INDEX(Customers!$I$2:$I$41,MATCH(C2165,Customers!$A$2:$A$41,0))/365*Assumptions!$B$6</f>
        <v>1122.70448219178</v>
      </c>
      <c r="N2165" s="16" t="n">
        <f aca="false">J2165-K2165-L2165-M2165</f>
        <v>149962.489117808</v>
      </c>
      <c r="O2165" s="16" t="n">
        <f aca="false">F2165*IF(A2165="2025",INDEX(Products!$D$2:$D$13,MATCH(D2165,Products!$A$2:$A$13,0)),INDEX(Products!$F$2:$F$13,MATCH(D2165,Products!$A$2:$A$13,0)))</f>
        <v>126720</v>
      </c>
      <c r="P2165" s="16" t="n">
        <f aca="false">N2165-O2165</f>
        <v>23242.4891178082</v>
      </c>
    </row>
    <row r="2166" customFormat="false" ht="15" hidden="false" customHeight="false" outlineLevel="0" collapsed="false">
      <c r="A2166" s="2" t="s">
        <v>118</v>
      </c>
      <c r="B2166" s="2" t="n">
        <v>5</v>
      </c>
      <c r="C2166" s="2" t="s">
        <v>94</v>
      </c>
      <c r="D2166" s="2" t="s">
        <v>36</v>
      </c>
      <c r="E2166" s="2" t="str">
        <f aca="false">INDEX(Products!$B$2:$B$13,MATCH(D2166,Products!$A$2:$A$13,0))</f>
        <v>FCC</v>
      </c>
      <c r="F2166" s="15" t="n">
        <v>57.8</v>
      </c>
      <c r="G2166" s="16" t="n">
        <f aca="false">IF(A2166="2025",INDEX(Products!$C$2:$C$13,MATCH(D2166,Products!$A$2:$A$13,0)),INDEX(Products!$E$2:$E$13,MATCH(D2166,Products!$A$2:$A$13,0)))</f>
        <v>3700</v>
      </c>
      <c r="H2166" s="13" t="n">
        <f aca="false">IF(A2166="2025",INDEX(Customers!$D$2:$D$41,MATCH(C2166,Customers!$A$2:$A$41,0)),INDEX(Customers!$F$2:$F$41,MATCH(C2166,Customers!$A$2:$A$41,0)))</f>
        <v>0.126</v>
      </c>
      <c r="I2166" s="16" t="n">
        <f aca="false">F2166*G2166</f>
        <v>213860</v>
      </c>
      <c r="J2166" s="16" t="n">
        <f aca="false">I2166*(1-H2166)</f>
        <v>186913.64</v>
      </c>
      <c r="K2166" s="16" t="n">
        <f aca="false">J2166*INDEX(Customers!$G$2:$G$41,MATCH(C2166,Customers!$A$2:$A$41,0))</f>
        <v>1869.1364</v>
      </c>
      <c r="L2166" s="16" t="n">
        <f aca="false">F2166*INDEX(Customers!$H$2:$H$41,MATCH(C2166,Customers!$A$2:$A$41,0))</f>
        <v>19652</v>
      </c>
      <c r="M2166" s="16" t="n">
        <f aca="false">J2166*INDEX(Customers!$I$2:$I$41,MATCH(C2166,Customers!$A$2:$A$41,0))/365*Assumptions!$B$6</f>
        <v>1229.02119452055</v>
      </c>
      <c r="N2166" s="16" t="n">
        <f aca="false">J2166-K2166-L2166-M2166</f>
        <v>164163.482405479</v>
      </c>
      <c r="O2166" s="16" t="n">
        <f aca="false">F2166*IF(A2166="2025",INDEX(Products!$D$2:$D$13,MATCH(D2166,Products!$A$2:$A$13,0)),INDEX(Products!$F$2:$F$13,MATCH(D2166,Products!$A$2:$A$13,0)))</f>
        <v>138720</v>
      </c>
      <c r="P2166" s="16" t="n">
        <f aca="false">N2166-O2166</f>
        <v>25443.4824054795</v>
      </c>
    </row>
    <row r="2167" customFormat="false" ht="15" hidden="false" customHeight="false" outlineLevel="0" collapsed="false">
      <c r="A2167" s="2" t="s">
        <v>118</v>
      </c>
      <c r="B2167" s="2" t="n">
        <v>6</v>
      </c>
      <c r="C2167" s="2" t="s">
        <v>94</v>
      </c>
      <c r="D2167" s="2" t="s">
        <v>36</v>
      </c>
      <c r="E2167" s="2" t="str">
        <f aca="false">INDEX(Products!$B$2:$B$13,MATCH(D2167,Products!$A$2:$A$13,0))</f>
        <v>FCC</v>
      </c>
      <c r="F2167" s="15" t="n">
        <v>45</v>
      </c>
      <c r="G2167" s="16" t="n">
        <f aca="false">IF(A2167="2025",INDEX(Products!$C$2:$C$13,MATCH(D2167,Products!$A$2:$A$13,0)),INDEX(Products!$E$2:$E$13,MATCH(D2167,Products!$A$2:$A$13,0)))</f>
        <v>3700</v>
      </c>
      <c r="H2167" s="13" t="n">
        <f aca="false">IF(A2167="2025",INDEX(Customers!$D$2:$D$41,MATCH(C2167,Customers!$A$2:$A$41,0)),INDEX(Customers!$F$2:$F$41,MATCH(C2167,Customers!$A$2:$A$41,0)))</f>
        <v>0.126</v>
      </c>
      <c r="I2167" s="16" t="n">
        <f aca="false">F2167*G2167</f>
        <v>166500</v>
      </c>
      <c r="J2167" s="16" t="n">
        <f aca="false">I2167*(1-H2167)</f>
        <v>145521</v>
      </c>
      <c r="K2167" s="16" t="n">
        <f aca="false">J2167*INDEX(Customers!$G$2:$G$41,MATCH(C2167,Customers!$A$2:$A$41,0))</f>
        <v>1455.21</v>
      </c>
      <c r="L2167" s="16" t="n">
        <f aca="false">F2167*INDEX(Customers!$H$2:$H$41,MATCH(C2167,Customers!$A$2:$A$41,0))</f>
        <v>15300</v>
      </c>
      <c r="M2167" s="16" t="n">
        <f aca="false">J2167*INDEX(Customers!$I$2:$I$41,MATCH(C2167,Customers!$A$2:$A$41,0))/365*Assumptions!$B$6</f>
        <v>956.850410958904</v>
      </c>
      <c r="N2167" s="16" t="n">
        <f aca="false">J2167-K2167-L2167-M2167</f>
        <v>127808.939589041</v>
      </c>
      <c r="O2167" s="16" t="n">
        <f aca="false">F2167*IF(A2167="2025",INDEX(Products!$D$2:$D$13,MATCH(D2167,Products!$A$2:$A$13,0)),INDEX(Products!$F$2:$F$13,MATCH(D2167,Products!$A$2:$A$13,0)))</f>
        <v>108000</v>
      </c>
      <c r="P2167" s="16" t="n">
        <f aca="false">N2167-O2167</f>
        <v>19808.9395890411</v>
      </c>
    </row>
    <row r="2168" customFormat="false" ht="15" hidden="false" customHeight="false" outlineLevel="0" collapsed="false">
      <c r="A2168" s="2" t="s">
        <v>118</v>
      </c>
      <c r="B2168" s="2" t="n">
        <v>7</v>
      </c>
      <c r="C2168" s="2" t="s">
        <v>94</v>
      </c>
      <c r="D2168" s="2" t="s">
        <v>36</v>
      </c>
      <c r="E2168" s="2" t="str">
        <f aca="false">INDEX(Products!$B$2:$B$13,MATCH(D2168,Products!$A$2:$A$13,0))</f>
        <v>FCC</v>
      </c>
      <c r="F2168" s="15" t="n">
        <v>47.5</v>
      </c>
      <c r="G2168" s="16" t="n">
        <f aca="false">IF(A2168="2025",INDEX(Products!$C$2:$C$13,MATCH(D2168,Products!$A$2:$A$13,0)),INDEX(Products!$E$2:$E$13,MATCH(D2168,Products!$A$2:$A$13,0)))</f>
        <v>3700</v>
      </c>
      <c r="H2168" s="13" t="n">
        <f aca="false">IF(A2168="2025",INDEX(Customers!$D$2:$D$41,MATCH(C2168,Customers!$A$2:$A$41,0)),INDEX(Customers!$F$2:$F$41,MATCH(C2168,Customers!$A$2:$A$41,0)))</f>
        <v>0.126</v>
      </c>
      <c r="I2168" s="16" t="n">
        <f aca="false">F2168*G2168</f>
        <v>175750</v>
      </c>
      <c r="J2168" s="16" t="n">
        <f aca="false">I2168*(1-H2168)</f>
        <v>153605.5</v>
      </c>
      <c r="K2168" s="16" t="n">
        <f aca="false">J2168*INDEX(Customers!$G$2:$G$41,MATCH(C2168,Customers!$A$2:$A$41,0))</f>
        <v>1536.055</v>
      </c>
      <c r="L2168" s="16" t="n">
        <f aca="false">F2168*INDEX(Customers!$H$2:$H$41,MATCH(C2168,Customers!$A$2:$A$41,0))</f>
        <v>16150</v>
      </c>
      <c r="M2168" s="16" t="n">
        <f aca="false">J2168*INDEX(Customers!$I$2:$I$41,MATCH(C2168,Customers!$A$2:$A$41,0))/365*Assumptions!$B$6</f>
        <v>1010.00876712329</v>
      </c>
      <c r="N2168" s="16" t="n">
        <f aca="false">J2168-K2168-L2168-M2168</f>
        <v>134909.436232877</v>
      </c>
      <c r="O2168" s="16" t="n">
        <f aca="false">F2168*IF(A2168="2025",INDEX(Products!$D$2:$D$13,MATCH(D2168,Products!$A$2:$A$13,0)),INDEX(Products!$F$2:$F$13,MATCH(D2168,Products!$A$2:$A$13,0)))</f>
        <v>114000</v>
      </c>
      <c r="P2168" s="16" t="n">
        <f aca="false">N2168-O2168</f>
        <v>20909.4362328767</v>
      </c>
    </row>
    <row r="2169" customFormat="false" ht="15" hidden="false" customHeight="false" outlineLevel="0" collapsed="false">
      <c r="A2169" s="2" t="s">
        <v>118</v>
      </c>
      <c r="B2169" s="2" t="n">
        <v>8</v>
      </c>
      <c r="C2169" s="2" t="s">
        <v>94</v>
      </c>
      <c r="D2169" s="2" t="s">
        <v>36</v>
      </c>
      <c r="E2169" s="2" t="str">
        <f aca="false">INDEX(Products!$B$2:$B$13,MATCH(D2169,Products!$A$2:$A$13,0))</f>
        <v>FCC</v>
      </c>
      <c r="F2169" s="15" t="n">
        <v>52.9</v>
      </c>
      <c r="G2169" s="16" t="n">
        <f aca="false">IF(A2169="2025",INDEX(Products!$C$2:$C$13,MATCH(D2169,Products!$A$2:$A$13,0)),INDEX(Products!$E$2:$E$13,MATCH(D2169,Products!$A$2:$A$13,0)))</f>
        <v>3700</v>
      </c>
      <c r="H2169" s="13" t="n">
        <f aca="false">IF(A2169="2025",INDEX(Customers!$D$2:$D$41,MATCH(C2169,Customers!$A$2:$A$41,0)),INDEX(Customers!$F$2:$F$41,MATCH(C2169,Customers!$A$2:$A$41,0)))</f>
        <v>0.126</v>
      </c>
      <c r="I2169" s="16" t="n">
        <f aca="false">F2169*G2169</f>
        <v>195730</v>
      </c>
      <c r="J2169" s="16" t="n">
        <f aca="false">I2169*(1-H2169)</f>
        <v>171068.02</v>
      </c>
      <c r="K2169" s="16" t="n">
        <f aca="false">J2169*INDEX(Customers!$G$2:$G$41,MATCH(C2169,Customers!$A$2:$A$41,0))</f>
        <v>1710.6802</v>
      </c>
      <c r="L2169" s="16" t="n">
        <f aca="false">F2169*INDEX(Customers!$H$2:$H$41,MATCH(C2169,Customers!$A$2:$A$41,0))</f>
        <v>17986</v>
      </c>
      <c r="M2169" s="16" t="n">
        <f aca="false">J2169*INDEX(Customers!$I$2:$I$41,MATCH(C2169,Customers!$A$2:$A$41,0))/365*Assumptions!$B$6</f>
        <v>1124.83081643836</v>
      </c>
      <c r="N2169" s="16" t="n">
        <f aca="false">J2169-K2169-L2169-M2169</f>
        <v>150246.508983562</v>
      </c>
      <c r="O2169" s="16" t="n">
        <f aca="false">F2169*IF(A2169="2025",INDEX(Products!$D$2:$D$13,MATCH(D2169,Products!$A$2:$A$13,0)),INDEX(Products!$F$2:$F$13,MATCH(D2169,Products!$A$2:$A$13,0)))</f>
        <v>126960</v>
      </c>
      <c r="P2169" s="16" t="n">
        <f aca="false">N2169-O2169</f>
        <v>23286.5089835616</v>
      </c>
    </row>
    <row r="2170" customFormat="false" ht="15" hidden="false" customHeight="false" outlineLevel="0" collapsed="false">
      <c r="A2170" s="2" t="s">
        <v>118</v>
      </c>
      <c r="B2170" s="2" t="n">
        <v>9</v>
      </c>
      <c r="C2170" s="2" t="s">
        <v>94</v>
      </c>
      <c r="D2170" s="2" t="s">
        <v>36</v>
      </c>
      <c r="E2170" s="2" t="str">
        <f aca="false">INDEX(Products!$B$2:$B$13,MATCH(D2170,Products!$A$2:$A$13,0))</f>
        <v>FCC</v>
      </c>
      <c r="F2170" s="15" t="n">
        <v>63</v>
      </c>
      <c r="G2170" s="16" t="n">
        <f aca="false">IF(A2170="2025",INDEX(Products!$C$2:$C$13,MATCH(D2170,Products!$A$2:$A$13,0)),INDEX(Products!$E$2:$E$13,MATCH(D2170,Products!$A$2:$A$13,0)))</f>
        <v>3700</v>
      </c>
      <c r="H2170" s="13" t="n">
        <f aca="false">IF(A2170="2025",INDEX(Customers!$D$2:$D$41,MATCH(C2170,Customers!$A$2:$A$41,0)),INDEX(Customers!$F$2:$F$41,MATCH(C2170,Customers!$A$2:$A$41,0)))</f>
        <v>0.126</v>
      </c>
      <c r="I2170" s="16" t="n">
        <f aca="false">F2170*G2170</f>
        <v>233100</v>
      </c>
      <c r="J2170" s="16" t="n">
        <f aca="false">I2170*(1-H2170)</f>
        <v>203729.4</v>
      </c>
      <c r="K2170" s="16" t="n">
        <f aca="false">J2170*INDEX(Customers!$G$2:$G$41,MATCH(C2170,Customers!$A$2:$A$41,0))</f>
        <v>2037.294</v>
      </c>
      <c r="L2170" s="16" t="n">
        <f aca="false">F2170*INDEX(Customers!$H$2:$H$41,MATCH(C2170,Customers!$A$2:$A$41,0))</f>
        <v>21420</v>
      </c>
      <c r="M2170" s="16" t="n">
        <f aca="false">J2170*INDEX(Customers!$I$2:$I$41,MATCH(C2170,Customers!$A$2:$A$41,0))/365*Assumptions!$B$6</f>
        <v>1339.59057534247</v>
      </c>
      <c r="N2170" s="16" t="n">
        <f aca="false">J2170-K2170-L2170-M2170</f>
        <v>178932.515424658</v>
      </c>
      <c r="O2170" s="16" t="n">
        <f aca="false">F2170*IF(A2170="2025",INDEX(Products!$D$2:$D$13,MATCH(D2170,Products!$A$2:$A$13,0)),INDEX(Products!$F$2:$F$13,MATCH(D2170,Products!$A$2:$A$13,0)))</f>
        <v>151200</v>
      </c>
      <c r="P2170" s="16" t="n">
        <f aca="false">N2170-O2170</f>
        <v>27732.5154246575</v>
      </c>
    </row>
    <row r="2171" customFormat="false" ht="15" hidden="false" customHeight="false" outlineLevel="0" collapsed="false">
      <c r="A2171" s="2" t="s">
        <v>118</v>
      </c>
      <c r="B2171" s="2" t="n">
        <v>10</v>
      </c>
      <c r="C2171" s="2" t="s">
        <v>94</v>
      </c>
      <c r="D2171" s="2" t="s">
        <v>36</v>
      </c>
      <c r="E2171" s="2" t="str">
        <f aca="false">INDEX(Products!$B$2:$B$13,MATCH(D2171,Products!$A$2:$A$13,0))</f>
        <v>FCC</v>
      </c>
      <c r="F2171" s="15" t="n">
        <v>56.3</v>
      </c>
      <c r="G2171" s="16" t="n">
        <f aca="false">IF(A2171="2025",INDEX(Products!$C$2:$C$13,MATCH(D2171,Products!$A$2:$A$13,0)),INDEX(Products!$E$2:$E$13,MATCH(D2171,Products!$A$2:$A$13,0)))</f>
        <v>3700</v>
      </c>
      <c r="H2171" s="13" t="n">
        <f aca="false">IF(A2171="2025",INDEX(Customers!$D$2:$D$41,MATCH(C2171,Customers!$A$2:$A$41,0)),INDEX(Customers!$F$2:$F$41,MATCH(C2171,Customers!$A$2:$A$41,0)))</f>
        <v>0.126</v>
      </c>
      <c r="I2171" s="16" t="n">
        <f aca="false">F2171*G2171</f>
        <v>208310</v>
      </c>
      <c r="J2171" s="16" t="n">
        <f aca="false">I2171*(1-H2171)</f>
        <v>182062.94</v>
      </c>
      <c r="K2171" s="16" t="n">
        <f aca="false">J2171*INDEX(Customers!$G$2:$G$41,MATCH(C2171,Customers!$A$2:$A$41,0))</f>
        <v>1820.6294</v>
      </c>
      <c r="L2171" s="16" t="n">
        <f aca="false">F2171*INDEX(Customers!$H$2:$H$41,MATCH(C2171,Customers!$A$2:$A$41,0))</f>
        <v>19142</v>
      </c>
      <c r="M2171" s="16" t="n">
        <f aca="false">J2171*INDEX(Customers!$I$2:$I$41,MATCH(C2171,Customers!$A$2:$A$41,0))/365*Assumptions!$B$6</f>
        <v>1197.12618082192</v>
      </c>
      <c r="N2171" s="16" t="n">
        <f aca="false">J2171-K2171-L2171-M2171</f>
        <v>159903.184419178</v>
      </c>
      <c r="O2171" s="16" t="n">
        <f aca="false">F2171*IF(A2171="2025",INDEX(Products!$D$2:$D$13,MATCH(D2171,Products!$A$2:$A$13,0)),INDEX(Products!$F$2:$F$13,MATCH(D2171,Products!$A$2:$A$13,0)))</f>
        <v>135120</v>
      </c>
      <c r="P2171" s="16" t="n">
        <f aca="false">N2171-O2171</f>
        <v>24783.1844191781</v>
      </c>
    </row>
    <row r="2172" customFormat="false" ht="15" hidden="false" customHeight="false" outlineLevel="0" collapsed="false">
      <c r="A2172" s="2" t="s">
        <v>118</v>
      </c>
      <c r="B2172" s="2" t="n">
        <v>11</v>
      </c>
      <c r="C2172" s="2" t="s">
        <v>94</v>
      </c>
      <c r="D2172" s="2" t="s">
        <v>36</v>
      </c>
      <c r="E2172" s="2" t="str">
        <f aca="false">INDEX(Products!$B$2:$B$13,MATCH(D2172,Products!$A$2:$A$13,0))</f>
        <v>FCC</v>
      </c>
      <c r="F2172" s="15" t="n">
        <v>68.7</v>
      </c>
      <c r="G2172" s="16" t="n">
        <f aca="false">IF(A2172="2025",INDEX(Products!$C$2:$C$13,MATCH(D2172,Products!$A$2:$A$13,0)),INDEX(Products!$E$2:$E$13,MATCH(D2172,Products!$A$2:$A$13,0)))</f>
        <v>3700</v>
      </c>
      <c r="H2172" s="13" t="n">
        <f aca="false">IF(A2172="2025",INDEX(Customers!$D$2:$D$41,MATCH(C2172,Customers!$A$2:$A$41,0)),INDEX(Customers!$F$2:$F$41,MATCH(C2172,Customers!$A$2:$A$41,0)))</f>
        <v>0.126</v>
      </c>
      <c r="I2172" s="16" t="n">
        <f aca="false">F2172*G2172</f>
        <v>254190</v>
      </c>
      <c r="J2172" s="16" t="n">
        <f aca="false">I2172*(1-H2172)</f>
        <v>222162.06</v>
      </c>
      <c r="K2172" s="16" t="n">
        <f aca="false">J2172*INDEX(Customers!$G$2:$G$41,MATCH(C2172,Customers!$A$2:$A$41,0))</f>
        <v>2221.6206</v>
      </c>
      <c r="L2172" s="16" t="n">
        <f aca="false">F2172*INDEX(Customers!$H$2:$H$41,MATCH(C2172,Customers!$A$2:$A$41,0))</f>
        <v>23358</v>
      </c>
      <c r="M2172" s="16" t="n">
        <f aca="false">J2172*INDEX(Customers!$I$2:$I$41,MATCH(C2172,Customers!$A$2:$A$41,0))/365*Assumptions!$B$6</f>
        <v>1460.79162739726</v>
      </c>
      <c r="N2172" s="16" t="n">
        <f aca="false">J2172-K2172-L2172-M2172</f>
        <v>195121.647772603</v>
      </c>
      <c r="O2172" s="16" t="n">
        <f aca="false">F2172*IF(A2172="2025",INDEX(Products!$D$2:$D$13,MATCH(D2172,Products!$A$2:$A$13,0)),INDEX(Products!$F$2:$F$13,MATCH(D2172,Products!$A$2:$A$13,0)))</f>
        <v>164880</v>
      </c>
      <c r="P2172" s="16" t="n">
        <f aca="false">N2172-O2172</f>
        <v>30241.6477726027</v>
      </c>
    </row>
    <row r="2173" customFormat="false" ht="15" hidden="false" customHeight="false" outlineLevel="0" collapsed="false">
      <c r="A2173" s="2" t="s">
        <v>118</v>
      </c>
      <c r="B2173" s="2" t="n">
        <v>12</v>
      </c>
      <c r="C2173" s="2" t="s">
        <v>94</v>
      </c>
      <c r="D2173" s="2" t="s">
        <v>36</v>
      </c>
      <c r="E2173" s="2" t="str">
        <f aca="false">INDEX(Products!$B$2:$B$13,MATCH(D2173,Products!$A$2:$A$13,0))</f>
        <v>FCC</v>
      </c>
      <c r="F2173" s="15" t="n">
        <v>65.2</v>
      </c>
      <c r="G2173" s="16" t="n">
        <f aca="false">IF(A2173="2025",INDEX(Products!$C$2:$C$13,MATCH(D2173,Products!$A$2:$A$13,0)),INDEX(Products!$E$2:$E$13,MATCH(D2173,Products!$A$2:$A$13,0)))</f>
        <v>3700</v>
      </c>
      <c r="H2173" s="13" t="n">
        <f aca="false">IF(A2173="2025",INDEX(Customers!$D$2:$D$41,MATCH(C2173,Customers!$A$2:$A$41,0)),INDEX(Customers!$F$2:$F$41,MATCH(C2173,Customers!$A$2:$A$41,0)))</f>
        <v>0.126</v>
      </c>
      <c r="I2173" s="16" t="n">
        <f aca="false">F2173*G2173</f>
        <v>241240</v>
      </c>
      <c r="J2173" s="16" t="n">
        <f aca="false">I2173*(1-H2173)</f>
        <v>210843.76</v>
      </c>
      <c r="K2173" s="16" t="n">
        <f aca="false">J2173*INDEX(Customers!$G$2:$G$41,MATCH(C2173,Customers!$A$2:$A$41,0))</f>
        <v>2108.4376</v>
      </c>
      <c r="L2173" s="16" t="n">
        <f aca="false">F2173*INDEX(Customers!$H$2:$H$41,MATCH(C2173,Customers!$A$2:$A$41,0))</f>
        <v>22168</v>
      </c>
      <c r="M2173" s="16" t="n">
        <f aca="false">J2173*INDEX(Customers!$I$2:$I$41,MATCH(C2173,Customers!$A$2:$A$41,0))/365*Assumptions!$B$6</f>
        <v>1386.36992876712</v>
      </c>
      <c r="N2173" s="16" t="n">
        <f aca="false">J2173-K2173-L2173-M2173</f>
        <v>185180.952471233</v>
      </c>
      <c r="O2173" s="16" t="n">
        <f aca="false">F2173*IF(A2173="2025",INDEX(Products!$D$2:$D$13,MATCH(D2173,Products!$A$2:$A$13,0)),INDEX(Products!$F$2:$F$13,MATCH(D2173,Products!$A$2:$A$13,0)))</f>
        <v>156480</v>
      </c>
      <c r="P2173" s="16" t="n">
        <f aca="false">N2173-O2173</f>
        <v>28700.9524712329</v>
      </c>
    </row>
    <row r="2174" customFormat="false" ht="15" hidden="false" customHeight="false" outlineLevel="0" collapsed="false">
      <c r="A2174" s="2" t="s">
        <v>119</v>
      </c>
      <c r="B2174" s="2" t="n">
        <v>1</v>
      </c>
      <c r="C2174" s="2" t="s">
        <v>94</v>
      </c>
      <c r="D2174" s="2" t="s">
        <v>36</v>
      </c>
      <c r="E2174" s="2" t="str">
        <f aca="false">INDEX(Products!$B$2:$B$13,MATCH(D2174,Products!$A$2:$A$13,0))</f>
        <v>FCC</v>
      </c>
      <c r="F2174" s="15" t="n">
        <v>58.4</v>
      </c>
      <c r="G2174" s="16" t="n">
        <f aca="false">IF(A2174="2025",INDEX(Products!$C$2:$C$13,MATCH(D2174,Products!$A$2:$A$13,0)),INDEX(Products!$E$2:$E$13,MATCH(D2174,Products!$A$2:$A$13,0)))</f>
        <v>3885</v>
      </c>
      <c r="H2174" s="13" t="n">
        <f aca="false">IF(A2174="2025",INDEX(Customers!$D$2:$D$41,MATCH(C2174,Customers!$A$2:$A$41,0)),INDEX(Customers!$F$2:$F$41,MATCH(C2174,Customers!$A$2:$A$41,0)))</f>
        <v>0.126</v>
      </c>
      <c r="I2174" s="16" t="n">
        <f aca="false">F2174*G2174</f>
        <v>226884</v>
      </c>
      <c r="J2174" s="16" t="n">
        <f aca="false">I2174*(1-H2174)</f>
        <v>198296.616</v>
      </c>
      <c r="K2174" s="16" t="n">
        <f aca="false">J2174*INDEX(Customers!$G$2:$G$41,MATCH(C2174,Customers!$A$2:$A$41,0))</f>
        <v>1982.96616</v>
      </c>
      <c r="L2174" s="16" t="n">
        <f aca="false">F2174*INDEX(Customers!$H$2:$H$41,MATCH(C2174,Customers!$A$2:$A$41,0))</f>
        <v>19856</v>
      </c>
      <c r="M2174" s="16" t="n">
        <f aca="false">J2174*INDEX(Customers!$I$2:$I$41,MATCH(C2174,Customers!$A$2:$A$41,0))/365*Assumptions!$B$6</f>
        <v>1303.86816</v>
      </c>
      <c r="N2174" s="16" t="n">
        <f aca="false">J2174-K2174-L2174-M2174</f>
        <v>175153.78168</v>
      </c>
      <c r="O2174" s="16" t="n">
        <f aca="false">F2174*IF(A2174="2025",INDEX(Products!$D$2:$D$13,MATCH(D2174,Products!$A$2:$A$13,0)),INDEX(Products!$F$2:$F$13,MATCH(D2174,Products!$A$2:$A$13,0)))</f>
        <v>144364.8</v>
      </c>
      <c r="P2174" s="16" t="n">
        <f aca="false">N2174-O2174</f>
        <v>30788.98168</v>
      </c>
    </row>
    <row r="2175" customFormat="false" ht="15" hidden="false" customHeight="false" outlineLevel="0" collapsed="false">
      <c r="A2175" s="2" t="s">
        <v>119</v>
      </c>
      <c r="B2175" s="2" t="n">
        <v>2</v>
      </c>
      <c r="C2175" s="2" t="s">
        <v>94</v>
      </c>
      <c r="D2175" s="2" t="s">
        <v>36</v>
      </c>
      <c r="E2175" s="2" t="str">
        <f aca="false">INDEX(Products!$B$2:$B$13,MATCH(D2175,Products!$A$2:$A$13,0))</f>
        <v>FCC</v>
      </c>
      <c r="F2175" s="15" t="n">
        <v>53.9</v>
      </c>
      <c r="G2175" s="16" t="n">
        <f aca="false">IF(A2175="2025",INDEX(Products!$C$2:$C$13,MATCH(D2175,Products!$A$2:$A$13,0)),INDEX(Products!$E$2:$E$13,MATCH(D2175,Products!$A$2:$A$13,0)))</f>
        <v>3885</v>
      </c>
      <c r="H2175" s="13" t="n">
        <f aca="false">IF(A2175="2025",INDEX(Customers!$D$2:$D$41,MATCH(C2175,Customers!$A$2:$A$41,0)),INDEX(Customers!$F$2:$F$41,MATCH(C2175,Customers!$A$2:$A$41,0)))</f>
        <v>0.126</v>
      </c>
      <c r="I2175" s="16" t="n">
        <f aca="false">F2175*G2175</f>
        <v>209401.5</v>
      </c>
      <c r="J2175" s="16" t="n">
        <f aca="false">I2175*(1-H2175)</f>
        <v>183016.911</v>
      </c>
      <c r="K2175" s="16" t="n">
        <f aca="false">J2175*INDEX(Customers!$G$2:$G$41,MATCH(C2175,Customers!$A$2:$A$41,0))</f>
        <v>1830.16911</v>
      </c>
      <c r="L2175" s="16" t="n">
        <f aca="false">F2175*INDEX(Customers!$H$2:$H$41,MATCH(C2175,Customers!$A$2:$A$41,0))</f>
        <v>18326</v>
      </c>
      <c r="M2175" s="16" t="n">
        <f aca="false">J2175*INDEX(Customers!$I$2:$I$41,MATCH(C2175,Customers!$A$2:$A$41,0))/365*Assumptions!$B$6</f>
        <v>1203.39886684932</v>
      </c>
      <c r="N2175" s="16" t="n">
        <f aca="false">J2175-K2175-L2175-M2175</f>
        <v>161657.343023151</v>
      </c>
      <c r="O2175" s="16" t="n">
        <f aca="false">F2175*IF(A2175="2025",INDEX(Products!$D$2:$D$13,MATCH(D2175,Products!$A$2:$A$13,0)),INDEX(Products!$F$2:$F$13,MATCH(D2175,Products!$A$2:$A$13,0)))</f>
        <v>133240.8</v>
      </c>
      <c r="P2175" s="16" t="n">
        <f aca="false">N2175-O2175</f>
        <v>28416.5430231507</v>
      </c>
    </row>
    <row r="2176" customFormat="false" ht="15" hidden="false" customHeight="false" outlineLevel="0" collapsed="false">
      <c r="A2176" s="2" t="s">
        <v>119</v>
      </c>
      <c r="B2176" s="2" t="n">
        <v>3</v>
      </c>
      <c r="C2176" s="2" t="s">
        <v>94</v>
      </c>
      <c r="D2176" s="2" t="s">
        <v>36</v>
      </c>
      <c r="E2176" s="2" t="str">
        <f aca="false">INDEX(Products!$B$2:$B$13,MATCH(D2176,Products!$A$2:$A$13,0))</f>
        <v>FCC</v>
      </c>
      <c r="F2176" s="15" t="n">
        <v>58.1</v>
      </c>
      <c r="G2176" s="16" t="n">
        <f aca="false">IF(A2176="2025",INDEX(Products!$C$2:$C$13,MATCH(D2176,Products!$A$2:$A$13,0)),INDEX(Products!$E$2:$E$13,MATCH(D2176,Products!$A$2:$A$13,0)))</f>
        <v>3885</v>
      </c>
      <c r="H2176" s="13" t="n">
        <f aca="false">IF(A2176="2025",INDEX(Customers!$D$2:$D$41,MATCH(C2176,Customers!$A$2:$A$41,0)),INDEX(Customers!$F$2:$F$41,MATCH(C2176,Customers!$A$2:$A$41,0)))</f>
        <v>0.126</v>
      </c>
      <c r="I2176" s="16" t="n">
        <f aca="false">F2176*G2176</f>
        <v>225718.5</v>
      </c>
      <c r="J2176" s="16" t="n">
        <f aca="false">I2176*(1-H2176)</f>
        <v>197277.969</v>
      </c>
      <c r="K2176" s="16" t="n">
        <f aca="false">J2176*INDEX(Customers!$G$2:$G$41,MATCH(C2176,Customers!$A$2:$A$41,0))</f>
        <v>1972.77969</v>
      </c>
      <c r="L2176" s="16" t="n">
        <f aca="false">F2176*INDEX(Customers!$H$2:$H$41,MATCH(C2176,Customers!$A$2:$A$41,0))</f>
        <v>19754</v>
      </c>
      <c r="M2176" s="16" t="n">
        <f aca="false">J2176*INDEX(Customers!$I$2:$I$41,MATCH(C2176,Customers!$A$2:$A$41,0))/365*Assumptions!$B$6</f>
        <v>1297.17020712329</v>
      </c>
      <c r="N2176" s="16" t="n">
        <f aca="false">J2176-K2176-L2176-M2176</f>
        <v>174254.019102877</v>
      </c>
      <c r="O2176" s="16" t="n">
        <f aca="false">F2176*IF(A2176="2025",INDEX(Products!$D$2:$D$13,MATCH(D2176,Products!$A$2:$A$13,0)),INDEX(Products!$F$2:$F$13,MATCH(D2176,Products!$A$2:$A$13,0)))</f>
        <v>143623.2</v>
      </c>
      <c r="P2176" s="16" t="n">
        <f aca="false">N2176-O2176</f>
        <v>30630.8191028767</v>
      </c>
    </row>
    <row r="2177" customFormat="false" ht="15" hidden="false" customHeight="false" outlineLevel="0" collapsed="false">
      <c r="A2177" s="2" t="s">
        <v>119</v>
      </c>
      <c r="B2177" s="2" t="n">
        <v>4</v>
      </c>
      <c r="C2177" s="2" t="s">
        <v>94</v>
      </c>
      <c r="D2177" s="2" t="s">
        <v>36</v>
      </c>
      <c r="E2177" s="2" t="str">
        <f aca="false">INDEX(Products!$B$2:$B$13,MATCH(D2177,Products!$A$2:$A$13,0))</f>
        <v>FCC</v>
      </c>
      <c r="F2177" s="15" t="n">
        <v>53.9</v>
      </c>
      <c r="G2177" s="16" t="n">
        <f aca="false">IF(A2177="2025",INDEX(Products!$C$2:$C$13,MATCH(D2177,Products!$A$2:$A$13,0)),INDEX(Products!$E$2:$E$13,MATCH(D2177,Products!$A$2:$A$13,0)))</f>
        <v>3885</v>
      </c>
      <c r="H2177" s="13" t="n">
        <f aca="false">IF(A2177="2025",INDEX(Customers!$D$2:$D$41,MATCH(C2177,Customers!$A$2:$A$41,0)),INDEX(Customers!$F$2:$F$41,MATCH(C2177,Customers!$A$2:$A$41,0)))</f>
        <v>0.126</v>
      </c>
      <c r="I2177" s="16" t="n">
        <f aca="false">F2177*G2177</f>
        <v>209401.5</v>
      </c>
      <c r="J2177" s="16" t="n">
        <f aca="false">I2177*(1-H2177)</f>
        <v>183016.911</v>
      </c>
      <c r="K2177" s="16" t="n">
        <f aca="false">J2177*INDEX(Customers!$G$2:$G$41,MATCH(C2177,Customers!$A$2:$A$41,0))</f>
        <v>1830.16911</v>
      </c>
      <c r="L2177" s="16" t="n">
        <f aca="false">F2177*INDEX(Customers!$H$2:$H$41,MATCH(C2177,Customers!$A$2:$A$41,0))</f>
        <v>18326</v>
      </c>
      <c r="M2177" s="16" t="n">
        <f aca="false">J2177*INDEX(Customers!$I$2:$I$41,MATCH(C2177,Customers!$A$2:$A$41,0))/365*Assumptions!$B$6</f>
        <v>1203.39886684932</v>
      </c>
      <c r="N2177" s="16" t="n">
        <f aca="false">J2177-K2177-L2177-M2177</f>
        <v>161657.343023151</v>
      </c>
      <c r="O2177" s="16" t="n">
        <f aca="false">F2177*IF(A2177="2025",INDEX(Products!$D$2:$D$13,MATCH(D2177,Products!$A$2:$A$13,0)),INDEX(Products!$F$2:$F$13,MATCH(D2177,Products!$A$2:$A$13,0)))</f>
        <v>133240.8</v>
      </c>
      <c r="P2177" s="16" t="n">
        <f aca="false">N2177-O2177</f>
        <v>28416.5430231507</v>
      </c>
    </row>
    <row r="2178" customFormat="false" ht="15" hidden="false" customHeight="false" outlineLevel="0" collapsed="false">
      <c r="A2178" s="2" t="s">
        <v>119</v>
      </c>
      <c r="B2178" s="2" t="n">
        <v>5</v>
      </c>
      <c r="C2178" s="2" t="s">
        <v>94</v>
      </c>
      <c r="D2178" s="2" t="s">
        <v>36</v>
      </c>
      <c r="E2178" s="2" t="str">
        <f aca="false">INDEX(Products!$B$2:$B$13,MATCH(D2178,Products!$A$2:$A$13,0))</f>
        <v>FCC</v>
      </c>
      <c r="F2178" s="15" t="n">
        <v>55</v>
      </c>
      <c r="G2178" s="16" t="n">
        <f aca="false">IF(A2178="2025",INDEX(Products!$C$2:$C$13,MATCH(D2178,Products!$A$2:$A$13,0)),INDEX(Products!$E$2:$E$13,MATCH(D2178,Products!$A$2:$A$13,0)))</f>
        <v>3885</v>
      </c>
      <c r="H2178" s="13" t="n">
        <f aca="false">IF(A2178="2025",INDEX(Customers!$D$2:$D$41,MATCH(C2178,Customers!$A$2:$A$41,0)),INDEX(Customers!$F$2:$F$41,MATCH(C2178,Customers!$A$2:$A$41,0)))</f>
        <v>0.126</v>
      </c>
      <c r="I2178" s="16" t="n">
        <f aca="false">F2178*G2178</f>
        <v>213675</v>
      </c>
      <c r="J2178" s="16" t="n">
        <f aca="false">I2178*(1-H2178)</f>
        <v>186751.95</v>
      </c>
      <c r="K2178" s="16" t="n">
        <f aca="false">J2178*INDEX(Customers!$G$2:$G$41,MATCH(C2178,Customers!$A$2:$A$41,0))</f>
        <v>1867.5195</v>
      </c>
      <c r="L2178" s="16" t="n">
        <f aca="false">F2178*INDEX(Customers!$H$2:$H$41,MATCH(C2178,Customers!$A$2:$A$41,0))</f>
        <v>18700</v>
      </c>
      <c r="M2178" s="16" t="n">
        <f aca="false">J2178*INDEX(Customers!$I$2:$I$41,MATCH(C2178,Customers!$A$2:$A$41,0))/365*Assumptions!$B$6</f>
        <v>1227.95802739726</v>
      </c>
      <c r="N2178" s="16" t="n">
        <f aca="false">J2178-K2178-L2178-M2178</f>
        <v>164956.472472603</v>
      </c>
      <c r="O2178" s="16" t="n">
        <f aca="false">F2178*IF(A2178="2025",INDEX(Products!$D$2:$D$13,MATCH(D2178,Products!$A$2:$A$13,0)),INDEX(Products!$F$2:$F$13,MATCH(D2178,Products!$A$2:$A$13,0)))</f>
        <v>135960</v>
      </c>
      <c r="P2178" s="16" t="n">
        <f aca="false">N2178-O2178</f>
        <v>28996.4724726028</v>
      </c>
    </row>
    <row r="2179" customFormat="false" ht="15" hidden="false" customHeight="false" outlineLevel="0" collapsed="false">
      <c r="A2179" s="2" t="s">
        <v>119</v>
      </c>
      <c r="B2179" s="2" t="n">
        <v>6</v>
      </c>
      <c r="C2179" s="2" t="s">
        <v>94</v>
      </c>
      <c r="D2179" s="2" t="s">
        <v>36</v>
      </c>
      <c r="E2179" s="2" t="str">
        <f aca="false">INDEX(Products!$B$2:$B$13,MATCH(D2179,Products!$A$2:$A$13,0))</f>
        <v>FCC</v>
      </c>
      <c r="F2179" s="15" t="n">
        <v>49.5</v>
      </c>
      <c r="G2179" s="16" t="n">
        <f aca="false">IF(A2179="2025",INDEX(Products!$C$2:$C$13,MATCH(D2179,Products!$A$2:$A$13,0)),INDEX(Products!$E$2:$E$13,MATCH(D2179,Products!$A$2:$A$13,0)))</f>
        <v>3885</v>
      </c>
      <c r="H2179" s="13" t="n">
        <f aca="false">IF(A2179="2025",INDEX(Customers!$D$2:$D$41,MATCH(C2179,Customers!$A$2:$A$41,0)),INDEX(Customers!$F$2:$F$41,MATCH(C2179,Customers!$A$2:$A$41,0)))</f>
        <v>0.126</v>
      </c>
      <c r="I2179" s="16" t="n">
        <f aca="false">F2179*G2179</f>
        <v>192307.5</v>
      </c>
      <c r="J2179" s="16" t="n">
        <f aca="false">I2179*(1-H2179)</f>
        <v>168076.755</v>
      </c>
      <c r="K2179" s="16" t="n">
        <f aca="false">J2179*INDEX(Customers!$G$2:$G$41,MATCH(C2179,Customers!$A$2:$A$41,0))</f>
        <v>1680.76755</v>
      </c>
      <c r="L2179" s="16" t="n">
        <f aca="false">F2179*INDEX(Customers!$H$2:$H$41,MATCH(C2179,Customers!$A$2:$A$41,0))</f>
        <v>16830</v>
      </c>
      <c r="M2179" s="16" t="n">
        <f aca="false">J2179*INDEX(Customers!$I$2:$I$41,MATCH(C2179,Customers!$A$2:$A$41,0))/365*Assumptions!$B$6</f>
        <v>1105.16222465753</v>
      </c>
      <c r="N2179" s="16" t="n">
        <f aca="false">J2179-K2179-L2179-M2179</f>
        <v>148460.825225342</v>
      </c>
      <c r="O2179" s="16" t="n">
        <f aca="false">F2179*IF(A2179="2025",INDEX(Products!$D$2:$D$13,MATCH(D2179,Products!$A$2:$A$13,0)),INDEX(Products!$F$2:$F$13,MATCH(D2179,Products!$A$2:$A$13,0)))</f>
        <v>122364</v>
      </c>
      <c r="P2179" s="16" t="n">
        <f aca="false">N2179-O2179</f>
        <v>26096.8252253425</v>
      </c>
    </row>
    <row r="2180" customFormat="false" ht="15" hidden="false" customHeight="false" outlineLevel="0" collapsed="false">
      <c r="A2180" s="2" t="s">
        <v>119</v>
      </c>
      <c r="B2180" s="2" t="n">
        <v>7</v>
      </c>
      <c r="C2180" s="2" t="s">
        <v>94</v>
      </c>
      <c r="D2180" s="2" t="s">
        <v>36</v>
      </c>
      <c r="E2180" s="2" t="str">
        <f aca="false">INDEX(Products!$B$2:$B$13,MATCH(D2180,Products!$A$2:$A$13,0))</f>
        <v>FCC</v>
      </c>
      <c r="F2180" s="15" t="n">
        <v>45</v>
      </c>
      <c r="G2180" s="16" t="n">
        <f aca="false">IF(A2180="2025",INDEX(Products!$C$2:$C$13,MATCH(D2180,Products!$A$2:$A$13,0)),INDEX(Products!$E$2:$E$13,MATCH(D2180,Products!$A$2:$A$13,0)))</f>
        <v>3885</v>
      </c>
      <c r="H2180" s="13" t="n">
        <f aca="false">IF(A2180="2025",INDEX(Customers!$D$2:$D$41,MATCH(C2180,Customers!$A$2:$A$41,0)),INDEX(Customers!$F$2:$F$41,MATCH(C2180,Customers!$A$2:$A$41,0)))</f>
        <v>0.126</v>
      </c>
      <c r="I2180" s="16" t="n">
        <f aca="false">F2180*G2180</f>
        <v>174825</v>
      </c>
      <c r="J2180" s="16" t="n">
        <f aca="false">I2180*(1-H2180)</f>
        <v>152797.05</v>
      </c>
      <c r="K2180" s="16" t="n">
        <f aca="false">J2180*INDEX(Customers!$G$2:$G$41,MATCH(C2180,Customers!$A$2:$A$41,0))</f>
        <v>1527.9705</v>
      </c>
      <c r="L2180" s="16" t="n">
        <f aca="false">F2180*INDEX(Customers!$H$2:$H$41,MATCH(C2180,Customers!$A$2:$A$41,0))</f>
        <v>15300</v>
      </c>
      <c r="M2180" s="16" t="n">
        <f aca="false">J2180*INDEX(Customers!$I$2:$I$41,MATCH(C2180,Customers!$A$2:$A$41,0))/365*Assumptions!$B$6</f>
        <v>1004.69293150685</v>
      </c>
      <c r="N2180" s="16" t="n">
        <f aca="false">J2180-K2180-L2180-M2180</f>
        <v>134964.386568493</v>
      </c>
      <c r="O2180" s="16" t="n">
        <f aca="false">F2180*IF(A2180="2025",INDEX(Products!$D$2:$D$13,MATCH(D2180,Products!$A$2:$A$13,0)),INDEX(Products!$F$2:$F$13,MATCH(D2180,Products!$A$2:$A$13,0)))</f>
        <v>111240</v>
      </c>
      <c r="P2180" s="16" t="n">
        <f aca="false">N2180-O2180</f>
        <v>23724.3865684932</v>
      </c>
    </row>
    <row r="2181" customFormat="false" ht="15" hidden="false" customHeight="false" outlineLevel="0" collapsed="false">
      <c r="A2181" s="2" t="s">
        <v>119</v>
      </c>
      <c r="B2181" s="2" t="n">
        <v>8</v>
      </c>
      <c r="C2181" s="2" t="s">
        <v>94</v>
      </c>
      <c r="D2181" s="2" t="s">
        <v>36</v>
      </c>
      <c r="E2181" s="2" t="str">
        <f aca="false">INDEX(Products!$B$2:$B$13,MATCH(D2181,Products!$A$2:$A$13,0))</f>
        <v>FCC</v>
      </c>
      <c r="F2181" s="15" t="n">
        <v>71.7</v>
      </c>
      <c r="G2181" s="16" t="n">
        <f aca="false">IF(A2181="2025",INDEX(Products!$C$2:$C$13,MATCH(D2181,Products!$A$2:$A$13,0)),INDEX(Products!$E$2:$E$13,MATCH(D2181,Products!$A$2:$A$13,0)))</f>
        <v>3885</v>
      </c>
      <c r="H2181" s="13" t="n">
        <f aca="false">IF(A2181="2025",INDEX(Customers!$D$2:$D$41,MATCH(C2181,Customers!$A$2:$A$41,0)),INDEX(Customers!$F$2:$F$41,MATCH(C2181,Customers!$A$2:$A$41,0)))</f>
        <v>0.126</v>
      </c>
      <c r="I2181" s="16" t="n">
        <f aca="false">F2181*G2181</f>
        <v>278554.5</v>
      </c>
      <c r="J2181" s="16" t="n">
        <f aca="false">I2181*(1-H2181)</f>
        <v>243456.633</v>
      </c>
      <c r="K2181" s="16" t="n">
        <f aca="false">J2181*INDEX(Customers!$G$2:$G$41,MATCH(C2181,Customers!$A$2:$A$41,0))</f>
        <v>2434.56633</v>
      </c>
      <c r="L2181" s="16" t="n">
        <f aca="false">F2181*INDEX(Customers!$H$2:$H$41,MATCH(C2181,Customers!$A$2:$A$41,0))</f>
        <v>24378</v>
      </c>
      <c r="M2181" s="16" t="n">
        <f aca="false">J2181*INDEX(Customers!$I$2:$I$41,MATCH(C2181,Customers!$A$2:$A$41,0))/365*Assumptions!$B$6</f>
        <v>1600.81073753425</v>
      </c>
      <c r="N2181" s="16" t="n">
        <f aca="false">J2181-K2181-L2181-M2181</f>
        <v>215043.255932466</v>
      </c>
      <c r="O2181" s="16" t="n">
        <f aca="false">F2181*IF(A2181="2025",INDEX(Products!$D$2:$D$13,MATCH(D2181,Products!$A$2:$A$13,0)),INDEX(Products!$F$2:$F$13,MATCH(D2181,Products!$A$2:$A$13,0)))</f>
        <v>177242.4</v>
      </c>
      <c r="P2181" s="16" t="n">
        <f aca="false">N2181-O2181</f>
        <v>37800.8559324658</v>
      </c>
    </row>
    <row r="2182" customFormat="false" ht="15" hidden="false" customHeight="false" outlineLevel="0" collapsed="false">
      <c r="A2182" s="2" t="s">
        <v>119</v>
      </c>
      <c r="B2182" s="2" t="n">
        <v>9</v>
      </c>
      <c r="C2182" s="2" t="s">
        <v>94</v>
      </c>
      <c r="D2182" s="2" t="s">
        <v>36</v>
      </c>
      <c r="E2182" s="2" t="str">
        <f aca="false">INDEX(Products!$B$2:$B$13,MATCH(D2182,Products!$A$2:$A$13,0))</f>
        <v>FCC</v>
      </c>
      <c r="F2182" s="15" t="n">
        <v>40.9</v>
      </c>
      <c r="G2182" s="16" t="n">
        <f aca="false">IF(A2182="2025",INDEX(Products!$C$2:$C$13,MATCH(D2182,Products!$A$2:$A$13,0)),INDEX(Products!$E$2:$E$13,MATCH(D2182,Products!$A$2:$A$13,0)))</f>
        <v>3885</v>
      </c>
      <c r="H2182" s="13" t="n">
        <f aca="false">IF(A2182="2025",INDEX(Customers!$D$2:$D$41,MATCH(C2182,Customers!$A$2:$A$41,0)),INDEX(Customers!$F$2:$F$41,MATCH(C2182,Customers!$A$2:$A$41,0)))</f>
        <v>0.126</v>
      </c>
      <c r="I2182" s="16" t="n">
        <f aca="false">F2182*G2182</f>
        <v>158896.5</v>
      </c>
      <c r="J2182" s="16" t="n">
        <f aca="false">I2182*(1-H2182)</f>
        <v>138875.541</v>
      </c>
      <c r="K2182" s="16" t="n">
        <f aca="false">J2182*INDEX(Customers!$G$2:$G$41,MATCH(C2182,Customers!$A$2:$A$41,0))</f>
        <v>1388.75541</v>
      </c>
      <c r="L2182" s="16" t="n">
        <f aca="false">F2182*INDEX(Customers!$H$2:$H$41,MATCH(C2182,Customers!$A$2:$A$41,0))</f>
        <v>13906</v>
      </c>
      <c r="M2182" s="16" t="n">
        <f aca="false">J2182*INDEX(Customers!$I$2:$I$41,MATCH(C2182,Customers!$A$2:$A$41,0))/365*Assumptions!$B$6</f>
        <v>913.154242191781</v>
      </c>
      <c r="N2182" s="16" t="n">
        <f aca="false">J2182-K2182-L2182-M2182</f>
        <v>122667.631347808</v>
      </c>
      <c r="O2182" s="16" t="n">
        <f aca="false">F2182*IF(A2182="2025",INDEX(Products!$D$2:$D$13,MATCH(D2182,Products!$A$2:$A$13,0)),INDEX(Products!$F$2:$F$13,MATCH(D2182,Products!$A$2:$A$13,0)))</f>
        <v>101104.8</v>
      </c>
      <c r="P2182" s="16" t="n">
        <f aca="false">N2182-O2182</f>
        <v>21562.8313478082</v>
      </c>
    </row>
    <row r="2183" customFormat="false" ht="15" hidden="false" customHeight="false" outlineLevel="0" collapsed="false">
      <c r="A2183" s="2" t="s">
        <v>119</v>
      </c>
      <c r="B2183" s="2" t="n">
        <v>10</v>
      </c>
      <c r="C2183" s="2" t="s">
        <v>94</v>
      </c>
      <c r="D2183" s="2" t="s">
        <v>36</v>
      </c>
      <c r="E2183" s="2" t="str">
        <f aca="false">INDEX(Products!$B$2:$B$13,MATCH(D2183,Products!$A$2:$A$13,0))</f>
        <v>FCC</v>
      </c>
      <c r="F2183" s="15" t="n">
        <v>41</v>
      </c>
      <c r="G2183" s="16" t="n">
        <f aca="false">IF(A2183="2025",INDEX(Products!$C$2:$C$13,MATCH(D2183,Products!$A$2:$A$13,0)),INDEX(Products!$E$2:$E$13,MATCH(D2183,Products!$A$2:$A$13,0)))</f>
        <v>3885</v>
      </c>
      <c r="H2183" s="13" t="n">
        <f aca="false">IF(A2183="2025",INDEX(Customers!$D$2:$D$41,MATCH(C2183,Customers!$A$2:$A$41,0)),INDEX(Customers!$F$2:$F$41,MATCH(C2183,Customers!$A$2:$A$41,0)))</f>
        <v>0.126</v>
      </c>
      <c r="I2183" s="16" t="n">
        <f aca="false">F2183*G2183</f>
        <v>159285</v>
      </c>
      <c r="J2183" s="16" t="n">
        <f aca="false">I2183*(1-H2183)</f>
        <v>139215.09</v>
      </c>
      <c r="K2183" s="16" t="n">
        <f aca="false">J2183*INDEX(Customers!$G$2:$G$41,MATCH(C2183,Customers!$A$2:$A$41,0))</f>
        <v>1392.1509</v>
      </c>
      <c r="L2183" s="16" t="n">
        <f aca="false">F2183*INDEX(Customers!$H$2:$H$41,MATCH(C2183,Customers!$A$2:$A$41,0))</f>
        <v>13940</v>
      </c>
      <c r="M2183" s="16" t="n">
        <f aca="false">J2183*INDEX(Customers!$I$2:$I$41,MATCH(C2183,Customers!$A$2:$A$41,0))/365*Assumptions!$B$6</f>
        <v>915.386893150685</v>
      </c>
      <c r="N2183" s="16" t="n">
        <f aca="false">J2183-K2183-L2183-M2183</f>
        <v>122967.552206849</v>
      </c>
      <c r="O2183" s="16" t="n">
        <f aca="false">F2183*IF(A2183="2025",INDEX(Products!$D$2:$D$13,MATCH(D2183,Products!$A$2:$A$13,0)),INDEX(Products!$F$2:$F$13,MATCH(D2183,Products!$A$2:$A$13,0)))</f>
        <v>101352</v>
      </c>
      <c r="P2183" s="16" t="n">
        <f aca="false">N2183-O2183</f>
        <v>21615.5522068493</v>
      </c>
    </row>
    <row r="2184" customFormat="false" ht="15" hidden="false" customHeight="false" outlineLevel="0" collapsed="false">
      <c r="A2184" s="2" t="s">
        <v>119</v>
      </c>
      <c r="B2184" s="2" t="n">
        <v>11</v>
      </c>
      <c r="C2184" s="2" t="s">
        <v>94</v>
      </c>
      <c r="D2184" s="2" t="s">
        <v>36</v>
      </c>
      <c r="E2184" s="2" t="str">
        <f aca="false">INDEX(Products!$B$2:$B$13,MATCH(D2184,Products!$A$2:$A$13,0))</f>
        <v>FCC</v>
      </c>
      <c r="F2184" s="15" t="n">
        <v>42.9</v>
      </c>
      <c r="G2184" s="16" t="n">
        <f aca="false">IF(A2184="2025",INDEX(Products!$C$2:$C$13,MATCH(D2184,Products!$A$2:$A$13,0)),INDEX(Products!$E$2:$E$13,MATCH(D2184,Products!$A$2:$A$13,0)))</f>
        <v>3885</v>
      </c>
      <c r="H2184" s="13" t="n">
        <f aca="false">IF(A2184="2025",INDEX(Customers!$D$2:$D$41,MATCH(C2184,Customers!$A$2:$A$41,0)),INDEX(Customers!$F$2:$F$41,MATCH(C2184,Customers!$A$2:$A$41,0)))</f>
        <v>0.126</v>
      </c>
      <c r="I2184" s="16" t="n">
        <f aca="false">F2184*G2184</f>
        <v>166666.5</v>
      </c>
      <c r="J2184" s="16" t="n">
        <f aca="false">I2184*(1-H2184)</f>
        <v>145666.521</v>
      </c>
      <c r="K2184" s="16" t="n">
        <f aca="false">J2184*INDEX(Customers!$G$2:$G$41,MATCH(C2184,Customers!$A$2:$A$41,0))</f>
        <v>1456.66521</v>
      </c>
      <c r="L2184" s="16" t="n">
        <f aca="false">F2184*INDEX(Customers!$H$2:$H$41,MATCH(C2184,Customers!$A$2:$A$41,0))</f>
        <v>14586</v>
      </c>
      <c r="M2184" s="16" t="n">
        <f aca="false">J2184*INDEX(Customers!$I$2:$I$41,MATCH(C2184,Customers!$A$2:$A$41,0))/365*Assumptions!$B$6</f>
        <v>957.807261369863</v>
      </c>
      <c r="N2184" s="16" t="n">
        <f aca="false">J2184-K2184-L2184-M2184</f>
        <v>128666.04852863</v>
      </c>
      <c r="O2184" s="16" t="n">
        <f aca="false">F2184*IF(A2184="2025",INDEX(Products!$D$2:$D$13,MATCH(D2184,Products!$A$2:$A$13,0)),INDEX(Products!$F$2:$F$13,MATCH(D2184,Products!$A$2:$A$13,0)))</f>
        <v>106048.8</v>
      </c>
      <c r="P2184" s="16" t="n">
        <f aca="false">N2184-O2184</f>
        <v>22617.2485286301</v>
      </c>
    </row>
    <row r="2185" customFormat="false" ht="15" hidden="false" customHeight="false" outlineLevel="0" collapsed="false">
      <c r="A2185" s="2" t="s">
        <v>119</v>
      </c>
      <c r="B2185" s="2" t="n">
        <v>12</v>
      </c>
      <c r="C2185" s="2" t="s">
        <v>94</v>
      </c>
      <c r="D2185" s="2" t="s">
        <v>36</v>
      </c>
      <c r="E2185" s="2" t="str">
        <f aca="false">INDEX(Products!$B$2:$B$13,MATCH(D2185,Products!$A$2:$A$13,0))</f>
        <v>FCC</v>
      </c>
      <c r="F2185" s="15" t="n">
        <v>52.7</v>
      </c>
      <c r="G2185" s="16" t="n">
        <f aca="false">IF(A2185="2025",INDEX(Products!$C$2:$C$13,MATCH(D2185,Products!$A$2:$A$13,0)),INDEX(Products!$E$2:$E$13,MATCH(D2185,Products!$A$2:$A$13,0)))</f>
        <v>3885</v>
      </c>
      <c r="H2185" s="13" t="n">
        <f aca="false">IF(A2185="2025",INDEX(Customers!$D$2:$D$41,MATCH(C2185,Customers!$A$2:$A$41,0)),INDEX(Customers!$F$2:$F$41,MATCH(C2185,Customers!$A$2:$A$41,0)))</f>
        <v>0.126</v>
      </c>
      <c r="I2185" s="16" t="n">
        <f aca="false">F2185*G2185</f>
        <v>204739.5</v>
      </c>
      <c r="J2185" s="16" t="n">
        <f aca="false">I2185*(1-H2185)</f>
        <v>178942.323</v>
      </c>
      <c r="K2185" s="16" t="n">
        <f aca="false">J2185*INDEX(Customers!$G$2:$G$41,MATCH(C2185,Customers!$A$2:$A$41,0))</f>
        <v>1789.42323</v>
      </c>
      <c r="L2185" s="16" t="n">
        <f aca="false">F2185*INDEX(Customers!$H$2:$H$41,MATCH(C2185,Customers!$A$2:$A$41,0))</f>
        <v>17918</v>
      </c>
      <c r="M2185" s="16" t="n">
        <f aca="false">J2185*INDEX(Customers!$I$2:$I$41,MATCH(C2185,Customers!$A$2:$A$41,0))/365*Assumptions!$B$6</f>
        <v>1176.60705534247</v>
      </c>
      <c r="N2185" s="16" t="n">
        <f aca="false">J2185-K2185-L2185-M2185</f>
        <v>158058.292714658</v>
      </c>
      <c r="O2185" s="16" t="n">
        <f aca="false">F2185*IF(A2185="2025",INDEX(Products!$D$2:$D$13,MATCH(D2185,Products!$A$2:$A$13,0)),INDEX(Products!$F$2:$F$13,MATCH(D2185,Products!$A$2:$A$13,0)))</f>
        <v>130274.4</v>
      </c>
      <c r="P2185" s="16" t="n">
        <f aca="false">N2185-O2185</f>
        <v>27783.8927146575</v>
      </c>
    </row>
    <row r="2186" customFormat="false" ht="15" hidden="false" customHeight="false" outlineLevel="0" collapsed="false">
      <c r="A2186" s="2" t="s">
        <v>118</v>
      </c>
      <c r="B2186" s="2" t="n">
        <v>1</v>
      </c>
      <c r="C2186" s="2" t="s">
        <v>95</v>
      </c>
      <c r="D2186" s="2" t="s">
        <v>34</v>
      </c>
      <c r="E2186" s="2" t="str">
        <f aca="false">INDEX(Products!$B$2:$B$13,MATCH(D2186,Products!$A$2:$A$13,0))</f>
        <v>FCC</v>
      </c>
      <c r="F2186" s="15" t="n">
        <v>8.5</v>
      </c>
      <c r="G2186" s="16" t="n">
        <f aca="false">IF(A2186="2025",INDEX(Products!$C$2:$C$13,MATCH(D2186,Products!$A$2:$A$13,0)),INDEX(Products!$E$2:$E$13,MATCH(D2186,Products!$A$2:$A$13,0)))</f>
        <v>3270</v>
      </c>
      <c r="H2186" s="13" t="n">
        <f aca="false">IF(A2186="2025",INDEX(Customers!$D$2:$D$41,MATCH(C2186,Customers!$A$2:$A$41,0)),INDEX(Customers!$F$2:$F$41,MATCH(C2186,Customers!$A$2:$A$41,0)))</f>
        <v>0.057</v>
      </c>
      <c r="I2186" s="16" t="n">
        <f aca="false">F2186*G2186</f>
        <v>27795</v>
      </c>
      <c r="J2186" s="16" t="n">
        <f aca="false">I2186*(1-H2186)</f>
        <v>26210.685</v>
      </c>
      <c r="K2186" s="16" t="n">
        <f aca="false">J2186*INDEX(Customers!$G$2:$G$41,MATCH(C2186,Customers!$A$2:$A$41,0))</f>
        <v>1310.53425</v>
      </c>
      <c r="L2186" s="16" t="n">
        <f aca="false">F2186*INDEX(Customers!$H$2:$H$41,MATCH(C2186,Customers!$A$2:$A$41,0))</f>
        <v>2210</v>
      </c>
      <c r="M2186" s="16" t="n">
        <f aca="false">J2186*INDEX(Customers!$I$2:$I$41,MATCH(C2186,Customers!$A$2:$A$41,0))/365*Assumptions!$B$6</f>
        <v>344.688460273973</v>
      </c>
      <c r="N2186" s="16" t="n">
        <f aca="false">J2186-K2186-L2186-M2186</f>
        <v>22345.462289726</v>
      </c>
      <c r="O2186" s="16" t="n">
        <f aca="false">F2186*IF(A2186="2025",INDEX(Products!$D$2:$D$13,MATCH(D2186,Products!$A$2:$A$13,0)),INDEX(Products!$F$2:$F$13,MATCH(D2186,Products!$A$2:$A$13,0)))</f>
        <v>18615</v>
      </c>
      <c r="P2186" s="16" t="n">
        <f aca="false">N2186-O2186</f>
        <v>3730.46228972602</v>
      </c>
    </row>
    <row r="2187" customFormat="false" ht="15" hidden="false" customHeight="false" outlineLevel="0" collapsed="false">
      <c r="A2187" s="2" t="s">
        <v>118</v>
      </c>
      <c r="B2187" s="2" t="n">
        <v>2</v>
      </c>
      <c r="C2187" s="2" t="s">
        <v>95</v>
      </c>
      <c r="D2187" s="2" t="s">
        <v>34</v>
      </c>
      <c r="E2187" s="2" t="str">
        <f aca="false">INDEX(Products!$B$2:$B$13,MATCH(D2187,Products!$A$2:$A$13,0))</f>
        <v>FCC</v>
      </c>
      <c r="F2187" s="15" t="n">
        <v>6.8</v>
      </c>
      <c r="G2187" s="16" t="n">
        <f aca="false">IF(A2187="2025",INDEX(Products!$C$2:$C$13,MATCH(D2187,Products!$A$2:$A$13,0)),INDEX(Products!$E$2:$E$13,MATCH(D2187,Products!$A$2:$A$13,0)))</f>
        <v>3270</v>
      </c>
      <c r="H2187" s="13" t="n">
        <f aca="false">IF(A2187="2025",INDEX(Customers!$D$2:$D$41,MATCH(C2187,Customers!$A$2:$A$41,0)),INDEX(Customers!$F$2:$F$41,MATCH(C2187,Customers!$A$2:$A$41,0)))</f>
        <v>0.057</v>
      </c>
      <c r="I2187" s="16" t="n">
        <f aca="false">F2187*G2187</f>
        <v>22236</v>
      </c>
      <c r="J2187" s="16" t="n">
        <f aca="false">I2187*(1-H2187)</f>
        <v>20968.548</v>
      </c>
      <c r="K2187" s="16" t="n">
        <f aca="false">J2187*INDEX(Customers!$G$2:$G$41,MATCH(C2187,Customers!$A$2:$A$41,0))</f>
        <v>1048.4274</v>
      </c>
      <c r="L2187" s="16" t="n">
        <f aca="false">F2187*INDEX(Customers!$H$2:$H$41,MATCH(C2187,Customers!$A$2:$A$41,0))</f>
        <v>1768</v>
      </c>
      <c r="M2187" s="16" t="n">
        <f aca="false">J2187*INDEX(Customers!$I$2:$I$41,MATCH(C2187,Customers!$A$2:$A$41,0))/365*Assumptions!$B$6</f>
        <v>275.750768219178</v>
      </c>
      <c r="N2187" s="16" t="n">
        <f aca="false">J2187-K2187-L2187-M2187</f>
        <v>17876.3698317808</v>
      </c>
      <c r="O2187" s="16" t="n">
        <f aca="false">F2187*IF(A2187="2025",INDEX(Products!$D$2:$D$13,MATCH(D2187,Products!$A$2:$A$13,0)),INDEX(Products!$F$2:$F$13,MATCH(D2187,Products!$A$2:$A$13,0)))</f>
        <v>14892</v>
      </c>
      <c r="P2187" s="16" t="n">
        <f aca="false">N2187-O2187</f>
        <v>2984.36983178082</v>
      </c>
    </row>
    <row r="2188" customFormat="false" ht="15" hidden="false" customHeight="false" outlineLevel="0" collapsed="false">
      <c r="A2188" s="2" t="s">
        <v>118</v>
      </c>
      <c r="B2188" s="2" t="n">
        <v>3</v>
      </c>
      <c r="C2188" s="2" t="s">
        <v>95</v>
      </c>
      <c r="D2188" s="2" t="s">
        <v>34</v>
      </c>
      <c r="E2188" s="2" t="str">
        <f aca="false">INDEX(Products!$B$2:$B$13,MATCH(D2188,Products!$A$2:$A$13,0))</f>
        <v>FCC</v>
      </c>
      <c r="F2188" s="15" t="n">
        <v>5.8</v>
      </c>
      <c r="G2188" s="16" t="n">
        <f aca="false">IF(A2188="2025",INDEX(Products!$C$2:$C$13,MATCH(D2188,Products!$A$2:$A$13,0)),INDEX(Products!$E$2:$E$13,MATCH(D2188,Products!$A$2:$A$13,0)))</f>
        <v>3270</v>
      </c>
      <c r="H2188" s="13" t="n">
        <f aca="false">IF(A2188="2025",INDEX(Customers!$D$2:$D$41,MATCH(C2188,Customers!$A$2:$A$41,0)),INDEX(Customers!$F$2:$F$41,MATCH(C2188,Customers!$A$2:$A$41,0)))</f>
        <v>0.057</v>
      </c>
      <c r="I2188" s="16" t="n">
        <f aca="false">F2188*G2188</f>
        <v>18966</v>
      </c>
      <c r="J2188" s="16" t="n">
        <f aca="false">I2188*(1-H2188)</f>
        <v>17884.938</v>
      </c>
      <c r="K2188" s="16" t="n">
        <f aca="false">J2188*INDEX(Customers!$G$2:$G$41,MATCH(C2188,Customers!$A$2:$A$41,0))</f>
        <v>894.2469</v>
      </c>
      <c r="L2188" s="16" t="n">
        <f aca="false">F2188*INDEX(Customers!$H$2:$H$41,MATCH(C2188,Customers!$A$2:$A$41,0))</f>
        <v>1508</v>
      </c>
      <c r="M2188" s="16" t="n">
        <f aca="false">J2188*INDEX(Customers!$I$2:$I$41,MATCH(C2188,Customers!$A$2:$A$41,0))/365*Assumptions!$B$6</f>
        <v>235.199184657534</v>
      </c>
      <c r="N2188" s="16" t="n">
        <f aca="false">J2188-K2188-L2188-M2188</f>
        <v>15247.4919153425</v>
      </c>
      <c r="O2188" s="16" t="n">
        <f aca="false">F2188*IF(A2188="2025",INDEX(Products!$D$2:$D$13,MATCH(D2188,Products!$A$2:$A$13,0)),INDEX(Products!$F$2:$F$13,MATCH(D2188,Products!$A$2:$A$13,0)))</f>
        <v>12702</v>
      </c>
      <c r="P2188" s="16" t="n">
        <f aca="false">N2188-O2188</f>
        <v>2545.49191534247</v>
      </c>
    </row>
    <row r="2189" customFormat="false" ht="15" hidden="false" customHeight="false" outlineLevel="0" collapsed="false">
      <c r="A2189" s="2" t="s">
        <v>118</v>
      </c>
      <c r="B2189" s="2" t="n">
        <v>4</v>
      </c>
      <c r="C2189" s="2" t="s">
        <v>95</v>
      </c>
      <c r="D2189" s="2" t="s">
        <v>34</v>
      </c>
      <c r="E2189" s="2" t="str">
        <f aca="false">INDEX(Products!$B$2:$B$13,MATCH(D2189,Products!$A$2:$A$13,0))</f>
        <v>FCC</v>
      </c>
      <c r="F2189" s="15" t="n">
        <v>7.1</v>
      </c>
      <c r="G2189" s="16" t="n">
        <f aca="false">IF(A2189="2025",INDEX(Products!$C$2:$C$13,MATCH(D2189,Products!$A$2:$A$13,0)),INDEX(Products!$E$2:$E$13,MATCH(D2189,Products!$A$2:$A$13,0)))</f>
        <v>3270</v>
      </c>
      <c r="H2189" s="13" t="n">
        <f aca="false">IF(A2189="2025",INDEX(Customers!$D$2:$D$41,MATCH(C2189,Customers!$A$2:$A$41,0)),INDEX(Customers!$F$2:$F$41,MATCH(C2189,Customers!$A$2:$A$41,0)))</f>
        <v>0.057</v>
      </c>
      <c r="I2189" s="16" t="n">
        <f aca="false">F2189*G2189</f>
        <v>23217</v>
      </c>
      <c r="J2189" s="16" t="n">
        <f aca="false">I2189*(1-H2189)</f>
        <v>21893.631</v>
      </c>
      <c r="K2189" s="16" t="n">
        <f aca="false">J2189*INDEX(Customers!$G$2:$G$41,MATCH(C2189,Customers!$A$2:$A$41,0))</f>
        <v>1094.68155</v>
      </c>
      <c r="L2189" s="16" t="n">
        <f aca="false">F2189*INDEX(Customers!$H$2:$H$41,MATCH(C2189,Customers!$A$2:$A$41,0))</f>
        <v>1846</v>
      </c>
      <c r="M2189" s="16" t="n">
        <f aca="false">J2189*INDEX(Customers!$I$2:$I$41,MATCH(C2189,Customers!$A$2:$A$41,0))/365*Assumptions!$B$6</f>
        <v>287.916243287671</v>
      </c>
      <c r="N2189" s="16" t="n">
        <f aca="false">J2189-K2189-L2189-M2189</f>
        <v>18665.0332067123</v>
      </c>
      <c r="O2189" s="16" t="n">
        <f aca="false">F2189*IF(A2189="2025",INDEX(Products!$D$2:$D$13,MATCH(D2189,Products!$A$2:$A$13,0)),INDEX(Products!$F$2:$F$13,MATCH(D2189,Products!$A$2:$A$13,0)))</f>
        <v>15549</v>
      </c>
      <c r="P2189" s="16" t="n">
        <f aca="false">N2189-O2189</f>
        <v>3116.03320671232</v>
      </c>
    </row>
    <row r="2190" customFormat="false" ht="15" hidden="false" customHeight="false" outlineLevel="0" collapsed="false">
      <c r="A2190" s="2" t="s">
        <v>118</v>
      </c>
      <c r="B2190" s="2" t="n">
        <v>5</v>
      </c>
      <c r="C2190" s="2" t="s">
        <v>95</v>
      </c>
      <c r="D2190" s="2" t="s">
        <v>34</v>
      </c>
      <c r="E2190" s="2" t="str">
        <f aca="false">INDEX(Products!$B$2:$B$13,MATCH(D2190,Products!$A$2:$A$13,0))</f>
        <v>FCC</v>
      </c>
      <c r="F2190" s="15" t="n">
        <v>7.2</v>
      </c>
      <c r="G2190" s="16" t="n">
        <f aca="false">IF(A2190="2025",INDEX(Products!$C$2:$C$13,MATCH(D2190,Products!$A$2:$A$13,0)),INDEX(Products!$E$2:$E$13,MATCH(D2190,Products!$A$2:$A$13,0)))</f>
        <v>3270</v>
      </c>
      <c r="H2190" s="13" t="n">
        <f aca="false">IF(A2190="2025",INDEX(Customers!$D$2:$D$41,MATCH(C2190,Customers!$A$2:$A$41,0)),INDEX(Customers!$F$2:$F$41,MATCH(C2190,Customers!$A$2:$A$41,0)))</f>
        <v>0.057</v>
      </c>
      <c r="I2190" s="16" t="n">
        <f aca="false">F2190*G2190</f>
        <v>23544</v>
      </c>
      <c r="J2190" s="16" t="n">
        <f aca="false">I2190*(1-H2190)</f>
        <v>22201.992</v>
      </c>
      <c r="K2190" s="16" t="n">
        <f aca="false">J2190*INDEX(Customers!$G$2:$G$41,MATCH(C2190,Customers!$A$2:$A$41,0))</f>
        <v>1110.0996</v>
      </c>
      <c r="L2190" s="16" t="n">
        <f aca="false">F2190*INDEX(Customers!$H$2:$H$41,MATCH(C2190,Customers!$A$2:$A$41,0))</f>
        <v>1872</v>
      </c>
      <c r="M2190" s="16" t="n">
        <f aca="false">J2190*INDEX(Customers!$I$2:$I$41,MATCH(C2190,Customers!$A$2:$A$41,0))/365*Assumptions!$B$6</f>
        <v>291.971401643836</v>
      </c>
      <c r="N2190" s="16" t="n">
        <f aca="false">J2190-K2190-L2190-M2190</f>
        <v>18927.9209983562</v>
      </c>
      <c r="O2190" s="16" t="n">
        <f aca="false">F2190*IF(A2190="2025",INDEX(Products!$D$2:$D$13,MATCH(D2190,Products!$A$2:$A$13,0)),INDEX(Products!$F$2:$F$13,MATCH(D2190,Products!$A$2:$A$13,0)))</f>
        <v>15768</v>
      </c>
      <c r="P2190" s="16" t="n">
        <f aca="false">N2190-O2190</f>
        <v>3159.92099835616</v>
      </c>
    </row>
    <row r="2191" customFormat="false" ht="15" hidden="false" customHeight="false" outlineLevel="0" collapsed="false">
      <c r="A2191" s="2" t="s">
        <v>118</v>
      </c>
      <c r="B2191" s="2" t="n">
        <v>6</v>
      </c>
      <c r="C2191" s="2" t="s">
        <v>95</v>
      </c>
      <c r="D2191" s="2" t="s">
        <v>34</v>
      </c>
      <c r="E2191" s="2" t="str">
        <f aca="false">INDEX(Products!$B$2:$B$13,MATCH(D2191,Products!$A$2:$A$13,0))</f>
        <v>FCC</v>
      </c>
      <c r="F2191" s="15" t="n">
        <v>7.5</v>
      </c>
      <c r="G2191" s="16" t="n">
        <f aca="false">IF(A2191="2025",INDEX(Products!$C$2:$C$13,MATCH(D2191,Products!$A$2:$A$13,0)),INDEX(Products!$E$2:$E$13,MATCH(D2191,Products!$A$2:$A$13,0)))</f>
        <v>3270</v>
      </c>
      <c r="H2191" s="13" t="n">
        <f aca="false">IF(A2191="2025",INDEX(Customers!$D$2:$D$41,MATCH(C2191,Customers!$A$2:$A$41,0)),INDEX(Customers!$F$2:$F$41,MATCH(C2191,Customers!$A$2:$A$41,0)))</f>
        <v>0.057</v>
      </c>
      <c r="I2191" s="16" t="n">
        <f aca="false">F2191*G2191</f>
        <v>24525</v>
      </c>
      <c r="J2191" s="16" t="n">
        <f aca="false">I2191*(1-H2191)</f>
        <v>23127.075</v>
      </c>
      <c r="K2191" s="16" t="n">
        <f aca="false">J2191*INDEX(Customers!$G$2:$G$41,MATCH(C2191,Customers!$A$2:$A$41,0))</f>
        <v>1156.35375</v>
      </c>
      <c r="L2191" s="16" t="n">
        <f aca="false">F2191*INDEX(Customers!$H$2:$H$41,MATCH(C2191,Customers!$A$2:$A$41,0))</f>
        <v>1950</v>
      </c>
      <c r="M2191" s="16" t="n">
        <f aca="false">J2191*INDEX(Customers!$I$2:$I$41,MATCH(C2191,Customers!$A$2:$A$41,0))/365*Assumptions!$B$6</f>
        <v>304.136876712329</v>
      </c>
      <c r="N2191" s="16" t="n">
        <f aca="false">J2191-K2191-L2191-M2191</f>
        <v>19716.5843732877</v>
      </c>
      <c r="O2191" s="16" t="n">
        <f aca="false">F2191*IF(A2191="2025",INDEX(Products!$D$2:$D$13,MATCH(D2191,Products!$A$2:$A$13,0)),INDEX(Products!$F$2:$F$13,MATCH(D2191,Products!$A$2:$A$13,0)))</f>
        <v>16425</v>
      </c>
      <c r="P2191" s="16" t="n">
        <f aca="false">N2191-O2191</f>
        <v>3291.58437328767</v>
      </c>
    </row>
    <row r="2192" customFormat="false" ht="15" hidden="false" customHeight="false" outlineLevel="0" collapsed="false">
      <c r="A2192" s="2" t="s">
        <v>118</v>
      </c>
      <c r="B2192" s="2" t="n">
        <v>7</v>
      </c>
      <c r="C2192" s="2" t="s">
        <v>95</v>
      </c>
      <c r="D2192" s="2" t="s">
        <v>34</v>
      </c>
      <c r="E2192" s="2" t="str">
        <f aca="false">INDEX(Products!$B$2:$B$13,MATCH(D2192,Products!$A$2:$A$13,0))</f>
        <v>FCC</v>
      </c>
      <c r="F2192" s="15" t="n">
        <v>6.5</v>
      </c>
      <c r="G2192" s="16" t="n">
        <f aca="false">IF(A2192="2025",INDEX(Products!$C$2:$C$13,MATCH(D2192,Products!$A$2:$A$13,0)),INDEX(Products!$E$2:$E$13,MATCH(D2192,Products!$A$2:$A$13,0)))</f>
        <v>3270</v>
      </c>
      <c r="H2192" s="13" t="n">
        <f aca="false">IF(A2192="2025",INDEX(Customers!$D$2:$D$41,MATCH(C2192,Customers!$A$2:$A$41,0)),INDEX(Customers!$F$2:$F$41,MATCH(C2192,Customers!$A$2:$A$41,0)))</f>
        <v>0.057</v>
      </c>
      <c r="I2192" s="16" t="n">
        <f aca="false">F2192*G2192</f>
        <v>21255</v>
      </c>
      <c r="J2192" s="16" t="n">
        <f aca="false">I2192*(1-H2192)</f>
        <v>20043.465</v>
      </c>
      <c r="K2192" s="16" t="n">
        <f aca="false">J2192*INDEX(Customers!$G$2:$G$41,MATCH(C2192,Customers!$A$2:$A$41,0))</f>
        <v>1002.17325</v>
      </c>
      <c r="L2192" s="16" t="n">
        <f aca="false">F2192*INDEX(Customers!$H$2:$H$41,MATCH(C2192,Customers!$A$2:$A$41,0))</f>
        <v>1690</v>
      </c>
      <c r="M2192" s="16" t="n">
        <f aca="false">J2192*INDEX(Customers!$I$2:$I$41,MATCH(C2192,Customers!$A$2:$A$41,0))/365*Assumptions!$B$6</f>
        <v>263.585293150685</v>
      </c>
      <c r="N2192" s="16" t="n">
        <f aca="false">J2192-K2192-L2192-M2192</f>
        <v>17087.7064568493</v>
      </c>
      <c r="O2192" s="16" t="n">
        <f aca="false">F2192*IF(A2192="2025",INDEX(Products!$D$2:$D$13,MATCH(D2192,Products!$A$2:$A$13,0)),INDEX(Products!$F$2:$F$13,MATCH(D2192,Products!$A$2:$A$13,0)))</f>
        <v>14235</v>
      </c>
      <c r="P2192" s="16" t="n">
        <f aca="false">N2192-O2192</f>
        <v>2852.70645684932</v>
      </c>
    </row>
    <row r="2193" customFormat="false" ht="15" hidden="false" customHeight="false" outlineLevel="0" collapsed="false">
      <c r="A2193" s="2" t="s">
        <v>118</v>
      </c>
      <c r="B2193" s="2" t="n">
        <v>8</v>
      </c>
      <c r="C2193" s="2" t="s">
        <v>95</v>
      </c>
      <c r="D2193" s="2" t="s">
        <v>34</v>
      </c>
      <c r="E2193" s="2" t="str">
        <f aca="false">INDEX(Products!$B$2:$B$13,MATCH(D2193,Products!$A$2:$A$13,0))</f>
        <v>FCC</v>
      </c>
      <c r="F2193" s="15" t="n">
        <v>7</v>
      </c>
      <c r="G2193" s="16" t="n">
        <f aca="false">IF(A2193="2025",INDEX(Products!$C$2:$C$13,MATCH(D2193,Products!$A$2:$A$13,0)),INDEX(Products!$E$2:$E$13,MATCH(D2193,Products!$A$2:$A$13,0)))</f>
        <v>3270</v>
      </c>
      <c r="H2193" s="13" t="n">
        <f aca="false">IF(A2193="2025",INDEX(Customers!$D$2:$D$41,MATCH(C2193,Customers!$A$2:$A$41,0)),INDEX(Customers!$F$2:$F$41,MATCH(C2193,Customers!$A$2:$A$41,0)))</f>
        <v>0.057</v>
      </c>
      <c r="I2193" s="16" t="n">
        <f aca="false">F2193*G2193</f>
        <v>22890</v>
      </c>
      <c r="J2193" s="16" t="n">
        <f aca="false">I2193*(1-H2193)</f>
        <v>21585.27</v>
      </c>
      <c r="K2193" s="16" t="n">
        <f aca="false">J2193*INDEX(Customers!$G$2:$G$41,MATCH(C2193,Customers!$A$2:$A$41,0))</f>
        <v>1079.2635</v>
      </c>
      <c r="L2193" s="16" t="n">
        <f aca="false">F2193*INDEX(Customers!$H$2:$H$41,MATCH(C2193,Customers!$A$2:$A$41,0))</f>
        <v>1820</v>
      </c>
      <c r="M2193" s="16" t="n">
        <f aca="false">J2193*INDEX(Customers!$I$2:$I$41,MATCH(C2193,Customers!$A$2:$A$41,0))/365*Assumptions!$B$6</f>
        <v>283.861084931507</v>
      </c>
      <c r="N2193" s="16" t="n">
        <f aca="false">J2193-K2193-L2193-M2193</f>
        <v>18402.1454150685</v>
      </c>
      <c r="O2193" s="16" t="n">
        <f aca="false">F2193*IF(A2193="2025",INDEX(Products!$D$2:$D$13,MATCH(D2193,Products!$A$2:$A$13,0)),INDEX(Products!$F$2:$F$13,MATCH(D2193,Products!$A$2:$A$13,0)))</f>
        <v>15330</v>
      </c>
      <c r="P2193" s="16" t="n">
        <f aca="false">N2193-O2193</f>
        <v>3072.14541506849</v>
      </c>
    </row>
    <row r="2194" customFormat="false" ht="15" hidden="false" customHeight="false" outlineLevel="0" collapsed="false">
      <c r="A2194" s="2" t="s">
        <v>118</v>
      </c>
      <c r="B2194" s="2" t="n">
        <v>9</v>
      </c>
      <c r="C2194" s="2" t="s">
        <v>95</v>
      </c>
      <c r="D2194" s="2" t="s">
        <v>34</v>
      </c>
      <c r="E2194" s="2" t="str">
        <f aca="false">INDEX(Products!$B$2:$B$13,MATCH(D2194,Products!$A$2:$A$13,0))</f>
        <v>FCC</v>
      </c>
      <c r="F2194" s="15" t="n">
        <v>6.8</v>
      </c>
      <c r="G2194" s="16" t="n">
        <f aca="false">IF(A2194="2025",INDEX(Products!$C$2:$C$13,MATCH(D2194,Products!$A$2:$A$13,0)),INDEX(Products!$E$2:$E$13,MATCH(D2194,Products!$A$2:$A$13,0)))</f>
        <v>3270</v>
      </c>
      <c r="H2194" s="13" t="n">
        <f aca="false">IF(A2194="2025",INDEX(Customers!$D$2:$D$41,MATCH(C2194,Customers!$A$2:$A$41,0)),INDEX(Customers!$F$2:$F$41,MATCH(C2194,Customers!$A$2:$A$41,0)))</f>
        <v>0.057</v>
      </c>
      <c r="I2194" s="16" t="n">
        <f aca="false">F2194*G2194</f>
        <v>22236</v>
      </c>
      <c r="J2194" s="16" t="n">
        <f aca="false">I2194*(1-H2194)</f>
        <v>20968.548</v>
      </c>
      <c r="K2194" s="16" t="n">
        <f aca="false">J2194*INDEX(Customers!$G$2:$G$41,MATCH(C2194,Customers!$A$2:$A$41,0))</f>
        <v>1048.4274</v>
      </c>
      <c r="L2194" s="16" t="n">
        <f aca="false">F2194*INDEX(Customers!$H$2:$H$41,MATCH(C2194,Customers!$A$2:$A$41,0))</f>
        <v>1768</v>
      </c>
      <c r="M2194" s="16" t="n">
        <f aca="false">J2194*INDEX(Customers!$I$2:$I$41,MATCH(C2194,Customers!$A$2:$A$41,0))/365*Assumptions!$B$6</f>
        <v>275.750768219178</v>
      </c>
      <c r="N2194" s="16" t="n">
        <f aca="false">J2194-K2194-L2194-M2194</f>
        <v>17876.3698317808</v>
      </c>
      <c r="O2194" s="16" t="n">
        <f aca="false">F2194*IF(A2194="2025",INDEX(Products!$D$2:$D$13,MATCH(D2194,Products!$A$2:$A$13,0)),INDEX(Products!$F$2:$F$13,MATCH(D2194,Products!$A$2:$A$13,0)))</f>
        <v>14892</v>
      </c>
      <c r="P2194" s="16" t="n">
        <f aca="false">N2194-O2194</f>
        <v>2984.36983178082</v>
      </c>
    </row>
    <row r="2195" customFormat="false" ht="15" hidden="false" customHeight="false" outlineLevel="0" collapsed="false">
      <c r="A2195" s="2" t="s">
        <v>118</v>
      </c>
      <c r="B2195" s="2" t="n">
        <v>10</v>
      </c>
      <c r="C2195" s="2" t="s">
        <v>95</v>
      </c>
      <c r="D2195" s="2" t="s">
        <v>34</v>
      </c>
      <c r="E2195" s="2" t="str">
        <f aca="false">INDEX(Products!$B$2:$B$13,MATCH(D2195,Products!$A$2:$A$13,0))</f>
        <v>FCC</v>
      </c>
      <c r="F2195" s="15" t="n">
        <v>6</v>
      </c>
      <c r="G2195" s="16" t="n">
        <f aca="false">IF(A2195="2025",INDEX(Products!$C$2:$C$13,MATCH(D2195,Products!$A$2:$A$13,0)),INDEX(Products!$E$2:$E$13,MATCH(D2195,Products!$A$2:$A$13,0)))</f>
        <v>3270</v>
      </c>
      <c r="H2195" s="13" t="n">
        <f aca="false">IF(A2195="2025",INDEX(Customers!$D$2:$D$41,MATCH(C2195,Customers!$A$2:$A$41,0)),INDEX(Customers!$F$2:$F$41,MATCH(C2195,Customers!$A$2:$A$41,0)))</f>
        <v>0.057</v>
      </c>
      <c r="I2195" s="16" t="n">
        <f aca="false">F2195*G2195</f>
        <v>19620</v>
      </c>
      <c r="J2195" s="16" t="n">
        <f aca="false">I2195*(1-H2195)</f>
        <v>18501.66</v>
      </c>
      <c r="K2195" s="16" t="n">
        <f aca="false">J2195*INDEX(Customers!$G$2:$G$41,MATCH(C2195,Customers!$A$2:$A$41,0))</f>
        <v>925.083</v>
      </c>
      <c r="L2195" s="16" t="n">
        <f aca="false">F2195*INDEX(Customers!$H$2:$H$41,MATCH(C2195,Customers!$A$2:$A$41,0))</f>
        <v>1560</v>
      </c>
      <c r="M2195" s="16" t="n">
        <f aca="false">J2195*INDEX(Customers!$I$2:$I$41,MATCH(C2195,Customers!$A$2:$A$41,0))/365*Assumptions!$B$6</f>
        <v>243.309501369863</v>
      </c>
      <c r="N2195" s="16" t="n">
        <f aca="false">J2195-K2195-L2195-M2195</f>
        <v>15773.2674986301</v>
      </c>
      <c r="O2195" s="16" t="n">
        <f aca="false">F2195*IF(A2195="2025",INDEX(Products!$D$2:$D$13,MATCH(D2195,Products!$A$2:$A$13,0)),INDEX(Products!$F$2:$F$13,MATCH(D2195,Products!$A$2:$A$13,0)))</f>
        <v>13140</v>
      </c>
      <c r="P2195" s="16" t="n">
        <f aca="false">N2195-O2195</f>
        <v>2633.26749863014</v>
      </c>
    </row>
    <row r="2196" customFormat="false" ht="15" hidden="false" customHeight="false" outlineLevel="0" collapsed="false">
      <c r="A2196" s="2" t="s">
        <v>118</v>
      </c>
      <c r="B2196" s="2" t="n">
        <v>11</v>
      </c>
      <c r="C2196" s="2" t="s">
        <v>95</v>
      </c>
      <c r="D2196" s="2" t="s">
        <v>34</v>
      </c>
      <c r="E2196" s="2" t="str">
        <f aca="false">INDEX(Products!$B$2:$B$13,MATCH(D2196,Products!$A$2:$A$13,0))</f>
        <v>FCC</v>
      </c>
      <c r="F2196" s="15" t="n">
        <v>6.8</v>
      </c>
      <c r="G2196" s="16" t="n">
        <f aca="false">IF(A2196="2025",INDEX(Products!$C$2:$C$13,MATCH(D2196,Products!$A$2:$A$13,0)),INDEX(Products!$E$2:$E$13,MATCH(D2196,Products!$A$2:$A$13,0)))</f>
        <v>3270</v>
      </c>
      <c r="H2196" s="13" t="n">
        <f aca="false">IF(A2196="2025",INDEX(Customers!$D$2:$D$41,MATCH(C2196,Customers!$A$2:$A$41,0)),INDEX(Customers!$F$2:$F$41,MATCH(C2196,Customers!$A$2:$A$41,0)))</f>
        <v>0.057</v>
      </c>
      <c r="I2196" s="16" t="n">
        <f aca="false">F2196*G2196</f>
        <v>22236</v>
      </c>
      <c r="J2196" s="16" t="n">
        <f aca="false">I2196*(1-H2196)</f>
        <v>20968.548</v>
      </c>
      <c r="K2196" s="16" t="n">
        <f aca="false">J2196*INDEX(Customers!$G$2:$G$41,MATCH(C2196,Customers!$A$2:$A$41,0))</f>
        <v>1048.4274</v>
      </c>
      <c r="L2196" s="16" t="n">
        <f aca="false">F2196*INDEX(Customers!$H$2:$H$41,MATCH(C2196,Customers!$A$2:$A$41,0))</f>
        <v>1768</v>
      </c>
      <c r="M2196" s="16" t="n">
        <f aca="false">J2196*INDEX(Customers!$I$2:$I$41,MATCH(C2196,Customers!$A$2:$A$41,0))/365*Assumptions!$B$6</f>
        <v>275.750768219178</v>
      </c>
      <c r="N2196" s="16" t="n">
        <f aca="false">J2196-K2196-L2196-M2196</f>
        <v>17876.3698317808</v>
      </c>
      <c r="O2196" s="16" t="n">
        <f aca="false">F2196*IF(A2196="2025",INDEX(Products!$D$2:$D$13,MATCH(D2196,Products!$A$2:$A$13,0)),INDEX(Products!$F$2:$F$13,MATCH(D2196,Products!$A$2:$A$13,0)))</f>
        <v>14892</v>
      </c>
      <c r="P2196" s="16" t="n">
        <f aca="false">N2196-O2196</f>
        <v>2984.36983178082</v>
      </c>
    </row>
    <row r="2197" customFormat="false" ht="15" hidden="false" customHeight="false" outlineLevel="0" collapsed="false">
      <c r="A2197" s="2" t="s">
        <v>118</v>
      </c>
      <c r="B2197" s="2" t="n">
        <v>12</v>
      </c>
      <c r="C2197" s="2" t="s">
        <v>95</v>
      </c>
      <c r="D2197" s="2" t="s">
        <v>34</v>
      </c>
      <c r="E2197" s="2" t="str">
        <f aca="false">INDEX(Products!$B$2:$B$13,MATCH(D2197,Products!$A$2:$A$13,0))</f>
        <v>FCC</v>
      </c>
      <c r="F2197" s="15" t="n">
        <v>8.1</v>
      </c>
      <c r="G2197" s="16" t="n">
        <f aca="false">IF(A2197="2025",INDEX(Products!$C$2:$C$13,MATCH(D2197,Products!$A$2:$A$13,0)),INDEX(Products!$E$2:$E$13,MATCH(D2197,Products!$A$2:$A$13,0)))</f>
        <v>3270</v>
      </c>
      <c r="H2197" s="13" t="n">
        <f aca="false">IF(A2197="2025",INDEX(Customers!$D$2:$D$41,MATCH(C2197,Customers!$A$2:$A$41,0)),INDEX(Customers!$F$2:$F$41,MATCH(C2197,Customers!$A$2:$A$41,0)))</f>
        <v>0.057</v>
      </c>
      <c r="I2197" s="16" t="n">
        <f aca="false">F2197*G2197</f>
        <v>26487</v>
      </c>
      <c r="J2197" s="16" t="n">
        <f aca="false">I2197*(1-H2197)</f>
        <v>24977.241</v>
      </c>
      <c r="K2197" s="16" t="n">
        <f aca="false">J2197*INDEX(Customers!$G$2:$G$41,MATCH(C2197,Customers!$A$2:$A$41,0))</f>
        <v>1248.86205</v>
      </c>
      <c r="L2197" s="16" t="n">
        <f aca="false">F2197*INDEX(Customers!$H$2:$H$41,MATCH(C2197,Customers!$A$2:$A$41,0))</f>
        <v>2106</v>
      </c>
      <c r="M2197" s="16" t="n">
        <f aca="false">J2197*INDEX(Customers!$I$2:$I$41,MATCH(C2197,Customers!$A$2:$A$41,0))/365*Assumptions!$B$6</f>
        <v>328.467826849315</v>
      </c>
      <c r="N2197" s="16" t="n">
        <f aca="false">J2197-K2197-L2197-M2197</f>
        <v>21293.9111231507</v>
      </c>
      <c r="O2197" s="16" t="n">
        <f aca="false">F2197*IF(A2197="2025",INDEX(Products!$D$2:$D$13,MATCH(D2197,Products!$A$2:$A$13,0)),INDEX(Products!$F$2:$F$13,MATCH(D2197,Products!$A$2:$A$13,0)))</f>
        <v>17739</v>
      </c>
      <c r="P2197" s="16" t="n">
        <f aca="false">N2197-O2197</f>
        <v>3554.91112315068</v>
      </c>
    </row>
    <row r="2198" customFormat="false" ht="15" hidden="false" customHeight="false" outlineLevel="0" collapsed="false">
      <c r="A2198" s="2" t="s">
        <v>119</v>
      </c>
      <c r="B2198" s="2" t="n">
        <v>1</v>
      </c>
      <c r="C2198" s="2" t="s">
        <v>95</v>
      </c>
      <c r="D2198" s="2" t="s">
        <v>34</v>
      </c>
      <c r="E2198" s="2" t="str">
        <f aca="false">INDEX(Products!$B$2:$B$13,MATCH(D2198,Products!$A$2:$A$13,0))</f>
        <v>FCC</v>
      </c>
      <c r="F2198" s="15" t="n">
        <v>10.3</v>
      </c>
      <c r="G2198" s="16" t="n">
        <f aca="false">IF(A2198="2025",INDEX(Products!$C$2:$C$13,MATCH(D2198,Products!$A$2:$A$13,0)),INDEX(Products!$E$2:$E$13,MATCH(D2198,Products!$A$2:$A$13,0)))</f>
        <v>3433.5</v>
      </c>
      <c r="H2198" s="13" t="n">
        <f aca="false">IF(A2198="2025",INDEX(Customers!$D$2:$D$41,MATCH(C2198,Customers!$A$2:$A$41,0)),INDEX(Customers!$F$2:$F$41,MATCH(C2198,Customers!$A$2:$A$41,0)))</f>
        <v>0.067</v>
      </c>
      <c r="I2198" s="16" t="n">
        <f aca="false">F2198*G2198</f>
        <v>35365.05</v>
      </c>
      <c r="J2198" s="16" t="n">
        <f aca="false">I2198*(1-H2198)</f>
        <v>32995.59165</v>
      </c>
      <c r="K2198" s="16" t="n">
        <f aca="false">J2198*INDEX(Customers!$G$2:$G$41,MATCH(C2198,Customers!$A$2:$A$41,0))</f>
        <v>1649.7795825</v>
      </c>
      <c r="L2198" s="16" t="n">
        <f aca="false">F2198*INDEX(Customers!$H$2:$H$41,MATCH(C2198,Customers!$A$2:$A$41,0))</f>
        <v>2678</v>
      </c>
      <c r="M2198" s="16" t="n">
        <f aca="false">J2198*INDEX(Customers!$I$2:$I$41,MATCH(C2198,Customers!$A$2:$A$41,0))/365*Assumptions!$B$6</f>
        <v>433.914629917808</v>
      </c>
      <c r="N2198" s="16" t="n">
        <f aca="false">J2198-K2198-L2198-M2198</f>
        <v>28233.8974375822</v>
      </c>
      <c r="O2198" s="16" t="n">
        <f aca="false">F2198*IF(A2198="2025",INDEX(Products!$D$2:$D$13,MATCH(D2198,Products!$A$2:$A$13,0)),INDEX(Products!$F$2:$F$13,MATCH(D2198,Products!$A$2:$A$13,0)))</f>
        <v>23233.71</v>
      </c>
      <c r="P2198" s="16" t="n">
        <f aca="false">N2198-O2198</f>
        <v>5000.18743758219</v>
      </c>
    </row>
    <row r="2199" customFormat="false" ht="15" hidden="false" customHeight="false" outlineLevel="0" collapsed="false">
      <c r="A2199" s="2" t="s">
        <v>119</v>
      </c>
      <c r="B2199" s="2" t="n">
        <v>2</v>
      </c>
      <c r="C2199" s="2" t="s">
        <v>95</v>
      </c>
      <c r="D2199" s="2" t="s">
        <v>34</v>
      </c>
      <c r="E2199" s="2" t="str">
        <f aca="false">INDEX(Products!$B$2:$B$13,MATCH(D2199,Products!$A$2:$A$13,0))</f>
        <v>FCC</v>
      </c>
      <c r="F2199" s="15" t="n">
        <v>8</v>
      </c>
      <c r="G2199" s="16" t="n">
        <f aca="false">IF(A2199="2025",INDEX(Products!$C$2:$C$13,MATCH(D2199,Products!$A$2:$A$13,0)),INDEX(Products!$E$2:$E$13,MATCH(D2199,Products!$A$2:$A$13,0)))</f>
        <v>3433.5</v>
      </c>
      <c r="H2199" s="13" t="n">
        <f aca="false">IF(A2199="2025",INDEX(Customers!$D$2:$D$41,MATCH(C2199,Customers!$A$2:$A$41,0)),INDEX(Customers!$F$2:$F$41,MATCH(C2199,Customers!$A$2:$A$41,0)))</f>
        <v>0.067</v>
      </c>
      <c r="I2199" s="16" t="n">
        <f aca="false">F2199*G2199</f>
        <v>27468</v>
      </c>
      <c r="J2199" s="16" t="n">
        <f aca="false">I2199*(1-H2199)</f>
        <v>25627.644</v>
      </c>
      <c r="K2199" s="16" t="n">
        <f aca="false">J2199*INDEX(Customers!$G$2:$G$41,MATCH(C2199,Customers!$A$2:$A$41,0))</f>
        <v>1281.3822</v>
      </c>
      <c r="L2199" s="16" t="n">
        <f aca="false">F2199*INDEX(Customers!$H$2:$H$41,MATCH(C2199,Customers!$A$2:$A$41,0))</f>
        <v>2080</v>
      </c>
      <c r="M2199" s="16" t="n">
        <f aca="false">J2199*INDEX(Customers!$I$2:$I$41,MATCH(C2199,Customers!$A$2:$A$41,0))/365*Assumptions!$B$6</f>
        <v>337.021071780822</v>
      </c>
      <c r="N2199" s="16" t="n">
        <f aca="false">J2199-K2199-L2199-M2199</f>
        <v>21929.2407282192</v>
      </c>
      <c r="O2199" s="16" t="n">
        <f aca="false">F2199*IF(A2199="2025",INDEX(Products!$D$2:$D$13,MATCH(D2199,Products!$A$2:$A$13,0)),INDEX(Products!$F$2:$F$13,MATCH(D2199,Products!$A$2:$A$13,0)))</f>
        <v>18045.6</v>
      </c>
      <c r="P2199" s="16" t="n">
        <f aca="false">N2199-O2199</f>
        <v>3883.64072821918</v>
      </c>
    </row>
    <row r="2200" customFormat="false" ht="15" hidden="false" customHeight="false" outlineLevel="0" collapsed="false">
      <c r="A2200" s="2" t="s">
        <v>119</v>
      </c>
      <c r="B2200" s="2" t="n">
        <v>3</v>
      </c>
      <c r="C2200" s="2" t="s">
        <v>95</v>
      </c>
      <c r="D2200" s="2" t="s">
        <v>34</v>
      </c>
      <c r="E2200" s="2" t="str">
        <f aca="false">INDEX(Products!$B$2:$B$13,MATCH(D2200,Products!$A$2:$A$13,0))</f>
        <v>FCC</v>
      </c>
      <c r="F2200" s="15" t="n">
        <v>8</v>
      </c>
      <c r="G2200" s="16" t="n">
        <f aca="false">IF(A2200="2025",INDEX(Products!$C$2:$C$13,MATCH(D2200,Products!$A$2:$A$13,0)),INDEX(Products!$E$2:$E$13,MATCH(D2200,Products!$A$2:$A$13,0)))</f>
        <v>3433.5</v>
      </c>
      <c r="H2200" s="13" t="n">
        <f aca="false">IF(A2200="2025",INDEX(Customers!$D$2:$D$41,MATCH(C2200,Customers!$A$2:$A$41,0)),INDEX(Customers!$F$2:$F$41,MATCH(C2200,Customers!$A$2:$A$41,0)))</f>
        <v>0.067</v>
      </c>
      <c r="I2200" s="16" t="n">
        <f aca="false">F2200*G2200</f>
        <v>27468</v>
      </c>
      <c r="J2200" s="16" t="n">
        <f aca="false">I2200*(1-H2200)</f>
        <v>25627.644</v>
      </c>
      <c r="K2200" s="16" t="n">
        <f aca="false">J2200*INDEX(Customers!$G$2:$G$41,MATCH(C2200,Customers!$A$2:$A$41,0))</f>
        <v>1281.3822</v>
      </c>
      <c r="L2200" s="16" t="n">
        <f aca="false">F2200*INDEX(Customers!$H$2:$H$41,MATCH(C2200,Customers!$A$2:$A$41,0))</f>
        <v>2080</v>
      </c>
      <c r="M2200" s="16" t="n">
        <f aca="false">J2200*INDEX(Customers!$I$2:$I$41,MATCH(C2200,Customers!$A$2:$A$41,0))/365*Assumptions!$B$6</f>
        <v>337.021071780822</v>
      </c>
      <c r="N2200" s="16" t="n">
        <f aca="false">J2200-K2200-L2200-M2200</f>
        <v>21929.2407282192</v>
      </c>
      <c r="O2200" s="16" t="n">
        <f aca="false">F2200*IF(A2200="2025",INDEX(Products!$D$2:$D$13,MATCH(D2200,Products!$A$2:$A$13,0)),INDEX(Products!$F$2:$F$13,MATCH(D2200,Products!$A$2:$A$13,0)))</f>
        <v>18045.6</v>
      </c>
      <c r="P2200" s="16" t="n">
        <f aca="false">N2200-O2200</f>
        <v>3883.64072821918</v>
      </c>
    </row>
    <row r="2201" customFormat="false" ht="15" hidden="false" customHeight="false" outlineLevel="0" collapsed="false">
      <c r="A2201" s="2" t="s">
        <v>119</v>
      </c>
      <c r="B2201" s="2" t="n">
        <v>4</v>
      </c>
      <c r="C2201" s="2" t="s">
        <v>95</v>
      </c>
      <c r="D2201" s="2" t="s">
        <v>34</v>
      </c>
      <c r="E2201" s="2" t="str">
        <f aca="false">INDEX(Products!$B$2:$B$13,MATCH(D2201,Products!$A$2:$A$13,0))</f>
        <v>FCC</v>
      </c>
      <c r="F2201" s="15" t="n">
        <v>7</v>
      </c>
      <c r="G2201" s="16" t="n">
        <f aca="false">IF(A2201="2025",INDEX(Products!$C$2:$C$13,MATCH(D2201,Products!$A$2:$A$13,0)),INDEX(Products!$E$2:$E$13,MATCH(D2201,Products!$A$2:$A$13,0)))</f>
        <v>3433.5</v>
      </c>
      <c r="H2201" s="13" t="n">
        <f aca="false">IF(A2201="2025",INDEX(Customers!$D$2:$D$41,MATCH(C2201,Customers!$A$2:$A$41,0)),INDEX(Customers!$F$2:$F$41,MATCH(C2201,Customers!$A$2:$A$41,0)))</f>
        <v>0.067</v>
      </c>
      <c r="I2201" s="16" t="n">
        <f aca="false">F2201*G2201</f>
        <v>24034.5</v>
      </c>
      <c r="J2201" s="16" t="n">
        <f aca="false">I2201*(1-H2201)</f>
        <v>22424.1885</v>
      </c>
      <c r="K2201" s="16" t="n">
        <f aca="false">J2201*INDEX(Customers!$G$2:$G$41,MATCH(C2201,Customers!$A$2:$A$41,0))</f>
        <v>1121.209425</v>
      </c>
      <c r="L2201" s="16" t="n">
        <f aca="false">F2201*INDEX(Customers!$H$2:$H$41,MATCH(C2201,Customers!$A$2:$A$41,0))</f>
        <v>1820</v>
      </c>
      <c r="M2201" s="16" t="n">
        <f aca="false">J2201*INDEX(Customers!$I$2:$I$41,MATCH(C2201,Customers!$A$2:$A$41,0))/365*Assumptions!$B$6</f>
        <v>294.893437808219</v>
      </c>
      <c r="N2201" s="16" t="n">
        <f aca="false">J2201-K2201-L2201-M2201</f>
        <v>19188.0856371918</v>
      </c>
      <c r="O2201" s="16" t="n">
        <f aca="false">F2201*IF(A2201="2025",INDEX(Products!$D$2:$D$13,MATCH(D2201,Products!$A$2:$A$13,0)),INDEX(Products!$F$2:$F$13,MATCH(D2201,Products!$A$2:$A$13,0)))</f>
        <v>15789.9</v>
      </c>
      <c r="P2201" s="16" t="n">
        <f aca="false">N2201-O2201</f>
        <v>3398.18563719178</v>
      </c>
    </row>
    <row r="2202" customFormat="false" ht="15" hidden="false" customHeight="false" outlineLevel="0" collapsed="false">
      <c r="A2202" s="2" t="s">
        <v>119</v>
      </c>
      <c r="B2202" s="2" t="n">
        <v>5</v>
      </c>
      <c r="C2202" s="2" t="s">
        <v>95</v>
      </c>
      <c r="D2202" s="2" t="s">
        <v>34</v>
      </c>
      <c r="E2202" s="2" t="str">
        <f aca="false">INDEX(Products!$B$2:$B$13,MATCH(D2202,Products!$A$2:$A$13,0))</f>
        <v>FCC</v>
      </c>
      <c r="F2202" s="15" t="n">
        <v>7.6</v>
      </c>
      <c r="G2202" s="16" t="n">
        <f aca="false">IF(A2202="2025",INDEX(Products!$C$2:$C$13,MATCH(D2202,Products!$A$2:$A$13,0)),INDEX(Products!$E$2:$E$13,MATCH(D2202,Products!$A$2:$A$13,0)))</f>
        <v>3433.5</v>
      </c>
      <c r="H2202" s="13" t="n">
        <f aca="false">IF(A2202="2025",INDEX(Customers!$D$2:$D$41,MATCH(C2202,Customers!$A$2:$A$41,0)),INDEX(Customers!$F$2:$F$41,MATCH(C2202,Customers!$A$2:$A$41,0)))</f>
        <v>0.067</v>
      </c>
      <c r="I2202" s="16" t="n">
        <f aca="false">F2202*G2202</f>
        <v>26094.6</v>
      </c>
      <c r="J2202" s="16" t="n">
        <f aca="false">I2202*(1-H2202)</f>
        <v>24346.2618</v>
      </c>
      <c r="K2202" s="16" t="n">
        <f aca="false">J2202*INDEX(Customers!$G$2:$G$41,MATCH(C2202,Customers!$A$2:$A$41,0))</f>
        <v>1217.31309</v>
      </c>
      <c r="L2202" s="16" t="n">
        <f aca="false">F2202*INDEX(Customers!$H$2:$H$41,MATCH(C2202,Customers!$A$2:$A$41,0))</f>
        <v>1976</v>
      </c>
      <c r="M2202" s="16" t="n">
        <f aca="false">J2202*INDEX(Customers!$I$2:$I$41,MATCH(C2202,Customers!$A$2:$A$41,0))/365*Assumptions!$B$6</f>
        <v>320.170018191781</v>
      </c>
      <c r="N2202" s="16" t="n">
        <f aca="false">J2202-K2202-L2202-M2202</f>
        <v>20832.7786918082</v>
      </c>
      <c r="O2202" s="16" t="n">
        <f aca="false">F2202*IF(A2202="2025",INDEX(Products!$D$2:$D$13,MATCH(D2202,Products!$A$2:$A$13,0)),INDEX(Products!$F$2:$F$13,MATCH(D2202,Products!$A$2:$A$13,0)))</f>
        <v>17143.32</v>
      </c>
      <c r="P2202" s="16" t="n">
        <f aca="false">N2202-O2202</f>
        <v>3689.45869180822</v>
      </c>
    </row>
    <row r="2203" customFormat="false" ht="15" hidden="false" customHeight="false" outlineLevel="0" collapsed="false">
      <c r="A2203" s="2" t="s">
        <v>119</v>
      </c>
      <c r="B2203" s="2" t="n">
        <v>6</v>
      </c>
      <c r="C2203" s="2" t="s">
        <v>95</v>
      </c>
      <c r="D2203" s="2" t="s">
        <v>34</v>
      </c>
      <c r="E2203" s="2" t="str">
        <f aca="false">INDEX(Products!$B$2:$B$13,MATCH(D2203,Products!$A$2:$A$13,0))</f>
        <v>FCC</v>
      </c>
      <c r="F2203" s="15" t="n">
        <v>10</v>
      </c>
      <c r="G2203" s="16" t="n">
        <f aca="false">IF(A2203="2025",INDEX(Products!$C$2:$C$13,MATCH(D2203,Products!$A$2:$A$13,0)),INDEX(Products!$E$2:$E$13,MATCH(D2203,Products!$A$2:$A$13,0)))</f>
        <v>3433.5</v>
      </c>
      <c r="H2203" s="13" t="n">
        <f aca="false">IF(A2203="2025",INDEX(Customers!$D$2:$D$41,MATCH(C2203,Customers!$A$2:$A$41,0)),INDEX(Customers!$F$2:$F$41,MATCH(C2203,Customers!$A$2:$A$41,0)))</f>
        <v>0.067</v>
      </c>
      <c r="I2203" s="16" t="n">
        <f aca="false">F2203*G2203</f>
        <v>34335</v>
      </c>
      <c r="J2203" s="16" t="n">
        <f aca="false">I2203*(1-H2203)</f>
        <v>32034.555</v>
      </c>
      <c r="K2203" s="16" t="n">
        <f aca="false">J2203*INDEX(Customers!$G$2:$G$41,MATCH(C2203,Customers!$A$2:$A$41,0))</f>
        <v>1601.72775</v>
      </c>
      <c r="L2203" s="16" t="n">
        <f aca="false">F2203*INDEX(Customers!$H$2:$H$41,MATCH(C2203,Customers!$A$2:$A$41,0))</f>
        <v>2600</v>
      </c>
      <c r="M2203" s="16" t="n">
        <f aca="false">J2203*INDEX(Customers!$I$2:$I$41,MATCH(C2203,Customers!$A$2:$A$41,0))/365*Assumptions!$B$6</f>
        <v>421.276339726027</v>
      </c>
      <c r="N2203" s="16" t="n">
        <f aca="false">J2203-K2203-L2203-M2203</f>
        <v>27411.550910274</v>
      </c>
      <c r="O2203" s="16" t="n">
        <f aca="false">F2203*IF(A2203="2025",INDEX(Products!$D$2:$D$13,MATCH(D2203,Products!$A$2:$A$13,0)),INDEX(Products!$F$2:$F$13,MATCH(D2203,Products!$A$2:$A$13,0)))</f>
        <v>22557</v>
      </c>
      <c r="P2203" s="16" t="n">
        <f aca="false">N2203-O2203</f>
        <v>4854.55091027397</v>
      </c>
    </row>
    <row r="2204" customFormat="false" ht="15" hidden="false" customHeight="false" outlineLevel="0" collapsed="false">
      <c r="A2204" s="2" t="s">
        <v>119</v>
      </c>
      <c r="B2204" s="2" t="n">
        <v>7</v>
      </c>
      <c r="C2204" s="2" t="s">
        <v>95</v>
      </c>
      <c r="D2204" s="2" t="s">
        <v>34</v>
      </c>
      <c r="E2204" s="2" t="str">
        <f aca="false">INDEX(Products!$B$2:$B$13,MATCH(D2204,Products!$A$2:$A$13,0))</f>
        <v>FCC</v>
      </c>
      <c r="F2204" s="15" t="n">
        <v>6.6</v>
      </c>
      <c r="G2204" s="16" t="n">
        <f aca="false">IF(A2204="2025",INDEX(Products!$C$2:$C$13,MATCH(D2204,Products!$A$2:$A$13,0)),INDEX(Products!$E$2:$E$13,MATCH(D2204,Products!$A$2:$A$13,0)))</f>
        <v>3433.5</v>
      </c>
      <c r="H2204" s="13" t="n">
        <f aca="false">IF(A2204="2025",INDEX(Customers!$D$2:$D$41,MATCH(C2204,Customers!$A$2:$A$41,0)),INDEX(Customers!$F$2:$F$41,MATCH(C2204,Customers!$A$2:$A$41,0)))</f>
        <v>0.067</v>
      </c>
      <c r="I2204" s="16" t="n">
        <f aca="false">F2204*G2204</f>
        <v>22661.1</v>
      </c>
      <c r="J2204" s="16" t="n">
        <f aca="false">I2204*(1-H2204)</f>
        <v>21142.8063</v>
      </c>
      <c r="K2204" s="16" t="n">
        <f aca="false">J2204*INDEX(Customers!$G$2:$G$41,MATCH(C2204,Customers!$A$2:$A$41,0))</f>
        <v>1057.140315</v>
      </c>
      <c r="L2204" s="16" t="n">
        <f aca="false">F2204*INDEX(Customers!$H$2:$H$41,MATCH(C2204,Customers!$A$2:$A$41,0))</f>
        <v>1716</v>
      </c>
      <c r="M2204" s="16" t="n">
        <f aca="false">J2204*INDEX(Customers!$I$2:$I$41,MATCH(C2204,Customers!$A$2:$A$41,0))/365*Assumptions!$B$6</f>
        <v>278.042384219178</v>
      </c>
      <c r="N2204" s="16" t="n">
        <f aca="false">J2204-K2204-L2204-M2204</f>
        <v>18091.6236007808</v>
      </c>
      <c r="O2204" s="16" t="n">
        <f aca="false">F2204*IF(A2204="2025",INDEX(Products!$D$2:$D$13,MATCH(D2204,Products!$A$2:$A$13,0)),INDEX(Products!$F$2:$F$13,MATCH(D2204,Products!$A$2:$A$13,0)))</f>
        <v>14887.62</v>
      </c>
      <c r="P2204" s="16" t="n">
        <f aca="false">N2204-O2204</f>
        <v>3204.00360078082</v>
      </c>
    </row>
    <row r="2205" customFormat="false" ht="15" hidden="false" customHeight="false" outlineLevel="0" collapsed="false">
      <c r="A2205" s="2" t="s">
        <v>119</v>
      </c>
      <c r="B2205" s="2" t="n">
        <v>8</v>
      </c>
      <c r="C2205" s="2" t="s">
        <v>95</v>
      </c>
      <c r="D2205" s="2" t="s">
        <v>34</v>
      </c>
      <c r="E2205" s="2" t="str">
        <f aca="false">INDEX(Products!$B$2:$B$13,MATCH(D2205,Products!$A$2:$A$13,0))</f>
        <v>FCC</v>
      </c>
      <c r="F2205" s="15" t="n">
        <v>7.9</v>
      </c>
      <c r="G2205" s="16" t="n">
        <f aca="false">IF(A2205="2025",INDEX(Products!$C$2:$C$13,MATCH(D2205,Products!$A$2:$A$13,0)),INDEX(Products!$E$2:$E$13,MATCH(D2205,Products!$A$2:$A$13,0)))</f>
        <v>3433.5</v>
      </c>
      <c r="H2205" s="13" t="n">
        <f aca="false">IF(A2205="2025",INDEX(Customers!$D$2:$D$41,MATCH(C2205,Customers!$A$2:$A$41,0)),INDEX(Customers!$F$2:$F$41,MATCH(C2205,Customers!$A$2:$A$41,0)))</f>
        <v>0.067</v>
      </c>
      <c r="I2205" s="16" t="n">
        <f aca="false">F2205*G2205</f>
        <v>27124.65</v>
      </c>
      <c r="J2205" s="16" t="n">
        <f aca="false">I2205*(1-H2205)</f>
        <v>25307.29845</v>
      </c>
      <c r="K2205" s="16" t="n">
        <f aca="false">J2205*INDEX(Customers!$G$2:$G$41,MATCH(C2205,Customers!$A$2:$A$41,0))</f>
        <v>1265.3649225</v>
      </c>
      <c r="L2205" s="16" t="n">
        <f aca="false">F2205*INDEX(Customers!$H$2:$H$41,MATCH(C2205,Customers!$A$2:$A$41,0))</f>
        <v>2054</v>
      </c>
      <c r="M2205" s="16" t="n">
        <f aca="false">J2205*INDEX(Customers!$I$2:$I$41,MATCH(C2205,Customers!$A$2:$A$41,0))/365*Assumptions!$B$6</f>
        <v>332.808308383562</v>
      </c>
      <c r="N2205" s="16" t="n">
        <f aca="false">J2205-K2205-L2205-M2205</f>
        <v>21655.1252191164</v>
      </c>
      <c r="O2205" s="16" t="n">
        <f aca="false">F2205*IF(A2205="2025",INDEX(Products!$D$2:$D$13,MATCH(D2205,Products!$A$2:$A$13,0)),INDEX(Products!$F$2:$F$13,MATCH(D2205,Products!$A$2:$A$13,0)))</f>
        <v>17820.03</v>
      </c>
      <c r="P2205" s="16" t="n">
        <f aca="false">N2205-O2205</f>
        <v>3835.09521911644</v>
      </c>
    </row>
    <row r="2206" customFormat="false" ht="15" hidden="false" customHeight="false" outlineLevel="0" collapsed="false">
      <c r="A2206" s="2" t="s">
        <v>119</v>
      </c>
      <c r="B2206" s="2" t="n">
        <v>9</v>
      </c>
      <c r="C2206" s="2" t="s">
        <v>95</v>
      </c>
      <c r="D2206" s="2" t="s">
        <v>34</v>
      </c>
      <c r="E2206" s="2" t="str">
        <f aca="false">INDEX(Products!$B$2:$B$13,MATCH(D2206,Products!$A$2:$A$13,0))</f>
        <v>FCC</v>
      </c>
      <c r="F2206" s="15" t="n">
        <v>10.2</v>
      </c>
      <c r="G2206" s="16" t="n">
        <f aca="false">IF(A2206="2025",INDEX(Products!$C$2:$C$13,MATCH(D2206,Products!$A$2:$A$13,0)),INDEX(Products!$E$2:$E$13,MATCH(D2206,Products!$A$2:$A$13,0)))</f>
        <v>3433.5</v>
      </c>
      <c r="H2206" s="13" t="n">
        <f aca="false">IF(A2206="2025",INDEX(Customers!$D$2:$D$41,MATCH(C2206,Customers!$A$2:$A$41,0)),INDEX(Customers!$F$2:$F$41,MATCH(C2206,Customers!$A$2:$A$41,0)))</f>
        <v>0.067</v>
      </c>
      <c r="I2206" s="16" t="n">
        <f aca="false">F2206*G2206</f>
        <v>35021.7</v>
      </c>
      <c r="J2206" s="16" t="n">
        <f aca="false">I2206*(1-H2206)</f>
        <v>32675.2461</v>
      </c>
      <c r="K2206" s="16" t="n">
        <f aca="false">J2206*INDEX(Customers!$G$2:$G$41,MATCH(C2206,Customers!$A$2:$A$41,0))</f>
        <v>1633.762305</v>
      </c>
      <c r="L2206" s="16" t="n">
        <f aca="false">F2206*INDEX(Customers!$H$2:$H$41,MATCH(C2206,Customers!$A$2:$A$41,0))</f>
        <v>2652</v>
      </c>
      <c r="M2206" s="16" t="n">
        <f aca="false">J2206*INDEX(Customers!$I$2:$I$41,MATCH(C2206,Customers!$A$2:$A$41,0))/365*Assumptions!$B$6</f>
        <v>429.701866520548</v>
      </c>
      <c r="N2206" s="16" t="n">
        <f aca="false">J2206-K2206-L2206-M2206</f>
        <v>27959.7819284795</v>
      </c>
      <c r="O2206" s="16" t="n">
        <f aca="false">F2206*IF(A2206="2025",INDEX(Products!$D$2:$D$13,MATCH(D2206,Products!$A$2:$A$13,0)),INDEX(Products!$F$2:$F$13,MATCH(D2206,Products!$A$2:$A$13,0)))</f>
        <v>23008.14</v>
      </c>
      <c r="P2206" s="16" t="n">
        <f aca="false">N2206-O2206</f>
        <v>4951.64192847945</v>
      </c>
    </row>
    <row r="2207" customFormat="false" ht="15" hidden="false" customHeight="false" outlineLevel="0" collapsed="false">
      <c r="A2207" s="2" t="s">
        <v>119</v>
      </c>
      <c r="B2207" s="2" t="n">
        <v>10</v>
      </c>
      <c r="C2207" s="2" t="s">
        <v>95</v>
      </c>
      <c r="D2207" s="2" t="s">
        <v>34</v>
      </c>
      <c r="E2207" s="2" t="str">
        <f aca="false">INDEX(Products!$B$2:$B$13,MATCH(D2207,Products!$A$2:$A$13,0))</f>
        <v>FCC</v>
      </c>
      <c r="F2207" s="15" t="n">
        <v>9</v>
      </c>
      <c r="G2207" s="16" t="n">
        <f aca="false">IF(A2207="2025",INDEX(Products!$C$2:$C$13,MATCH(D2207,Products!$A$2:$A$13,0)),INDEX(Products!$E$2:$E$13,MATCH(D2207,Products!$A$2:$A$13,0)))</f>
        <v>3433.5</v>
      </c>
      <c r="H2207" s="13" t="n">
        <f aca="false">IF(A2207="2025",INDEX(Customers!$D$2:$D$41,MATCH(C2207,Customers!$A$2:$A$41,0)),INDEX(Customers!$F$2:$F$41,MATCH(C2207,Customers!$A$2:$A$41,0)))</f>
        <v>0.067</v>
      </c>
      <c r="I2207" s="16" t="n">
        <f aca="false">F2207*G2207</f>
        <v>30901.5</v>
      </c>
      <c r="J2207" s="16" t="n">
        <f aca="false">I2207*(1-H2207)</f>
        <v>28831.0995</v>
      </c>
      <c r="K2207" s="16" t="n">
        <f aca="false">J2207*INDEX(Customers!$G$2:$G$41,MATCH(C2207,Customers!$A$2:$A$41,0))</f>
        <v>1441.554975</v>
      </c>
      <c r="L2207" s="16" t="n">
        <f aca="false">F2207*INDEX(Customers!$H$2:$H$41,MATCH(C2207,Customers!$A$2:$A$41,0))</f>
        <v>2340</v>
      </c>
      <c r="M2207" s="16" t="n">
        <f aca="false">J2207*INDEX(Customers!$I$2:$I$41,MATCH(C2207,Customers!$A$2:$A$41,0))/365*Assumptions!$B$6</f>
        <v>379.148705753425</v>
      </c>
      <c r="N2207" s="16" t="n">
        <f aca="false">J2207-K2207-L2207-M2207</f>
        <v>24670.3958192466</v>
      </c>
      <c r="O2207" s="16" t="n">
        <f aca="false">F2207*IF(A2207="2025",INDEX(Products!$D$2:$D$13,MATCH(D2207,Products!$A$2:$A$13,0)),INDEX(Products!$F$2:$F$13,MATCH(D2207,Products!$A$2:$A$13,0)))</f>
        <v>20301.3</v>
      </c>
      <c r="P2207" s="16" t="n">
        <f aca="false">N2207-O2207</f>
        <v>4369.09581924657</v>
      </c>
    </row>
    <row r="2208" customFormat="false" ht="15" hidden="false" customHeight="false" outlineLevel="0" collapsed="false">
      <c r="A2208" s="2" t="s">
        <v>119</v>
      </c>
      <c r="B2208" s="2" t="n">
        <v>11</v>
      </c>
      <c r="C2208" s="2" t="s">
        <v>95</v>
      </c>
      <c r="D2208" s="2" t="s">
        <v>34</v>
      </c>
      <c r="E2208" s="2" t="str">
        <f aca="false">INDEX(Products!$B$2:$B$13,MATCH(D2208,Products!$A$2:$A$13,0))</f>
        <v>FCC</v>
      </c>
      <c r="F2208" s="15" t="n">
        <v>8.6</v>
      </c>
      <c r="G2208" s="16" t="n">
        <f aca="false">IF(A2208="2025",INDEX(Products!$C$2:$C$13,MATCH(D2208,Products!$A$2:$A$13,0)),INDEX(Products!$E$2:$E$13,MATCH(D2208,Products!$A$2:$A$13,0)))</f>
        <v>3433.5</v>
      </c>
      <c r="H2208" s="13" t="n">
        <f aca="false">IF(A2208="2025",INDEX(Customers!$D$2:$D$41,MATCH(C2208,Customers!$A$2:$A$41,0)),INDEX(Customers!$F$2:$F$41,MATCH(C2208,Customers!$A$2:$A$41,0)))</f>
        <v>0.067</v>
      </c>
      <c r="I2208" s="16" t="n">
        <f aca="false">F2208*G2208</f>
        <v>29528.1</v>
      </c>
      <c r="J2208" s="16" t="n">
        <f aca="false">I2208*(1-H2208)</f>
        <v>27549.7173</v>
      </c>
      <c r="K2208" s="16" t="n">
        <f aca="false">J2208*INDEX(Customers!$G$2:$G$41,MATCH(C2208,Customers!$A$2:$A$41,0))</f>
        <v>1377.485865</v>
      </c>
      <c r="L2208" s="16" t="n">
        <f aca="false">F2208*INDEX(Customers!$H$2:$H$41,MATCH(C2208,Customers!$A$2:$A$41,0))</f>
        <v>2236</v>
      </c>
      <c r="M2208" s="16" t="n">
        <f aca="false">J2208*INDEX(Customers!$I$2:$I$41,MATCH(C2208,Customers!$A$2:$A$41,0))/365*Assumptions!$B$6</f>
        <v>362.297652164384</v>
      </c>
      <c r="N2208" s="16" t="n">
        <f aca="false">J2208-K2208-L2208-M2208</f>
        <v>23573.9337828356</v>
      </c>
      <c r="O2208" s="16" t="n">
        <f aca="false">F2208*IF(A2208="2025",INDEX(Products!$D$2:$D$13,MATCH(D2208,Products!$A$2:$A$13,0)),INDEX(Products!$F$2:$F$13,MATCH(D2208,Products!$A$2:$A$13,0)))</f>
        <v>19399.02</v>
      </c>
      <c r="P2208" s="16" t="n">
        <f aca="false">N2208-O2208</f>
        <v>4174.91378283562</v>
      </c>
    </row>
    <row r="2209" customFormat="false" ht="15" hidden="false" customHeight="false" outlineLevel="0" collapsed="false">
      <c r="A2209" s="2" t="s">
        <v>119</v>
      </c>
      <c r="B2209" s="2" t="n">
        <v>12</v>
      </c>
      <c r="C2209" s="2" t="s">
        <v>95</v>
      </c>
      <c r="D2209" s="2" t="s">
        <v>34</v>
      </c>
      <c r="E2209" s="2" t="str">
        <f aca="false">INDEX(Products!$B$2:$B$13,MATCH(D2209,Products!$A$2:$A$13,0))</f>
        <v>FCC</v>
      </c>
      <c r="F2209" s="15" t="n">
        <v>8.3</v>
      </c>
      <c r="G2209" s="16" t="n">
        <f aca="false">IF(A2209="2025",INDEX(Products!$C$2:$C$13,MATCH(D2209,Products!$A$2:$A$13,0)),INDEX(Products!$E$2:$E$13,MATCH(D2209,Products!$A$2:$A$13,0)))</f>
        <v>3433.5</v>
      </c>
      <c r="H2209" s="13" t="n">
        <f aca="false">IF(A2209="2025",INDEX(Customers!$D$2:$D$41,MATCH(C2209,Customers!$A$2:$A$41,0)),INDEX(Customers!$F$2:$F$41,MATCH(C2209,Customers!$A$2:$A$41,0)))</f>
        <v>0.067</v>
      </c>
      <c r="I2209" s="16" t="n">
        <f aca="false">F2209*G2209</f>
        <v>28498.05</v>
      </c>
      <c r="J2209" s="16" t="n">
        <f aca="false">I2209*(1-H2209)</f>
        <v>26588.68065</v>
      </c>
      <c r="K2209" s="16" t="n">
        <f aca="false">J2209*INDEX(Customers!$G$2:$G$41,MATCH(C2209,Customers!$A$2:$A$41,0))</f>
        <v>1329.4340325</v>
      </c>
      <c r="L2209" s="16" t="n">
        <f aca="false">F2209*INDEX(Customers!$H$2:$H$41,MATCH(C2209,Customers!$A$2:$A$41,0))</f>
        <v>2158</v>
      </c>
      <c r="M2209" s="16" t="n">
        <f aca="false">J2209*INDEX(Customers!$I$2:$I$41,MATCH(C2209,Customers!$A$2:$A$41,0))/365*Assumptions!$B$6</f>
        <v>349.659361972603</v>
      </c>
      <c r="N2209" s="16" t="n">
        <f aca="false">J2209-K2209-L2209-M2209</f>
        <v>22751.5872555274</v>
      </c>
      <c r="O2209" s="16" t="n">
        <f aca="false">F2209*IF(A2209="2025",INDEX(Products!$D$2:$D$13,MATCH(D2209,Products!$A$2:$A$13,0)),INDEX(Products!$F$2:$F$13,MATCH(D2209,Products!$A$2:$A$13,0)))</f>
        <v>18722.31</v>
      </c>
      <c r="P2209" s="16" t="n">
        <f aca="false">N2209-O2209</f>
        <v>4029.2772555274</v>
      </c>
    </row>
    <row r="2210" customFormat="false" ht="15" hidden="false" customHeight="false" outlineLevel="0" collapsed="false">
      <c r="A2210" s="2" t="s">
        <v>118</v>
      </c>
      <c r="B2210" s="2" t="n">
        <v>1</v>
      </c>
      <c r="C2210" s="2" t="s">
        <v>95</v>
      </c>
      <c r="D2210" s="2" t="s">
        <v>37</v>
      </c>
      <c r="E2210" s="2" t="str">
        <f aca="false">INDEX(Products!$B$2:$B$13,MATCH(D2210,Products!$A$2:$A$13,0))</f>
        <v>FCC</v>
      </c>
      <c r="F2210" s="15" t="n">
        <v>5</v>
      </c>
      <c r="G2210" s="16" t="n">
        <f aca="false">IF(A2210="2025",INDEX(Products!$C$2:$C$13,MATCH(D2210,Products!$A$2:$A$13,0)),INDEX(Products!$E$2:$E$13,MATCH(D2210,Products!$A$2:$A$13,0)))</f>
        <v>3530</v>
      </c>
      <c r="H2210" s="13" t="n">
        <f aca="false">IF(A2210="2025",INDEX(Customers!$D$2:$D$41,MATCH(C2210,Customers!$A$2:$A$41,0)),INDEX(Customers!$F$2:$F$41,MATCH(C2210,Customers!$A$2:$A$41,0)))</f>
        <v>0.057</v>
      </c>
      <c r="I2210" s="16" t="n">
        <f aca="false">F2210*G2210</f>
        <v>17650</v>
      </c>
      <c r="J2210" s="16" t="n">
        <f aca="false">I2210*(1-H2210)</f>
        <v>16643.95</v>
      </c>
      <c r="K2210" s="16" t="n">
        <f aca="false">J2210*INDEX(Customers!$G$2:$G$41,MATCH(C2210,Customers!$A$2:$A$41,0))</f>
        <v>832.1975</v>
      </c>
      <c r="L2210" s="16" t="n">
        <f aca="false">F2210*INDEX(Customers!$H$2:$H$41,MATCH(C2210,Customers!$A$2:$A$41,0))</f>
        <v>1300</v>
      </c>
      <c r="M2210" s="16" t="n">
        <f aca="false">J2210*INDEX(Customers!$I$2:$I$41,MATCH(C2210,Customers!$A$2:$A$41,0))/365*Assumptions!$B$6</f>
        <v>218.879342465753</v>
      </c>
      <c r="N2210" s="16" t="n">
        <f aca="false">J2210-K2210-L2210-M2210</f>
        <v>14292.8731575342</v>
      </c>
      <c r="O2210" s="16" t="n">
        <f aca="false">F2210*IF(A2210="2025",INDEX(Products!$D$2:$D$13,MATCH(D2210,Products!$A$2:$A$13,0)),INDEX(Products!$F$2:$F$13,MATCH(D2210,Products!$A$2:$A$13,0)))</f>
        <v>12050</v>
      </c>
      <c r="P2210" s="16" t="n">
        <f aca="false">N2210-O2210</f>
        <v>2242.87315753425</v>
      </c>
    </row>
    <row r="2211" customFormat="false" ht="15" hidden="false" customHeight="false" outlineLevel="0" collapsed="false">
      <c r="A2211" s="2" t="s">
        <v>118</v>
      </c>
      <c r="B2211" s="2" t="n">
        <v>2</v>
      </c>
      <c r="C2211" s="2" t="s">
        <v>95</v>
      </c>
      <c r="D2211" s="2" t="s">
        <v>37</v>
      </c>
      <c r="E2211" s="2" t="str">
        <f aca="false">INDEX(Products!$B$2:$B$13,MATCH(D2211,Products!$A$2:$A$13,0))</f>
        <v>FCC</v>
      </c>
      <c r="F2211" s="15" t="n">
        <v>7.4</v>
      </c>
      <c r="G2211" s="16" t="n">
        <f aca="false">IF(A2211="2025",INDEX(Products!$C$2:$C$13,MATCH(D2211,Products!$A$2:$A$13,0)),INDEX(Products!$E$2:$E$13,MATCH(D2211,Products!$A$2:$A$13,0)))</f>
        <v>3530</v>
      </c>
      <c r="H2211" s="13" t="n">
        <f aca="false">IF(A2211="2025",INDEX(Customers!$D$2:$D$41,MATCH(C2211,Customers!$A$2:$A$41,0)),INDEX(Customers!$F$2:$F$41,MATCH(C2211,Customers!$A$2:$A$41,0)))</f>
        <v>0.057</v>
      </c>
      <c r="I2211" s="16" t="n">
        <f aca="false">F2211*G2211</f>
        <v>26122</v>
      </c>
      <c r="J2211" s="16" t="n">
        <f aca="false">I2211*(1-H2211)</f>
        <v>24633.046</v>
      </c>
      <c r="K2211" s="16" t="n">
        <f aca="false">J2211*INDEX(Customers!$G$2:$G$41,MATCH(C2211,Customers!$A$2:$A$41,0))</f>
        <v>1231.6523</v>
      </c>
      <c r="L2211" s="16" t="n">
        <f aca="false">F2211*INDEX(Customers!$H$2:$H$41,MATCH(C2211,Customers!$A$2:$A$41,0))</f>
        <v>1924</v>
      </c>
      <c r="M2211" s="16" t="n">
        <f aca="false">J2211*INDEX(Customers!$I$2:$I$41,MATCH(C2211,Customers!$A$2:$A$41,0))/365*Assumptions!$B$6</f>
        <v>323.941426849315</v>
      </c>
      <c r="N2211" s="16" t="n">
        <f aca="false">J2211-K2211-L2211-M2211</f>
        <v>21153.4522731507</v>
      </c>
      <c r="O2211" s="16" t="n">
        <f aca="false">F2211*IF(A2211="2025",INDEX(Products!$D$2:$D$13,MATCH(D2211,Products!$A$2:$A$13,0)),INDEX(Products!$F$2:$F$13,MATCH(D2211,Products!$A$2:$A$13,0)))</f>
        <v>17834</v>
      </c>
      <c r="P2211" s="16" t="n">
        <f aca="false">N2211-O2211</f>
        <v>3319.45227315068</v>
      </c>
    </row>
    <row r="2212" customFormat="false" ht="15" hidden="false" customHeight="false" outlineLevel="0" collapsed="false">
      <c r="A2212" s="2" t="s">
        <v>118</v>
      </c>
      <c r="B2212" s="2" t="n">
        <v>3</v>
      </c>
      <c r="C2212" s="2" t="s">
        <v>95</v>
      </c>
      <c r="D2212" s="2" t="s">
        <v>37</v>
      </c>
      <c r="E2212" s="2" t="str">
        <f aca="false">INDEX(Products!$B$2:$B$13,MATCH(D2212,Products!$A$2:$A$13,0))</f>
        <v>FCC</v>
      </c>
      <c r="F2212" s="15" t="n">
        <v>6.5</v>
      </c>
      <c r="G2212" s="16" t="n">
        <f aca="false">IF(A2212="2025",INDEX(Products!$C$2:$C$13,MATCH(D2212,Products!$A$2:$A$13,0)),INDEX(Products!$E$2:$E$13,MATCH(D2212,Products!$A$2:$A$13,0)))</f>
        <v>3530</v>
      </c>
      <c r="H2212" s="13" t="n">
        <f aca="false">IF(A2212="2025",INDEX(Customers!$D$2:$D$41,MATCH(C2212,Customers!$A$2:$A$41,0)),INDEX(Customers!$F$2:$F$41,MATCH(C2212,Customers!$A$2:$A$41,0)))</f>
        <v>0.057</v>
      </c>
      <c r="I2212" s="16" t="n">
        <f aca="false">F2212*G2212</f>
        <v>22945</v>
      </c>
      <c r="J2212" s="16" t="n">
        <f aca="false">I2212*(1-H2212)</f>
        <v>21637.135</v>
      </c>
      <c r="K2212" s="16" t="n">
        <f aca="false">J2212*INDEX(Customers!$G$2:$G$41,MATCH(C2212,Customers!$A$2:$A$41,0))</f>
        <v>1081.85675</v>
      </c>
      <c r="L2212" s="16" t="n">
        <f aca="false">F2212*INDEX(Customers!$H$2:$H$41,MATCH(C2212,Customers!$A$2:$A$41,0))</f>
        <v>1690</v>
      </c>
      <c r="M2212" s="16" t="n">
        <f aca="false">J2212*INDEX(Customers!$I$2:$I$41,MATCH(C2212,Customers!$A$2:$A$41,0))/365*Assumptions!$B$6</f>
        <v>284.543145205479</v>
      </c>
      <c r="N2212" s="16" t="n">
        <f aca="false">J2212-K2212-L2212-M2212</f>
        <v>18580.7351047945</v>
      </c>
      <c r="O2212" s="16" t="n">
        <f aca="false">F2212*IF(A2212="2025",INDEX(Products!$D$2:$D$13,MATCH(D2212,Products!$A$2:$A$13,0)),INDEX(Products!$F$2:$F$13,MATCH(D2212,Products!$A$2:$A$13,0)))</f>
        <v>15665</v>
      </c>
      <c r="P2212" s="16" t="n">
        <f aca="false">N2212-O2212</f>
        <v>2915.73510479452</v>
      </c>
    </row>
    <row r="2213" customFormat="false" ht="15" hidden="false" customHeight="false" outlineLevel="0" collapsed="false">
      <c r="A2213" s="2" t="s">
        <v>118</v>
      </c>
      <c r="B2213" s="2" t="n">
        <v>4</v>
      </c>
      <c r="C2213" s="2" t="s">
        <v>95</v>
      </c>
      <c r="D2213" s="2" t="s">
        <v>37</v>
      </c>
      <c r="E2213" s="2" t="str">
        <f aca="false">INDEX(Products!$B$2:$B$13,MATCH(D2213,Products!$A$2:$A$13,0))</f>
        <v>FCC</v>
      </c>
      <c r="F2213" s="15" t="n">
        <v>5.6</v>
      </c>
      <c r="G2213" s="16" t="n">
        <f aca="false">IF(A2213="2025",INDEX(Products!$C$2:$C$13,MATCH(D2213,Products!$A$2:$A$13,0)),INDEX(Products!$E$2:$E$13,MATCH(D2213,Products!$A$2:$A$13,0)))</f>
        <v>3530</v>
      </c>
      <c r="H2213" s="13" t="n">
        <f aca="false">IF(A2213="2025",INDEX(Customers!$D$2:$D$41,MATCH(C2213,Customers!$A$2:$A$41,0)),INDEX(Customers!$F$2:$F$41,MATCH(C2213,Customers!$A$2:$A$41,0)))</f>
        <v>0.057</v>
      </c>
      <c r="I2213" s="16" t="n">
        <f aca="false">F2213*G2213</f>
        <v>19768</v>
      </c>
      <c r="J2213" s="16" t="n">
        <f aca="false">I2213*(1-H2213)</f>
        <v>18641.224</v>
      </c>
      <c r="K2213" s="16" t="n">
        <f aca="false">J2213*INDEX(Customers!$G$2:$G$41,MATCH(C2213,Customers!$A$2:$A$41,0))</f>
        <v>932.0612</v>
      </c>
      <c r="L2213" s="16" t="n">
        <f aca="false">F2213*INDEX(Customers!$H$2:$H$41,MATCH(C2213,Customers!$A$2:$A$41,0))</f>
        <v>1456</v>
      </c>
      <c r="M2213" s="16" t="n">
        <f aca="false">J2213*INDEX(Customers!$I$2:$I$41,MATCH(C2213,Customers!$A$2:$A$41,0))/365*Assumptions!$B$6</f>
        <v>245.144863561644</v>
      </c>
      <c r="N2213" s="16" t="n">
        <f aca="false">J2213-K2213-L2213-M2213</f>
        <v>16008.0179364384</v>
      </c>
      <c r="O2213" s="16" t="n">
        <f aca="false">F2213*IF(A2213="2025",INDEX(Products!$D$2:$D$13,MATCH(D2213,Products!$A$2:$A$13,0)),INDEX(Products!$F$2:$F$13,MATCH(D2213,Products!$A$2:$A$13,0)))</f>
        <v>13496</v>
      </c>
      <c r="P2213" s="16" t="n">
        <f aca="false">N2213-O2213</f>
        <v>2512.01793643836</v>
      </c>
    </row>
    <row r="2214" customFormat="false" ht="15" hidden="false" customHeight="false" outlineLevel="0" collapsed="false">
      <c r="A2214" s="2" t="s">
        <v>118</v>
      </c>
      <c r="B2214" s="2" t="n">
        <v>5</v>
      </c>
      <c r="C2214" s="2" t="s">
        <v>95</v>
      </c>
      <c r="D2214" s="2" t="s">
        <v>37</v>
      </c>
      <c r="E2214" s="2" t="str">
        <f aca="false">INDEX(Products!$B$2:$B$13,MATCH(D2214,Products!$A$2:$A$13,0))</f>
        <v>FCC</v>
      </c>
      <c r="F2214" s="15" t="n">
        <v>6.7</v>
      </c>
      <c r="G2214" s="16" t="n">
        <f aca="false">IF(A2214="2025",INDEX(Products!$C$2:$C$13,MATCH(D2214,Products!$A$2:$A$13,0)),INDEX(Products!$E$2:$E$13,MATCH(D2214,Products!$A$2:$A$13,0)))</f>
        <v>3530</v>
      </c>
      <c r="H2214" s="13" t="n">
        <f aca="false">IF(A2214="2025",INDEX(Customers!$D$2:$D$41,MATCH(C2214,Customers!$A$2:$A$41,0)),INDEX(Customers!$F$2:$F$41,MATCH(C2214,Customers!$A$2:$A$41,0)))</f>
        <v>0.057</v>
      </c>
      <c r="I2214" s="16" t="n">
        <f aca="false">F2214*G2214</f>
        <v>23651</v>
      </c>
      <c r="J2214" s="16" t="n">
        <f aca="false">I2214*(1-H2214)</f>
        <v>22302.893</v>
      </c>
      <c r="K2214" s="16" t="n">
        <f aca="false">J2214*INDEX(Customers!$G$2:$G$41,MATCH(C2214,Customers!$A$2:$A$41,0))</f>
        <v>1115.14465</v>
      </c>
      <c r="L2214" s="16" t="n">
        <f aca="false">F2214*INDEX(Customers!$H$2:$H$41,MATCH(C2214,Customers!$A$2:$A$41,0))</f>
        <v>1742</v>
      </c>
      <c r="M2214" s="16" t="n">
        <f aca="false">J2214*INDEX(Customers!$I$2:$I$41,MATCH(C2214,Customers!$A$2:$A$41,0))/365*Assumptions!$B$6</f>
        <v>293.29831890411</v>
      </c>
      <c r="N2214" s="16" t="n">
        <f aca="false">J2214-K2214-L2214-M2214</f>
        <v>19152.4500310959</v>
      </c>
      <c r="O2214" s="16" t="n">
        <f aca="false">F2214*IF(A2214="2025",INDEX(Products!$D$2:$D$13,MATCH(D2214,Products!$A$2:$A$13,0)),INDEX(Products!$F$2:$F$13,MATCH(D2214,Products!$A$2:$A$13,0)))</f>
        <v>16147</v>
      </c>
      <c r="P2214" s="16" t="n">
        <f aca="false">N2214-O2214</f>
        <v>3005.45003109589</v>
      </c>
    </row>
    <row r="2215" customFormat="false" ht="15" hidden="false" customHeight="false" outlineLevel="0" collapsed="false">
      <c r="A2215" s="2" t="s">
        <v>118</v>
      </c>
      <c r="B2215" s="2" t="n">
        <v>6</v>
      </c>
      <c r="C2215" s="2" t="s">
        <v>95</v>
      </c>
      <c r="D2215" s="2" t="s">
        <v>37</v>
      </c>
      <c r="E2215" s="2" t="str">
        <f aca="false">INDEX(Products!$B$2:$B$13,MATCH(D2215,Products!$A$2:$A$13,0))</f>
        <v>FCC</v>
      </c>
      <c r="F2215" s="15" t="n">
        <v>7</v>
      </c>
      <c r="G2215" s="16" t="n">
        <f aca="false">IF(A2215="2025",INDEX(Products!$C$2:$C$13,MATCH(D2215,Products!$A$2:$A$13,0)),INDEX(Products!$E$2:$E$13,MATCH(D2215,Products!$A$2:$A$13,0)))</f>
        <v>3530</v>
      </c>
      <c r="H2215" s="13" t="n">
        <f aca="false">IF(A2215="2025",INDEX(Customers!$D$2:$D$41,MATCH(C2215,Customers!$A$2:$A$41,0)),INDEX(Customers!$F$2:$F$41,MATCH(C2215,Customers!$A$2:$A$41,0)))</f>
        <v>0.057</v>
      </c>
      <c r="I2215" s="16" t="n">
        <f aca="false">F2215*G2215</f>
        <v>24710</v>
      </c>
      <c r="J2215" s="16" t="n">
        <f aca="false">I2215*(1-H2215)</f>
        <v>23301.53</v>
      </c>
      <c r="K2215" s="16" t="n">
        <f aca="false">J2215*INDEX(Customers!$G$2:$G$41,MATCH(C2215,Customers!$A$2:$A$41,0))</f>
        <v>1165.0765</v>
      </c>
      <c r="L2215" s="16" t="n">
        <f aca="false">F2215*INDEX(Customers!$H$2:$H$41,MATCH(C2215,Customers!$A$2:$A$41,0))</f>
        <v>1820</v>
      </c>
      <c r="M2215" s="16" t="n">
        <f aca="false">J2215*INDEX(Customers!$I$2:$I$41,MATCH(C2215,Customers!$A$2:$A$41,0))/365*Assumptions!$B$6</f>
        <v>306.431079452055</v>
      </c>
      <c r="N2215" s="16" t="n">
        <f aca="false">J2215-K2215-L2215-M2215</f>
        <v>20010.0224205479</v>
      </c>
      <c r="O2215" s="16" t="n">
        <f aca="false">F2215*IF(A2215="2025",INDEX(Products!$D$2:$D$13,MATCH(D2215,Products!$A$2:$A$13,0)),INDEX(Products!$F$2:$F$13,MATCH(D2215,Products!$A$2:$A$13,0)))</f>
        <v>16870</v>
      </c>
      <c r="P2215" s="16" t="n">
        <f aca="false">N2215-O2215</f>
        <v>3140.02242054795</v>
      </c>
    </row>
    <row r="2216" customFormat="false" ht="15" hidden="false" customHeight="false" outlineLevel="0" collapsed="false">
      <c r="A2216" s="2" t="s">
        <v>118</v>
      </c>
      <c r="B2216" s="2" t="n">
        <v>7</v>
      </c>
      <c r="C2216" s="2" t="s">
        <v>95</v>
      </c>
      <c r="D2216" s="2" t="s">
        <v>37</v>
      </c>
      <c r="E2216" s="2" t="str">
        <f aca="false">INDEX(Products!$B$2:$B$13,MATCH(D2216,Products!$A$2:$A$13,0))</f>
        <v>FCC</v>
      </c>
      <c r="F2216" s="15" t="n">
        <v>8</v>
      </c>
      <c r="G2216" s="16" t="n">
        <f aca="false">IF(A2216="2025",INDEX(Products!$C$2:$C$13,MATCH(D2216,Products!$A$2:$A$13,0)),INDEX(Products!$E$2:$E$13,MATCH(D2216,Products!$A$2:$A$13,0)))</f>
        <v>3530</v>
      </c>
      <c r="H2216" s="13" t="n">
        <f aca="false">IF(A2216="2025",INDEX(Customers!$D$2:$D$41,MATCH(C2216,Customers!$A$2:$A$41,0)),INDEX(Customers!$F$2:$F$41,MATCH(C2216,Customers!$A$2:$A$41,0)))</f>
        <v>0.057</v>
      </c>
      <c r="I2216" s="16" t="n">
        <f aca="false">F2216*G2216</f>
        <v>28240</v>
      </c>
      <c r="J2216" s="16" t="n">
        <f aca="false">I2216*(1-H2216)</f>
        <v>26630.32</v>
      </c>
      <c r="K2216" s="16" t="n">
        <f aca="false">J2216*INDEX(Customers!$G$2:$G$41,MATCH(C2216,Customers!$A$2:$A$41,0))</f>
        <v>1331.516</v>
      </c>
      <c r="L2216" s="16" t="n">
        <f aca="false">F2216*INDEX(Customers!$H$2:$H$41,MATCH(C2216,Customers!$A$2:$A$41,0))</f>
        <v>2080</v>
      </c>
      <c r="M2216" s="16" t="n">
        <f aca="false">J2216*INDEX(Customers!$I$2:$I$41,MATCH(C2216,Customers!$A$2:$A$41,0))/365*Assumptions!$B$6</f>
        <v>350.206947945205</v>
      </c>
      <c r="N2216" s="16" t="n">
        <f aca="false">J2216-K2216-L2216-M2216</f>
        <v>22868.5970520548</v>
      </c>
      <c r="O2216" s="16" t="n">
        <f aca="false">F2216*IF(A2216="2025",INDEX(Products!$D$2:$D$13,MATCH(D2216,Products!$A$2:$A$13,0)),INDEX(Products!$F$2:$F$13,MATCH(D2216,Products!$A$2:$A$13,0)))</f>
        <v>19280</v>
      </c>
      <c r="P2216" s="16" t="n">
        <f aca="false">N2216-O2216</f>
        <v>3588.5970520548</v>
      </c>
    </row>
    <row r="2217" customFormat="false" ht="15" hidden="false" customHeight="false" outlineLevel="0" collapsed="false">
      <c r="A2217" s="2" t="s">
        <v>118</v>
      </c>
      <c r="B2217" s="2" t="n">
        <v>8</v>
      </c>
      <c r="C2217" s="2" t="s">
        <v>95</v>
      </c>
      <c r="D2217" s="2" t="s">
        <v>37</v>
      </c>
      <c r="E2217" s="2" t="str">
        <f aca="false">INDEX(Products!$B$2:$B$13,MATCH(D2217,Products!$A$2:$A$13,0))</f>
        <v>FCC</v>
      </c>
      <c r="F2217" s="15" t="n">
        <v>7.5</v>
      </c>
      <c r="G2217" s="16" t="n">
        <f aca="false">IF(A2217="2025",INDEX(Products!$C$2:$C$13,MATCH(D2217,Products!$A$2:$A$13,0)),INDEX(Products!$E$2:$E$13,MATCH(D2217,Products!$A$2:$A$13,0)))</f>
        <v>3530</v>
      </c>
      <c r="H2217" s="13" t="n">
        <f aca="false">IF(A2217="2025",INDEX(Customers!$D$2:$D$41,MATCH(C2217,Customers!$A$2:$A$41,0)),INDEX(Customers!$F$2:$F$41,MATCH(C2217,Customers!$A$2:$A$41,0)))</f>
        <v>0.057</v>
      </c>
      <c r="I2217" s="16" t="n">
        <f aca="false">F2217*G2217</f>
        <v>26475</v>
      </c>
      <c r="J2217" s="16" t="n">
        <f aca="false">I2217*(1-H2217)</f>
        <v>24965.925</v>
      </c>
      <c r="K2217" s="16" t="n">
        <f aca="false">J2217*INDEX(Customers!$G$2:$G$41,MATCH(C2217,Customers!$A$2:$A$41,0))</f>
        <v>1248.29625</v>
      </c>
      <c r="L2217" s="16" t="n">
        <f aca="false">F2217*INDEX(Customers!$H$2:$H$41,MATCH(C2217,Customers!$A$2:$A$41,0))</f>
        <v>1950</v>
      </c>
      <c r="M2217" s="16" t="n">
        <f aca="false">J2217*INDEX(Customers!$I$2:$I$41,MATCH(C2217,Customers!$A$2:$A$41,0))/365*Assumptions!$B$6</f>
        <v>328.31901369863</v>
      </c>
      <c r="N2217" s="16" t="n">
        <f aca="false">J2217-K2217-L2217-M2217</f>
        <v>21439.3097363014</v>
      </c>
      <c r="O2217" s="16" t="n">
        <f aca="false">F2217*IF(A2217="2025",INDEX(Products!$D$2:$D$13,MATCH(D2217,Products!$A$2:$A$13,0)),INDEX(Products!$F$2:$F$13,MATCH(D2217,Products!$A$2:$A$13,0)))</f>
        <v>18075</v>
      </c>
      <c r="P2217" s="16" t="n">
        <f aca="false">N2217-O2217</f>
        <v>3364.30973630137</v>
      </c>
    </row>
    <row r="2218" customFormat="false" ht="15" hidden="false" customHeight="false" outlineLevel="0" collapsed="false">
      <c r="A2218" s="2" t="s">
        <v>118</v>
      </c>
      <c r="B2218" s="2" t="n">
        <v>9</v>
      </c>
      <c r="C2218" s="2" t="s">
        <v>95</v>
      </c>
      <c r="D2218" s="2" t="s">
        <v>37</v>
      </c>
      <c r="E2218" s="2" t="str">
        <f aca="false">INDEX(Products!$B$2:$B$13,MATCH(D2218,Products!$A$2:$A$13,0))</f>
        <v>FCC</v>
      </c>
      <c r="F2218" s="15" t="n">
        <v>6</v>
      </c>
      <c r="G2218" s="16" t="n">
        <f aca="false">IF(A2218="2025",INDEX(Products!$C$2:$C$13,MATCH(D2218,Products!$A$2:$A$13,0)),INDEX(Products!$E$2:$E$13,MATCH(D2218,Products!$A$2:$A$13,0)))</f>
        <v>3530</v>
      </c>
      <c r="H2218" s="13" t="n">
        <f aca="false">IF(A2218="2025",INDEX(Customers!$D$2:$D$41,MATCH(C2218,Customers!$A$2:$A$41,0)),INDEX(Customers!$F$2:$F$41,MATCH(C2218,Customers!$A$2:$A$41,0)))</f>
        <v>0.057</v>
      </c>
      <c r="I2218" s="16" t="n">
        <f aca="false">F2218*G2218</f>
        <v>21180</v>
      </c>
      <c r="J2218" s="16" t="n">
        <f aca="false">I2218*(1-H2218)</f>
        <v>19972.74</v>
      </c>
      <c r="K2218" s="16" t="n">
        <f aca="false">J2218*INDEX(Customers!$G$2:$G$41,MATCH(C2218,Customers!$A$2:$A$41,0))</f>
        <v>998.637</v>
      </c>
      <c r="L2218" s="16" t="n">
        <f aca="false">F2218*INDEX(Customers!$H$2:$H$41,MATCH(C2218,Customers!$A$2:$A$41,0))</f>
        <v>1560</v>
      </c>
      <c r="M2218" s="16" t="n">
        <f aca="false">J2218*INDEX(Customers!$I$2:$I$41,MATCH(C2218,Customers!$A$2:$A$41,0))/365*Assumptions!$B$6</f>
        <v>262.655210958904</v>
      </c>
      <c r="N2218" s="16" t="n">
        <f aca="false">J2218-K2218-L2218-M2218</f>
        <v>17151.4477890411</v>
      </c>
      <c r="O2218" s="16" t="n">
        <f aca="false">F2218*IF(A2218="2025",INDEX(Products!$D$2:$D$13,MATCH(D2218,Products!$A$2:$A$13,0)),INDEX(Products!$F$2:$F$13,MATCH(D2218,Products!$A$2:$A$13,0)))</f>
        <v>14460</v>
      </c>
      <c r="P2218" s="16" t="n">
        <f aca="false">N2218-O2218</f>
        <v>2691.4477890411</v>
      </c>
    </row>
    <row r="2219" customFormat="false" ht="15" hidden="false" customHeight="false" outlineLevel="0" collapsed="false">
      <c r="A2219" s="2" t="s">
        <v>118</v>
      </c>
      <c r="B2219" s="2" t="n">
        <v>10</v>
      </c>
      <c r="C2219" s="2" t="s">
        <v>95</v>
      </c>
      <c r="D2219" s="2" t="s">
        <v>37</v>
      </c>
      <c r="E2219" s="2" t="str">
        <f aca="false">INDEX(Products!$B$2:$B$13,MATCH(D2219,Products!$A$2:$A$13,0))</f>
        <v>FCC</v>
      </c>
      <c r="F2219" s="15" t="n">
        <v>7.5</v>
      </c>
      <c r="G2219" s="16" t="n">
        <f aca="false">IF(A2219="2025",INDEX(Products!$C$2:$C$13,MATCH(D2219,Products!$A$2:$A$13,0)),INDEX(Products!$E$2:$E$13,MATCH(D2219,Products!$A$2:$A$13,0)))</f>
        <v>3530</v>
      </c>
      <c r="H2219" s="13" t="n">
        <f aca="false">IF(A2219="2025",INDEX(Customers!$D$2:$D$41,MATCH(C2219,Customers!$A$2:$A$41,0)),INDEX(Customers!$F$2:$F$41,MATCH(C2219,Customers!$A$2:$A$41,0)))</f>
        <v>0.057</v>
      </c>
      <c r="I2219" s="16" t="n">
        <f aca="false">F2219*G2219</f>
        <v>26475</v>
      </c>
      <c r="J2219" s="16" t="n">
        <f aca="false">I2219*(1-H2219)</f>
        <v>24965.925</v>
      </c>
      <c r="K2219" s="16" t="n">
        <f aca="false">J2219*INDEX(Customers!$G$2:$G$41,MATCH(C2219,Customers!$A$2:$A$41,0))</f>
        <v>1248.29625</v>
      </c>
      <c r="L2219" s="16" t="n">
        <f aca="false">F2219*INDEX(Customers!$H$2:$H$41,MATCH(C2219,Customers!$A$2:$A$41,0))</f>
        <v>1950</v>
      </c>
      <c r="M2219" s="16" t="n">
        <f aca="false">J2219*INDEX(Customers!$I$2:$I$41,MATCH(C2219,Customers!$A$2:$A$41,0))/365*Assumptions!$B$6</f>
        <v>328.31901369863</v>
      </c>
      <c r="N2219" s="16" t="n">
        <f aca="false">J2219-K2219-L2219-M2219</f>
        <v>21439.3097363014</v>
      </c>
      <c r="O2219" s="16" t="n">
        <f aca="false">F2219*IF(A2219="2025",INDEX(Products!$D$2:$D$13,MATCH(D2219,Products!$A$2:$A$13,0)),INDEX(Products!$F$2:$F$13,MATCH(D2219,Products!$A$2:$A$13,0)))</f>
        <v>18075</v>
      </c>
      <c r="P2219" s="16" t="n">
        <f aca="false">N2219-O2219</f>
        <v>3364.30973630137</v>
      </c>
    </row>
    <row r="2220" customFormat="false" ht="15" hidden="false" customHeight="false" outlineLevel="0" collapsed="false">
      <c r="A2220" s="2" t="s">
        <v>118</v>
      </c>
      <c r="B2220" s="2" t="n">
        <v>11</v>
      </c>
      <c r="C2220" s="2" t="s">
        <v>95</v>
      </c>
      <c r="D2220" s="2" t="s">
        <v>37</v>
      </c>
      <c r="E2220" s="2" t="str">
        <f aca="false">INDEX(Products!$B$2:$B$13,MATCH(D2220,Products!$A$2:$A$13,0))</f>
        <v>FCC</v>
      </c>
      <c r="F2220" s="15" t="n">
        <v>7.1</v>
      </c>
      <c r="G2220" s="16" t="n">
        <f aca="false">IF(A2220="2025",INDEX(Products!$C$2:$C$13,MATCH(D2220,Products!$A$2:$A$13,0)),INDEX(Products!$E$2:$E$13,MATCH(D2220,Products!$A$2:$A$13,0)))</f>
        <v>3530</v>
      </c>
      <c r="H2220" s="13" t="n">
        <f aca="false">IF(A2220="2025",INDEX(Customers!$D$2:$D$41,MATCH(C2220,Customers!$A$2:$A$41,0)),INDEX(Customers!$F$2:$F$41,MATCH(C2220,Customers!$A$2:$A$41,0)))</f>
        <v>0.057</v>
      </c>
      <c r="I2220" s="16" t="n">
        <f aca="false">F2220*G2220</f>
        <v>25063</v>
      </c>
      <c r="J2220" s="16" t="n">
        <f aca="false">I2220*(1-H2220)</f>
        <v>23634.409</v>
      </c>
      <c r="K2220" s="16" t="n">
        <f aca="false">J2220*INDEX(Customers!$G$2:$G$41,MATCH(C2220,Customers!$A$2:$A$41,0))</f>
        <v>1181.72045</v>
      </c>
      <c r="L2220" s="16" t="n">
        <f aca="false">F2220*INDEX(Customers!$H$2:$H$41,MATCH(C2220,Customers!$A$2:$A$41,0))</f>
        <v>1846</v>
      </c>
      <c r="M2220" s="16" t="n">
        <f aca="false">J2220*INDEX(Customers!$I$2:$I$41,MATCH(C2220,Customers!$A$2:$A$41,0))/365*Assumptions!$B$6</f>
        <v>310.80866630137</v>
      </c>
      <c r="N2220" s="16" t="n">
        <f aca="false">J2220-K2220-L2220-M2220</f>
        <v>20295.8798836986</v>
      </c>
      <c r="O2220" s="16" t="n">
        <f aca="false">F2220*IF(A2220="2025",INDEX(Products!$D$2:$D$13,MATCH(D2220,Products!$A$2:$A$13,0)),INDEX(Products!$F$2:$F$13,MATCH(D2220,Products!$A$2:$A$13,0)))</f>
        <v>17111</v>
      </c>
      <c r="P2220" s="16" t="n">
        <f aca="false">N2220-O2220</f>
        <v>3184.87988369863</v>
      </c>
    </row>
    <row r="2221" customFormat="false" ht="15" hidden="false" customHeight="false" outlineLevel="0" collapsed="false">
      <c r="A2221" s="2" t="s">
        <v>118</v>
      </c>
      <c r="B2221" s="2" t="n">
        <v>12</v>
      </c>
      <c r="C2221" s="2" t="s">
        <v>95</v>
      </c>
      <c r="D2221" s="2" t="s">
        <v>37</v>
      </c>
      <c r="E2221" s="2" t="str">
        <f aca="false">INDEX(Products!$B$2:$B$13,MATCH(D2221,Products!$A$2:$A$13,0))</f>
        <v>FCC</v>
      </c>
      <c r="F2221" s="15" t="n">
        <v>6.7</v>
      </c>
      <c r="G2221" s="16" t="n">
        <f aca="false">IF(A2221="2025",INDEX(Products!$C$2:$C$13,MATCH(D2221,Products!$A$2:$A$13,0)),INDEX(Products!$E$2:$E$13,MATCH(D2221,Products!$A$2:$A$13,0)))</f>
        <v>3530</v>
      </c>
      <c r="H2221" s="13" t="n">
        <f aca="false">IF(A2221="2025",INDEX(Customers!$D$2:$D$41,MATCH(C2221,Customers!$A$2:$A$41,0)),INDEX(Customers!$F$2:$F$41,MATCH(C2221,Customers!$A$2:$A$41,0)))</f>
        <v>0.057</v>
      </c>
      <c r="I2221" s="16" t="n">
        <f aca="false">F2221*G2221</f>
        <v>23651</v>
      </c>
      <c r="J2221" s="16" t="n">
        <f aca="false">I2221*(1-H2221)</f>
        <v>22302.893</v>
      </c>
      <c r="K2221" s="16" t="n">
        <f aca="false">J2221*INDEX(Customers!$G$2:$G$41,MATCH(C2221,Customers!$A$2:$A$41,0))</f>
        <v>1115.14465</v>
      </c>
      <c r="L2221" s="16" t="n">
        <f aca="false">F2221*INDEX(Customers!$H$2:$H$41,MATCH(C2221,Customers!$A$2:$A$41,0))</f>
        <v>1742</v>
      </c>
      <c r="M2221" s="16" t="n">
        <f aca="false">J2221*INDEX(Customers!$I$2:$I$41,MATCH(C2221,Customers!$A$2:$A$41,0))/365*Assumptions!$B$6</f>
        <v>293.29831890411</v>
      </c>
      <c r="N2221" s="16" t="n">
        <f aca="false">J2221-K2221-L2221-M2221</f>
        <v>19152.4500310959</v>
      </c>
      <c r="O2221" s="16" t="n">
        <f aca="false">F2221*IF(A2221="2025",INDEX(Products!$D$2:$D$13,MATCH(D2221,Products!$A$2:$A$13,0)),INDEX(Products!$F$2:$F$13,MATCH(D2221,Products!$A$2:$A$13,0)))</f>
        <v>16147</v>
      </c>
      <c r="P2221" s="16" t="n">
        <f aca="false">N2221-O2221</f>
        <v>3005.45003109589</v>
      </c>
    </row>
    <row r="2222" customFormat="false" ht="15" hidden="false" customHeight="false" outlineLevel="0" collapsed="false">
      <c r="A2222" s="2" t="s">
        <v>119</v>
      </c>
      <c r="B2222" s="2" t="n">
        <v>1</v>
      </c>
      <c r="C2222" s="2" t="s">
        <v>95</v>
      </c>
      <c r="D2222" s="2" t="s">
        <v>37</v>
      </c>
      <c r="E2222" s="2" t="str">
        <f aca="false">INDEX(Products!$B$2:$B$13,MATCH(D2222,Products!$A$2:$A$13,0))</f>
        <v>FCC</v>
      </c>
      <c r="F2222" s="15" t="n">
        <v>8.2</v>
      </c>
      <c r="G2222" s="16" t="n">
        <f aca="false">IF(A2222="2025",INDEX(Products!$C$2:$C$13,MATCH(D2222,Products!$A$2:$A$13,0)),INDEX(Products!$E$2:$E$13,MATCH(D2222,Products!$A$2:$A$13,0)))</f>
        <v>3706.5</v>
      </c>
      <c r="H2222" s="13" t="n">
        <f aca="false">IF(A2222="2025",INDEX(Customers!$D$2:$D$41,MATCH(C2222,Customers!$A$2:$A$41,0)),INDEX(Customers!$F$2:$F$41,MATCH(C2222,Customers!$A$2:$A$41,0)))</f>
        <v>0.067</v>
      </c>
      <c r="I2222" s="16" t="n">
        <f aca="false">F2222*G2222</f>
        <v>30393.3</v>
      </c>
      <c r="J2222" s="16" t="n">
        <f aca="false">I2222*(1-H2222)</f>
        <v>28356.9489</v>
      </c>
      <c r="K2222" s="16" t="n">
        <f aca="false">J2222*INDEX(Customers!$G$2:$G$41,MATCH(C2222,Customers!$A$2:$A$41,0))</f>
        <v>1417.847445</v>
      </c>
      <c r="L2222" s="16" t="n">
        <f aca="false">F2222*INDEX(Customers!$H$2:$H$41,MATCH(C2222,Customers!$A$2:$A$41,0))</f>
        <v>2132</v>
      </c>
      <c r="M2222" s="16" t="n">
        <f aca="false">J2222*INDEX(Customers!$I$2:$I$41,MATCH(C2222,Customers!$A$2:$A$41,0))/365*Assumptions!$B$6</f>
        <v>372.91330060274</v>
      </c>
      <c r="N2222" s="16" t="n">
        <f aca="false">J2222-K2222-L2222-M2222</f>
        <v>24434.1881543973</v>
      </c>
      <c r="O2222" s="16" t="n">
        <f aca="false">F2222*IF(A2222="2025",INDEX(Products!$D$2:$D$13,MATCH(D2222,Products!$A$2:$A$13,0)),INDEX(Products!$F$2:$F$13,MATCH(D2222,Products!$A$2:$A$13,0)))</f>
        <v>20354.86</v>
      </c>
      <c r="P2222" s="16" t="n">
        <f aca="false">N2222-O2222</f>
        <v>4079.32815439726</v>
      </c>
    </row>
    <row r="2223" customFormat="false" ht="15" hidden="false" customHeight="false" outlineLevel="0" collapsed="false">
      <c r="A2223" s="2" t="s">
        <v>119</v>
      </c>
      <c r="B2223" s="2" t="n">
        <v>2</v>
      </c>
      <c r="C2223" s="2" t="s">
        <v>95</v>
      </c>
      <c r="D2223" s="2" t="s">
        <v>37</v>
      </c>
      <c r="E2223" s="2" t="str">
        <f aca="false">INDEX(Products!$B$2:$B$13,MATCH(D2223,Products!$A$2:$A$13,0))</f>
        <v>FCC</v>
      </c>
      <c r="F2223" s="15" t="n">
        <v>7.4</v>
      </c>
      <c r="G2223" s="16" t="n">
        <f aca="false">IF(A2223="2025",INDEX(Products!$C$2:$C$13,MATCH(D2223,Products!$A$2:$A$13,0)),INDEX(Products!$E$2:$E$13,MATCH(D2223,Products!$A$2:$A$13,0)))</f>
        <v>3706.5</v>
      </c>
      <c r="H2223" s="13" t="n">
        <f aca="false">IF(A2223="2025",INDEX(Customers!$D$2:$D$41,MATCH(C2223,Customers!$A$2:$A$41,0)),INDEX(Customers!$F$2:$F$41,MATCH(C2223,Customers!$A$2:$A$41,0)))</f>
        <v>0.067</v>
      </c>
      <c r="I2223" s="16" t="n">
        <f aca="false">F2223*G2223</f>
        <v>27428.1</v>
      </c>
      <c r="J2223" s="16" t="n">
        <f aca="false">I2223*(1-H2223)</f>
        <v>25590.4173</v>
      </c>
      <c r="K2223" s="16" t="n">
        <f aca="false">J2223*INDEX(Customers!$G$2:$G$41,MATCH(C2223,Customers!$A$2:$A$41,0))</f>
        <v>1279.520865</v>
      </c>
      <c r="L2223" s="16" t="n">
        <f aca="false">F2223*INDEX(Customers!$H$2:$H$41,MATCH(C2223,Customers!$A$2:$A$41,0))</f>
        <v>1924</v>
      </c>
      <c r="M2223" s="16" t="n">
        <f aca="false">J2223*INDEX(Customers!$I$2:$I$41,MATCH(C2223,Customers!$A$2:$A$41,0))/365*Assumptions!$B$6</f>
        <v>336.531515178082</v>
      </c>
      <c r="N2223" s="16" t="n">
        <f aca="false">J2223-K2223-L2223-M2223</f>
        <v>22050.3649198219</v>
      </c>
      <c r="O2223" s="16" t="n">
        <f aca="false">F2223*IF(A2223="2025",INDEX(Products!$D$2:$D$13,MATCH(D2223,Products!$A$2:$A$13,0)),INDEX(Products!$F$2:$F$13,MATCH(D2223,Products!$A$2:$A$13,0)))</f>
        <v>18369.02</v>
      </c>
      <c r="P2223" s="16" t="n">
        <f aca="false">N2223-O2223</f>
        <v>3681.34491982192</v>
      </c>
    </row>
    <row r="2224" customFormat="false" ht="15" hidden="false" customHeight="false" outlineLevel="0" collapsed="false">
      <c r="A2224" s="2" t="s">
        <v>119</v>
      </c>
      <c r="B2224" s="2" t="n">
        <v>3</v>
      </c>
      <c r="C2224" s="2" t="s">
        <v>95</v>
      </c>
      <c r="D2224" s="2" t="s">
        <v>37</v>
      </c>
      <c r="E2224" s="2" t="str">
        <f aca="false">INDEX(Products!$B$2:$B$13,MATCH(D2224,Products!$A$2:$A$13,0))</f>
        <v>FCC</v>
      </c>
      <c r="F2224" s="15" t="n">
        <v>8.4</v>
      </c>
      <c r="G2224" s="16" t="n">
        <f aca="false">IF(A2224="2025",INDEX(Products!$C$2:$C$13,MATCH(D2224,Products!$A$2:$A$13,0)),INDEX(Products!$E$2:$E$13,MATCH(D2224,Products!$A$2:$A$13,0)))</f>
        <v>3706.5</v>
      </c>
      <c r="H2224" s="13" t="n">
        <f aca="false">IF(A2224="2025",INDEX(Customers!$D$2:$D$41,MATCH(C2224,Customers!$A$2:$A$41,0)),INDEX(Customers!$F$2:$F$41,MATCH(C2224,Customers!$A$2:$A$41,0)))</f>
        <v>0.067</v>
      </c>
      <c r="I2224" s="16" t="n">
        <f aca="false">F2224*G2224</f>
        <v>31134.6</v>
      </c>
      <c r="J2224" s="16" t="n">
        <f aca="false">I2224*(1-H2224)</f>
        <v>29048.5818</v>
      </c>
      <c r="K2224" s="16" t="n">
        <f aca="false">J2224*INDEX(Customers!$G$2:$G$41,MATCH(C2224,Customers!$A$2:$A$41,0))</f>
        <v>1452.42909</v>
      </c>
      <c r="L2224" s="16" t="n">
        <f aca="false">F2224*INDEX(Customers!$H$2:$H$41,MATCH(C2224,Customers!$A$2:$A$41,0))</f>
        <v>2184</v>
      </c>
      <c r="M2224" s="16" t="n">
        <f aca="false">J2224*INDEX(Customers!$I$2:$I$41,MATCH(C2224,Customers!$A$2:$A$41,0))/365*Assumptions!$B$6</f>
        <v>382.008746958904</v>
      </c>
      <c r="N2224" s="16" t="n">
        <f aca="false">J2224-K2224-L2224-M2224</f>
        <v>25030.1439630411</v>
      </c>
      <c r="O2224" s="16" t="n">
        <f aca="false">F2224*IF(A2224="2025",INDEX(Products!$D$2:$D$13,MATCH(D2224,Products!$A$2:$A$13,0)),INDEX(Products!$F$2:$F$13,MATCH(D2224,Products!$A$2:$A$13,0)))</f>
        <v>20851.32</v>
      </c>
      <c r="P2224" s="16" t="n">
        <f aca="false">N2224-O2224</f>
        <v>4178.82396304109</v>
      </c>
    </row>
    <row r="2225" customFormat="false" ht="15" hidden="false" customHeight="false" outlineLevel="0" collapsed="false">
      <c r="A2225" s="2" t="s">
        <v>119</v>
      </c>
      <c r="B2225" s="2" t="n">
        <v>4</v>
      </c>
      <c r="C2225" s="2" t="s">
        <v>95</v>
      </c>
      <c r="D2225" s="2" t="s">
        <v>37</v>
      </c>
      <c r="E2225" s="2" t="str">
        <f aca="false">INDEX(Products!$B$2:$B$13,MATCH(D2225,Products!$A$2:$A$13,0))</f>
        <v>FCC</v>
      </c>
      <c r="F2225" s="15" t="n">
        <v>9.6</v>
      </c>
      <c r="G2225" s="16" t="n">
        <f aca="false">IF(A2225="2025",INDEX(Products!$C$2:$C$13,MATCH(D2225,Products!$A$2:$A$13,0)),INDEX(Products!$E$2:$E$13,MATCH(D2225,Products!$A$2:$A$13,0)))</f>
        <v>3706.5</v>
      </c>
      <c r="H2225" s="13" t="n">
        <f aca="false">IF(A2225="2025",INDEX(Customers!$D$2:$D$41,MATCH(C2225,Customers!$A$2:$A$41,0)),INDEX(Customers!$F$2:$F$41,MATCH(C2225,Customers!$A$2:$A$41,0)))</f>
        <v>0.067</v>
      </c>
      <c r="I2225" s="16" t="n">
        <f aca="false">F2225*G2225</f>
        <v>35582.4</v>
      </c>
      <c r="J2225" s="16" t="n">
        <f aca="false">I2225*(1-H2225)</f>
        <v>33198.3792</v>
      </c>
      <c r="K2225" s="16" t="n">
        <f aca="false">J2225*INDEX(Customers!$G$2:$G$41,MATCH(C2225,Customers!$A$2:$A$41,0))</f>
        <v>1659.91896</v>
      </c>
      <c r="L2225" s="16" t="n">
        <f aca="false">F2225*INDEX(Customers!$H$2:$H$41,MATCH(C2225,Customers!$A$2:$A$41,0))</f>
        <v>2496</v>
      </c>
      <c r="M2225" s="16" t="n">
        <f aca="false">J2225*INDEX(Customers!$I$2:$I$41,MATCH(C2225,Customers!$A$2:$A$41,0))/365*Assumptions!$B$6</f>
        <v>436.58142509589</v>
      </c>
      <c r="N2225" s="16" t="n">
        <f aca="false">J2225-K2225-L2225-M2225</f>
        <v>28605.8788149041</v>
      </c>
      <c r="O2225" s="16" t="n">
        <f aca="false">F2225*IF(A2225="2025",INDEX(Products!$D$2:$D$13,MATCH(D2225,Products!$A$2:$A$13,0)),INDEX(Products!$F$2:$F$13,MATCH(D2225,Products!$A$2:$A$13,0)))</f>
        <v>23830.08</v>
      </c>
      <c r="P2225" s="16" t="n">
        <f aca="false">N2225-O2225</f>
        <v>4775.79881490411</v>
      </c>
    </row>
    <row r="2226" customFormat="false" ht="15" hidden="false" customHeight="false" outlineLevel="0" collapsed="false">
      <c r="A2226" s="2" t="s">
        <v>119</v>
      </c>
      <c r="B2226" s="2" t="n">
        <v>5</v>
      </c>
      <c r="C2226" s="2" t="s">
        <v>95</v>
      </c>
      <c r="D2226" s="2" t="s">
        <v>37</v>
      </c>
      <c r="E2226" s="2" t="str">
        <f aca="false">INDEX(Products!$B$2:$B$13,MATCH(D2226,Products!$A$2:$A$13,0))</f>
        <v>FCC</v>
      </c>
      <c r="F2226" s="15" t="n">
        <v>7.9</v>
      </c>
      <c r="G2226" s="16" t="n">
        <f aca="false">IF(A2226="2025",INDEX(Products!$C$2:$C$13,MATCH(D2226,Products!$A$2:$A$13,0)),INDEX(Products!$E$2:$E$13,MATCH(D2226,Products!$A$2:$A$13,0)))</f>
        <v>3706.5</v>
      </c>
      <c r="H2226" s="13" t="n">
        <f aca="false">IF(A2226="2025",INDEX(Customers!$D$2:$D$41,MATCH(C2226,Customers!$A$2:$A$41,0)),INDEX(Customers!$F$2:$F$41,MATCH(C2226,Customers!$A$2:$A$41,0)))</f>
        <v>0.067</v>
      </c>
      <c r="I2226" s="16" t="n">
        <f aca="false">F2226*G2226</f>
        <v>29281.35</v>
      </c>
      <c r="J2226" s="16" t="n">
        <f aca="false">I2226*(1-H2226)</f>
        <v>27319.49955</v>
      </c>
      <c r="K2226" s="16" t="n">
        <f aca="false">J2226*INDEX(Customers!$G$2:$G$41,MATCH(C2226,Customers!$A$2:$A$41,0))</f>
        <v>1365.9749775</v>
      </c>
      <c r="L2226" s="16" t="n">
        <f aca="false">F2226*INDEX(Customers!$H$2:$H$41,MATCH(C2226,Customers!$A$2:$A$41,0))</f>
        <v>2054</v>
      </c>
      <c r="M2226" s="16" t="n">
        <f aca="false">J2226*INDEX(Customers!$I$2:$I$41,MATCH(C2226,Customers!$A$2:$A$41,0))/365*Assumptions!$B$6</f>
        <v>359.270131068493</v>
      </c>
      <c r="N2226" s="16" t="n">
        <f aca="false">J2226-K2226-L2226-M2226</f>
        <v>23540.2544414315</v>
      </c>
      <c r="O2226" s="16" t="n">
        <f aca="false">F2226*IF(A2226="2025",INDEX(Products!$D$2:$D$13,MATCH(D2226,Products!$A$2:$A$13,0)),INDEX(Products!$F$2:$F$13,MATCH(D2226,Products!$A$2:$A$13,0)))</f>
        <v>19610.17</v>
      </c>
      <c r="P2226" s="16" t="n">
        <f aca="false">N2226-O2226</f>
        <v>3930.08444143151</v>
      </c>
    </row>
    <row r="2227" customFormat="false" ht="15" hidden="false" customHeight="false" outlineLevel="0" collapsed="false">
      <c r="A2227" s="2" t="s">
        <v>119</v>
      </c>
      <c r="B2227" s="2" t="n">
        <v>6</v>
      </c>
      <c r="C2227" s="2" t="s">
        <v>95</v>
      </c>
      <c r="D2227" s="2" t="s">
        <v>37</v>
      </c>
      <c r="E2227" s="2" t="str">
        <f aca="false">INDEX(Products!$B$2:$B$13,MATCH(D2227,Products!$A$2:$A$13,0))</f>
        <v>FCC</v>
      </c>
      <c r="F2227" s="15" t="n">
        <v>8.3</v>
      </c>
      <c r="G2227" s="16" t="n">
        <f aca="false">IF(A2227="2025",INDEX(Products!$C$2:$C$13,MATCH(D2227,Products!$A$2:$A$13,0)),INDEX(Products!$E$2:$E$13,MATCH(D2227,Products!$A$2:$A$13,0)))</f>
        <v>3706.5</v>
      </c>
      <c r="H2227" s="13" t="n">
        <f aca="false">IF(A2227="2025",INDEX(Customers!$D$2:$D$41,MATCH(C2227,Customers!$A$2:$A$41,0)),INDEX(Customers!$F$2:$F$41,MATCH(C2227,Customers!$A$2:$A$41,0)))</f>
        <v>0.067</v>
      </c>
      <c r="I2227" s="16" t="n">
        <f aca="false">F2227*G2227</f>
        <v>30763.95</v>
      </c>
      <c r="J2227" s="16" t="n">
        <f aca="false">I2227*(1-H2227)</f>
        <v>28702.76535</v>
      </c>
      <c r="K2227" s="16" t="n">
        <f aca="false">J2227*INDEX(Customers!$G$2:$G$41,MATCH(C2227,Customers!$A$2:$A$41,0))</f>
        <v>1435.1382675</v>
      </c>
      <c r="L2227" s="16" t="n">
        <f aca="false">F2227*INDEX(Customers!$H$2:$H$41,MATCH(C2227,Customers!$A$2:$A$41,0))</f>
        <v>2158</v>
      </c>
      <c r="M2227" s="16" t="n">
        <f aca="false">J2227*INDEX(Customers!$I$2:$I$41,MATCH(C2227,Customers!$A$2:$A$41,0))/365*Assumptions!$B$6</f>
        <v>377.461023780822</v>
      </c>
      <c r="N2227" s="16" t="n">
        <f aca="false">J2227-K2227-L2227-M2227</f>
        <v>24732.1660587192</v>
      </c>
      <c r="O2227" s="16" t="n">
        <f aca="false">F2227*IF(A2227="2025",INDEX(Products!$D$2:$D$13,MATCH(D2227,Products!$A$2:$A$13,0)),INDEX(Products!$F$2:$F$13,MATCH(D2227,Products!$A$2:$A$13,0)))</f>
        <v>20603.09</v>
      </c>
      <c r="P2227" s="16" t="n">
        <f aca="false">N2227-O2227</f>
        <v>4129.07605871918</v>
      </c>
    </row>
    <row r="2228" customFormat="false" ht="15" hidden="false" customHeight="false" outlineLevel="0" collapsed="false">
      <c r="A2228" s="2" t="s">
        <v>119</v>
      </c>
      <c r="B2228" s="2" t="n">
        <v>7</v>
      </c>
      <c r="C2228" s="2" t="s">
        <v>95</v>
      </c>
      <c r="D2228" s="2" t="s">
        <v>37</v>
      </c>
      <c r="E2228" s="2" t="str">
        <f aca="false">INDEX(Products!$B$2:$B$13,MATCH(D2228,Products!$A$2:$A$13,0))</f>
        <v>FCC</v>
      </c>
      <c r="F2228" s="15" t="n">
        <v>6.7</v>
      </c>
      <c r="G2228" s="16" t="n">
        <f aca="false">IF(A2228="2025",INDEX(Products!$C$2:$C$13,MATCH(D2228,Products!$A$2:$A$13,0)),INDEX(Products!$E$2:$E$13,MATCH(D2228,Products!$A$2:$A$13,0)))</f>
        <v>3706.5</v>
      </c>
      <c r="H2228" s="13" t="n">
        <f aca="false">IF(A2228="2025",INDEX(Customers!$D$2:$D$41,MATCH(C2228,Customers!$A$2:$A$41,0)),INDEX(Customers!$F$2:$F$41,MATCH(C2228,Customers!$A$2:$A$41,0)))</f>
        <v>0.067</v>
      </c>
      <c r="I2228" s="16" t="n">
        <f aca="false">F2228*G2228</f>
        <v>24833.55</v>
      </c>
      <c r="J2228" s="16" t="n">
        <f aca="false">I2228*(1-H2228)</f>
        <v>23169.70215</v>
      </c>
      <c r="K2228" s="16" t="n">
        <f aca="false">J2228*INDEX(Customers!$G$2:$G$41,MATCH(C2228,Customers!$A$2:$A$41,0))</f>
        <v>1158.4851075</v>
      </c>
      <c r="L2228" s="16" t="n">
        <f aca="false">F2228*INDEX(Customers!$H$2:$H$41,MATCH(C2228,Customers!$A$2:$A$41,0))</f>
        <v>1742</v>
      </c>
      <c r="M2228" s="16" t="n">
        <f aca="false">J2228*INDEX(Customers!$I$2:$I$41,MATCH(C2228,Customers!$A$2:$A$41,0))/365*Assumptions!$B$6</f>
        <v>304.697452931507</v>
      </c>
      <c r="N2228" s="16" t="n">
        <f aca="false">J2228-K2228-L2228-M2228</f>
        <v>19964.5195895685</v>
      </c>
      <c r="O2228" s="16" t="n">
        <f aca="false">F2228*IF(A2228="2025",INDEX(Products!$D$2:$D$13,MATCH(D2228,Products!$A$2:$A$13,0)),INDEX(Products!$F$2:$F$13,MATCH(D2228,Products!$A$2:$A$13,0)))</f>
        <v>16631.41</v>
      </c>
      <c r="P2228" s="16" t="n">
        <f aca="false">N2228-O2228</f>
        <v>3333.10958956849</v>
      </c>
    </row>
    <row r="2229" customFormat="false" ht="15" hidden="false" customHeight="false" outlineLevel="0" collapsed="false">
      <c r="A2229" s="2" t="s">
        <v>119</v>
      </c>
      <c r="B2229" s="2" t="n">
        <v>8</v>
      </c>
      <c r="C2229" s="2" t="s">
        <v>95</v>
      </c>
      <c r="D2229" s="2" t="s">
        <v>37</v>
      </c>
      <c r="E2229" s="2" t="str">
        <f aca="false">INDEX(Products!$B$2:$B$13,MATCH(D2229,Products!$A$2:$A$13,0))</f>
        <v>FCC</v>
      </c>
      <c r="F2229" s="15" t="n">
        <v>6.9</v>
      </c>
      <c r="G2229" s="16" t="n">
        <f aca="false">IF(A2229="2025",INDEX(Products!$C$2:$C$13,MATCH(D2229,Products!$A$2:$A$13,0)),INDEX(Products!$E$2:$E$13,MATCH(D2229,Products!$A$2:$A$13,0)))</f>
        <v>3706.5</v>
      </c>
      <c r="H2229" s="13" t="n">
        <f aca="false">IF(A2229="2025",INDEX(Customers!$D$2:$D$41,MATCH(C2229,Customers!$A$2:$A$41,0)),INDEX(Customers!$F$2:$F$41,MATCH(C2229,Customers!$A$2:$A$41,0)))</f>
        <v>0.067</v>
      </c>
      <c r="I2229" s="16" t="n">
        <f aca="false">F2229*G2229</f>
        <v>25574.85</v>
      </c>
      <c r="J2229" s="16" t="n">
        <f aca="false">I2229*(1-H2229)</f>
        <v>23861.33505</v>
      </c>
      <c r="K2229" s="16" t="n">
        <f aca="false">J2229*INDEX(Customers!$G$2:$G$41,MATCH(C2229,Customers!$A$2:$A$41,0))</f>
        <v>1193.0667525</v>
      </c>
      <c r="L2229" s="16" t="n">
        <f aca="false">F2229*INDEX(Customers!$H$2:$H$41,MATCH(C2229,Customers!$A$2:$A$41,0))</f>
        <v>1794</v>
      </c>
      <c r="M2229" s="16" t="n">
        <f aca="false">J2229*INDEX(Customers!$I$2:$I$41,MATCH(C2229,Customers!$A$2:$A$41,0))/365*Assumptions!$B$6</f>
        <v>313.792899287671</v>
      </c>
      <c r="N2229" s="16" t="n">
        <f aca="false">J2229-K2229-L2229-M2229</f>
        <v>20560.4753982123</v>
      </c>
      <c r="O2229" s="16" t="n">
        <f aca="false">F2229*IF(A2229="2025",INDEX(Products!$D$2:$D$13,MATCH(D2229,Products!$A$2:$A$13,0)),INDEX(Products!$F$2:$F$13,MATCH(D2229,Products!$A$2:$A$13,0)))</f>
        <v>17127.87</v>
      </c>
      <c r="P2229" s="16" t="n">
        <f aca="false">N2229-O2229</f>
        <v>3432.60539821233</v>
      </c>
    </row>
    <row r="2230" customFormat="false" ht="15" hidden="false" customHeight="false" outlineLevel="0" collapsed="false">
      <c r="A2230" s="2" t="s">
        <v>119</v>
      </c>
      <c r="B2230" s="2" t="n">
        <v>9</v>
      </c>
      <c r="C2230" s="2" t="s">
        <v>95</v>
      </c>
      <c r="D2230" s="2" t="s">
        <v>37</v>
      </c>
      <c r="E2230" s="2" t="str">
        <f aca="false">INDEX(Products!$B$2:$B$13,MATCH(D2230,Products!$A$2:$A$13,0))</f>
        <v>FCC</v>
      </c>
      <c r="F2230" s="15" t="n">
        <v>5.9</v>
      </c>
      <c r="G2230" s="16" t="n">
        <f aca="false">IF(A2230="2025",INDEX(Products!$C$2:$C$13,MATCH(D2230,Products!$A$2:$A$13,0)),INDEX(Products!$E$2:$E$13,MATCH(D2230,Products!$A$2:$A$13,0)))</f>
        <v>3706.5</v>
      </c>
      <c r="H2230" s="13" t="n">
        <f aca="false">IF(A2230="2025",INDEX(Customers!$D$2:$D$41,MATCH(C2230,Customers!$A$2:$A$41,0)),INDEX(Customers!$F$2:$F$41,MATCH(C2230,Customers!$A$2:$A$41,0)))</f>
        <v>0.067</v>
      </c>
      <c r="I2230" s="16" t="n">
        <f aca="false">F2230*G2230</f>
        <v>21868.35</v>
      </c>
      <c r="J2230" s="16" t="n">
        <f aca="false">I2230*(1-H2230)</f>
        <v>20403.17055</v>
      </c>
      <c r="K2230" s="16" t="n">
        <f aca="false">J2230*INDEX(Customers!$G$2:$G$41,MATCH(C2230,Customers!$A$2:$A$41,0))</f>
        <v>1020.1585275</v>
      </c>
      <c r="L2230" s="16" t="n">
        <f aca="false">F2230*INDEX(Customers!$H$2:$H$41,MATCH(C2230,Customers!$A$2:$A$41,0))</f>
        <v>1534</v>
      </c>
      <c r="M2230" s="16" t="n">
        <f aca="false">J2230*INDEX(Customers!$I$2:$I$41,MATCH(C2230,Customers!$A$2:$A$41,0))/365*Assumptions!$B$6</f>
        <v>268.315667506849</v>
      </c>
      <c r="N2230" s="16" t="n">
        <f aca="false">J2230-K2230-L2230-M2230</f>
        <v>17580.6963549932</v>
      </c>
      <c r="O2230" s="16" t="n">
        <f aca="false">F2230*IF(A2230="2025",INDEX(Products!$D$2:$D$13,MATCH(D2230,Products!$A$2:$A$13,0)),INDEX(Products!$F$2:$F$13,MATCH(D2230,Products!$A$2:$A$13,0)))</f>
        <v>14645.57</v>
      </c>
      <c r="P2230" s="16" t="n">
        <f aca="false">N2230-O2230</f>
        <v>2935.12635499315</v>
      </c>
    </row>
    <row r="2231" customFormat="false" ht="15" hidden="false" customHeight="false" outlineLevel="0" collapsed="false">
      <c r="A2231" s="2" t="s">
        <v>119</v>
      </c>
      <c r="B2231" s="2" t="n">
        <v>10</v>
      </c>
      <c r="C2231" s="2" t="s">
        <v>95</v>
      </c>
      <c r="D2231" s="2" t="s">
        <v>37</v>
      </c>
      <c r="E2231" s="2" t="str">
        <f aca="false">INDEX(Products!$B$2:$B$13,MATCH(D2231,Products!$A$2:$A$13,0))</f>
        <v>FCC</v>
      </c>
      <c r="F2231" s="15" t="n">
        <v>8.2</v>
      </c>
      <c r="G2231" s="16" t="n">
        <f aca="false">IF(A2231="2025",INDEX(Products!$C$2:$C$13,MATCH(D2231,Products!$A$2:$A$13,0)),INDEX(Products!$E$2:$E$13,MATCH(D2231,Products!$A$2:$A$13,0)))</f>
        <v>3706.5</v>
      </c>
      <c r="H2231" s="13" t="n">
        <f aca="false">IF(A2231="2025",INDEX(Customers!$D$2:$D$41,MATCH(C2231,Customers!$A$2:$A$41,0)),INDEX(Customers!$F$2:$F$41,MATCH(C2231,Customers!$A$2:$A$41,0)))</f>
        <v>0.067</v>
      </c>
      <c r="I2231" s="16" t="n">
        <f aca="false">F2231*G2231</f>
        <v>30393.3</v>
      </c>
      <c r="J2231" s="16" t="n">
        <f aca="false">I2231*(1-H2231)</f>
        <v>28356.9489</v>
      </c>
      <c r="K2231" s="16" t="n">
        <f aca="false">J2231*INDEX(Customers!$G$2:$G$41,MATCH(C2231,Customers!$A$2:$A$41,0))</f>
        <v>1417.847445</v>
      </c>
      <c r="L2231" s="16" t="n">
        <f aca="false">F2231*INDEX(Customers!$H$2:$H$41,MATCH(C2231,Customers!$A$2:$A$41,0))</f>
        <v>2132</v>
      </c>
      <c r="M2231" s="16" t="n">
        <f aca="false">J2231*INDEX(Customers!$I$2:$I$41,MATCH(C2231,Customers!$A$2:$A$41,0))/365*Assumptions!$B$6</f>
        <v>372.91330060274</v>
      </c>
      <c r="N2231" s="16" t="n">
        <f aca="false">J2231-K2231-L2231-M2231</f>
        <v>24434.1881543973</v>
      </c>
      <c r="O2231" s="16" t="n">
        <f aca="false">F2231*IF(A2231="2025",INDEX(Products!$D$2:$D$13,MATCH(D2231,Products!$A$2:$A$13,0)),INDEX(Products!$F$2:$F$13,MATCH(D2231,Products!$A$2:$A$13,0)))</f>
        <v>20354.86</v>
      </c>
      <c r="P2231" s="16" t="n">
        <f aca="false">N2231-O2231</f>
        <v>4079.32815439726</v>
      </c>
    </row>
    <row r="2232" customFormat="false" ht="15" hidden="false" customHeight="false" outlineLevel="0" collapsed="false">
      <c r="A2232" s="2" t="s">
        <v>119</v>
      </c>
      <c r="B2232" s="2" t="n">
        <v>11</v>
      </c>
      <c r="C2232" s="2" t="s">
        <v>95</v>
      </c>
      <c r="D2232" s="2" t="s">
        <v>37</v>
      </c>
      <c r="E2232" s="2" t="str">
        <f aca="false">INDEX(Products!$B$2:$B$13,MATCH(D2232,Products!$A$2:$A$13,0))</f>
        <v>FCC</v>
      </c>
      <c r="F2232" s="15" t="n">
        <v>6.7</v>
      </c>
      <c r="G2232" s="16" t="n">
        <f aca="false">IF(A2232="2025",INDEX(Products!$C$2:$C$13,MATCH(D2232,Products!$A$2:$A$13,0)),INDEX(Products!$E$2:$E$13,MATCH(D2232,Products!$A$2:$A$13,0)))</f>
        <v>3706.5</v>
      </c>
      <c r="H2232" s="13" t="n">
        <f aca="false">IF(A2232="2025",INDEX(Customers!$D$2:$D$41,MATCH(C2232,Customers!$A$2:$A$41,0)),INDEX(Customers!$F$2:$F$41,MATCH(C2232,Customers!$A$2:$A$41,0)))</f>
        <v>0.067</v>
      </c>
      <c r="I2232" s="16" t="n">
        <f aca="false">F2232*G2232</f>
        <v>24833.55</v>
      </c>
      <c r="J2232" s="16" t="n">
        <f aca="false">I2232*(1-H2232)</f>
        <v>23169.70215</v>
      </c>
      <c r="K2232" s="16" t="n">
        <f aca="false">J2232*INDEX(Customers!$G$2:$G$41,MATCH(C2232,Customers!$A$2:$A$41,0))</f>
        <v>1158.4851075</v>
      </c>
      <c r="L2232" s="16" t="n">
        <f aca="false">F2232*INDEX(Customers!$H$2:$H$41,MATCH(C2232,Customers!$A$2:$A$41,0))</f>
        <v>1742</v>
      </c>
      <c r="M2232" s="16" t="n">
        <f aca="false">J2232*INDEX(Customers!$I$2:$I$41,MATCH(C2232,Customers!$A$2:$A$41,0))/365*Assumptions!$B$6</f>
        <v>304.697452931507</v>
      </c>
      <c r="N2232" s="16" t="n">
        <f aca="false">J2232-K2232-L2232-M2232</f>
        <v>19964.5195895685</v>
      </c>
      <c r="O2232" s="16" t="n">
        <f aca="false">F2232*IF(A2232="2025",INDEX(Products!$D$2:$D$13,MATCH(D2232,Products!$A$2:$A$13,0)),INDEX(Products!$F$2:$F$13,MATCH(D2232,Products!$A$2:$A$13,0)))</f>
        <v>16631.41</v>
      </c>
      <c r="P2232" s="16" t="n">
        <f aca="false">N2232-O2232</f>
        <v>3333.10958956849</v>
      </c>
    </row>
    <row r="2233" customFormat="false" ht="15" hidden="false" customHeight="false" outlineLevel="0" collapsed="false">
      <c r="A2233" s="2" t="s">
        <v>119</v>
      </c>
      <c r="B2233" s="2" t="n">
        <v>12</v>
      </c>
      <c r="C2233" s="2" t="s">
        <v>95</v>
      </c>
      <c r="D2233" s="2" t="s">
        <v>37</v>
      </c>
      <c r="E2233" s="2" t="str">
        <f aca="false">INDEX(Products!$B$2:$B$13,MATCH(D2233,Products!$A$2:$A$13,0))</f>
        <v>FCC</v>
      </c>
      <c r="F2233" s="15" t="n">
        <v>6.4</v>
      </c>
      <c r="G2233" s="16" t="n">
        <f aca="false">IF(A2233="2025",INDEX(Products!$C$2:$C$13,MATCH(D2233,Products!$A$2:$A$13,0)),INDEX(Products!$E$2:$E$13,MATCH(D2233,Products!$A$2:$A$13,0)))</f>
        <v>3706.5</v>
      </c>
      <c r="H2233" s="13" t="n">
        <f aca="false">IF(A2233="2025",INDEX(Customers!$D$2:$D$41,MATCH(C2233,Customers!$A$2:$A$41,0)),INDEX(Customers!$F$2:$F$41,MATCH(C2233,Customers!$A$2:$A$41,0)))</f>
        <v>0.067</v>
      </c>
      <c r="I2233" s="16" t="n">
        <f aca="false">F2233*G2233</f>
        <v>23721.6</v>
      </c>
      <c r="J2233" s="16" t="n">
        <f aca="false">I2233*(1-H2233)</f>
        <v>22132.2528</v>
      </c>
      <c r="K2233" s="16" t="n">
        <f aca="false">J2233*INDEX(Customers!$G$2:$G$41,MATCH(C2233,Customers!$A$2:$A$41,0))</f>
        <v>1106.61264</v>
      </c>
      <c r="L2233" s="16" t="n">
        <f aca="false">F2233*INDEX(Customers!$H$2:$H$41,MATCH(C2233,Customers!$A$2:$A$41,0))</f>
        <v>1664</v>
      </c>
      <c r="M2233" s="16" t="n">
        <f aca="false">J2233*INDEX(Customers!$I$2:$I$41,MATCH(C2233,Customers!$A$2:$A$41,0))/365*Assumptions!$B$6</f>
        <v>291.05428339726</v>
      </c>
      <c r="N2233" s="16" t="n">
        <f aca="false">J2233-K2233-L2233-M2233</f>
        <v>19070.5858766027</v>
      </c>
      <c r="O2233" s="16" t="n">
        <f aca="false">F2233*IF(A2233="2025",INDEX(Products!$D$2:$D$13,MATCH(D2233,Products!$A$2:$A$13,0)),INDEX(Products!$F$2:$F$13,MATCH(D2233,Products!$A$2:$A$13,0)))</f>
        <v>15886.72</v>
      </c>
      <c r="P2233" s="16" t="n">
        <f aca="false">N2233-O2233</f>
        <v>3183.86587660274</v>
      </c>
    </row>
    <row r="2234" customFormat="false" ht="15" hidden="false" customHeight="false" outlineLevel="0" collapsed="false">
      <c r="A2234" s="2" t="s">
        <v>118</v>
      </c>
      <c r="B2234" s="2" t="n">
        <v>1</v>
      </c>
      <c r="C2234" s="2" t="s">
        <v>95</v>
      </c>
      <c r="D2234" s="2" t="s">
        <v>39</v>
      </c>
      <c r="E2234" s="2" t="str">
        <f aca="false">INDEX(Products!$B$2:$B$13,MATCH(D2234,Products!$A$2:$A$13,0))</f>
        <v>Hydroprocessing</v>
      </c>
      <c r="F2234" s="15" t="n">
        <v>4.2</v>
      </c>
      <c r="G2234" s="16" t="n">
        <f aca="false">IF(A2234="2025",INDEX(Products!$C$2:$C$13,MATCH(D2234,Products!$A$2:$A$13,0)),INDEX(Products!$E$2:$E$13,MATCH(D2234,Products!$A$2:$A$13,0)))</f>
        <v>12570</v>
      </c>
      <c r="H2234" s="13" t="n">
        <f aca="false">IF(A2234="2025",INDEX(Customers!$D$2:$D$41,MATCH(C2234,Customers!$A$2:$A$41,0)),INDEX(Customers!$F$2:$F$41,MATCH(C2234,Customers!$A$2:$A$41,0)))</f>
        <v>0.057</v>
      </c>
      <c r="I2234" s="16" t="n">
        <f aca="false">F2234*G2234</f>
        <v>52794</v>
      </c>
      <c r="J2234" s="16" t="n">
        <f aca="false">I2234*(1-H2234)</f>
        <v>49784.742</v>
      </c>
      <c r="K2234" s="16" t="n">
        <f aca="false">J2234*INDEX(Customers!$G$2:$G$41,MATCH(C2234,Customers!$A$2:$A$41,0))</f>
        <v>2489.2371</v>
      </c>
      <c r="L2234" s="16" t="n">
        <f aca="false">F2234*INDEX(Customers!$H$2:$H$41,MATCH(C2234,Customers!$A$2:$A$41,0))</f>
        <v>1092</v>
      </c>
      <c r="M2234" s="16" t="n">
        <f aca="false">J2234*INDEX(Customers!$I$2:$I$41,MATCH(C2234,Customers!$A$2:$A$41,0))/365*Assumptions!$B$6</f>
        <v>654.703456438356</v>
      </c>
      <c r="N2234" s="16" t="n">
        <f aca="false">J2234-K2234-L2234-M2234</f>
        <v>45548.8014435616</v>
      </c>
      <c r="O2234" s="16" t="n">
        <f aca="false">F2234*IF(A2234="2025",INDEX(Products!$D$2:$D$13,MATCH(D2234,Products!$A$2:$A$13,0)),INDEX(Products!$F$2:$F$13,MATCH(D2234,Products!$A$2:$A$13,0)))</f>
        <v>30618</v>
      </c>
      <c r="P2234" s="16" t="n">
        <f aca="false">N2234-O2234</f>
        <v>14930.8014435616</v>
      </c>
    </row>
    <row r="2235" customFormat="false" ht="15" hidden="false" customHeight="false" outlineLevel="0" collapsed="false">
      <c r="A2235" s="2" t="s">
        <v>118</v>
      </c>
      <c r="B2235" s="2" t="n">
        <v>2</v>
      </c>
      <c r="C2235" s="2" t="s">
        <v>95</v>
      </c>
      <c r="D2235" s="2" t="s">
        <v>39</v>
      </c>
      <c r="E2235" s="2" t="str">
        <f aca="false">INDEX(Products!$B$2:$B$13,MATCH(D2235,Products!$A$2:$A$13,0))</f>
        <v>Hydroprocessing</v>
      </c>
      <c r="F2235" s="15" t="n">
        <v>3</v>
      </c>
      <c r="G2235" s="16" t="n">
        <f aca="false">IF(A2235="2025",INDEX(Products!$C$2:$C$13,MATCH(D2235,Products!$A$2:$A$13,0)),INDEX(Products!$E$2:$E$13,MATCH(D2235,Products!$A$2:$A$13,0)))</f>
        <v>12570</v>
      </c>
      <c r="H2235" s="13" t="n">
        <f aca="false">IF(A2235="2025",INDEX(Customers!$D$2:$D$41,MATCH(C2235,Customers!$A$2:$A$41,0)),INDEX(Customers!$F$2:$F$41,MATCH(C2235,Customers!$A$2:$A$41,0)))</f>
        <v>0.057</v>
      </c>
      <c r="I2235" s="16" t="n">
        <f aca="false">F2235*G2235</f>
        <v>37710</v>
      </c>
      <c r="J2235" s="16" t="n">
        <f aca="false">I2235*(1-H2235)</f>
        <v>35560.53</v>
      </c>
      <c r="K2235" s="16" t="n">
        <f aca="false">J2235*INDEX(Customers!$G$2:$G$41,MATCH(C2235,Customers!$A$2:$A$41,0))</f>
        <v>1778.0265</v>
      </c>
      <c r="L2235" s="16" t="n">
        <f aca="false">F2235*INDEX(Customers!$H$2:$H$41,MATCH(C2235,Customers!$A$2:$A$41,0))</f>
        <v>780</v>
      </c>
      <c r="M2235" s="16" t="n">
        <f aca="false">J2235*INDEX(Customers!$I$2:$I$41,MATCH(C2235,Customers!$A$2:$A$41,0))/365*Assumptions!$B$6</f>
        <v>467.645326027397</v>
      </c>
      <c r="N2235" s="16" t="n">
        <f aca="false">J2235-K2235-L2235-M2235</f>
        <v>32534.8581739726</v>
      </c>
      <c r="O2235" s="16" t="n">
        <f aca="false">F2235*IF(A2235="2025",INDEX(Products!$D$2:$D$13,MATCH(D2235,Products!$A$2:$A$13,0)),INDEX(Products!$F$2:$F$13,MATCH(D2235,Products!$A$2:$A$13,0)))</f>
        <v>21870</v>
      </c>
      <c r="P2235" s="16" t="n">
        <f aca="false">N2235-O2235</f>
        <v>10664.8581739726</v>
      </c>
    </row>
    <row r="2236" customFormat="false" ht="15" hidden="false" customHeight="false" outlineLevel="0" collapsed="false">
      <c r="A2236" s="2" t="s">
        <v>118</v>
      </c>
      <c r="B2236" s="2" t="n">
        <v>3</v>
      </c>
      <c r="C2236" s="2" t="s">
        <v>95</v>
      </c>
      <c r="D2236" s="2" t="s">
        <v>39</v>
      </c>
      <c r="E2236" s="2" t="str">
        <f aca="false">INDEX(Products!$B$2:$B$13,MATCH(D2236,Products!$A$2:$A$13,0))</f>
        <v>Hydroprocessing</v>
      </c>
      <c r="F2236" s="15" t="n">
        <v>2.8</v>
      </c>
      <c r="G2236" s="16" t="n">
        <f aca="false">IF(A2236="2025",INDEX(Products!$C$2:$C$13,MATCH(D2236,Products!$A$2:$A$13,0)),INDEX(Products!$E$2:$E$13,MATCH(D2236,Products!$A$2:$A$13,0)))</f>
        <v>12570</v>
      </c>
      <c r="H2236" s="13" t="n">
        <f aca="false">IF(A2236="2025",INDEX(Customers!$D$2:$D$41,MATCH(C2236,Customers!$A$2:$A$41,0)),INDEX(Customers!$F$2:$F$41,MATCH(C2236,Customers!$A$2:$A$41,0)))</f>
        <v>0.057</v>
      </c>
      <c r="I2236" s="16" t="n">
        <f aca="false">F2236*G2236</f>
        <v>35196</v>
      </c>
      <c r="J2236" s="16" t="n">
        <f aca="false">I2236*(1-H2236)</f>
        <v>33189.828</v>
      </c>
      <c r="K2236" s="16" t="n">
        <f aca="false">J2236*INDEX(Customers!$G$2:$G$41,MATCH(C2236,Customers!$A$2:$A$41,0))</f>
        <v>1659.4914</v>
      </c>
      <c r="L2236" s="16" t="n">
        <f aca="false">F2236*INDEX(Customers!$H$2:$H$41,MATCH(C2236,Customers!$A$2:$A$41,0))</f>
        <v>728</v>
      </c>
      <c r="M2236" s="16" t="n">
        <f aca="false">J2236*INDEX(Customers!$I$2:$I$41,MATCH(C2236,Customers!$A$2:$A$41,0))/365*Assumptions!$B$6</f>
        <v>436.468970958904</v>
      </c>
      <c r="N2236" s="16" t="n">
        <f aca="false">J2236-K2236-L2236-M2236</f>
        <v>30365.8676290411</v>
      </c>
      <c r="O2236" s="16" t="n">
        <f aca="false">F2236*IF(A2236="2025",INDEX(Products!$D$2:$D$13,MATCH(D2236,Products!$A$2:$A$13,0)),INDEX(Products!$F$2:$F$13,MATCH(D2236,Products!$A$2:$A$13,0)))</f>
        <v>20412</v>
      </c>
      <c r="P2236" s="16" t="n">
        <f aca="false">N2236-O2236</f>
        <v>9953.8676290411</v>
      </c>
    </row>
    <row r="2237" customFormat="false" ht="15" hidden="false" customHeight="false" outlineLevel="0" collapsed="false">
      <c r="A2237" s="2" t="s">
        <v>118</v>
      </c>
      <c r="B2237" s="2" t="n">
        <v>4</v>
      </c>
      <c r="C2237" s="2" t="s">
        <v>95</v>
      </c>
      <c r="D2237" s="2" t="s">
        <v>39</v>
      </c>
      <c r="E2237" s="2" t="str">
        <f aca="false">INDEX(Products!$B$2:$B$13,MATCH(D2237,Products!$A$2:$A$13,0))</f>
        <v>Hydroprocessing</v>
      </c>
      <c r="F2237" s="15" t="n">
        <v>2.9</v>
      </c>
      <c r="G2237" s="16" t="n">
        <f aca="false">IF(A2237="2025",INDEX(Products!$C$2:$C$13,MATCH(D2237,Products!$A$2:$A$13,0)),INDEX(Products!$E$2:$E$13,MATCH(D2237,Products!$A$2:$A$13,0)))</f>
        <v>12570</v>
      </c>
      <c r="H2237" s="13" t="n">
        <f aca="false">IF(A2237="2025",INDEX(Customers!$D$2:$D$41,MATCH(C2237,Customers!$A$2:$A$41,0)),INDEX(Customers!$F$2:$F$41,MATCH(C2237,Customers!$A$2:$A$41,0)))</f>
        <v>0.057</v>
      </c>
      <c r="I2237" s="16" t="n">
        <f aca="false">F2237*G2237</f>
        <v>36453</v>
      </c>
      <c r="J2237" s="16" t="n">
        <f aca="false">I2237*(1-H2237)</f>
        <v>34375.179</v>
      </c>
      <c r="K2237" s="16" t="n">
        <f aca="false">J2237*INDEX(Customers!$G$2:$G$41,MATCH(C2237,Customers!$A$2:$A$41,0))</f>
        <v>1718.75895</v>
      </c>
      <c r="L2237" s="16" t="n">
        <f aca="false">F2237*INDEX(Customers!$H$2:$H$41,MATCH(C2237,Customers!$A$2:$A$41,0))</f>
        <v>754</v>
      </c>
      <c r="M2237" s="16" t="n">
        <f aca="false">J2237*INDEX(Customers!$I$2:$I$41,MATCH(C2237,Customers!$A$2:$A$41,0))/365*Assumptions!$B$6</f>
        <v>452.057148493151</v>
      </c>
      <c r="N2237" s="16" t="n">
        <f aca="false">J2237-K2237-L2237-M2237</f>
        <v>31450.3629015068</v>
      </c>
      <c r="O2237" s="16" t="n">
        <f aca="false">F2237*IF(A2237="2025",INDEX(Products!$D$2:$D$13,MATCH(D2237,Products!$A$2:$A$13,0)),INDEX(Products!$F$2:$F$13,MATCH(D2237,Products!$A$2:$A$13,0)))</f>
        <v>21141</v>
      </c>
      <c r="P2237" s="16" t="n">
        <f aca="false">N2237-O2237</f>
        <v>10309.3629015068</v>
      </c>
    </row>
    <row r="2238" customFormat="false" ht="15" hidden="false" customHeight="false" outlineLevel="0" collapsed="false">
      <c r="A2238" s="2" t="s">
        <v>118</v>
      </c>
      <c r="B2238" s="2" t="n">
        <v>5</v>
      </c>
      <c r="C2238" s="2" t="s">
        <v>95</v>
      </c>
      <c r="D2238" s="2" t="s">
        <v>39</v>
      </c>
      <c r="E2238" s="2" t="str">
        <f aca="false">INDEX(Products!$B$2:$B$13,MATCH(D2238,Products!$A$2:$A$13,0))</f>
        <v>Hydroprocessing</v>
      </c>
      <c r="F2238" s="15" t="n">
        <v>3.6</v>
      </c>
      <c r="G2238" s="16" t="n">
        <f aca="false">IF(A2238="2025",INDEX(Products!$C$2:$C$13,MATCH(D2238,Products!$A$2:$A$13,0)),INDEX(Products!$E$2:$E$13,MATCH(D2238,Products!$A$2:$A$13,0)))</f>
        <v>12570</v>
      </c>
      <c r="H2238" s="13" t="n">
        <f aca="false">IF(A2238="2025",INDEX(Customers!$D$2:$D$41,MATCH(C2238,Customers!$A$2:$A$41,0)),INDEX(Customers!$F$2:$F$41,MATCH(C2238,Customers!$A$2:$A$41,0)))</f>
        <v>0.057</v>
      </c>
      <c r="I2238" s="16" t="n">
        <f aca="false">F2238*G2238</f>
        <v>45252</v>
      </c>
      <c r="J2238" s="16" t="n">
        <f aca="false">I2238*(1-H2238)</f>
        <v>42672.636</v>
      </c>
      <c r="K2238" s="16" t="n">
        <f aca="false">J2238*INDEX(Customers!$G$2:$G$41,MATCH(C2238,Customers!$A$2:$A$41,0))</f>
        <v>2133.6318</v>
      </c>
      <c r="L2238" s="16" t="n">
        <f aca="false">F2238*INDEX(Customers!$H$2:$H$41,MATCH(C2238,Customers!$A$2:$A$41,0))</f>
        <v>936</v>
      </c>
      <c r="M2238" s="16" t="n">
        <f aca="false">J2238*INDEX(Customers!$I$2:$I$41,MATCH(C2238,Customers!$A$2:$A$41,0))/365*Assumptions!$B$6</f>
        <v>561.174391232877</v>
      </c>
      <c r="N2238" s="16" t="n">
        <f aca="false">J2238-K2238-L2238-M2238</f>
        <v>39041.8298087671</v>
      </c>
      <c r="O2238" s="16" t="n">
        <f aca="false">F2238*IF(A2238="2025",INDEX(Products!$D$2:$D$13,MATCH(D2238,Products!$A$2:$A$13,0)),INDEX(Products!$F$2:$F$13,MATCH(D2238,Products!$A$2:$A$13,0)))</f>
        <v>26244</v>
      </c>
      <c r="P2238" s="16" t="n">
        <f aca="false">N2238-O2238</f>
        <v>12797.8298087671</v>
      </c>
    </row>
    <row r="2239" customFormat="false" ht="15" hidden="false" customHeight="false" outlineLevel="0" collapsed="false">
      <c r="A2239" s="2" t="s">
        <v>118</v>
      </c>
      <c r="B2239" s="2" t="n">
        <v>6</v>
      </c>
      <c r="C2239" s="2" t="s">
        <v>95</v>
      </c>
      <c r="D2239" s="2" t="s">
        <v>39</v>
      </c>
      <c r="E2239" s="2" t="str">
        <f aca="false">INDEX(Products!$B$2:$B$13,MATCH(D2239,Products!$A$2:$A$13,0))</f>
        <v>Hydroprocessing</v>
      </c>
      <c r="F2239" s="15" t="n">
        <v>3.3</v>
      </c>
      <c r="G2239" s="16" t="n">
        <f aca="false">IF(A2239="2025",INDEX(Products!$C$2:$C$13,MATCH(D2239,Products!$A$2:$A$13,0)),INDEX(Products!$E$2:$E$13,MATCH(D2239,Products!$A$2:$A$13,0)))</f>
        <v>12570</v>
      </c>
      <c r="H2239" s="13" t="n">
        <f aca="false">IF(A2239="2025",INDEX(Customers!$D$2:$D$41,MATCH(C2239,Customers!$A$2:$A$41,0)),INDEX(Customers!$F$2:$F$41,MATCH(C2239,Customers!$A$2:$A$41,0)))</f>
        <v>0.057</v>
      </c>
      <c r="I2239" s="16" t="n">
        <f aca="false">F2239*G2239</f>
        <v>41481</v>
      </c>
      <c r="J2239" s="16" t="n">
        <f aca="false">I2239*(1-H2239)</f>
        <v>39116.583</v>
      </c>
      <c r="K2239" s="16" t="n">
        <f aca="false">J2239*INDEX(Customers!$G$2:$G$41,MATCH(C2239,Customers!$A$2:$A$41,0))</f>
        <v>1955.82915</v>
      </c>
      <c r="L2239" s="16" t="n">
        <f aca="false">F2239*INDEX(Customers!$H$2:$H$41,MATCH(C2239,Customers!$A$2:$A$41,0))</f>
        <v>858</v>
      </c>
      <c r="M2239" s="16" t="n">
        <f aca="false">J2239*INDEX(Customers!$I$2:$I$41,MATCH(C2239,Customers!$A$2:$A$41,0))/365*Assumptions!$B$6</f>
        <v>514.409858630137</v>
      </c>
      <c r="N2239" s="16" t="n">
        <f aca="false">J2239-K2239-L2239-M2239</f>
        <v>35788.3439913699</v>
      </c>
      <c r="O2239" s="16" t="n">
        <f aca="false">F2239*IF(A2239="2025",INDEX(Products!$D$2:$D$13,MATCH(D2239,Products!$A$2:$A$13,0)),INDEX(Products!$F$2:$F$13,MATCH(D2239,Products!$A$2:$A$13,0)))</f>
        <v>24057</v>
      </c>
      <c r="P2239" s="16" t="n">
        <f aca="false">N2239-O2239</f>
        <v>11731.3439913699</v>
      </c>
    </row>
    <row r="2240" customFormat="false" ht="15" hidden="false" customHeight="false" outlineLevel="0" collapsed="false">
      <c r="A2240" s="2" t="s">
        <v>118</v>
      </c>
      <c r="B2240" s="2" t="n">
        <v>7</v>
      </c>
      <c r="C2240" s="2" t="s">
        <v>95</v>
      </c>
      <c r="D2240" s="2" t="s">
        <v>39</v>
      </c>
      <c r="E2240" s="2" t="str">
        <f aca="false">INDEX(Products!$B$2:$B$13,MATCH(D2240,Products!$A$2:$A$13,0))</f>
        <v>Hydroprocessing</v>
      </c>
      <c r="F2240" s="15" t="n">
        <v>3.5</v>
      </c>
      <c r="G2240" s="16" t="n">
        <f aca="false">IF(A2240="2025",INDEX(Products!$C$2:$C$13,MATCH(D2240,Products!$A$2:$A$13,0)),INDEX(Products!$E$2:$E$13,MATCH(D2240,Products!$A$2:$A$13,0)))</f>
        <v>12570</v>
      </c>
      <c r="H2240" s="13" t="n">
        <f aca="false">IF(A2240="2025",INDEX(Customers!$D$2:$D$41,MATCH(C2240,Customers!$A$2:$A$41,0)),INDEX(Customers!$F$2:$F$41,MATCH(C2240,Customers!$A$2:$A$41,0)))</f>
        <v>0.057</v>
      </c>
      <c r="I2240" s="16" t="n">
        <f aca="false">F2240*G2240</f>
        <v>43995</v>
      </c>
      <c r="J2240" s="16" t="n">
        <f aca="false">I2240*(1-H2240)</f>
        <v>41487.285</v>
      </c>
      <c r="K2240" s="16" t="n">
        <f aca="false">J2240*INDEX(Customers!$G$2:$G$41,MATCH(C2240,Customers!$A$2:$A$41,0))</f>
        <v>2074.36425</v>
      </c>
      <c r="L2240" s="16" t="n">
        <f aca="false">F2240*INDEX(Customers!$H$2:$H$41,MATCH(C2240,Customers!$A$2:$A$41,0))</f>
        <v>910</v>
      </c>
      <c r="M2240" s="16" t="n">
        <f aca="false">J2240*INDEX(Customers!$I$2:$I$41,MATCH(C2240,Customers!$A$2:$A$41,0))/365*Assumptions!$B$6</f>
        <v>545.58621369863</v>
      </c>
      <c r="N2240" s="16" t="n">
        <f aca="false">J2240-K2240-L2240-M2240</f>
        <v>37957.3345363014</v>
      </c>
      <c r="O2240" s="16" t="n">
        <f aca="false">F2240*IF(A2240="2025",INDEX(Products!$D$2:$D$13,MATCH(D2240,Products!$A$2:$A$13,0)),INDEX(Products!$F$2:$F$13,MATCH(D2240,Products!$A$2:$A$13,0)))</f>
        <v>25515</v>
      </c>
      <c r="P2240" s="16" t="n">
        <f aca="false">N2240-O2240</f>
        <v>12442.3345363014</v>
      </c>
    </row>
    <row r="2241" customFormat="false" ht="15" hidden="false" customHeight="false" outlineLevel="0" collapsed="false">
      <c r="A2241" s="2" t="s">
        <v>118</v>
      </c>
      <c r="B2241" s="2" t="n">
        <v>8</v>
      </c>
      <c r="C2241" s="2" t="s">
        <v>95</v>
      </c>
      <c r="D2241" s="2" t="s">
        <v>39</v>
      </c>
      <c r="E2241" s="2" t="str">
        <f aca="false">INDEX(Products!$B$2:$B$13,MATCH(D2241,Products!$A$2:$A$13,0))</f>
        <v>Hydroprocessing</v>
      </c>
      <c r="F2241" s="15" t="n">
        <v>3</v>
      </c>
      <c r="G2241" s="16" t="n">
        <f aca="false">IF(A2241="2025",INDEX(Products!$C$2:$C$13,MATCH(D2241,Products!$A$2:$A$13,0)),INDEX(Products!$E$2:$E$13,MATCH(D2241,Products!$A$2:$A$13,0)))</f>
        <v>12570</v>
      </c>
      <c r="H2241" s="13" t="n">
        <f aca="false">IF(A2241="2025",INDEX(Customers!$D$2:$D$41,MATCH(C2241,Customers!$A$2:$A$41,0)),INDEX(Customers!$F$2:$F$41,MATCH(C2241,Customers!$A$2:$A$41,0)))</f>
        <v>0.057</v>
      </c>
      <c r="I2241" s="16" t="n">
        <f aca="false">F2241*G2241</f>
        <v>37710</v>
      </c>
      <c r="J2241" s="16" t="n">
        <f aca="false">I2241*(1-H2241)</f>
        <v>35560.53</v>
      </c>
      <c r="K2241" s="16" t="n">
        <f aca="false">J2241*INDEX(Customers!$G$2:$G$41,MATCH(C2241,Customers!$A$2:$A$41,0))</f>
        <v>1778.0265</v>
      </c>
      <c r="L2241" s="16" t="n">
        <f aca="false">F2241*INDEX(Customers!$H$2:$H$41,MATCH(C2241,Customers!$A$2:$A$41,0))</f>
        <v>780</v>
      </c>
      <c r="M2241" s="16" t="n">
        <f aca="false">J2241*INDEX(Customers!$I$2:$I$41,MATCH(C2241,Customers!$A$2:$A$41,0))/365*Assumptions!$B$6</f>
        <v>467.645326027397</v>
      </c>
      <c r="N2241" s="16" t="n">
        <f aca="false">J2241-K2241-L2241-M2241</f>
        <v>32534.8581739726</v>
      </c>
      <c r="O2241" s="16" t="n">
        <f aca="false">F2241*IF(A2241="2025",INDEX(Products!$D$2:$D$13,MATCH(D2241,Products!$A$2:$A$13,0)),INDEX(Products!$F$2:$F$13,MATCH(D2241,Products!$A$2:$A$13,0)))</f>
        <v>21870</v>
      </c>
      <c r="P2241" s="16" t="n">
        <f aca="false">N2241-O2241</f>
        <v>10664.8581739726</v>
      </c>
    </row>
    <row r="2242" customFormat="false" ht="15" hidden="false" customHeight="false" outlineLevel="0" collapsed="false">
      <c r="A2242" s="2" t="s">
        <v>118</v>
      </c>
      <c r="B2242" s="2" t="n">
        <v>9</v>
      </c>
      <c r="C2242" s="2" t="s">
        <v>95</v>
      </c>
      <c r="D2242" s="2" t="s">
        <v>39</v>
      </c>
      <c r="E2242" s="2" t="str">
        <f aca="false">INDEX(Products!$B$2:$B$13,MATCH(D2242,Products!$A$2:$A$13,0))</f>
        <v>Hydroprocessing</v>
      </c>
      <c r="F2242" s="15" t="n">
        <v>4.2</v>
      </c>
      <c r="G2242" s="16" t="n">
        <f aca="false">IF(A2242="2025",INDEX(Products!$C$2:$C$13,MATCH(D2242,Products!$A$2:$A$13,0)),INDEX(Products!$E$2:$E$13,MATCH(D2242,Products!$A$2:$A$13,0)))</f>
        <v>12570</v>
      </c>
      <c r="H2242" s="13" t="n">
        <f aca="false">IF(A2242="2025",INDEX(Customers!$D$2:$D$41,MATCH(C2242,Customers!$A$2:$A$41,0)),INDEX(Customers!$F$2:$F$41,MATCH(C2242,Customers!$A$2:$A$41,0)))</f>
        <v>0.057</v>
      </c>
      <c r="I2242" s="16" t="n">
        <f aca="false">F2242*G2242</f>
        <v>52794</v>
      </c>
      <c r="J2242" s="16" t="n">
        <f aca="false">I2242*(1-H2242)</f>
        <v>49784.742</v>
      </c>
      <c r="K2242" s="16" t="n">
        <f aca="false">J2242*INDEX(Customers!$G$2:$G$41,MATCH(C2242,Customers!$A$2:$A$41,0))</f>
        <v>2489.2371</v>
      </c>
      <c r="L2242" s="16" t="n">
        <f aca="false">F2242*INDEX(Customers!$H$2:$H$41,MATCH(C2242,Customers!$A$2:$A$41,0))</f>
        <v>1092</v>
      </c>
      <c r="M2242" s="16" t="n">
        <f aca="false">J2242*INDEX(Customers!$I$2:$I$41,MATCH(C2242,Customers!$A$2:$A$41,0))/365*Assumptions!$B$6</f>
        <v>654.703456438356</v>
      </c>
      <c r="N2242" s="16" t="n">
        <f aca="false">J2242-K2242-L2242-M2242</f>
        <v>45548.8014435616</v>
      </c>
      <c r="O2242" s="16" t="n">
        <f aca="false">F2242*IF(A2242="2025",INDEX(Products!$D$2:$D$13,MATCH(D2242,Products!$A$2:$A$13,0)),INDEX(Products!$F$2:$F$13,MATCH(D2242,Products!$A$2:$A$13,0)))</f>
        <v>30618</v>
      </c>
      <c r="P2242" s="16" t="n">
        <f aca="false">N2242-O2242</f>
        <v>14930.8014435616</v>
      </c>
    </row>
    <row r="2243" customFormat="false" ht="15" hidden="false" customHeight="false" outlineLevel="0" collapsed="false">
      <c r="A2243" s="2" t="s">
        <v>118</v>
      </c>
      <c r="B2243" s="2" t="n">
        <v>10</v>
      </c>
      <c r="C2243" s="2" t="s">
        <v>95</v>
      </c>
      <c r="D2243" s="2" t="s">
        <v>39</v>
      </c>
      <c r="E2243" s="2" t="str">
        <f aca="false">INDEX(Products!$B$2:$B$13,MATCH(D2243,Products!$A$2:$A$13,0))</f>
        <v>Hydroprocessing</v>
      </c>
      <c r="F2243" s="15" t="n">
        <v>3</v>
      </c>
      <c r="G2243" s="16" t="n">
        <f aca="false">IF(A2243="2025",INDEX(Products!$C$2:$C$13,MATCH(D2243,Products!$A$2:$A$13,0)),INDEX(Products!$E$2:$E$13,MATCH(D2243,Products!$A$2:$A$13,0)))</f>
        <v>12570</v>
      </c>
      <c r="H2243" s="13" t="n">
        <f aca="false">IF(A2243="2025",INDEX(Customers!$D$2:$D$41,MATCH(C2243,Customers!$A$2:$A$41,0)),INDEX(Customers!$F$2:$F$41,MATCH(C2243,Customers!$A$2:$A$41,0)))</f>
        <v>0.057</v>
      </c>
      <c r="I2243" s="16" t="n">
        <f aca="false">F2243*G2243</f>
        <v>37710</v>
      </c>
      <c r="J2243" s="16" t="n">
        <f aca="false">I2243*(1-H2243)</f>
        <v>35560.53</v>
      </c>
      <c r="K2243" s="16" t="n">
        <f aca="false">J2243*INDEX(Customers!$G$2:$G$41,MATCH(C2243,Customers!$A$2:$A$41,0))</f>
        <v>1778.0265</v>
      </c>
      <c r="L2243" s="16" t="n">
        <f aca="false">F2243*INDEX(Customers!$H$2:$H$41,MATCH(C2243,Customers!$A$2:$A$41,0))</f>
        <v>780</v>
      </c>
      <c r="M2243" s="16" t="n">
        <f aca="false">J2243*INDEX(Customers!$I$2:$I$41,MATCH(C2243,Customers!$A$2:$A$41,0))/365*Assumptions!$B$6</f>
        <v>467.645326027397</v>
      </c>
      <c r="N2243" s="16" t="n">
        <f aca="false">J2243-K2243-L2243-M2243</f>
        <v>32534.8581739726</v>
      </c>
      <c r="O2243" s="16" t="n">
        <f aca="false">F2243*IF(A2243="2025",INDEX(Products!$D$2:$D$13,MATCH(D2243,Products!$A$2:$A$13,0)),INDEX(Products!$F$2:$F$13,MATCH(D2243,Products!$A$2:$A$13,0)))</f>
        <v>21870</v>
      </c>
      <c r="P2243" s="16" t="n">
        <f aca="false">N2243-O2243</f>
        <v>10664.8581739726</v>
      </c>
    </row>
    <row r="2244" customFormat="false" ht="15" hidden="false" customHeight="false" outlineLevel="0" collapsed="false">
      <c r="A2244" s="2" t="s">
        <v>118</v>
      </c>
      <c r="B2244" s="2" t="n">
        <v>11</v>
      </c>
      <c r="C2244" s="2" t="s">
        <v>95</v>
      </c>
      <c r="D2244" s="2" t="s">
        <v>39</v>
      </c>
      <c r="E2244" s="2" t="str">
        <f aca="false">INDEX(Products!$B$2:$B$13,MATCH(D2244,Products!$A$2:$A$13,0))</f>
        <v>Hydroprocessing</v>
      </c>
      <c r="F2244" s="15" t="n">
        <v>2.5</v>
      </c>
      <c r="G2244" s="16" t="n">
        <f aca="false">IF(A2244="2025",INDEX(Products!$C$2:$C$13,MATCH(D2244,Products!$A$2:$A$13,0)),INDEX(Products!$E$2:$E$13,MATCH(D2244,Products!$A$2:$A$13,0)))</f>
        <v>12570</v>
      </c>
      <c r="H2244" s="13" t="n">
        <f aca="false">IF(A2244="2025",INDEX(Customers!$D$2:$D$41,MATCH(C2244,Customers!$A$2:$A$41,0)),INDEX(Customers!$F$2:$F$41,MATCH(C2244,Customers!$A$2:$A$41,0)))</f>
        <v>0.057</v>
      </c>
      <c r="I2244" s="16" t="n">
        <f aca="false">F2244*G2244</f>
        <v>31425</v>
      </c>
      <c r="J2244" s="16" t="n">
        <f aca="false">I2244*(1-H2244)</f>
        <v>29633.775</v>
      </c>
      <c r="K2244" s="16" t="n">
        <f aca="false">J2244*INDEX(Customers!$G$2:$G$41,MATCH(C2244,Customers!$A$2:$A$41,0))</f>
        <v>1481.68875</v>
      </c>
      <c r="L2244" s="16" t="n">
        <f aca="false">F2244*INDEX(Customers!$H$2:$H$41,MATCH(C2244,Customers!$A$2:$A$41,0))</f>
        <v>650</v>
      </c>
      <c r="M2244" s="16" t="n">
        <f aca="false">J2244*INDEX(Customers!$I$2:$I$41,MATCH(C2244,Customers!$A$2:$A$41,0))/365*Assumptions!$B$6</f>
        <v>389.704438356164</v>
      </c>
      <c r="N2244" s="16" t="n">
        <f aca="false">J2244-K2244-L2244-M2244</f>
        <v>27112.3818116438</v>
      </c>
      <c r="O2244" s="16" t="n">
        <f aca="false">F2244*IF(A2244="2025",INDEX(Products!$D$2:$D$13,MATCH(D2244,Products!$A$2:$A$13,0)),INDEX(Products!$F$2:$F$13,MATCH(D2244,Products!$A$2:$A$13,0)))</f>
        <v>18225</v>
      </c>
      <c r="P2244" s="16" t="n">
        <f aca="false">N2244-O2244</f>
        <v>8887.38181164383</v>
      </c>
    </row>
    <row r="2245" customFormat="false" ht="15" hidden="false" customHeight="false" outlineLevel="0" collapsed="false">
      <c r="A2245" s="2" t="s">
        <v>118</v>
      </c>
      <c r="B2245" s="2" t="n">
        <v>12</v>
      </c>
      <c r="C2245" s="2" t="s">
        <v>95</v>
      </c>
      <c r="D2245" s="2" t="s">
        <v>39</v>
      </c>
      <c r="E2245" s="2" t="str">
        <f aca="false">INDEX(Products!$B$2:$B$13,MATCH(D2245,Products!$A$2:$A$13,0))</f>
        <v>Hydroprocessing</v>
      </c>
      <c r="F2245" s="15" t="n">
        <v>3.5</v>
      </c>
      <c r="G2245" s="16" t="n">
        <f aca="false">IF(A2245="2025",INDEX(Products!$C$2:$C$13,MATCH(D2245,Products!$A$2:$A$13,0)),INDEX(Products!$E$2:$E$13,MATCH(D2245,Products!$A$2:$A$13,0)))</f>
        <v>12570</v>
      </c>
      <c r="H2245" s="13" t="n">
        <f aca="false">IF(A2245="2025",INDEX(Customers!$D$2:$D$41,MATCH(C2245,Customers!$A$2:$A$41,0)),INDEX(Customers!$F$2:$F$41,MATCH(C2245,Customers!$A$2:$A$41,0)))</f>
        <v>0.057</v>
      </c>
      <c r="I2245" s="16" t="n">
        <f aca="false">F2245*G2245</f>
        <v>43995</v>
      </c>
      <c r="J2245" s="16" t="n">
        <f aca="false">I2245*(1-H2245)</f>
        <v>41487.285</v>
      </c>
      <c r="K2245" s="16" t="n">
        <f aca="false">J2245*INDEX(Customers!$G$2:$G$41,MATCH(C2245,Customers!$A$2:$A$41,0))</f>
        <v>2074.36425</v>
      </c>
      <c r="L2245" s="16" t="n">
        <f aca="false">F2245*INDEX(Customers!$H$2:$H$41,MATCH(C2245,Customers!$A$2:$A$41,0))</f>
        <v>910</v>
      </c>
      <c r="M2245" s="16" t="n">
        <f aca="false">J2245*INDEX(Customers!$I$2:$I$41,MATCH(C2245,Customers!$A$2:$A$41,0))/365*Assumptions!$B$6</f>
        <v>545.58621369863</v>
      </c>
      <c r="N2245" s="16" t="n">
        <f aca="false">J2245-K2245-L2245-M2245</f>
        <v>37957.3345363014</v>
      </c>
      <c r="O2245" s="16" t="n">
        <f aca="false">F2245*IF(A2245="2025",INDEX(Products!$D$2:$D$13,MATCH(D2245,Products!$A$2:$A$13,0)),INDEX(Products!$F$2:$F$13,MATCH(D2245,Products!$A$2:$A$13,0)))</f>
        <v>25515</v>
      </c>
      <c r="P2245" s="16" t="n">
        <f aca="false">N2245-O2245</f>
        <v>12442.3345363014</v>
      </c>
    </row>
    <row r="2246" customFormat="false" ht="15" hidden="false" customHeight="false" outlineLevel="0" collapsed="false">
      <c r="A2246" s="2" t="s">
        <v>119</v>
      </c>
      <c r="B2246" s="2" t="n">
        <v>1</v>
      </c>
      <c r="C2246" s="2" t="s">
        <v>95</v>
      </c>
      <c r="D2246" s="2" t="s">
        <v>39</v>
      </c>
      <c r="E2246" s="2" t="str">
        <f aca="false">INDEX(Products!$B$2:$B$13,MATCH(D2246,Products!$A$2:$A$13,0))</f>
        <v>Hydroprocessing</v>
      </c>
      <c r="F2246" s="15" t="n">
        <v>4.5</v>
      </c>
      <c r="G2246" s="16" t="n">
        <f aca="false">IF(A2246="2025",INDEX(Products!$C$2:$C$13,MATCH(D2246,Products!$A$2:$A$13,0)),INDEX(Products!$E$2:$E$13,MATCH(D2246,Products!$A$2:$A$13,0)))</f>
        <v>13198.5</v>
      </c>
      <c r="H2246" s="13" t="n">
        <f aca="false">IF(A2246="2025",INDEX(Customers!$D$2:$D$41,MATCH(C2246,Customers!$A$2:$A$41,0)),INDEX(Customers!$F$2:$F$41,MATCH(C2246,Customers!$A$2:$A$41,0)))</f>
        <v>0.067</v>
      </c>
      <c r="I2246" s="16" t="n">
        <f aca="false">F2246*G2246</f>
        <v>59393.25</v>
      </c>
      <c r="J2246" s="16" t="n">
        <f aca="false">I2246*(1-H2246)</f>
        <v>55413.90225</v>
      </c>
      <c r="K2246" s="16" t="n">
        <f aca="false">J2246*INDEX(Customers!$G$2:$G$41,MATCH(C2246,Customers!$A$2:$A$41,0))</f>
        <v>2770.6951125</v>
      </c>
      <c r="L2246" s="16" t="n">
        <f aca="false">F2246*INDEX(Customers!$H$2:$H$41,MATCH(C2246,Customers!$A$2:$A$41,0))</f>
        <v>1170</v>
      </c>
      <c r="M2246" s="16" t="n">
        <f aca="false">J2246*INDEX(Customers!$I$2:$I$41,MATCH(C2246,Customers!$A$2:$A$41,0))/365*Assumptions!$B$6</f>
        <v>728.730769315069</v>
      </c>
      <c r="N2246" s="16" t="n">
        <f aca="false">J2246-K2246-L2246-M2246</f>
        <v>50744.4763681849</v>
      </c>
      <c r="O2246" s="16" t="n">
        <f aca="false">F2246*IF(A2246="2025",INDEX(Products!$D$2:$D$13,MATCH(D2246,Products!$A$2:$A$13,0)),INDEX(Products!$F$2:$F$13,MATCH(D2246,Products!$A$2:$A$13,0)))</f>
        <v>33789.15</v>
      </c>
      <c r="P2246" s="16" t="n">
        <f aca="false">N2246-O2246</f>
        <v>16955.3263681849</v>
      </c>
    </row>
    <row r="2247" customFormat="false" ht="15" hidden="false" customHeight="false" outlineLevel="0" collapsed="false">
      <c r="A2247" s="2" t="s">
        <v>119</v>
      </c>
      <c r="B2247" s="2" t="n">
        <v>2</v>
      </c>
      <c r="C2247" s="2" t="s">
        <v>95</v>
      </c>
      <c r="D2247" s="2" t="s">
        <v>39</v>
      </c>
      <c r="E2247" s="2" t="str">
        <f aca="false">INDEX(Products!$B$2:$B$13,MATCH(D2247,Products!$A$2:$A$13,0))</f>
        <v>Hydroprocessing</v>
      </c>
      <c r="F2247" s="15" t="n">
        <v>2.9</v>
      </c>
      <c r="G2247" s="16" t="n">
        <f aca="false">IF(A2247="2025",INDEX(Products!$C$2:$C$13,MATCH(D2247,Products!$A$2:$A$13,0)),INDEX(Products!$E$2:$E$13,MATCH(D2247,Products!$A$2:$A$13,0)))</f>
        <v>13198.5</v>
      </c>
      <c r="H2247" s="13" t="n">
        <f aca="false">IF(A2247="2025",INDEX(Customers!$D$2:$D$41,MATCH(C2247,Customers!$A$2:$A$41,0)),INDEX(Customers!$F$2:$F$41,MATCH(C2247,Customers!$A$2:$A$41,0)))</f>
        <v>0.067</v>
      </c>
      <c r="I2247" s="16" t="n">
        <f aca="false">F2247*G2247</f>
        <v>38275.65</v>
      </c>
      <c r="J2247" s="16" t="n">
        <f aca="false">I2247*(1-H2247)</f>
        <v>35711.18145</v>
      </c>
      <c r="K2247" s="16" t="n">
        <f aca="false">J2247*INDEX(Customers!$G$2:$G$41,MATCH(C2247,Customers!$A$2:$A$41,0))</f>
        <v>1785.5590725</v>
      </c>
      <c r="L2247" s="16" t="n">
        <f aca="false">F2247*INDEX(Customers!$H$2:$H$41,MATCH(C2247,Customers!$A$2:$A$41,0))</f>
        <v>754</v>
      </c>
      <c r="M2247" s="16" t="n">
        <f aca="false">J2247*INDEX(Customers!$I$2:$I$41,MATCH(C2247,Customers!$A$2:$A$41,0))/365*Assumptions!$B$6</f>
        <v>469.626495780822</v>
      </c>
      <c r="N2247" s="16" t="n">
        <f aca="false">J2247-K2247-L2247-M2247</f>
        <v>32701.9958817192</v>
      </c>
      <c r="O2247" s="16" t="n">
        <f aca="false">F2247*IF(A2247="2025",INDEX(Products!$D$2:$D$13,MATCH(D2247,Products!$A$2:$A$13,0)),INDEX(Products!$F$2:$F$13,MATCH(D2247,Products!$A$2:$A$13,0)))</f>
        <v>21775.23</v>
      </c>
      <c r="P2247" s="16" t="n">
        <f aca="false">N2247-O2247</f>
        <v>10926.7658817192</v>
      </c>
    </row>
    <row r="2248" customFormat="false" ht="15" hidden="false" customHeight="false" outlineLevel="0" collapsed="false">
      <c r="A2248" s="2" t="s">
        <v>119</v>
      </c>
      <c r="B2248" s="2" t="n">
        <v>3</v>
      </c>
      <c r="C2248" s="2" t="s">
        <v>95</v>
      </c>
      <c r="D2248" s="2" t="s">
        <v>39</v>
      </c>
      <c r="E2248" s="2" t="str">
        <f aca="false">INDEX(Products!$B$2:$B$13,MATCH(D2248,Products!$A$2:$A$13,0))</f>
        <v>Hydroprocessing</v>
      </c>
      <c r="F2248" s="15" t="n">
        <v>2.8</v>
      </c>
      <c r="G2248" s="16" t="n">
        <f aca="false">IF(A2248="2025",INDEX(Products!$C$2:$C$13,MATCH(D2248,Products!$A$2:$A$13,0)),INDEX(Products!$E$2:$E$13,MATCH(D2248,Products!$A$2:$A$13,0)))</f>
        <v>13198.5</v>
      </c>
      <c r="H2248" s="13" t="n">
        <f aca="false">IF(A2248="2025",INDEX(Customers!$D$2:$D$41,MATCH(C2248,Customers!$A$2:$A$41,0)),INDEX(Customers!$F$2:$F$41,MATCH(C2248,Customers!$A$2:$A$41,0)))</f>
        <v>0.067</v>
      </c>
      <c r="I2248" s="16" t="n">
        <f aca="false">F2248*G2248</f>
        <v>36955.8</v>
      </c>
      <c r="J2248" s="16" t="n">
        <f aca="false">I2248*(1-H2248)</f>
        <v>34479.7614</v>
      </c>
      <c r="K2248" s="16" t="n">
        <f aca="false">J2248*INDEX(Customers!$G$2:$G$41,MATCH(C2248,Customers!$A$2:$A$41,0))</f>
        <v>1723.98807</v>
      </c>
      <c r="L2248" s="16" t="n">
        <f aca="false">F2248*INDEX(Customers!$H$2:$H$41,MATCH(C2248,Customers!$A$2:$A$41,0))</f>
        <v>728</v>
      </c>
      <c r="M2248" s="16" t="n">
        <f aca="false">J2248*INDEX(Customers!$I$2:$I$41,MATCH(C2248,Customers!$A$2:$A$41,0))/365*Assumptions!$B$6</f>
        <v>453.432478684931</v>
      </c>
      <c r="N2248" s="16" t="n">
        <f aca="false">J2248-K2248-L2248-M2248</f>
        <v>31574.3408513151</v>
      </c>
      <c r="O2248" s="16" t="n">
        <f aca="false">F2248*IF(A2248="2025",INDEX(Products!$D$2:$D$13,MATCH(D2248,Products!$A$2:$A$13,0)),INDEX(Products!$F$2:$F$13,MATCH(D2248,Products!$A$2:$A$13,0)))</f>
        <v>21024.36</v>
      </c>
      <c r="P2248" s="16" t="n">
        <f aca="false">N2248-O2248</f>
        <v>10549.9808513151</v>
      </c>
    </row>
    <row r="2249" customFormat="false" ht="15" hidden="false" customHeight="false" outlineLevel="0" collapsed="false">
      <c r="A2249" s="2" t="s">
        <v>119</v>
      </c>
      <c r="B2249" s="2" t="n">
        <v>4</v>
      </c>
      <c r="C2249" s="2" t="s">
        <v>95</v>
      </c>
      <c r="D2249" s="2" t="s">
        <v>39</v>
      </c>
      <c r="E2249" s="2" t="str">
        <f aca="false">INDEX(Products!$B$2:$B$13,MATCH(D2249,Products!$A$2:$A$13,0))</f>
        <v>Hydroprocessing</v>
      </c>
      <c r="F2249" s="15" t="n">
        <v>2.5</v>
      </c>
      <c r="G2249" s="16" t="n">
        <f aca="false">IF(A2249="2025",INDEX(Products!$C$2:$C$13,MATCH(D2249,Products!$A$2:$A$13,0)),INDEX(Products!$E$2:$E$13,MATCH(D2249,Products!$A$2:$A$13,0)))</f>
        <v>13198.5</v>
      </c>
      <c r="H2249" s="13" t="n">
        <f aca="false">IF(A2249="2025",INDEX(Customers!$D$2:$D$41,MATCH(C2249,Customers!$A$2:$A$41,0)),INDEX(Customers!$F$2:$F$41,MATCH(C2249,Customers!$A$2:$A$41,0)))</f>
        <v>0.067</v>
      </c>
      <c r="I2249" s="16" t="n">
        <f aca="false">F2249*G2249</f>
        <v>32996.25</v>
      </c>
      <c r="J2249" s="16" t="n">
        <f aca="false">I2249*(1-H2249)</f>
        <v>30785.50125</v>
      </c>
      <c r="K2249" s="16" t="n">
        <f aca="false">J2249*INDEX(Customers!$G$2:$G$41,MATCH(C2249,Customers!$A$2:$A$41,0))</f>
        <v>1539.2750625</v>
      </c>
      <c r="L2249" s="16" t="n">
        <f aca="false">F2249*INDEX(Customers!$H$2:$H$41,MATCH(C2249,Customers!$A$2:$A$41,0))</f>
        <v>650</v>
      </c>
      <c r="M2249" s="16" t="n">
        <f aca="false">J2249*INDEX(Customers!$I$2:$I$41,MATCH(C2249,Customers!$A$2:$A$41,0))/365*Assumptions!$B$6</f>
        <v>404.85042739726</v>
      </c>
      <c r="N2249" s="16" t="n">
        <f aca="false">J2249-K2249-L2249-M2249</f>
        <v>28191.3757601027</v>
      </c>
      <c r="O2249" s="16" t="n">
        <f aca="false">F2249*IF(A2249="2025",INDEX(Products!$D$2:$D$13,MATCH(D2249,Products!$A$2:$A$13,0)),INDEX(Products!$F$2:$F$13,MATCH(D2249,Products!$A$2:$A$13,0)))</f>
        <v>18771.75</v>
      </c>
      <c r="P2249" s="16" t="n">
        <f aca="false">N2249-O2249</f>
        <v>9419.62576010274</v>
      </c>
    </row>
    <row r="2250" customFormat="false" ht="15" hidden="false" customHeight="false" outlineLevel="0" collapsed="false">
      <c r="A2250" s="2" t="s">
        <v>119</v>
      </c>
      <c r="B2250" s="2" t="n">
        <v>5</v>
      </c>
      <c r="C2250" s="2" t="s">
        <v>95</v>
      </c>
      <c r="D2250" s="2" t="s">
        <v>39</v>
      </c>
      <c r="E2250" s="2" t="str">
        <f aca="false">INDEX(Products!$B$2:$B$13,MATCH(D2250,Products!$A$2:$A$13,0))</f>
        <v>Hydroprocessing</v>
      </c>
      <c r="F2250" s="15" t="n">
        <v>4.4</v>
      </c>
      <c r="G2250" s="16" t="n">
        <f aca="false">IF(A2250="2025",INDEX(Products!$C$2:$C$13,MATCH(D2250,Products!$A$2:$A$13,0)),INDEX(Products!$E$2:$E$13,MATCH(D2250,Products!$A$2:$A$13,0)))</f>
        <v>13198.5</v>
      </c>
      <c r="H2250" s="13" t="n">
        <f aca="false">IF(A2250="2025",INDEX(Customers!$D$2:$D$41,MATCH(C2250,Customers!$A$2:$A$41,0)),INDEX(Customers!$F$2:$F$41,MATCH(C2250,Customers!$A$2:$A$41,0)))</f>
        <v>0.067</v>
      </c>
      <c r="I2250" s="16" t="n">
        <f aca="false">F2250*G2250</f>
        <v>58073.4</v>
      </c>
      <c r="J2250" s="16" t="n">
        <f aca="false">I2250*(1-H2250)</f>
        <v>54182.4822</v>
      </c>
      <c r="K2250" s="16" t="n">
        <f aca="false">J2250*INDEX(Customers!$G$2:$G$41,MATCH(C2250,Customers!$A$2:$A$41,0))</f>
        <v>2709.12411</v>
      </c>
      <c r="L2250" s="16" t="n">
        <f aca="false">F2250*INDEX(Customers!$H$2:$H$41,MATCH(C2250,Customers!$A$2:$A$41,0))</f>
        <v>1144</v>
      </c>
      <c r="M2250" s="16" t="n">
        <f aca="false">J2250*INDEX(Customers!$I$2:$I$41,MATCH(C2250,Customers!$A$2:$A$41,0))/365*Assumptions!$B$6</f>
        <v>712.536752219178</v>
      </c>
      <c r="N2250" s="16" t="n">
        <f aca="false">J2250-K2250-L2250-M2250</f>
        <v>49616.8213377808</v>
      </c>
      <c r="O2250" s="16" t="n">
        <f aca="false">F2250*IF(A2250="2025",INDEX(Products!$D$2:$D$13,MATCH(D2250,Products!$A$2:$A$13,0)),INDEX(Products!$F$2:$F$13,MATCH(D2250,Products!$A$2:$A$13,0)))</f>
        <v>33038.28</v>
      </c>
      <c r="P2250" s="16" t="n">
        <f aca="false">N2250-O2250</f>
        <v>16578.5413377808</v>
      </c>
    </row>
    <row r="2251" customFormat="false" ht="15" hidden="false" customHeight="false" outlineLevel="0" collapsed="false">
      <c r="A2251" s="2" t="s">
        <v>119</v>
      </c>
      <c r="B2251" s="2" t="n">
        <v>6</v>
      </c>
      <c r="C2251" s="2" t="s">
        <v>95</v>
      </c>
      <c r="D2251" s="2" t="s">
        <v>39</v>
      </c>
      <c r="E2251" s="2" t="str">
        <f aca="false">INDEX(Products!$B$2:$B$13,MATCH(D2251,Products!$A$2:$A$13,0))</f>
        <v>Hydroprocessing</v>
      </c>
      <c r="F2251" s="15" t="n">
        <v>3.7</v>
      </c>
      <c r="G2251" s="16" t="n">
        <f aca="false">IF(A2251="2025",INDEX(Products!$C$2:$C$13,MATCH(D2251,Products!$A$2:$A$13,0)),INDEX(Products!$E$2:$E$13,MATCH(D2251,Products!$A$2:$A$13,0)))</f>
        <v>13198.5</v>
      </c>
      <c r="H2251" s="13" t="n">
        <f aca="false">IF(A2251="2025",INDEX(Customers!$D$2:$D$41,MATCH(C2251,Customers!$A$2:$A$41,0)),INDEX(Customers!$F$2:$F$41,MATCH(C2251,Customers!$A$2:$A$41,0)))</f>
        <v>0.067</v>
      </c>
      <c r="I2251" s="16" t="n">
        <f aca="false">F2251*G2251</f>
        <v>48834.45</v>
      </c>
      <c r="J2251" s="16" t="n">
        <f aca="false">I2251*(1-H2251)</f>
        <v>45562.54185</v>
      </c>
      <c r="K2251" s="16" t="n">
        <f aca="false">J2251*INDEX(Customers!$G$2:$G$41,MATCH(C2251,Customers!$A$2:$A$41,0))</f>
        <v>2278.1270925</v>
      </c>
      <c r="L2251" s="16" t="n">
        <f aca="false">F2251*INDEX(Customers!$H$2:$H$41,MATCH(C2251,Customers!$A$2:$A$41,0))</f>
        <v>962</v>
      </c>
      <c r="M2251" s="16" t="n">
        <f aca="false">J2251*INDEX(Customers!$I$2:$I$41,MATCH(C2251,Customers!$A$2:$A$41,0))/365*Assumptions!$B$6</f>
        <v>599.178632547945</v>
      </c>
      <c r="N2251" s="16" t="n">
        <f aca="false">J2251-K2251-L2251-M2251</f>
        <v>41723.2361249521</v>
      </c>
      <c r="O2251" s="16" t="n">
        <f aca="false">F2251*IF(A2251="2025",INDEX(Products!$D$2:$D$13,MATCH(D2251,Products!$A$2:$A$13,0)),INDEX(Products!$F$2:$F$13,MATCH(D2251,Products!$A$2:$A$13,0)))</f>
        <v>27782.19</v>
      </c>
      <c r="P2251" s="16" t="n">
        <f aca="false">N2251-O2251</f>
        <v>13941.0461249521</v>
      </c>
    </row>
    <row r="2252" customFormat="false" ht="15" hidden="false" customHeight="false" outlineLevel="0" collapsed="false">
      <c r="A2252" s="2" t="s">
        <v>119</v>
      </c>
      <c r="B2252" s="2" t="n">
        <v>7</v>
      </c>
      <c r="C2252" s="2" t="s">
        <v>95</v>
      </c>
      <c r="D2252" s="2" t="s">
        <v>39</v>
      </c>
      <c r="E2252" s="2" t="str">
        <f aca="false">INDEX(Products!$B$2:$B$13,MATCH(D2252,Products!$A$2:$A$13,0))</f>
        <v>Hydroprocessing</v>
      </c>
      <c r="F2252" s="15" t="n">
        <v>4.1</v>
      </c>
      <c r="G2252" s="16" t="n">
        <f aca="false">IF(A2252="2025",INDEX(Products!$C$2:$C$13,MATCH(D2252,Products!$A$2:$A$13,0)),INDEX(Products!$E$2:$E$13,MATCH(D2252,Products!$A$2:$A$13,0)))</f>
        <v>13198.5</v>
      </c>
      <c r="H2252" s="13" t="n">
        <f aca="false">IF(A2252="2025",INDEX(Customers!$D$2:$D$41,MATCH(C2252,Customers!$A$2:$A$41,0)),INDEX(Customers!$F$2:$F$41,MATCH(C2252,Customers!$A$2:$A$41,0)))</f>
        <v>0.067</v>
      </c>
      <c r="I2252" s="16" t="n">
        <f aca="false">F2252*G2252</f>
        <v>54113.85</v>
      </c>
      <c r="J2252" s="16" t="n">
        <f aca="false">I2252*(1-H2252)</f>
        <v>50488.22205</v>
      </c>
      <c r="K2252" s="16" t="n">
        <f aca="false">J2252*INDEX(Customers!$G$2:$G$41,MATCH(C2252,Customers!$A$2:$A$41,0))</f>
        <v>2524.4111025</v>
      </c>
      <c r="L2252" s="16" t="n">
        <f aca="false">F2252*INDEX(Customers!$H$2:$H$41,MATCH(C2252,Customers!$A$2:$A$41,0))</f>
        <v>1066</v>
      </c>
      <c r="M2252" s="16" t="n">
        <f aca="false">J2252*INDEX(Customers!$I$2:$I$41,MATCH(C2252,Customers!$A$2:$A$41,0))/365*Assumptions!$B$6</f>
        <v>663.954700931507</v>
      </c>
      <c r="N2252" s="16" t="n">
        <f aca="false">J2252-K2252-L2252-M2252</f>
        <v>46233.8562465685</v>
      </c>
      <c r="O2252" s="16" t="n">
        <f aca="false">F2252*IF(A2252="2025",INDEX(Products!$D$2:$D$13,MATCH(D2252,Products!$A$2:$A$13,0)),INDEX(Products!$F$2:$F$13,MATCH(D2252,Products!$A$2:$A$13,0)))</f>
        <v>30785.67</v>
      </c>
      <c r="P2252" s="16" t="n">
        <f aca="false">N2252-O2252</f>
        <v>15448.1862465685</v>
      </c>
    </row>
    <row r="2253" customFormat="false" ht="15" hidden="false" customHeight="false" outlineLevel="0" collapsed="false">
      <c r="A2253" s="2" t="s">
        <v>119</v>
      </c>
      <c r="B2253" s="2" t="n">
        <v>8</v>
      </c>
      <c r="C2253" s="2" t="s">
        <v>95</v>
      </c>
      <c r="D2253" s="2" t="s">
        <v>39</v>
      </c>
      <c r="E2253" s="2" t="str">
        <f aca="false">INDEX(Products!$B$2:$B$13,MATCH(D2253,Products!$A$2:$A$13,0))</f>
        <v>Hydroprocessing</v>
      </c>
      <c r="F2253" s="15" t="n">
        <v>4.6</v>
      </c>
      <c r="G2253" s="16" t="n">
        <f aca="false">IF(A2253="2025",INDEX(Products!$C$2:$C$13,MATCH(D2253,Products!$A$2:$A$13,0)),INDEX(Products!$E$2:$E$13,MATCH(D2253,Products!$A$2:$A$13,0)))</f>
        <v>13198.5</v>
      </c>
      <c r="H2253" s="13" t="n">
        <f aca="false">IF(A2253="2025",INDEX(Customers!$D$2:$D$41,MATCH(C2253,Customers!$A$2:$A$41,0)),INDEX(Customers!$F$2:$F$41,MATCH(C2253,Customers!$A$2:$A$41,0)))</f>
        <v>0.067</v>
      </c>
      <c r="I2253" s="16" t="n">
        <f aca="false">F2253*G2253</f>
        <v>60713.1</v>
      </c>
      <c r="J2253" s="16" t="n">
        <f aca="false">I2253*(1-H2253)</f>
        <v>56645.3223</v>
      </c>
      <c r="K2253" s="16" t="n">
        <f aca="false">J2253*INDEX(Customers!$G$2:$G$41,MATCH(C2253,Customers!$A$2:$A$41,0))</f>
        <v>2832.266115</v>
      </c>
      <c r="L2253" s="16" t="n">
        <f aca="false">F2253*INDEX(Customers!$H$2:$H$41,MATCH(C2253,Customers!$A$2:$A$41,0))</f>
        <v>1196</v>
      </c>
      <c r="M2253" s="16" t="n">
        <f aca="false">J2253*INDEX(Customers!$I$2:$I$41,MATCH(C2253,Customers!$A$2:$A$41,0))/365*Assumptions!$B$6</f>
        <v>744.924786410959</v>
      </c>
      <c r="N2253" s="16" t="n">
        <f aca="false">J2253-K2253-L2253-M2253</f>
        <v>51872.131398589</v>
      </c>
      <c r="O2253" s="16" t="n">
        <f aca="false">F2253*IF(A2253="2025",INDEX(Products!$D$2:$D$13,MATCH(D2253,Products!$A$2:$A$13,0)),INDEX(Products!$F$2:$F$13,MATCH(D2253,Products!$A$2:$A$13,0)))</f>
        <v>34540.02</v>
      </c>
      <c r="P2253" s="16" t="n">
        <f aca="false">N2253-O2253</f>
        <v>17332.111398589</v>
      </c>
    </row>
    <row r="2254" customFormat="false" ht="15" hidden="false" customHeight="false" outlineLevel="0" collapsed="false">
      <c r="A2254" s="2" t="s">
        <v>119</v>
      </c>
      <c r="B2254" s="2" t="n">
        <v>9</v>
      </c>
      <c r="C2254" s="2" t="s">
        <v>95</v>
      </c>
      <c r="D2254" s="2" t="s">
        <v>39</v>
      </c>
      <c r="E2254" s="2" t="str">
        <f aca="false">INDEX(Products!$B$2:$B$13,MATCH(D2254,Products!$A$2:$A$13,0))</f>
        <v>Hydroprocessing</v>
      </c>
      <c r="F2254" s="15" t="n">
        <v>4.2</v>
      </c>
      <c r="G2254" s="16" t="n">
        <f aca="false">IF(A2254="2025",INDEX(Products!$C$2:$C$13,MATCH(D2254,Products!$A$2:$A$13,0)),INDEX(Products!$E$2:$E$13,MATCH(D2254,Products!$A$2:$A$13,0)))</f>
        <v>13198.5</v>
      </c>
      <c r="H2254" s="13" t="n">
        <f aca="false">IF(A2254="2025",INDEX(Customers!$D$2:$D$41,MATCH(C2254,Customers!$A$2:$A$41,0)),INDEX(Customers!$F$2:$F$41,MATCH(C2254,Customers!$A$2:$A$41,0)))</f>
        <v>0.067</v>
      </c>
      <c r="I2254" s="16" t="n">
        <f aca="false">F2254*G2254</f>
        <v>55433.7</v>
      </c>
      <c r="J2254" s="16" t="n">
        <f aca="false">I2254*(1-H2254)</f>
        <v>51719.6421</v>
      </c>
      <c r="K2254" s="16" t="n">
        <f aca="false">J2254*INDEX(Customers!$G$2:$G$41,MATCH(C2254,Customers!$A$2:$A$41,0))</f>
        <v>2585.982105</v>
      </c>
      <c r="L2254" s="16" t="n">
        <f aca="false">F2254*INDEX(Customers!$H$2:$H$41,MATCH(C2254,Customers!$A$2:$A$41,0))</f>
        <v>1092</v>
      </c>
      <c r="M2254" s="16" t="n">
        <f aca="false">J2254*INDEX(Customers!$I$2:$I$41,MATCH(C2254,Customers!$A$2:$A$41,0))/365*Assumptions!$B$6</f>
        <v>680.148718027397</v>
      </c>
      <c r="N2254" s="16" t="n">
        <f aca="false">J2254-K2254-L2254-M2254</f>
        <v>47361.5112769726</v>
      </c>
      <c r="O2254" s="16" t="n">
        <f aca="false">F2254*IF(A2254="2025",INDEX(Products!$D$2:$D$13,MATCH(D2254,Products!$A$2:$A$13,0)),INDEX(Products!$F$2:$F$13,MATCH(D2254,Products!$A$2:$A$13,0)))</f>
        <v>31536.54</v>
      </c>
      <c r="P2254" s="16" t="n">
        <f aca="false">N2254-O2254</f>
        <v>15824.9712769726</v>
      </c>
    </row>
    <row r="2255" customFormat="false" ht="15" hidden="false" customHeight="false" outlineLevel="0" collapsed="false">
      <c r="A2255" s="2" t="s">
        <v>119</v>
      </c>
      <c r="B2255" s="2" t="n">
        <v>10</v>
      </c>
      <c r="C2255" s="2" t="s">
        <v>95</v>
      </c>
      <c r="D2255" s="2" t="s">
        <v>39</v>
      </c>
      <c r="E2255" s="2" t="str">
        <f aca="false">INDEX(Products!$B$2:$B$13,MATCH(D2255,Products!$A$2:$A$13,0))</f>
        <v>Hydroprocessing</v>
      </c>
      <c r="F2255" s="15" t="n">
        <v>3.9</v>
      </c>
      <c r="G2255" s="16" t="n">
        <f aca="false">IF(A2255="2025",INDEX(Products!$C$2:$C$13,MATCH(D2255,Products!$A$2:$A$13,0)),INDEX(Products!$E$2:$E$13,MATCH(D2255,Products!$A$2:$A$13,0)))</f>
        <v>13198.5</v>
      </c>
      <c r="H2255" s="13" t="n">
        <f aca="false">IF(A2255="2025",INDEX(Customers!$D$2:$D$41,MATCH(C2255,Customers!$A$2:$A$41,0)),INDEX(Customers!$F$2:$F$41,MATCH(C2255,Customers!$A$2:$A$41,0)))</f>
        <v>0.067</v>
      </c>
      <c r="I2255" s="16" t="n">
        <f aca="false">F2255*G2255</f>
        <v>51474.15</v>
      </c>
      <c r="J2255" s="16" t="n">
        <f aca="false">I2255*(1-H2255)</f>
        <v>48025.38195</v>
      </c>
      <c r="K2255" s="16" t="n">
        <f aca="false">J2255*INDEX(Customers!$G$2:$G$41,MATCH(C2255,Customers!$A$2:$A$41,0))</f>
        <v>2401.2690975</v>
      </c>
      <c r="L2255" s="16" t="n">
        <f aca="false">F2255*INDEX(Customers!$H$2:$H$41,MATCH(C2255,Customers!$A$2:$A$41,0))</f>
        <v>1014</v>
      </c>
      <c r="M2255" s="16" t="n">
        <f aca="false">J2255*INDEX(Customers!$I$2:$I$41,MATCH(C2255,Customers!$A$2:$A$41,0))/365*Assumptions!$B$6</f>
        <v>631.566666739726</v>
      </c>
      <c r="N2255" s="16" t="n">
        <f aca="false">J2255-K2255-L2255-M2255</f>
        <v>43978.5461857603</v>
      </c>
      <c r="O2255" s="16" t="n">
        <f aca="false">F2255*IF(A2255="2025",INDEX(Products!$D$2:$D$13,MATCH(D2255,Products!$A$2:$A$13,0)),INDEX(Products!$F$2:$F$13,MATCH(D2255,Products!$A$2:$A$13,0)))</f>
        <v>29283.93</v>
      </c>
      <c r="P2255" s="16" t="n">
        <f aca="false">N2255-O2255</f>
        <v>14694.6161857603</v>
      </c>
    </row>
    <row r="2256" customFormat="false" ht="15" hidden="false" customHeight="false" outlineLevel="0" collapsed="false">
      <c r="A2256" s="2" t="s">
        <v>119</v>
      </c>
      <c r="B2256" s="2" t="n">
        <v>11</v>
      </c>
      <c r="C2256" s="2" t="s">
        <v>95</v>
      </c>
      <c r="D2256" s="2" t="s">
        <v>39</v>
      </c>
      <c r="E2256" s="2" t="str">
        <f aca="false">INDEX(Products!$B$2:$B$13,MATCH(D2256,Products!$A$2:$A$13,0))</f>
        <v>Hydroprocessing</v>
      </c>
      <c r="F2256" s="15" t="n">
        <v>3.1</v>
      </c>
      <c r="G2256" s="16" t="n">
        <f aca="false">IF(A2256="2025",INDEX(Products!$C$2:$C$13,MATCH(D2256,Products!$A$2:$A$13,0)),INDEX(Products!$E$2:$E$13,MATCH(D2256,Products!$A$2:$A$13,0)))</f>
        <v>13198.5</v>
      </c>
      <c r="H2256" s="13" t="n">
        <f aca="false">IF(A2256="2025",INDEX(Customers!$D$2:$D$41,MATCH(C2256,Customers!$A$2:$A$41,0)),INDEX(Customers!$F$2:$F$41,MATCH(C2256,Customers!$A$2:$A$41,0)))</f>
        <v>0.067</v>
      </c>
      <c r="I2256" s="16" t="n">
        <f aca="false">F2256*G2256</f>
        <v>40915.35</v>
      </c>
      <c r="J2256" s="16" t="n">
        <f aca="false">I2256*(1-H2256)</f>
        <v>38174.02155</v>
      </c>
      <c r="K2256" s="16" t="n">
        <f aca="false">J2256*INDEX(Customers!$G$2:$G$41,MATCH(C2256,Customers!$A$2:$A$41,0))</f>
        <v>1908.7010775</v>
      </c>
      <c r="L2256" s="16" t="n">
        <f aca="false">F2256*INDEX(Customers!$H$2:$H$41,MATCH(C2256,Customers!$A$2:$A$41,0))</f>
        <v>806</v>
      </c>
      <c r="M2256" s="16" t="n">
        <f aca="false">J2256*INDEX(Customers!$I$2:$I$41,MATCH(C2256,Customers!$A$2:$A$41,0))/365*Assumptions!$B$6</f>
        <v>502.014529972603</v>
      </c>
      <c r="N2256" s="16" t="n">
        <f aca="false">J2256-K2256-L2256-M2256</f>
        <v>34957.3059425274</v>
      </c>
      <c r="O2256" s="16" t="n">
        <f aca="false">F2256*IF(A2256="2025",INDEX(Products!$D$2:$D$13,MATCH(D2256,Products!$A$2:$A$13,0)),INDEX(Products!$F$2:$F$13,MATCH(D2256,Products!$A$2:$A$13,0)))</f>
        <v>23276.97</v>
      </c>
      <c r="P2256" s="16" t="n">
        <f aca="false">N2256-O2256</f>
        <v>11680.3359425274</v>
      </c>
    </row>
    <row r="2257" customFormat="false" ht="15" hidden="false" customHeight="false" outlineLevel="0" collapsed="false">
      <c r="A2257" s="2" t="s">
        <v>119</v>
      </c>
      <c r="B2257" s="2" t="n">
        <v>12</v>
      </c>
      <c r="C2257" s="2" t="s">
        <v>95</v>
      </c>
      <c r="D2257" s="2" t="s">
        <v>39</v>
      </c>
      <c r="E2257" s="2" t="str">
        <f aca="false">INDEX(Products!$B$2:$B$13,MATCH(D2257,Products!$A$2:$A$13,0))</f>
        <v>Hydroprocessing</v>
      </c>
      <c r="F2257" s="15" t="n">
        <v>2.7</v>
      </c>
      <c r="G2257" s="16" t="n">
        <f aca="false">IF(A2257="2025",INDEX(Products!$C$2:$C$13,MATCH(D2257,Products!$A$2:$A$13,0)),INDEX(Products!$E$2:$E$13,MATCH(D2257,Products!$A$2:$A$13,0)))</f>
        <v>13198.5</v>
      </c>
      <c r="H2257" s="13" t="n">
        <f aca="false">IF(A2257="2025",INDEX(Customers!$D$2:$D$41,MATCH(C2257,Customers!$A$2:$A$41,0)),INDEX(Customers!$F$2:$F$41,MATCH(C2257,Customers!$A$2:$A$41,0)))</f>
        <v>0.067</v>
      </c>
      <c r="I2257" s="16" t="n">
        <f aca="false">F2257*G2257</f>
        <v>35635.95</v>
      </c>
      <c r="J2257" s="16" t="n">
        <f aca="false">I2257*(1-H2257)</f>
        <v>33248.34135</v>
      </c>
      <c r="K2257" s="16" t="n">
        <f aca="false">J2257*INDEX(Customers!$G$2:$G$41,MATCH(C2257,Customers!$A$2:$A$41,0))</f>
        <v>1662.4170675</v>
      </c>
      <c r="L2257" s="16" t="n">
        <f aca="false">F2257*INDEX(Customers!$H$2:$H$41,MATCH(C2257,Customers!$A$2:$A$41,0))</f>
        <v>702</v>
      </c>
      <c r="M2257" s="16" t="n">
        <f aca="false">J2257*INDEX(Customers!$I$2:$I$41,MATCH(C2257,Customers!$A$2:$A$41,0))/365*Assumptions!$B$6</f>
        <v>437.238461589041</v>
      </c>
      <c r="N2257" s="16" t="n">
        <f aca="false">J2257-K2257-L2257-M2257</f>
        <v>30446.685820911</v>
      </c>
      <c r="O2257" s="16" t="n">
        <f aca="false">F2257*IF(A2257="2025",INDEX(Products!$D$2:$D$13,MATCH(D2257,Products!$A$2:$A$13,0)),INDEX(Products!$F$2:$F$13,MATCH(D2257,Products!$A$2:$A$13,0)))</f>
        <v>20273.49</v>
      </c>
      <c r="P2257" s="16" t="n">
        <f aca="false">N2257-O2257</f>
        <v>10173.195820911</v>
      </c>
    </row>
    <row r="2258" customFormat="false" ht="15" hidden="false" customHeight="false" outlineLevel="0" collapsed="false">
      <c r="A2258" s="2" t="s">
        <v>118</v>
      </c>
      <c r="B2258" s="2" t="n">
        <v>1</v>
      </c>
      <c r="C2258" s="2" t="s">
        <v>96</v>
      </c>
      <c r="D2258" s="2" t="s">
        <v>44</v>
      </c>
      <c r="E2258" s="2" t="str">
        <f aca="false">INDEX(Products!$B$2:$B$13,MATCH(D2258,Products!$A$2:$A$13,0))</f>
        <v>Specialty</v>
      </c>
      <c r="F2258" s="15" t="n">
        <v>1</v>
      </c>
      <c r="G2258" s="16" t="n">
        <f aca="false">IF(A2258="2025",INDEX(Products!$C$2:$C$13,MATCH(D2258,Products!$A$2:$A$13,0)),INDEX(Products!$E$2:$E$13,MATCH(D2258,Products!$A$2:$A$13,0)))</f>
        <v>28970</v>
      </c>
      <c r="H2258" s="13" t="n">
        <f aca="false">IF(A2258="2025",INDEX(Customers!$D$2:$D$41,MATCH(C2258,Customers!$A$2:$A$41,0)),INDEX(Customers!$F$2:$F$41,MATCH(C2258,Customers!$A$2:$A$41,0)))</f>
        <v>0.045</v>
      </c>
      <c r="I2258" s="16" t="n">
        <f aca="false">F2258*G2258</f>
        <v>28970</v>
      </c>
      <c r="J2258" s="16" t="n">
        <f aca="false">I2258*(1-H2258)</f>
        <v>27666.35</v>
      </c>
      <c r="K2258" s="16" t="n">
        <f aca="false">J2258*INDEX(Customers!$G$2:$G$41,MATCH(C2258,Customers!$A$2:$A$41,0))</f>
        <v>0</v>
      </c>
      <c r="L2258" s="16" t="n">
        <f aca="false">F2258*INDEX(Customers!$H$2:$H$41,MATCH(C2258,Customers!$A$2:$A$41,0))</f>
        <v>120</v>
      </c>
      <c r="M2258" s="16" t="n">
        <f aca="false">J2258*INDEX(Customers!$I$2:$I$41,MATCH(C2258,Customers!$A$2:$A$41,0))/365*Assumptions!$B$6</f>
        <v>363.831452054795</v>
      </c>
      <c r="N2258" s="16" t="n">
        <f aca="false">J2258-K2258-L2258-M2258</f>
        <v>27182.5185479452</v>
      </c>
      <c r="O2258" s="16" t="n">
        <f aca="false">F2258*IF(A2258="2025",INDEX(Products!$D$2:$D$13,MATCH(D2258,Products!$A$2:$A$13,0)),INDEX(Products!$F$2:$F$13,MATCH(D2258,Products!$A$2:$A$13,0)))</f>
        <v>14310</v>
      </c>
      <c r="P2258" s="16" t="n">
        <f aca="false">N2258-O2258</f>
        <v>12872.5185479452</v>
      </c>
    </row>
    <row r="2259" customFormat="false" ht="15" hidden="false" customHeight="false" outlineLevel="0" collapsed="false">
      <c r="A2259" s="2" t="s">
        <v>118</v>
      </c>
      <c r="B2259" s="2" t="n">
        <v>2</v>
      </c>
      <c r="C2259" s="2" t="s">
        <v>96</v>
      </c>
      <c r="D2259" s="2" t="s">
        <v>44</v>
      </c>
      <c r="E2259" s="2" t="str">
        <f aca="false">INDEX(Products!$B$2:$B$13,MATCH(D2259,Products!$A$2:$A$13,0))</f>
        <v>Specialty</v>
      </c>
      <c r="F2259" s="15" t="n">
        <v>0.9</v>
      </c>
      <c r="G2259" s="16" t="n">
        <f aca="false">IF(A2259="2025",INDEX(Products!$C$2:$C$13,MATCH(D2259,Products!$A$2:$A$13,0)),INDEX(Products!$E$2:$E$13,MATCH(D2259,Products!$A$2:$A$13,0)))</f>
        <v>28970</v>
      </c>
      <c r="H2259" s="13" t="n">
        <f aca="false">IF(A2259="2025",INDEX(Customers!$D$2:$D$41,MATCH(C2259,Customers!$A$2:$A$41,0)),INDEX(Customers!$F$2:$F$41,MATCH(C2259,Customers!$A$2:$A$41,0)))</f>
        <v>0.045</v>
      </c>
      <c r="I2259" s="16" t="n">
        <f aca="false">F2259*G2259</f>
        <v>26073</v>
      </c>
      <c r="J2259" s="16" t="n">
        <f aca="false">I2259*(1-H2259)</f>
        <v>24899.715</v>
      </c>
      <c r="K2259" s="16" t="n">
        <f aca="false">J2259*INDEX(Customers!$G$2:$G$41,MATCH(C2259,Customers!$A$2:$A$41,0))</f>
        <v>0</v>
      </c>
      <c r="L2259" s="16" t="n">
        <f aca="false">F2259*INDEX(Customers!$H$2:$H$41,MATCH(C2259,Customers!$A$2:$A$41,0))</f>
        <v>108</v>
      </c>
      <c r="M2259" s="16" t="n">
        <f aca="false">J2259*INDEX(Customers!$I$2:$I$41,MATCH(C2259,Customers!$A$2:$A$41,0))/365*Assumptions!$B$6</f>
        <v>327.448306849315</v>
      </c>
      <c r="N2259" s="16" t="n">
        <f aca="false">J2259-K2259-L2259-M2259</f>
        <v>24464.2666931507</v>
      </c>
      <c r="O2259" s="16" t="n">
        <f aca="false">F2259*IF(A2259="2025",INDEX(Products!$D$2:$D$13,MATCH(D2259,Products!$A$2:$A$13,0)),INDEX(Products!$F$2:$F$13,MATCH(D2259,Products!$A$2:$A$13,0)))</f>
        <v>12879</v>
      </c>
      <c r="P2259" s="16" t="n">
        <f aca="false">N2259-O2259</f>
        <v>11585.2666931507</v>
      </c>
    </row>
    <row r="2260" customFormat="false" ht="15" hidden="false" customHeight="false" outlineLevel="0" collapsed="false">
      <c r="A2260" s="2" t="s">
        <v>118</v>
      </c>
      <c r="B2260" s="2" t="n">
        <v>3</v>
      </c>
      <c r="C2260" s="2" t="s">
        <v>96</v>
      </c>
      <c r="D2260" s="2" t="s">
        <v>44</v>
      </c>
      <c r="E2260" s="2" t="str">
        <f aca="false">INDEX(Products!$B$2:$B$13,MATCH(D2260,Products!$A$2:$A$13,0))</f>
        <v>Specialty</v>
      </c>
      <c r="F2260" s="15" t="n">
        <v>0.9</v>
      </c>
      <c r="G2260" s="16" t="n">
        <f aca="false">IF(A2260="2025",INDEX(Products!$C$2:$C$13,MATCH(D2260,Products!$A$2:$A$13,0)),INDEX(Products!$E$2:$E$13,MATCH(D2260,Products!$A$2:$A$13,0)))</f>
        <v>28970</v>
      </c>
      <c r="H2260" s="13" t="n">
        <f aca="false">IF(A2260="2025",INDEX(Customers!$D$2:$D$41,MATCH(C2260,Customers!$A$2:$A$41,0)),INDEX(Customers!$F$2:$F$41,MATCH(C2260,Customers!$A$2:$A$41,0)))</f>
        <v>0.045</v>
      </c>
      <c r="I2260" s="16" t="n">
        <f aca="false">F2260*G2260</f>
        <v>26073</v>
      </c>
      <c r="J2260" s="16" t="n">
        <f aca="false">I2260*(1-H2260)</f>
        <v>24899.715</v>
      </c>
      <c r="K2260" s="16" t="n">
        <f aca="false">J2260*INDEX(Customers!$G$2:$G$41,MATCH(C2260,Customers!$A$2:$A$41,0))</f>
        <v>0</v>
      </c>
      <c r="L2260" s="16" t="n">
        <f aca="false">F2260*INDEX(Customers!$H$2:$H$41,MATCH(C2260,Customers!$A$2:$A$41,0))</f>
        <v>108</v>
      </c>
      <c r="M2260" s="16" t="n">
        <f aca="false">J2260*INDEX(Customers!$I$2:$I$41,MATCH(C2260,Customers!$A$2:$A$41,0))/365*Assumptions!$B$6</f>
        <v>327.448306849315</v>
      </c>
      <c r="N2260" s="16" t="n">
        <f aca="false">J2260-K2260-L2260-M2260</f>
        <v>24464.2666931507</v>
      </c>
      <c r="O2260" s="16" t="n">
        <f aca="false">F2260*IF(A2260="2025",INDEX(Products!$D$2:$D$13,MATCH(D2260,Products!$A$2:$A$13,0)),INDEX(Products!$F$2:$F$13,MATCH(D2260,Products!$A$2:$A$13,0)))</f>
        <v>12879</v>
      </c>
      <c r="P2260" s="16" t="n">
        <f aca="false">N2260-O2260</f>
        <v>11585.2666931507</v>
      </c>
    </row>
    <row r="2261" customFormat="false" ht="15" hidden="false" customHeight="false" outlineLevel="0" collapsed="false">
      <c r="A2261" s="2" t="s">
        <v>118</v>
      </c>
      <c r="B2261" s="2" t="n">
        <v>4</v>
      </c>
      <c r="C2261" s="2" t="s">
        <v>96</v>
      </c>
      <c r="D2261" s="2" t="s">
        <v>44</v>
      </c>
      <c r="E2261" s="2" t="str">
        <f aca="false">INDEX(Products!$B$2:$B$13,MATCH(D2261,Products!$A$2:$A$13,0))</f>
        <v>Specialty</v>
      </c>
      <c r="F2261" s="15" t="n">
        <v>0.8</v>
      </c>
      <c r="G2261" s="16" t="n">
        <f aca="false">IF(A2261="2025",INDEX(Products!$C$2:$C$13,MATCH(D2261,Products!$A$2:$A$13,0)),INDEX(Products!$E$2:$E$13,MATCH(D2261,Products!$A$2:$A$13,0)))</f>
        <v>28970</v>
      </c>
      <c r="H2261" s="13" t="n">
        <f aca="false">IF(A2261="2025",INDEX(Customers!$D$2:$D$41,MATCH(C2261,Customers!$A$2:$A$41,0)),INDEX(Customers!$F$2:$F$41,MATCH(C2261,Customers!$A$2:$A$41,0)))</f>
        <v>0.045</v>
      </c>
      <c r="I2261" s="16" t="n">
        <f aca="false">F2261*G2261</f>
        <v>23176</v>
      </c>
      <c r="J2261" s="16" t="n">
        <f aca="false">I2261*(1-H2261)</f>
        <v>22133.08</v>
      </c>
      <c r="K2261" s="16" t="n">
        <f aca="false">J2261*INDEX(Customers!$G$2:$G$41,MATCH(C2261,Customers!$A$2:$A$41,0))</f>
        <v>0</v>
      </c>
      <c r="L2261" s="16" t="n">
        <f aca="false">F2261*INDEX(Customers!$H$2:$H$41,MATCH(C2261,Customers!$A$2:$A$41,0))</f>
        <v>96</v>
      </c>
      <c r="M2261" s="16" t="n">
        <f aca="false">J2261*INDEX(Customers!$I$2:$I$41,MATCH(C2261,Customers!$A$2:$A$41,0))/365*Assumptions!$B$6</f>
        <v>291.065161643836</v>
      </c>
      <c r="N2261" s="16" t="n">
        <f aca="false">J2261-K2261-L2261-M2261</f>
        <v>21746.0148383562</v>
      </c>
      <c r="O2261" s="16" t="n">
        <f aca="false">F2261*IF(A2261="2025",INDEX(Products!$D$2:$D$13,MATCH(D2261,Products!$A$2:$A$13,0)),INDEX(Products!$F$2:$F$13,MATCH(D2261,Products!$A$2:$A$13,0)))</f>
        <v>11448</v>
      </c>
      <c r="P2261" s="16" t="n">
        <f aca="false">N2261-O2261</f>
        <v>10298.0148383562</v>
      </c>
    </row>
    <row r="2262" customFormat="false" ht="15" hidden="false" customHeight="false" outlineLevel="0" collapsed="false">
      <c r="A2262" s="2" t="s">
        <v>118</v>
      </c>
      <c r="B2262" s="2" t="n">
        <v>5</v>
      </c>
      <c r="C2262" s="2" t="s">
        <v>96</v>
      </c>
      <c r="D2262" s="2" t="s">
        <v>44</v>
      </c>
      <c r="E2262" s="2" t="str">
        <f aca="false">INDEX(Products!$B$2:$B$13,MATCH(D2262,Products!$A$2:$A$13,0))</f>
        <v>Specialty</v>
      </c>
      <c r="F2262" s="15" t="n">
        <v>0.9</v>
      </c>
      <c r="G2262" s="16" t="n">
        <f aca="false">IF(A2262="2025",INDEX(Products!$C$2:$C$13,MATCH(D2262,Products!$A$2:$A$13,0)),INDEX(Products!$E$2:$E$13,MATCH(D2262,Products!$A$2:$A$13,0)))</f>
        <v>28970</v>
      </c>
      <c r="H2262" s="13" t="n">
        <f aca="false">IF(A2262="2025",INDEX(Customers!$D$2:$D$41,MATCH(C2262,Customers!$A$2:$A$41,0)),INDEX(Customers!$F$2:$F$41,MATCH(C2262,Customers!$A$2:$A$41,0)))</f>
        <v>0.045</v>
      </c>
      <c r="I2262" s="16" t="n">
        <f aca="false">F2262*G2262</f>
        <v>26073</v>
      </c>
      <c r="J2262" s="16" t="n">
        <f aca="false">I2262*(1-H2262)</f>
        <v>24899.715</v>
      </c>
      <c r="K2262" s="16" t="n">
        <f aca="false">J2262*INDEX(Customers!$G$2:$G$41,MATCH(C2262,Customers!$A$2:$A$41,0))</f>
        <v>0</v>
      </c>
      <c r="L2262" s="16" t="n">
        <f aca="false">F2262*INDEX(Customers!$H$2:$H$41,MATCH(C2262,Customers!$A$2:$A$41,0))</f>
        <v>108</v>
      </c>
      <c r="M2262" s="16" t="n">
        <f aca="false">J2262*INDEX(Customers!$I$2:$I$41,MATCH(C2262,Customers!$A$2:$A$41,0))/365*Assumptions!$B$6</f>
        <v>327.448306849315</v>
      </c>
      <c r="N2262" s="16" t="n">
        <f aca="false">J2262-K2262-L2262-M2262</f>
        <v>24464.2666931507</v>
      </c>
      <c r="O2262" s="16" t="n">
        <f aca="false">F2262*IF(A2262="2025",INDEX(Products!$D$2:$D$13,MATCH(D2262,Products!$A$2:$A$13,0)),INDEX(Products!$F$2:$F$13,MATCH(D2262,Products!$A$2:$A$13,0)))</f>
        <v>12879</v>
      </c>
      <c r="P2262" s="16" t="n">
        <f aca="false">N2262-O2262</f>
        <v>11585.2666931507</v>
      </c>
    </row>
    <row r="2263" customFormat="false" ht="15" hidden="false" customHeight="false" outlineLevel="0" collapsed="false">
      <c r="A2263" s="2" t="s">
        <v>118</v>
      </c>
      <c r="B2263" s="2" t="n">
        <v>6</v>
      </c>
      <c r="C2263" s="2" t="s">
        <v>96</v>
      </c>
      <c r="D2263" s="2" t="s">
        <v>44</v>
      </c>
      <c r="E2263" s="2" t="str">
        <f aca="false">INDEX(Products!$B$2:$B$13,MATCH(D2263,Products!$A$2:$A$13,0))</f>
        <v>Specialty</v>
      </c>
      <c r="F2263" s="15" t="n">
        <v>0.8</v>
      </c>
      <c r="G2263" s="16" t="n">
        <f aca="false">IF(A2263="2025",INDEX(Products!$C$2:$C$13,MATCH(D2263,Products!$A$2:$A$13,0)),INDEX(Products!$E$2:$E$13,MATCH(D2263,Products!$A$2:$A$13,0)))</f>
        <v>28970</v>
      </c>
      <c r="H2263" s="13" t="n">
        <f aca="false">IF(A2263="2025",INDEX(Customers!$D$2:$D$41,MATCH(C2263,Customers!$A$2:$A$41,0)),INDEX(Customers!$F$2:$F$41,MATCH(C2263,Customers!$A$2:$A$41,0)))</f>
        <v>0.045</v>
      </c>
      <c r="I2263" s="16" t="n">
        <f aca="false">F2263*G2263</f>
        <v>23176</v>
      </c>
      <c r="J2263" s="16" t="n">
        <f aca="false">I2263*(1-H2263)</f>
        <v>22133.08</v>
      </c>
      <c r="K2263" s="16" t="n">
        <f aca="false">J2263*INDEX(Customers!$G$2:$G$41,MATCH(C2263,Customers!$A$2:$A$41,0))</f>
        <v>0</v>
      </c>
      <c r="L2263" s="16" t="n">
        <f aca="false">F2263*INDEX(Customers!$H$2:$H$41,MATCH(C2263,Customers!$A$2:$A$41,0))</f>
        <v>96</v>
      </c>
      <c r="M2263" s="16" t="n">
        <f aca="false">J2263*INDEX(Customers!$I$2:$I$41,MATCH(C2263,Customers!$A$2:$A$41,0))/365*Assumptions!$B$6</f>
        <v>291.065161643836</v>
      </c>
      <c r="N2263" s="16" t="n">
        <f aca="false">J2263-K2263-L2263-M2263</f>
        <v>21746.0148383562</v>
      </c>
      <c r="O2263" s="16" t="n">
        <f aca="false">F2263*IF(A2263="2025",INDEX(Products!$D$2:$D$13,MATCH(D2263,Products!$A$2:$A$13,0)),INDEX(Products!$F$2:$F$13,MATCH(D2263,Products!$A$2:$A$13,0)))</f>
        <v>11448</v>
      </c>
      <c r="P2263" s="16" t="n">
        <f aca="false">N2263-O2263</f>
        <v>10298.0148383562</v>
      </c>
    </row>
    <row r="2264" customFormat="false" ht="15" hidden="false" customHeight="false" outlineLevel="0" collapsed="false">
      <c r="A2264" s="2" t="s">
        <v>118</v>
      </c>
      <c r="B2264" s="2" t="n">
        <v>7</v>
      </c>
      <c r="C2264" s="2" t="s">
        <v>96</v>
      </c>
      <c r="D2264" s="2" t="s">
        <v>44</v>
      </c>
      <c r="E2264" s="2" t="str">
        <f aca="false">INDEX(Products!$B$2:$B$13,MATCH(D2264,Products!$A$2:$A$13,0))</f>
        <v>Specialty</v>
      </c>
      <c r="F2264" s="15" t="n">
        <v>0.6</v>
      </c>
      <c r="G2264" s="16" t="n">
        <f aca="false">IF(A2264="2025",INDEX(Products!$C$2:$C$13,MATCH(D2264,Products!$A$2:$A$13,0)),INDEX(Products!$E$2:$E$13,MATCH(D2264,Products!$A$2:$A$13,0)))</f>
        <v>28970</v>
      </c>
      <c r="H2264" s="13" t="n">
        <f aca="false">IF(A2264="2025",INDEX(Customers!$D$2:$D$41,MATCH(C2264,Customers!$A$2:$A$41,0)),INDEX(Customers!$F$2:$F$41,MATCH(C2264,Customers!$A$2:$A$41,0)))</f>
        <v>0.045</v>
      </c>
      <c r="I2264" s="16" t="n">
        <f aca="false">F2264*G2264</f>
        <v>17382</v>
      </c>
      <c r="J2264" s="16" t="n">
        <f aca="false">I2264*(1-H2264)</f>
        <v>16599.81</v>
      </c>
      <c r="K2264" s="16" t="n">
        <f aca="false">J2264*INDEX(Customers!$G$2:$G$41,MATCH(C2264,Customers!$A$2:$A$41,0))</f>
        <v>0</v>
      </c>
      <c r="L2264" s="16" t="n">
        <f aca="false">F2264*INDEX(Customers!$H$2:$H$41,MATCH(C2264,Customers!$A$2:$A$41,0))</f>
        <v>72</v>
      </c>
      <c r="M2264" s="16" t="n">
        <f aca="false">J2264*INDEX(Customers!$I$2:$I$41,MATCH(C2264,Customers!$A$2:$A$41,0))/365*Assumptions!$B$6</f>
        <v>218.298871232877</v>
      </c>
      <c r="N2264" s="16" t="n">
        <f aca="false">J2264-K2264-L2264-M2264</f>
        <v>16309.5111287671</v>
      </c>
      <c r="O2264" s="16" t="n">
        <f aca="false">F2264*IF(A2264="2025",INDEX(Products!$D$2:$D$13,MATCH(D2264,Products!$A$2:$A$13,0)),INDEX(Products!$F$2:$F$13,MATCH(D2264,Products!$A$2:$A$13,0)))</f>
        <v>8586</v>
      </c>
      <c r="P2264" s="16" t="n">
        <f aca="false">N2264-O2264</f>
        <v>7723.51112876712</v>
      </c>
    </row>
    <row r="2265" customFormat="false" ht="15" hidden="false" customHeight="false" outlineLevel="0" collapsed="false">
      <c r="A2265" s="2" t="s">
        <v>118</v>
      </c>
      <c r="B2265" s="2" t="n">
        <v>8</v>
      </c>
      <c r="C2265" s="2" t="s">
        <v>96</v>
      </c>
      <c r="D2265" s="2" t="s">
        <v>44</v>
      </c>
      <c r="E2265" s="2" t="str">
        <f aca="false">INDEX(Products!$B$2:$B$13,MATCH(D2265,Products!$A$2:$A$13,0))</f>
        <v>Specialty</v>
      </c>
      <c r="F2265" s="15" t="n">
        <v>1</v>
      </c>
      <c r="G2265" s="16" t="n">
        <f aca="false">IF(A2265="2025",INDEX(Products!$C$2:$C$13,MATCH(D2265,Products!$A$2:$A$13,0)),INDEX(Products!$E$2:$E$13,MATCH(D2265,Products!$A$2:$A$13,0)))</f>
        <v>28970</v>
      </c>
      <c r="H2265" s="13" t="n">
        <f aca="false">IF(A2265="2025",INDEX(Customers!$D$2:$D$41,MATCH(C2265,Customers!$A$2:$A$41,0)),INDEX(Customers!$F$2:$F$41,MATCH(C2265,Customers!$A$2:$A$41,0)))</f>
        <v>0.045</v>
      </c>
      <c r="I2265" s="16" t="n">
        <f aca="false">F2265*G2265</f>
        <v>28970</v>
      </c>
      <c r="J2265" s="16" t="n">
        <f aca="false">I2265*(1-H2265)</f>
        <v>27666.35</v>
      </c>
      <c r="K2265" s="16" t="n">
        <f aca="false">J2265*INDEX(Customers!$G$2:$G$41,MATCH(C2265,Customers!$A$2:$A$41,0))</f>
        <v>0</v>
      </c>
      <c r="L2265" s="16" t="n">
        <f aca="false">F2265*INDEX(Customers!$H$2:$H$41,MATCH(C2265,Customers!$A$2:$A$41,0))</f>
        <v>120</v>
      </c>
      <c r="M2265" s="16" t="n">
        <f aca="false">J2265*INDEX(Customers!$I$2:$I$41,MATCH(C2265,Customers!$A$2:$A$41,0))/365*Assumptions!$B$6</f>
        <v>363.831452054795</v>
      </c>
      <c r="N2265" s="16" t="n">
        <f aca="false">J2265-K2265-L2265-M2265</f>
        <v>27182.5185479452</v>
      </c>
      <c r="O2265" s="16" t="n">
        <f aca="false">F2265*IF(A2265="2025",INDEX(Products!$D$2:$D$13,MATCH(D2265,Products!$A$2:$A$13,0)),INDEX(Products!$F$2:$F$13,MATCH(D2265,Products!$A$2:$A$13,0)))</f>
        <v>14310</v>
      </c>
      <c r="P2265" s="16" t="n">
        <f aca="false">N2265-O2265</f>
        <v>12872.5185479452</v>
      </c>
    </row>
    <row r="2266" customFormat="false" ht="15" hidden="false" customHeight="false" outlineLevel="0" collapsed="false">
      <c r="A2266" s="2" t="s">
        <v>118</v>
      </c>
      <c r="B2266" s="2" t="n">
        <v>9</v>
      </c>
      <c r="C2266" s="2" t="s">
        <v>96</v>
      </c>
      <c r="D2266" s="2" t="s">
        <v>44</v>
      </c>
      <c r="E2266" s="2" t="str">
        <f aca="false">INDEX(Products!$B$2:$B$13,MATCH(D2266,Products!$A$2:$A$13,0))</f>
        <v>Specialty</v>
      </c>
      <c r="F2266" s="15" t="n">
        <v>0.6</v>
      </c>
      <c r="G2266" s="16" t="n">
        <f aca="false">IF(A2266="2025",INDEX(Products!$C$2:$C$13,MATCH(D2266,Products!$A$2:$A$13,0)),INDEX(Products!$E$2:$E$13,MATCH(D2266,Products!$A$2:$A$13,0)))</f>
        <v>28970</v>
      </c>
      <c r="H2266" s="13" t="n">
        <f aca="false">IF(A2266="2025",INDEX(Customers!$D$2:$D$41,MATCH(C2266,Customers!$A$2:$A$41,0)),INDEX(Customers!$F$2:$F$41,MATCH(C2266,Customers!$A$2:$A$41,0)))</f>
        <v>0.045</v>
      </c>
      <c r="I2266" s="16" t="n">
        <f aca="false">F2266*G2266</f>
        <v>17382</v>
      </c>
      <c r="J2266" s="16" t="n">
        <f aca="false">I2266*(1-H2266)</f>
        <v>16599.81</v>
      </c>
      <c r="K2266" s="16" t="n">
        <f aca="false">J2266*INDEX(Customers!$G$2:$G$41,MATCH(C2266,Customers!$A$2:$A$41,0))</f>
        <v>0</v>
      </c>
      <c r="L2266" s="16" t="n">
        <f aca="false">F2266*INDEX(Customers!$H$2:$H$41,MATCH(C2266,Customers!$A$2:$A$41,0))</f>
        <v>72</v>
      </c>
      <c r="M2266" s="16" t="n">
        <f aca="false">J2266*INDEX(Customers!$I$2:$I$41,MATCH(C2266,Customers!$A$2:$A$41,0))/365*Assumptions!$B$6</f>
        <v>218.298871232877</v>
      </c>
      <c r="N2266" s="16" t="n">
        <f aca="false">J2266-K2266-L2266-M2266</f>
        <v>16309.5111287671</v>
      </c>
      <c r="O2266" s="16" t="n">
        <f aca="false">F2266*IF(A2266="2025",INDEX(Products!$D$2:$D$13,MATCH(D2266,Products!$A$2:$A$13,0)),INDEX(Products!$F$2:$F$13,MATCH(D2266,Products!$A$2:$A$13,0)))</f>
        <v>8586</v>
      </c>
      <c r="P2266" s="16" t="n">
        <f aca="false">N2266-O2266</f>
        <v>7723.51112876712</v>
      </c>
    </row>
    <row r="2267" customFormat="false" ht="15" hidden="false" customHeight="false" outlineLevel="0" collapsed="false">
      <c r="A2267" s="2" t="s">
        <v>118</v>
      </c>
      <c r="B2267" s="2" t="n">
        <v>10</v>
      </c>
      <c r="C2267" s="2" t="s">
        <v>96</v>
      </c>
      <c r="D2267" s="2" t="s">
        <v>44</v>
      </c>
      <c r="E2267" s="2" t="str">
        <f aca="false">INDEX(Products!$B$2:$B$13,MATCH(D2267,Products!$A$2:$A$13,0))</f>
        <v>Specialty</v>
      </c>
      <c r="F2267" s="15" t="n">
        <v>0.6</v>
      </c>
      <c r="G2267" s="16" t="n">
        <f aca="false">IF(A2267="2025",INDEX(Products!$C$2:$C$13,MATCH(D2267,Products!$A$2:$A$13,0)),INDEX(Products!$E$2:$E$13,MATCH(D2267,Products!$A$2:$A$13,0)))</f>
        <v>28970</v>
      </c>
      <c r="H2267" s="13" t="n">
        <f aca="false">IF(A2267="2025",INDEX(Customers!$D$2:$D$41,MATCH(C2267,Customers!$A$2:$A$41,0)),INDEX(Customers!$F$2:$F$41,MATCH(C2267,Customers!$A$2:$A$41,0)))</f>
        <v>0.045</v>
      </c>
      <c r="I2267" s="16" t="n">
        <f aca="false">F2267*G2267</f>
        <v>17382</v>
      </c>
      <c r="J2267" s="16" t="n">
        <f aca="false">I2267*(1-H2267)</f>
        <v>16599.81</v>
      </c>
      <c r="K2267" s="16" t="n">
        <f aca="false">J2267*INDEX(Customers!$G$2:$G$41,MATCH(C2267,Customers!$A$2:$A$41,0))</f>
        <v>0</v>
      </c>
      <c r="L2267" s="16" t="n">
        <f aca="false">F2267*INDEX(Customers!$H$2:$H$41,MATCH(C2267,Customers!$A$2:$A$41,0))</f>
        <v>72</v>
      </c>
      <c r="M2267" s="16" t="n">
        <f aca="false">J2267*INDEX(Customers!$I$2:$I$41,MATCH(C2267,Customers!$A$2:$A$41,0))/365*Assumptions!$B$6</f>
        <v>218.298871232877</v>
      </c>
      <c r="N2267" s="16" t="n">
        <f aca="false">J2267-K2267-L2267-M2267</f>
        <v>16309.5111287671</v>
      </c>
      <c r="O2267" s="16" t="n">
        <f aca="false">F2267*IF(A2267="2025",INDEX(Products!$D$2:$D$13,MATCH(D2267,Products!$A$2:$A$13,0)),INDEX(Products!$F$2:$F$13,MATCH(D2267,Products!$A$2:$A$13,0)))</f>
        <v>8586</v>
      </c>
      <c r="P2267" s="16" t="n">
        <f aca="false">N2267-O2267</f>
        <v>7723.51112876712</v>
      </c>
    </row>
    <row r="2268" customFormat="false" ht="15" hidden="false" customHeight="false" outlineLevel="0" collapsed="false">
      <c r="A2268" s="2" t="s">
        <v>118</v>
      </c>
      <c r="B2268" s="2" t="n">
        <v>11</v>
      </c>
      <c r="C2268" s="2" t="s">
        <v>96</v>
      </c>
      <c r="D2268" s="2" t="s">
        <v>44</v>
      </c>
      <c r="E2268" s="2" t="str">
        <f aca="false">INDEX(Products!$B$2:$B$13,MATCH(D2268,Products!$A$2:$A$13,0))</f>
        <v>Specialty</v>
      </c>
      <c r="F2268" s="15" t="n">
        <v>0.8</v>
      </c>
      <c r="G2268" s="16" t="n">
        <f aca="false">IF(A2268="2025",INDEX(Products!$C$2:$C$13,MATCH(D2268,Products!$A$2:$A$13,0)),INDEX(Products!$E$2:$E$13,MATCH(D2268,Products!$A$2:$A$13,0)))</f>
        <v>28970</v>
      </c>
      <c r="H2268" s="13" t="n">
        <f aca="false">IF(A2268="2025",INDEX(Customers!$D$2:$D$41,MATCH(C2268,Customers!$A$2:$A$41,0)),INDEX(Customers!$F$2:$F$41,MATCH(C2268,Customers!$A$2:$A$41,0)))</f>
        <v>0.045</v>
      </c>
      <c r="I2268" s="16" t="n">
        <f aca="false">F2268*G2268</f>
        <v>23176</v>
      </c>
      <c r="J2268" s="16" t="n">
        <f aca="false">I2268*(1-H2268)</f>
        <v>22133.08</v>
      </c>
      <c r="K2268" s="16" t="n">
        <f aca="false">J2268*INDEX(Customers!$G$2:$G$41,MATCH(C2268,Customers!$A$2:$A$41,0))</f>
        <v>0</v>
      </c>
      <c r="L2268" s="16" t="n">
        <f aca="false">F2268*INDEX(Customers!$H$2:$H$41,MATCH(C2268,Customers!$A$2:$A$41,0))</f>
        <v>96</v>
      </c>
      <c r="M2268" s="16" t="n">
        <f aca="false">J2268*INDEX(Customers!$I$2:$I$41,MATCH(C2268,Customers!$A$2:$A$41,0))/365*Assumptions!$B$6</f>
        <v>291.065161643836</v>
      </c>
      <c r="N2268" s="16" t="n">
        <f aca="false">J2268-K2268-L2268-M2268</f>
        <v>21746.0148383562</v>
      </c>
      <c r="O2268" s="16" t="n">
        <f aca="false">F2268*IF(A2268="2025",INDEX(Products!$D$2:$D$13,MATCH(D2268,Products!$A$2:$A$13,0)),INDEX(Products!$F$2:$F$13,MATCH(D2268,Products!$A$2:$A$13,0)))</f>
        <v>11448</v>
      </c>
      <c r="P2268" s="16" t="n">
        <f aca="false">N2268-O2268</f>
        <v>10298.0148383562</v>
      </c>
    </row>
    <row r="2269" customFormat="false" ht="15" hidden="false" customHeight="false" outlineLevel="0" collapsed="false">
      <c r="A2269" s="2" t="s">
        <v>118</v>
      </c>
      <c r="B2269" s="2" t="n">
        <v>12</v>
      </c>
      <c r="C2269" s="2" t="s">
        <v>96</v>
      </c>
      <c r="D2269" s="2" t="s">
        <v>44</v>
      </c>
      <c r="E2269" s="2" t="str">
        <f aca="false">INDEX(Products!$B$2:$B$13,MATCH(D2269,Products!$A$2:$A$13,0))</f>
        <v>Specialty</v>
      </c>
      <c r="F2269" s="15" t="n">
        <v>0.6</v>
      </c>
      <c r="G2269" s="16" t="n">
        <f aca="false">IF(A2269="2025",INDEX(Products!$C$2:$C$13,MATCH(D2269,Products!$A$2:$A$13,0)),INDEX(Products!$E$2:$E$13,MATCH(D2269,Products!$A$2:$A$13,0)))</f>
        <v>28970</v>
      </c>
      <c r="H2269" s="13" t="n">
        <f aca="false">IF(A2269="2025",INDEX(Customers!$D$2:$D$41,MATCH(C2269,Customers!$A$2:$A$41,0)),INDEX(Customers!$F$2:$F$41,MATCH(C2269,Customers!$A$2:$A$41,0)))</f>
        <v>0.045</v>
      </c>
      <c r="I2269" s="16" t="n">
        <f aca="false">F2269*G2269</f>
        <v>17382</v>
      </c>
      <c r="J2269" s="16" t="n">
        <f aca="false">I2269*(1-H2269)</f>
        <v>16599.81</v>
      </c>
      <c r="K2269" s="16" t="n">
        <f aca="false">J2269*INDEX(Customers!$G$2:$G$41,MATCH(C2269,Customers!$A$2:$A$41,0))</f>
        <v>0</v>
      </c>
      <c r="L2269" s="16" t="n">
        <f aca="false">F2269*INDEX(Customers!$H$2:$H$41,MATCH(C2269,Customers!$A$2:$A$41,0))</f>
        <v>72</v>
      </c>
      <c r="M2269" s="16" t="n">
        <f aca="false">J2269*INDEX(Customers!$I$2:$I$41,MATCH(C2269,Customers!$A$2:$A$41,0))/365*Assumptions!$B$6</f>
        <v>218.298871232877</v>
      </c>
      <c r="N2269" s="16" t="n">
        <f aca="false">J2269-K2269-L2269-M2269</f>
        <v>16309.5111287671</v>
      </c>
      <c r="O2269" s="16" t="n">
        <f aca="false">F2269*IF(A2269="2025",INDEX(Products!$D$2:$D$13,MATCH(D2269,Products!$A$2:$A$13,0)),INDEX(Products!$F$2:$F$13,MATCH(D2269,Products!$A$2:$A$13,0)))</f>
        <v>8586</v>
      </c>
      <c r="P2269" s="16" t="n">
        <f aca="false">N2269-O2269</f>
        <v>7723.51112876712</v>
      </c>
    </row>
    <row r="2270" customFormat="false" ht="15" hidden="false" customHeight="false" outlineLevel="0" collapsed="false">
      <c r="A2270" s="2" t="s">
        <v>119</v>
      </c>
      <c r="B2270" s="2" t="n">
        <v>1</v>
      </c>
      <c r="C2270" s="2" t="s">
        <v>96</v>
      </c>
      <c r="D2270" s="2" t="s">
        <v>44</v>
      </c>
      <c r="E2270" s="2" t="str">
        <f aca="false">INDEX(Products!$B$2:$B$13,MATCH(D2270,Products!$A$2:$A$13,0))</f>
        <v>Specialty</v>
      </c>
      <c r="F2270" s="15" t="n">
        <v>0.9</v>
      </c>
      <c r="G2270" s="16" t="n">
        <f aca="false">IF(A2270="2025",INDEX(Products!$C$2:$C$13,MATCH(D2270,Products!$A$2:$A$13,0)),INDEX(Products!$E$2:$E$13,MATCH(D2270,Products!$A$2:$A$13,0)))</f>
        <v>30418.5</v>
      </c>
      <c r="H2270" s="13" t="n">
        <f aca="false">IF(A2270="2025",INDEX(Customers!$D$2:$D$41,MATCH(C2270,Customers!$A$2:$A$41,0)),INDEX(Customers!$F$2:$F$41,MATCH(C2270,Customers!$A$2:$A$41,0)))</f>
        <v>0.045</v>
      </c>
      <c r="I2270" s="16" t="n">
        <f aca="false">F2270*G2270</f>
        <v>27376.65</v>
      </c>
      <c r="J2270" s="16" t="n">
        <f aca="false">I2270*(1-H2270)</f>
        <v>26144.70075</v>
      </c>
      <c r="K2270" s="16" t="n">
        <f aca="false">J2270*INDEX(Customers!$G$2:$G$41,MATCH(C2270,Customers!$A$2:$A$41,0))</f>
        <v>0</v>
      </c>
      <c r="L2270" s="16" t="n">
        <f aca="false">F2270*INDEX(Customers!$H$2:$H$41,MATCH(C2270,Customers!$A$2:$A$41,0))</f>
        <v>108</v>
      </c>
      <c r="M2270" s="16" t="n">
        <f aca="false">J2270*INDEX(Customers!$I$2:$I$41,MATCH(C2270,Customers!$A$2:$A$41,0))/365*Assumptions!$B$6</f>
        <v>343.820722191781</v>
      </c>
      <c r="N2270" s="16" t="n">
        <f aca="false">J2270-K2270-L2270-M2270</f>
        <v>25692.8800278082</v>
      </c>
      <c r="O2270" s="16" t="n">
        <f aca="false">F2270*IF(A2270="2025",INDEX(Products!$D$2:$D$13,MATCH(D2270,Products!$A$2:$A$13,0)),INDEX(Products!$F$2:$F$13,MATCH(D2270,Products!$A$2:$A$13,0)))</f>
        <v>13265.37</v>
      </c>
      <c r="P2270" s="16" t="n">
        <f aca="false">N2270-O2270</f>
        <v>12427.5100278082</v>
      </c>
    </row>
    <row r="2271" customFormat="false" ht="15" hidden="false" customHeight="false" outlineLevel="0" collapsed="false">
      <c r="A2271" s="2" t="s">
        <v>119</v>
      </c>
      <c r="B2271" s="2" t="n">
        <v>2</v>
      </c>
      <c r="C2271" s="2" t="s">
        <v>96</v>
      </c>
      <c r="D2271" s="2" t="s">
        <v>44</v>
      </c>
      <c r="E2271" s="2" t="str">
        <f aca="false">INDEX(Products!$B$2:$B$13,MATCH(D2271,Products!$A$2:$A$13,0))</f>
        <v>Specialty</v>
      </c>
      <c r="F2271" s="15" t="n">
        <v>1.2</v>
      </c>
      <c r="G2271" s="16" t="n">
        <f aca="false">IF(A2271="2025",INDEX(Products!$C$2:$C$13,MATCH(D2271,Products!$A$2:$A$13,0)),INDEX(Products!$E$2:$E$13,MATCH(D2271,Products!$A$2:$A$13,0)))</f>
        <v>30418.5</v>
      </c>
      <c r="H2271" s="13" t="n">
        <f aca="false">IF(A2271="2025",INDEX(Customers!$D$2:$D$41,MATCH(C2271,Customers!$A$2:$A$41,0)),INDEX(Customers!$F$2:$F$41,MATCH(C2271,Customers!$A$2:$A$41,0)))</f>
        <v>0.045</v>
      </c>
      <c r="I2271" s="16" t="n">
        <f aca="false">F2271*G2271</f>
        <v>36502.2</v>
      </c>
      <c r="J2271" s="16" t="n">
        <f aca="false">I2271*(1-H2271)</f>
        <v>34859.601</v>
      </c>
      <c r="K2271" s="16" t="n">
        <f aca="false">J2271*INDEX(Customers!$G$2:$G$41,MATCH(C2271,Customers!$A$2:$A$41,0))</f>
        <v>0</v>
      </c>
      <c r="L2271" s="16" t="n">
        <f aca="false">F2271*INDEX(Customers!$H$2:$H$41,MATCH(C2271,Customers!$A$2:$A$41,0))</f>
        <v>144</v>
      </c>
      <c r="M2271" s="16" t="n">
        <f aca="false">J2271*INDEX(Customers!$I$2:$I$41,MATCH(C2271,Customers!$A$2:$A$41,0))/365*Assumptions!$B$6</f>
        <v>458.427629589041</v>
      </c>
      <c r="N2271" s="16" t="n">
        <f aca="false">J2271-K2271-L2271-M2271</f>
        <v>34257.173370411</v>
      </c>
      <c r="O2271" s="16" t="n">
        <f aca="false">F2271*IF(A2271="2025",INDEX(Products!$D$2:$D$13,MATCH(D2271,Products!$A$2:$A$13,0)),INDEX(Products!$F$2:$F$13,MATCH(D2271,Products!$A$2:$A$13,0)))</f>
        <v>17687.16</v>
      </c>
      <c r="P2271" s="16" t="n">
        <f aca="false">N2271-O2271</f>
        <v>16570.013370411</v>
      </c>
    </row>
    <row r="2272" customFormat="false" ht="15" hidden="false" customHeight="false" outlineLevel="0" collapsed="false">
      <c r="A2272" s="2" t="s">
        <v>119</v>
      </c>
      <c r="B2272" s="2" t="n">
        <v>3</v>
      </c>
      <c r="C2272" s="2" t="s">
        <v>96</v>
      </c>
      <c r="D2272" s="2" t="s">
        <v>44</v>
      </c>
      <c r="E2272" s="2" t="str">
        <f aca="false">INDEX(Products!$B$2:$B$13,MATCH(D2272,Products!$A$2:$A$13,0))</f>
        <v>Specialty</v>
      </c>
      <c r="F2272" s="15" t="n">
        <v>0.9</v>
      </c>
      <c r="G2272" s="16" t="n">
        <f aca="false">IF(A2272="2025",INDEX(Products!$C$2:$C$13,MATCH(D2272,Products!$A$2:$A$13,0)),INDEX(Products!$E$2:$E$13,MATCH(D2272,Products!$A$2:$A$13,0)))</f>
        <v>30418.5</v>
      </c>
      <c r="H2272" s="13" t="n">
        <f aca="false">IF(A2272="2025",INDEX(Customers!$D$2:$D$41,MATCH(C2272,Customers!$A$2:$A$41,0)),INDEX(Customers!$F$2:$F$41,MATCH(C2272,Customers!$A$2:$A$41,0)))</f>
        <v>0.045</v>
      </c>
      <c r="I2272" s="16" t="n">
        <f aca="false">F2272*G2272</f>
        <v>27376.65</v>
      </c>
      <c r="J2272" s="16" t="n">
        <f aca="false">I2272*(1-H2272)</f>
        <v>26144.70075</v>
      </c>
      <c r="K2272" s="16" t="n">
        <f aca="false">J2272*INDEX(Customers!$G$2:$G$41,MATCH(C2272,Customers!$A$2:$A$41,0))</f>
        <v>0</v>
      </c>
      <c r="L2272" s="16" t="n">
        <f aca="false">F2272*INDEX(Customers!$H$2:$H$41,MATCH(C2272,Customers!$A$2:$A$41,0))</f>
        <v>108</v>
      </c>
      <c r="M2272" s="16" t="n">
        <f aca="false">J2272*INDEX(Customers!$I$2:$I$41,MATCH(C2272,Customers!$A$2:$A$41,0))/365*Assumptions!$B$6</f>
        <v>343.820722191781</v>
      </c>
      <c r="N2272" s="16" t="n">
        <f aca="false">J2272-K2272-L2272-M2272</f>
        <v>25692.8800278082</v>
      </c>
      <c r="O2272" s="16" t="n">
        <f aca="false">F2272*IF(A2272="2025",INDEX(Products!$D$2:$D$13,MATCH(D2272,Products!$A$2:$A$13,0)),INDEX(Products!$F$2:$F$13,MATCH(D2272,Products!$A$2:$A$13,0)))</f>
        <v>13265.37</v>
      </c>
      <c r="P2272" s="16" t="n">
        <f aca="false">N2272-O2272</f>
        <v>12427.5100278082</v>
      </c>
    </row>
    <row r="2273" customFormat="false" ht="15" hidden="false" customHeight="false" outlineLevel="0" collapsed="false">
      <c r="A2273" s="2" t="s">
        <v>119</v>
      </c>
      <c r="B2273" s="2" t="n">
        <v>4</v>
      </c>
      <c r="C2273" s="2" t="s">
        <v>96</v>
      </c>
      <c r="D2273" s="2" t="s">
        <v>44</v>
      </c>
      <c r="E2273" s="2" t="str">
        <f aca="false">INDEX(Products!$B$2:$B$13,MATCH(D2273,Products!$A$2:$A$13,0))</f>
        <v>Specialty</v>
      </c>
      <c r="F2273" s="15" t="n">
        <v>0.8</v>
      </c>
      <c r="G2273" s="16" t="n">
        <f aca="false">IF(A2273="2025",INDEX(Products!$C$2:$C$13,MATCH(D2273,Products!$A$2:$A$13,0)),INDEX(Products!$E$2:$E$13,MATCH(D2273,Products!$A$2:$A$13,0)))</f>
        <v>30418.5</v>
      </c>
      <c r="H2273" s="13" t="n">
        <f aca="false">IF(A2273="2025",INDEX(Customers!$D$2:$D$41,MATCH(C2273,Customers!$A$2:$A$41,0)),INDEX(Customers!$F$2:$F$41,MATCH(C2273,Customers!$A$2:$A$41,0)))</f>
        <v>0.045</v>
      </c>
      <c r="I2273" s="16" t="n">
        <f aca="false">F2273*G2273</f>
        <v>24334.8</v>
      </c>
      <c r="J2273" s="16" t="n">
        <f aca="false">I2273*(1-H2273)</f>
        <v>23239.734</v>
      </c>
      <c r="K2273" s="16" t="n">
        <f aca="false">J2273*INDEX(Customers!$G$2:$G$41,MATCH(C2273,Customers!$A$2:$A$41,0))</f>
        <v>0</v>
      </c>
      <c r="L2273" s="16" t="n">
        <f aca="false">F2273*INDEX(Customers!$H$2:$H$41,MATCH(C2273,Customers!$A$2:$A$41,0))</f>
        <v>96</v>
      </c>
      <c r="M2273" s="16" t="n">
        <f aca="false">J2273*INDEX(Customers!$I$2:$I$41,MATCH(C2273,Customers!$A$2:$A$41,0))/365*Assumptions!$B$6</f>
        <v>305.618419726027</v>
      </c>
      <c r="N2273" s="16" t="n">
        <f aca="false">J2273-K2273-L2273-M2273</f>
        <v>22838.115580274</v>
      </c>
      <c r="O2273" s="16" t="n">
        <f aca="false">F2273*IF(A2273="2025",INDEX(Products!$D$2:$D$13,MATCH(D2273,Products!$A$2:$A$13,0)),INDEX(Products!$F$2:$F$13,MATCH(D2273,Products!$A$2:$A$13,0)))</f>
        <v>11791.44</v>
      </c>
      <c r="P2273" s="16" t="n">
        <f aca="false">N2273-O2273</f>
        <v>11046.675580274</v>
      </c>
    </row>
    <row r="2274" customFormat="false" ht="15" hidden="false" customHeight="false" outlineLevel="0" collapsed="false">
      <c r="A2274" s="2" t="s">
        <v>119</v>
      </c>
      <c r="B2274" s="2" t="n">
        <v>5</v>
      </c>
      <c r="C2274" s="2" t="s">
        <v>96</v>
      </c>
      <c r="D2274" s="2" t="s">
        <v>44</v>
      </c>
      <c r="E2274" s="2" t="str">
        <f aca="false">INDEX(Products!$B$2:$B$13,MATCH(D2274,Products!$A$2:$A$13,0))</f>
        <v>Specialty</v>
      </c>
      <c r="F2274" s="15" t="n">
        <v>1</v>
      </c>
      <c r="G2274" s="16" t="n">
        <f aca="false">IF(A2274="2025",INDEX(Products!$C$2:$C$13,MATCH(D2274,Products!$A$2:$A$13,0)),INDEX(Products!$E$2:$E$13,MATCH(D2274,Products!$A$2:$A$13,0)))</f>
        <v>30418.5</v>
      </c>
      <c r="H2274" s="13" t="n">
        <f aca="false">IF(A2274="2025",INDEX(Customers!$D$2:$D$41,MATCH(C2274,Customers!$A$2:$A$41,0)),INDEX(Customers!$F$2:$F$41,MATCH(C2274,Customers!$A$2:$A$41,0)))</f>
        <v>0.045</v>
      </c>
      <c r="I2274" s="16" t="n">
        <f aca="false">F2274*G2274</f>
        <v>30418.5</v>
      </c>
      <c r="J2274" s="16" t="n">
        <f aca="false">I2274*(1-H2274)</f>
        <v>29049.6675</v>
      </c>
      <c r="K2274" s="16" t="n">
        <f aca="false">J2274*INDEX(Customers!$G$2:$G$41,MATCH(C2274,Customers!$A$2:$A$41,0))</f>
        <v>0</v>
      </c>
      <c r="L2274" s="16" t="n">
        <f aca="false">F2274*INDEX(Customers!$H$2:$H$41,MATCH(C2274,Customers!$A$2:$A$41,0))</f>
        <v>120</v>
      </c>
      <c r="M2274" s="16" t="n">
        <f aca="false">J2274*INDEX(Customers!$I$2:$I$41,MATCH(C2274,Customers!$A$2:$A$41,0))/365*Assumptions!$B$6</f>
        <v>382.023024657534</v>
      </c>
      <c r="N2274" s="16" t="n">
        <f aca="false">J2274-K2274-L2274-M2274</f>
        <v>28547.6444753425</v>
      </c>
      <c r="O2274" s="16" t="n">
        <f aca="false">F2274*IF(A2274="2025",INDEX(Products!$D$2:$D$13,MATCH(D2274,Products!$A$2:$A$13,0)),INDEX(Products!$F$2:$F$13,MATCH(D2274,Products!$A$2:$A$13,0)))</f>
        <v>14739.3</v>
      </c>
      <c r="P2274" s="16" t="n">
        <f aca="false">N2274-O2274</f>
        <v>13808.3444753425</v>
      </c>
    </row>
    <row r="2275" customFormat="false" ht="15" hidden="false" customHeight="false" outlineLevel="0" collapsed="false">
      <c r="A2275" s="2" t="s">
        <v>119</v>
      </c>
      <c r="B2275" s="2" t="n">
        <v>6</v>
      </c>
      <c r="C2275" s="2" t="s">
        <v>96</v>
      </c>
      <c r="D2275" s="2" t="s">
        <v>44</v>
      </c>
      <c r="E2275" s="2" t="str">
        <f aca="false">INDEX(Products!$B$2:$B$13,MATCH(D2275,Products!$A$2:$A$13,0))</f>
        <v>Specialty</v>
      </c>
      <c r="F2275" s="15" t="n">
        <v>0.8</v>
      </c>
      <c r="G2275" s="16" t="n">
        <f aca="false">IF(A2275="2025",INDEX(Products!$C$2:$C$13,MATCH(D2275,Products!$A$2:$A$13,0)),INDEX(Products!$E$2:$E$13,MATCH(D2275,Products!$A$2:$A$13,0)))</f>
        <v>30418.5</v>
      </c>
      <c r="H2275" s="13" t="n">
        <f aca="false">IF(A2275="2025",INDEX(Customers!$D$2:$D$41,MATCH(C2275,Customers!$A$2:$A$41,0)),INDEX(Customers!$F$2:$F$41,MATCH(C2275,Customers!$A$2:$A$41,0)))</f>
        <v>0.045</v>
      </c>
      <c r="I2275" s="16" t="n">
        <f aca="false">F2275*G2275</f>
        <v>24334.8</v>
      </c>
      <c r="J2275" s="16" t="n">
        <f aca="false">I2275*(1-H2275)</f>
        <v>23239.734</v>
      </c>
      <c r="K2275" s="16" t="n">
        <f aca="false">J2275*INDEX(Customers!$G$2:$G$41,MATCH(C2275,Customers!$A$2:$A$41,0))</f>
        <v>0</v>
      </c>
      <c r="L2275" s="16" t="n">
        <f aca="false">F2275*INDEX(Customers!$H$2:$H$41,MATCH(C2275,Customers!$A$2:$A$41,0))</f>
        <v>96</v>
      </c>
      <c r="M2275" s="16" t="n">
        <f aca="false">J2275*INDEX(Customers!$I$2:$I$41,MATCH(C2275,Customers!$A$2:$A$41,0))/365*Assumptions!$B$6</f>
        <v>305.618419726027</v>
      </c>
      <c r="N2275" s="16" t="n">
        <f aca="false">J2275-K2275-L2275-M2275</f>
        <v>22838.115580274</v>
      </c>
      <c r="O2275" s="16" t="n">
        <f aca="false">F2275*IF(A2275="2025",INDEX(Products!$D$2:$D$13,MATCH(D2275,Products!$A$2:$A$13,0)),INDEX(Products!$F$2:$F$13,MATCH(D2275,Products!$A$2:$A$13,0)))</f>
        <v>11791.44</v>
      </c>
      <c r="P2275" s="16" t="n">
        <f aca="false">N2275-O2275</f>
        <v>11046.675580274</v>
      </c>
    </row>
    <row r="2276" customFormat="false" ht="15" hidden="false" customHeight="false" outlineLevel="0" collapsed="false">
      <c r="A2276" s="2" t="s">
        <v>119</v>
      </c>
      <c r="B2276" s="2" t="n">
        <v>7</v>
      </c>
      <c r="C2276" s="2" t="s">
        <v>96</v>
      </c>
      <c r="D2276" s="2" t="s">
        <v>44</v>
      </c>
      <c r="E2276" s="2" t="str">
        <f aca="false">INDEX(Products!$B$2:$B$13,MATCH(D2276,Products!$A$2:$A$13,0))</f>
        <v>Specialty</v>
      </c>
      <c r="F2276" s="15" t="n">
        <v>0.9</v>
      </c>
      <c r="G2276" s="16" t="n">
        <f aca="false">IF(A2276="2025",INDEX(Products!$C$2:$C$13,MATCH(D2276,Products!$A$2:$A$13,0)),INDEX(Products!$E$2:$E$13,MATCH(D2276,Products!$A$2:$A$13,0)))</f>
        <v>30418.5</v>
      </c>
      <c r="H2276" s="13" t="n">
        <f aca="false">IF(A2276="2025",INDEX(Customers!$D$2:$D$41,MATCH(C2276,Customers!$A$2:$A$41,0)),INDEX(Customers!$F$2:$F$41,MATCH(C2276,Customers!$A$2:$A$41,0)))</f>
        <v>0.045</v>
      </c>
      <c r="I2276" s="16" t="n">
        <f aca="false">F2276*G2276</f>
        <v>27376.65</v>
      </c>
      <c r="J2276" s="16" t="n">
        <f aca="false">I2276*(1-H2276)</f>
        <v>26144.70075</v>
      </c>
      <c r="K2276" s="16" t="n">
        <f aca="false">J2276*INDEX(Customers!$G$2:$G$41,MATCH(C2276,Customers!$A$2:$A$41,0))</f>
        <v>0</v>
      </c>
      <c r="L2276" s="16" t="n">
        <f aca="false">F2276*INDEX(Customers!$H$2:$H$41,MATCH(C2276,Customers!$A$2:$A$41,0))</f>
        <v>108</v>
      </c>
      <c r="M2276" s="16" t="n">
        <f aca="false">J2276*INDEX(Customers!$I$2:$I$41,MATCH(C2276,Customers!$A$2:$A$41,0))/365*Assumptions!$B$6</f>
        <v>343.820722191781</v>
      </c>
      <c r="N2276" s="16" t="n">
        <f aca="false">J2276-K2276-L2276-M2276</f>
        <v>25692.8800278082</v>
      </c>
      <c r="O2276" s="16" t="n">
        <f aca="false">F2276*IF(A2276="2025",INDEX(Products!$D$2:$D$13,MATCH(D2276,Products!$A$2:$A$13,0)),INDEX(Products!$F$2:$F$13,MATCH(D2276,Products!$A$2:$A$13,0)))</f>
        <v>13265.37</v>
      </c>
      <c r="P2276" s="16" t="n">
        <f aca="false">N2276-O2276</f>
        <v>12427.5100278082</v>
      </c>
    </row>
    <row r="2277" customFormat="false" ht="15" hidden="false" customHeight="false" outlineLevel="0" collapsed="false">
      <c r="A2277" s="2" t="s">
        <v>119</v>
      </c>
      <c r="B2277" s="2" t="n">
        <v>8</v>
      </c>
      <c r="C2277" s="2" t="s">
        <v>96</v>
      </c>
      <c r="D2277" s="2" t="s">
        <v>44</v>
      </c>
      <c r="E2277" s="2" t="str">
        <f aca="false">INDEX(Products!$B$2:$B$13,MATCH(D2277,Products!$A$2:$A$13,0))</f>
        <v>Specialty</v>
      </c>
      <c r="F2277" s="15" t="n">
        <v>1.3</v>
      </c>
      <c r="G2277" s="16" t="n">
        <f aca="false">IF(A2277="2025",INDEX(Products!$C$2:$C$13,MATCH(D2277,Products!$A$2:$A$13,0)),INDEX(Products!$E$2:$E$13,MATCH(D2277,Products!$A$2:$A$13,0)))</f>
        <v>30418.5</v>
      </c>
      <c r="H2277" s="13" t="n">
        <f aca="false">IF(A2277="2025",INDEX(Customers!$D$2:$D$41,MATCH(C2277,Customers!$A$2:$A$41,0)),INDEX(Customers!$F$2:$F$41,MATCH(C2277,Customers!$A$2:$A$41,0)))</f>
        <v>0.045</v>
      </c>
      <c r="I2277" s="16" t="n">
        <f aca="false">F2277*G2277</f>
        <v>39544.05</v>
      </c>
      <c r="J2277" s="16" t="n">
        <f aca="false">I2277*(1-H2277)</f>
        <v>37764.56775</v>
      </c>
      <c r="K2277" s="16" t="n">
        <f aca="false">J2277*INDEX(Customers!$G$2:$G$41,MATCH(C2277,Customers!$A$2:$A$41,0))</f>
        <v>0</v>
      </c>
      <c r="L2277" s="16" t="n">
        <f aca="false">F2277*INDEX(Customers!$H$2:$H$41,MATCH(C2277,Customers!$A$2:$A$41,0))</f>
        <v>156</v>
      </c>
      <c r="M2277" s="16" t="n">
        <f aca="false">J2277*INDEX(Customers!$I$2:$I$41,MATCH(C2277,Customers!$A$2:$A$41,0))/365*Assumptions!$B$6</f>
        <v>496.629932054795</v>
      </c>
      <c r="N2277" s="16" t="n">
        <f aca="false">J2277-K2277-L2277-M2277</f>
        <v>37111.9378179452</v>
      </c>
      <c r="O2277" s="16" t="n">
        <f aca="false">F2277*IF(A2277="2025",INDEX(Products!$D$2:$D$13,MATCH(D2277,Products!$A$2:$A$13,0)),INDEX(Products!$F$2:$F$13,MATCH(D2277,Products!$A$2:$A$13,0)))</f>
        <v>19161.09</v>
      </c>
      <c r="P2277" s="16" t="n">
        <f aca="false">N2277-O2277</f>
        <v>17950.8478179452</v>
      </c>
    </row>
    <row r="2278" customFormat="false" ht="15" hidden="false" customHeight="false" outlineLevel="0" collapsed="false">
      <c r="A2278" s="2" t="s">
        <v>119</v>
      </c>
      <c r="B2278" s="2" t="n">
        <v>9</v>
      </c>
      <c r="C2278" s="2" t="s">
        <v>96</v>
      </c>
      <c r="D2278" s="2" t="s">
        <v>44</v>
      </c>
      <c r="E2278" s="2" t="str">
        <f aca="false">INDEX(Products!$B$2:$B$13,MATCH(D2278,Products!$A$2:$A$13,0))</f>
        <v>Specialty</v>
      </c>
      <c r="F2278" s="15" t="n">
        <v>0.8</v>
      </c>
      <c r="G2278" s="16" t="n">
        <f aca="false">IF(A2278="2025",INDEX(Products!$C$2:$C$13,MATCH(D2278,Products!$A$2:$A$13,0)),INDEX(Products!$E$2:$E$13,MATCH(D2278,Products!$A$2:$A$13,0)))</f>
        <v>30418.5</v>
      </c>
      <c r="H2278" s="13" t="n">
        <f aca="false">IF(A2278="2025",INDEX(Customers!$D$2:$D$41,MATCH(C2278,Customers!$A$2:$A$41,0)),INDEX(Customers!$F$2:$F$41,MATCH(C2278,Customers!$A$2:$A$41,0)))</f>
        <v>0.045</v>
      </c>
      <c r="I2278" s="16" t="n">
        <f aca="false">F2278*G2278</f>
        <v>24334.8</v>
      </c>
      <c r="J2278" s="16" t="n">
        <f aca="false">I2278*(1-H2278)</f>
        <v>23239.734</v>
      </c>
      <c r="K2278" s="16" t="n">
        <f aca="false">J2278*INDEX(Customers!$G$2:$G$41,MATCH(C2278,Customers!$A$2:$A$41,0))</f>
        <v>0</v>
      </c>
      <c r="L2278" s="16" t="n">
        <f aca="false">F2278*INDEX(Customers!$H$2:$H$41,MATCH(C2278,Customers!$A$2:$A$41,0))</f>
        <v>96</v>
      </c>
      <c r="M2278" s="16" t="n">
        <f aca="false">J2278*INDEX(Customers!$I$2:$I$41,MATCH(C2278,Customers!$A$2:$A$41,0))/365*Assumptions!$B$6</f>
        <v>305.618419726027</v>
      </c>
      <c r="N2278" s="16" t="n">
        <f aca="false">J2278-K2278-L2278-M2278</f>
        <v>22838.115580274</v>
      </c>
      <c r="O2278" s="16" t="n">
        <f aca="false">F2278*IF(A2278="2025",INDEX(Products!$D$2:$D$13,MATCH(D2278,Products!$A$2:$A$13,0)),INDEX(Products!$F$2:$F$13,MATCH(D2278,Products!$A$2:$A$13,0)))</f>
        <v>11791.44</v>
      </c>
      <c r="P2278" s="16" t="n">
        <f aca="false">N2278-O2278</f>
        <v>11046.675580274</v>
      </c>
    </row>
    <row r="2279" customFormat="false" ht="15" hidden="false" customHeight="false" outlineLevel="0" collapsed="false">
      <c r="A2279" s="2" t="s">
        <v>119</v>
      </c>
      <c r="B2279" s="2" t="n">
        <v>10</v>
      </c>
      <c r="C2279" s="2" t="s">
        <v>96</v>
      </c>
      <c r="D2279" s="2" t="s">
        <v>44</v>
      </c>
      <c r="E2279" s="2" t="str">
        <f aca="false">INDEX(Products!$B$2:$B$13,MATCH(D2279,Products!$A$2:$A$13,0))</f>
        <v>Specialty</v>
      </c>
      <c r="F2279" s="15" t="n">
        <v>1.2</v>
      </c>
      <c r="G2279" s="16" t="n">
        <f aca="false">IF(A2279="2025",INDEX(Products!$C$2:$C$13,MATCH(D2279,Products!$A$2:$A$13,0)),INDEX(Products!$E$2:$E$13,MATCH(D2279,Products!$A$2:$A$13,0)))</f>
        <v>30418.5</v>
      </c>
      <c r="H2279" s="13" t="n">
        <f aca="false">IF(A2279="2025",INDEX(Customers!$D$2:$D$41,MATCH(C2279,Customers!$A$2:$A$41,0)),INDEX(Customers!$F$2:$F$41,MATCH(C2279,Customers!$A$2:$A$41,0)))</f>
        <v>0.045</v>
      </c>
      <c r="I2279" s="16" t="n">
        <f aca="false">F2279*G2279</f>
        <v>36502.2</v>
      </c>
      <c r="J2279" s="16" t="n">
        <f aca="false">I2279*(1-H2279)</f>
        <v>34859.601</v>
      </c>
      <c r="K2279" s="16" t="n">
        <f aca="false">J2279*INDEX(Customers!$G$2:$G$41,MATCH(C2279,Customers!$A$2:$A$41,0))</f>
        <v>0</v>
      </c>
      <c r="L2279" s="16" t="n">
        <f aca="false">F2279*INDEX(Customers!$H$2:$H$41,MATCH(C2279,Customers!$A$2:$A$41,0))</f>
        <v>144</v>
      </c>
      <c r="M2279" s="16" t="n">
        <f aca="false">J2279*INDEX(Customers!$I$2:$I$41,MATCH(C2279,Customers!$A$2:$A$41,0))/365*Assumptions!$B$6</f>
        <v>458.427629589041</v>
      </c>
      <c r="N2279" s="16" t="n">
        <f aca="false">J2279-K2279-L2279-M2279</f>
        <v>34257.173370411</v>
      </c>
      <c r="O2279" s="16" t="n">
        <f aca="false">F2279*IF(A2279="2025",INDEX(Products!$D$2:$D$13,MATCH(D2279,Products!$A$2:$A$13,0)),INDEX(Products!$F$2:$F$13,MATCH(D2279,Products!$A$2:$A$13,0)))</f>
        <v>17687.16</v>
      </c>
      <c r="P2279" s="16" t="n">
        <f aca="false">N2279-O2279</f>
        <v>16570.013370411</v>
      </c>
    </row>
    <row r="2280" customFormat="false" ht="15" hidden="false" customHeight="false" outlineLevel="0" collapsed="false">
      <c r="A2280" s="2" t="s">
        <v>119</v>
      </c>
      <c r="B2280" s="2" t="n">
        <v>11</v>
      </c>
      <c r="C2280" s="2" t="s">
        <v>96</v>
      </c>
      <c r="D2280" s="2" t="s">
        <v>44</v>
      </c>
      <c r="E2280" s="2" t="str">
        <f aca="false">INDEX(Products!$B$2:$B$13,MATCH(D2280,Products!$A$2:$A$13,0))</f>
        <v>Specialty</v>
      </c>
      <c r="F2280" s="15" t="n">
        <v>1.2</v>
      </c>
      <c r="G2280" s="16" t="n">
        <f aca="false">IF(A2280="2025",INDEX(Products!$C$2:$C$13,MATCH(D2280,Products!$A$2:$A$13,0)),INDEX(Products!$E$2:$E$13,MATCH(D2280,Products!$A$2:$A$13,0)))</f>
        <v>30418.5</v>
      </c>
      <c r="H2280" s="13" t="n">
        <f aca="false">IF(A2280="2025",INDEX(Customers!$D$2:$D$41,MATCH(C2280,Customers!$A$2:$A$41,0)),INDEX(Customers!$F$2:$F$41,MATCH(C2280,Customers!$A$2:$A$41,0)))</f>
        <v>0.045</v>
      </c>
      <c r="I2280" s="16" t="n">
        <f aca="false">F2280*G2280</f>
        <v>36502.2</v>
      </c>
      <c r="J2280" s="16" t="n">
        <f aca="false">I2280*(1-H2280)</f>
        <v>34859.601</v>
      </c>
      <c r="K2280" s="16" t="n">
        <f aca="false">J2280*INDEX(Customers!$G$2:$G$41,MATCH(C2280,Customers!$A$2:$A$41,0))</f>
        <v>0</v>
      </c>
      <c r="L2280" s="16" t="n">
        <f aca="false">F2280*INDEX(Customers!$H$2:$H$41,MATCH(C2280,Customers!$A$2:$A$41,0))</f>
        <v>144</v>
      </c>
      <c r="M2280" s="16" t="n">
        <f aca="false">J2280*INDEX(Customers!$I$2:$I$41,MATCH(C2280,Customers!$A$2:$A$41,0))/365*Assumptions!$B$6</f>
        <v>458.427629589041</v>
      </c>
      <c r="N2280" s="16" t="n">
        <f aca="false">J2280-K2280-L2280-M2280</f>
        <v>34257.173370411</v>
      </c>
      <c r="O2280" s="16" t="n">
        <f aca="false">F2280*IF(A2280="2025",INDEX(Products!$D$2:$D$13,MATCH(D2280,Products!$A$2:$A$13,0)),INDEX(Products!$F$2:$F$13,MATCH(D2280,Products!$A$2:$A$13,0)))</f>
        <v>17687.16</v>
      </c>
      <c r="P2280" s="16" t="n">
        <f aca="false">N2280-O2280</f>
        <v>16570.013370411</v>
      </c>
    </row>
    <row r="2281" customFormat="false" ht="15" hidden="false" customHeight="false" outlineLevel="0" collapsed="false">
      <c r="A2281" s="2" t="s">
        <v>119</v>
      </c>
      <c r="B2281" s="2" t="n">
        <v>12</v>
      </c>
      <c r="C2281" s="2" t="s">
        <v>96</v>
      </c>
      <c r="D2281" s="2" t="s">
        <v>44</v>
      </c>
      <c r="E2281" s="2" t="str">
        <f aca="false">INDEX(Products!$B$2:$B$13,MATCH(D2281,Products!$A$2:$A$13,0))</f>
        <v>Specialty</v>
      </c>
      <c r="F2281" s="15" t="n">
        <v>1.3</v>
      </c>
      <c r="G2281" s="16" t="n">
        <f aca="false">IF(A2281="2025",INDEX(Products!$C$2:$C$13,MATCH(D2281,Products!$A$2:$A$13,0)),INDEX(Products!$E$2:$E$13,MATCH(D2281,Products!$A$2:$A$13,0)))</f>
        <v>30418.5</v>
      </c>
      <c r="H2281" s="13" t="n">
        <f aca="false">IF(A2281="2025",INDEX(Customers!$D$2:$D$41,MATCH(C2281,Customers!$A$2:$A$41,0)),INDEX(Customers!$F$2:$F$41,MATCH(C2281,Customers!$A$2:$A$41,0)))</f>
        <v>0.045</v>
      </c>
      <c r="I2281" s="16" t="n">
        <f aca="false">F2281*G2281</f>
        <v>39544.05</v>
      </c>
      <c r="J2281" s="16" t="n">
        <f aca="false">I2281*(1-H2281)</f>
        <v>37764.56775</v>
      </c>
      <c r="K2281" s="16" t="n">
        <f aca="false">J2281*INDEX(Customers!$G$2:$G$41,MATCH(C2281,Customers!$A$2:$A$41,0))</f>
        <v>0</v>
      </c>
      <c r="L2281" s="16" t="n">
        <f aca="false">F2281*INDEX(Customers!$H$2:$H$41,MATCH(C2281,Customers!$A$2:$A$41,0))</f>
        <v>156</v>
      </c>
      <c r="M2281" s="16" t="n">
        <f aca="false">J2281*INDEX(Customers!$I$2:$I$41,MATCH(C2281,Customers!$A$2:$A$41,0))/365*Assumptions!$B$6</f>
        <v>496.629932054795</v>
      </c>
      <c r="N2281" s="16" t="n">
        <f aca="false">J2281-K2281-L2281-M2281</f>
        <v>37111.9378179452</v>
      </c>
      <c r="O2281" s="16" t="n">
        <f aca="false">F2281*IF(A2281="2025",INDEX(Products!$D$2:$D$13,MATCH(D2281,Products!$A$2:$A$13,0)),INDEX(Products!$F$2:$F$13,MATCH(D2281,Products!$A$2:$A$13,0)))</f>
        <v>19161.09</v>
      </c>
      <c r="P2281" s="16" t="n">
        <f aca="false">N2281-O2281</f>
        <v>17950.8478179452</v>
      </c>
    </row>
    <row r="2282" customFormat="false" ht="15" hidden="false" customHeight="false" outlineLevel="0" collapsed="false">
      <c r="A2282" s="2" t="s">
        <v>118</v>
      </c>
      <c r="B2282" s="2" t="n">
        <v>1</v>
      </c>
      <c r="C2282" s="2" t="s">
        <v>96</v>
      </c>
      <c r="D2282" s="2" t="s">
        <v>36</v>
      </c>
      <c r="E2282" s="2" t="str">
        <f aca="false">INDEX(Products!$B$2:$B$13,MATCH(D2282,Products!$A$2:$A$13,0))</f>
        <v>FCC</v>
      </c>
      <c r="F2282" s="15" t="n">
        <v>1.9</v>
      </c>
      <c r="G2282" s="16" t="n">
        <f aca="false">IF(A2282="2025",INDEX(Products!$C$2:$C$13,MATCH(D2282,Products!$A$2:$A$13,0)),INDEX(Products!$E$2:$E$13,MATCH(D2282,Products!$A$2:$A$13,0)))</f>
        <v>3700</v>
      </c>
      <c r="H2282" s="13" t="n">
        <f aca="false">IF(A2282="2025",INDEX(Customers!$D$2:$D$41,MATCH(C2282,Customers!$A$2:$A$41,0)),INDEX(Customers!$F$2:$F$41,MATCH(C2282,Customers!$A$2:$A$41,0)))</f>
        <v>0.045</v>
      </c>
      <c r="I2282" s="16" t="n">
        <f aca="false">F2282*G2282</f>
        <v>7030</v>
      </c>
      <c r="J2282" s="16" t="n">
        <f aca="false">I2282*(1-H2282)</f>
        <v>6713.65</v>
      </c>
      <c r="K2282" s="16" t="n">
        <f aca="false">J2282*INDEX(Customers!$G$2:$G$41,MATCH(C2282,Customers!$A$2:$A$41,0))</f>
        <v>0</v>
      </c>
      <c r="L2282" s="16" t="n">
        <f aca="false">F2282*INDEX(Customers!$H$2:$H$41,MATCH(C2282,Customers!$A$2:$A$41,0))</f>
        <v>228</v>
      </c>
      <c r="M2282" s="16" t="n">
        <f aca="false">J2282*INDEX(Customers!$I$2:$I$41,MATCH(C2282,Customers!$A$2:$A$41,0))/365*Assumptions!$B$6</f>
        <v>88.289095890411</v>
      </c>
      <c r="N2282" s="16" t="n">
        <f aca="false">J2282-K2282-L2282-M2282</f>
        <v>6397.36090410959</v>
      </c>
      <c r="O2282" s="16" t="n">
        <f aca="false">F2282*IF(A2282="2025",INDEX(Products!$D$2:$D$13,MATCH(D2282,Products!$A$2:$A$13,0)),INDEX(Products!$F$2:$F$13,MATCH(D2282,Products!$A$2:$A$13,0)))</f>
        <v>4560</v>
      </c>
      <c r="P2282" s="16" t="n">
        <f aca="false">N2282-O2282</f>
        <v>1837.36090410959</v>
      </c>
    </row>
    <row r="2283" customFormat="false" ht="15" hidden="false" customHeight="false" outlineLevel="0" collapsed="false">
      <c r="A2283" s="2" t="s">
        <v>118</v>
      </c>
      <c r="B2283" s="2" t="n">
        <v>2</v>
      </c>
      <c r="C2283" s="2" t="s">
        <v>96</v>
      </c>
      <c r="D2283" s="2" t="s">
        <v>36</v>
      </c>
      <c r="E2283" s="2" t="str">
        <f aca="false">INDEX(Products!$B$2:$B$13,MATCH(D2283,Products!$A$2:$A$13,0))</f>
        <v>FCC</v>
      </c>
      <c r="F2283" s="15" t="n">
        <v>1.9</v>
      </c>
      <c r="G2283" s="16" t="n">
        <f aca="false">IF(A2283="2025",INDEX(Products!$C$2:$C$13,MATCH(D2283,Products!$A$2:$A$13,0)),INDEX(Products!$E$2:$E$13,MATCH(D2283,Products!$A$2:$A$13,0)))</f>
        <v>3700</v>
      </c>
      <c r="H2283" s="13" t="n">
        <f aca="false">IF(A2283="2025",INDEX(Customers!$D$2:$D$41,MATCH(C2283,Customers!$A$2:$A$41,0)),INDEX(Customers!$F$2:$F$41,MATCH(C2283,Customers!$A$2:$A$41,0)))</f>
        <v>0.045</v>
      </c>
      <c r="I2283" s="16" t="n">
        <f aca="false">F2283*G2283</f>
        <v>7030</v>
      </c>
      <c r="J2283" s="16" t="n">
        <f aca="false">I2283*(1-H2283)</f>
        <v>6713.65</v>
      </c>
      <c r="K2283" s="16" t="n">
        <f aca="false">J2283*INDEX(Customers!$G$2:$G$41,MATCH(C2283,Customers!$A$2:$A$41,0))</f>
        <v>0</v>
      </c>
      <c r="L2283" s="16" t="n">
        <f aca="false">F2283*INDEX(Customers!$H$2:$H$41,MATCH(C2283,Customers!$A$2:$A$41,0))</f>
        <v>228</v>
      </c>
      <c r="M2283" s="16" t="n">
        <f aca="false">J2283*INDEX(Customers!$I$2:$I$41,MATCH(C2283,Customers!$A$2:$A$41,0))/365*Assumptions!$B$6</f>
        <v>88.289095890411</v>
      </c>
      <c r="N2283" s="16" t="n">
        <f aca="false">J2283-K2283-L2283-M2283</f>
        <v>6397.36090410959</v>
      </c>
      <c r="O2283" s="16" t="n">
        <f aca="false">F2283*IF(A2283="2025",INDEX(Products!$D$2:$D$13,MATCH(D2283,Products!$A$2:$A$13,0)),INDEX(Products!$F$2:$F$13,MATCH(D2283,Products!$A$2:$A$13,0)))</f>
        <v>4560</v>
      </c>
      <c r="P2283" s="16" t="n">
        <f aca="false">N2283-O2283</f>
        <v>1837.36090410959</v>
      </c>
    </row>
    <row r="2284" customFormat="false" ht="15" hidden="false" customHeight="false" outlineLevel="0" collapsed="false">
      <c r="A2284" s="2" t="s">
        <v>118</v>
      </c>
      <c r="B2284" s="2" t="n">
        <v>3</v>
      </c>
      <c r="C2284" s="2" t="s">
        <v>96</v>
      </c>
      <c r="D2284" s="2" t="s">
        <v>36</v>
      </c>
      <c r="E2284" s="2" t="str">
        <f aca="false">INDEX(Products!$B$2:$B$13,MATCH(D2284,Products!$A$2:$A$13,0))</f>
        <v>FCC</v>
      </c>
      <c r="F2284" s="15" t="n">
        <v>2.1</v>
      </c>
      <c r="G2284" s="16" t="n">
        <f aca="false">IF(A2284="2025",INDEX(Products!$C$2:$C$13,MATCH(D2284,Products!$A$2:$A$13,0)),INDEX(Products!$E$2:$E$13,MATCH(D2284,Products!$A$2:$A$13,0)))</f>
        <v>3700</v>
      </c>
      <c r="H2284" s="13" t="n">
        <f aca="false">IF(A2284="2025",INDEX(Customers!$D$2:$D$41,MATCH(C2284,Customers!$A$2:$A$41,0)),INDEX(Customers!$F$2:$F$41,MATCH(C2284,Customers!$A$2:$A$41,0)))</f>
        <v>0.045</v>
      </c>
      <c r="I2284" s="16" t="n">
        <f aca="false">F2284*G2284</f>
        <v>7770</v>
      </c>
      <c r="J2284" s="16" t="n">
        <f aca="false">I2284*(1-H2284)</f>
        <v>7420.35</v>
      </c>
      <c r="K2284" s="16" t="n">
        <f aca="false">J2284*INDEX(Customers!$G$2:$G$41,MATCH(C2284,Customers!$A$2:$A$41,0))</f>
        <v>0</v>
      </c>
      <c r="L2284" s="16" t="n">
        <f aca="false">F2284*INDEX(Customers!$H$2:$H$41,MATCH(C2284,Customers!$A$2:$A$41,0))</f>
        <v>252</v>
      </c>
      <c r="M2284" s="16" t="n">
        <f aca="false">J2284*INDEX(Customers!$I$2:$I$41,MATCH(C2284,Customers!$A$2:$A$41,0))/365*Assumptions!$B$6</f>
        <v>97.5826849315068</v>
      </c>
      <c r="N2284" s="16" t="n">
        <f aca="false">J2284-K2284-L2284-M2284</f>
        <v>7070.76731506849</v>
      </c>
      <c r="O2284" s="16" t="n">
        <f aca="false">F2284*IF(A2284="2025",INDEX(Products!$D$2:$D$13,MATCH(D2284,Products!$A$2:$A$13,0)),INDEX(Products!$F$2:$F$13,MATCH(D2284,Products!$A$2:$A$13,0)))</f>
        <v>5040</v>
      </c>
      <c r="P2284" s="16" t="n">
        <f aca="false">N2284-O2284</f>
        <v>2030.76731506849</v>
      </c>
    </row>
    <row r="2285" customFormat="false" ht="15" hidden="false" customHeight="false" outlineLevel="0" collapsed="false">
      <c r="A2285" s="2" t="s">
        <v>118</v>
      </c>
      <c r="B2285" s="2" t="n">
        <v>4</v>
      </c>
      <c r="C2285" s="2" t="s">
        <v>96</v>
      </c>
      <c r="D2285" s="2" t="s">
        <v>36</v>
      </c>
      <c r="E2285" s="2" t="str">
        <f aca="false">INDEX(Products!$B$2:$B$13,MATCH(D2285,Products!$A$2:$A$13,0))</f>
        <v>FCC</v>
      </c>
      <c r="F2285" s="15" t="n">
        <v>2.9</v>
      </c>
      <c r="G2285" s="16" t="n">
        <f aca="false">IF(A2285="2025",INDEX(Products!$C$2:$C$13,MATCH(D2285,Products!$A$2:$A$13,0)),INDEX(Products!$E$2:$E$13,MATCH(D2285,Products!$A$2:$A$13,0)))</f>
        <v>3700</v>
      </c>
      <c r="H2285" s="13" t="n">
        <f aca="false">IF(A2285="2025",INDEX(Customers!$D$2:$D$41,MATCH(C2285,Customers!$A$2:$A$41,0)),INDEX(Customers!$F$2:$F$41,MATCH(C2285,Customers!$A$2:$A$41,0)))</f>
        <v>0.045</v>
      </c>
      <c r="I2285" s="16" t="n">
        <f aca="false">F2285*G2285</f>
        <v>10730</v>
      </c>
      <c r="J2285" s="16" t="n">
        <f aca="false">I2285*(1-H2285)</f>
        <v>10247.15</v>
      </c>
      <c r="K2285" s="16" t="n">
        <f aca="false">J2285*INDEX(Customers!$G$2:$G$41,MATCH(C2285,Customers!$A$2:$A$41,0))</f>
        <v>0</v>
      </c>
      <c r="L2285" s="16" t="n">
        <f aca="false">F2285*INDEX(Customers!$H$2:$H$41,MATCH(C2285,Customers!$A$2:$A$41,0))</f>
        <v>348</v>
      </c>
      <c r="M2285" s="16" t="n">
        <f aca="false">J2285*INDEX(Customers!$I$2:$I$41,MATCH(C2285,Customers!$A$2:$A$41,0))/365*Assumptions!$B$6</f>
        <v>134.75704109589</v>
      </c>
      <c r="N2285" s="16" t="n">
        <f aca="false">J2285-K2285-L2285-M2285</f>
        <v>9764.39295890411</v>
      </c>
      <c r="O2285" s="16" t="n">
        <f aca="false">F2285*IF(A2285="2025",INDEX(Products!$D$2:$D$13,MATCH(D2285,Products!$A$2:$A$13,0)),INDEX(Products!$F$2:$F$13,MATCH(D2285,Products!$A$2:$A$13,0)))</f>
        <v>6960</v>
      </c>
      <c r="P2285" s="16" t="n">
        <f aca="false">N2285-O2285</f>
        <v>2804.39295890411</v>
      </c>
    </row>
    <row r="2286" customFormat="false" ht="15" hidden="false" customHeight="false" outlineLevel="0" collapsed="false">
      <c r="A2286" s="2" t="s">
        <v>118</v>
      </c>
      <c r="B2286" s="2" t="n">
        <v>5</v>
      </c>
      <c r="C2286" s="2" t="s">
        <v>96</v>
      </c>
      <c r="D2286" s="2" t="s">
        <v>36</v>
      </c>
      <c r="E2286" s="2" t="str">
        <f aca="false">INDEX(Products!$B$2:$B$13,MATCH(D2286,Products!$A$2:$A$13,0))</f>
        <v>FCC</v>
      </c>
      <c r="F2286" s="15" t="n">
        <v>2.8</v>
      </c>
      <c r="G2286" s="16" t="n">
        <f aca="false">IF(A2286="2025",INDEX(Products!$C$2:$C$13,MATCH(D2286,Products!$A$2:$A$13,0)),INDEX(Products!$E$2:$E$13,MATCH(D2286,Products!$A$2:$A$13,0)))</f>
        <v>3700</v>
      </c>
      <c r="H2286" s="13" t="n">
        <f aca="false">IF(A2286="2025",INDEX(Customers!$D$2:$D$41,MATCH(C2286,Customers!$A$2:$A$41,0)),INDEX(Customers!$F$2:$F$41,MATCH(C2286,Customers!$A$2:$A$41,0)))</f>
        <v>0.045</v>
      </c>
      <c r="I2286" s="16" t="n">
        <f aca="false">F2286*G2286</f>
        <v>10360</v>
      </c>
      <c r="J2286" s="16" t="n">
        <f aca="false">I2286*(1-H2286)</f>
        <v>9893.8</v>
      </c>
      <c r="K2286" s="16" t="n">
        <f aca="false">J2286*INDEX(Customers!$G$2:$G$41,MATCH(C2286,Customers!$A$2:$A$41,0))</f>
        <v>0</v>
      </c>
      <c r="L2286" s="16" t="n">
        <f aca="false">F2286*INDEX(Customers!$H$2:$H$41,MATCH(C2286,Customers!$A$2:$A$41,0))</f>
        <v>336</v>
      </c>
      <c r="M2286" s="16" t="n">
        <f aca="false">J2286*INDEX(Customers!$I$2:$I$41,MATCH(C2286,Customers!$A$2:$A$41,0))/365*Assumptions!$B$6</f>
        <v>130.110246575342</v>
      </c>
      <c r="N2286" s="16" t="n">
        <f aca="false">J2286-K2286-L2286-M2286</f>
        <v>9427.68975342466</v>
      </c>
      <c r="O2286" s="16" t="n">
        <f aca="false">F2286*IF(A2286="2025",INDEX(Products!$D$2:$D$13,MATCH(D2286,Products!$A$2:$A$13,0)),INDEX(Products!$F$2:$F$13,MATCH(D2286,Products!$A$2:$A$13,0)))</f>
        <v>6720</v>
      </c>
      <c r="P2286" s="16" t="n">
        <f aca="false">N2286-O2286</f>
        <v>2707.68975342466</v>
      </c>
    </row>
    <row r="2287" customFormat="false" ht="15" hidden="false" customHeight="false" outlineLevel="0" collapsed="false">
      <c r="A2287" s="2" t="s">
        <v>118</v>
      </c>
      <c r="B2287" s="2" t="n">
        <v>6</v>
      </c>
      <c r="C2287" s="2" t="s">
        <v>96</v>
      </c>
      <c r="D2287" s="2" t="s">
        <v>36</v>
      </c>
      <c r="E2287" s="2" t="str">
        <f aca="false">INDEX(Products!$B$2:$B$13,MATCH(D2287,Products!$A$2:$A$13,0))</f>
        <v>FCC</v>
      </c>
      <c r="F2287" s="15" t="n">
        <v>3.3</v>
      </c>
      <c r="G2287" s="16" t="n">
        <f aca="false">IF(A2287="2025",INDEX(Products!$C$2:$C$13,MATCH(D2287,Products!$A$2:$A$13,0)),INDEX(Products!$E$2:$E$13,MATCH(D2287,Products!$A$2:$A$13,0)))</f>
        <v>3700</v>
      </c>
      <c r="H2287" s="13" t="n">
        <f aca="false">IF(A2287="2025",INDEX(Customers!$D$2:$D$41,MATCH(C2287,Customers!$A$2:$A$41,0)),INDEX(Customers!$F$2:$F$41,MATCH(C2287,Customers!$A$2:$A$41,0)))</f>
        <v>0.045</v>
      </c>
      <c r="I2287" s="16" t="n">
        <f aca="false">F2287*G2287</f>
        <v>12210</v>
      </c>
      <c r="J2287" s="16" t="n">
        <f aca="false">I2287*(1-H2287)</f>
        <v>11660.55</v>
      </c>
      <c r="K2287" s="16" t="n">
        <f aca="false">J2287*INDEX(Customers!$G$2:$G$41,MATCH(C2287,Customers!$A$2:$A$41,0))</f>
        <v>0</v>
      </c>
      <c r="L2287" s="16" t="n">
        <f aca="false">F2287*INDEX(Customers!$H$2:$H$41,MATCH(C2287,Customers!$A$2:$A$41,0))</f>
        <v>396</v>
      </c>
      <c r="M2287" s="16" t="n">
        <f aca="false">J2287*INDEX(Customers!$I$2:$I$41,MATCH(C2287,Customers!$A$2:$A$41,0))/365*Assumptions!$B$6</f>
        <v>153.344219178082</v>
      </c>
      <c r="N2287" s="16" t="n">
        <f aca="false">J2287-K2287-L2287-M2287</f>
        <v>11111.2057808219</v>
      </c>
      <c r="O2287" s="16" t="n">
        <f aca="false">F2287*IF(A2287="2025",INDEX(Products!$D$2:$D$13,MATCH(D2287,Products!$A$2:$A$13,0)),INDEX(Products!$F$2:$F$13,MATCH(D2287,Products!$A$2:$A$13,0)))</f>
        <v>7920</v>
      </c>
      <c r="P2287" s="16" t="n">
        <f aca="false">N2287-O2287</f>
        <v>3191.20578082192</v>
      </c>
    </row>
    <row r="2288" customFormat="false" ht="15" hidden="false" customHeight="false" outlineLevel="0" collapsed="false">
      <c r="A2288" s="2" t="s">
        <v>118</v>
      </c>
      <c r="B2288" s="2" t="n">
        <v>7</v>
      </c>
      <c r="C2288" s="2" t="s">
        <v>96</v>
      </c>
      <c r="D2288" s="2" t="s">
        <v>36</v>
      </c>
      <c r="E2288" s="2" t="str">
        <f aca="false">INDEX(Products!$B$2:$B$13,MATCH(D2288,Products!$A$2:$A$13,0))</f>
        <v>FCC</v>
      </c>
      <c r="F2288" s="15" t="n">
        <v>2</v>
      </c>
      <c r="G2288" s="16" t="n">
        <f aca="false">IF(A2288="2025",INDEX(Products!$C$2:$C$13,MATCH(D2288,Products!$A$2:$A$13,0)),INDEX(Products!$E$2:$E$13,MATCH(D2288,Products!$A$2:$A$13,0)))</f>
        <v>3700</v>
      </c>
      <c r="H2288" s="13" t="n">
        <f aca="false">IF(A2288="2025",INDEX(Customers!$D$2:$D$41,MATCH(C2288,Customers!$A$2:$A$41,0)),INDEX(Customers!$F$2:$F$41,MATCH(C2288,Customers!$A$2:$A$41,0)))</f>
        <v>0.045</v>
      </c>
      <c r="I2288" s="16" t="n">
        <f aca="false">F2288*G2288</f>
        <v>7400</v>
      </c>
      <c r="J2288" s="16" t="n">
        <f aca="false">I2288*(1-H2288)</f>
        <v>7067</v>
      </c>
      <c r="K2288" s="16" t="n">
        <f aca="false">J2288*INDEX(Customers!$G$2:$G$41,MATCH(C2288,Customers!$A$2:$A$41,0))</f>
        <v>0</v>
      </c>
      <c r="L2288" s="16" t="n">
        <f aca="false">F2288*INDEX(Customers!$H$2:$H$41,MATCH(C2288,Customers!$A$2:$A$41,0))</f>
        <v>240</v>
      </c>
      <c r="M2288" s="16" t="n">
        <f aca="false">J2288*INDEX(Customers!$I$2:$I$41,MATCH(C2288,Customers!$A$2:$A$41,0))/365*Assumptions!$B$6</f>
        <v>92.9358904109589</v>
      </c>
      <c r="N2288" s="16" t="n">
        <f aca="false">J2288-K2288-L2288-M2288</f>
        <v>6734.06410958904</v>
      </c>
      <c r="O2288" s="16" t="n">
        <f aca="false">F2288*IF(A2288="2025",INDEX(Products!$D$2:$D$13,MATCH(D2288,Products!$A$2:$A$13,0)),INDEX(Products!$F$2:$F$13,MATCH(D2288,Products!$A$2:$A$13,0)))</f>
        <v>4800</v>
      </c>
      <c r="P2288" s="16" t="n">
        <f aca="false">N2288-O2288</f>
        <v>1934.06410958904</v>
      </c>
    </row>
    <row r="2289" customFormat="false" ht="15" hidden="false" customHeight="false" outlineLevel="0" collapsed="false">
      <c r="A2289" s="2" t="s">
        <v>118</v>
      </c>
      <c r="B2289" s="2" t="n">
        <v>8</v>
      </c>
      <c r="C2289" s="2" t="s">
        <v>96</v>
      </c>
      <c r="D2289" s="2" t="s">
        <v>36</v>
      </c>
      <c r="E2289" s="2" t="str">
        <f aca="false">INDEX(Products!$B$2:$B$13,MATCH(D2289,Products!$A$2:$A$13,0))</f>
        <v>FCC</v>
      </c>
      <c r="F2289" s="15" t="n">
        <v>2.7</v>
      </c>
      <c r="G2289" s="16" t="n">
        <f aca="false">IF(A2289="2025",INDEX(Products!$C$2:$C$13,MATCH(D2289,Products!$A$2:$A$13,0)),INDEX(Products!$E$2:$E$13,MATCH(D2289,Products!$A$2:$A$13,0)))</f>
        <v>3700</v>
      </c>
      <c r="H2289" s="13" t="n">
        <f aca="false">IF(A2289="2025",INDEX(Customers!$D$2:$D$41,MATCH(C2289,Customers!$A$2:$A$41,0)),INDEX(Customers!$F$2:$F$41,MATCH(C2289,Customers!$A$2:$A$41,0)))</f>
        <v>0.045</v>
      </c>
      <c r="I2289" s="16" t="n">
        <f aca="false">F2289*G2289</f>
        <v>9990</v>
      </c>
      <c r="J2289" s="16" t="n">
        <f aca="false">I2289*(1-H2289)</f>
        <v>9540.45</v>
      </c>
      <c r="K2289" s="16" t="n">
        <f aca="false">J2289*INDEX(Customers!$G$2:$G$41,MATCH(C2289,Customers!$A$2:$A$41,0))</f>
        <v>0</v>
      </c>
      <c r="L2289" s="16" t="n">
        <f aca="false">F2289*INDEX(Customers!$H$2:$H$41,MATCH(C2289,Customers!$A$2:$A$41,0))</f>
        <v>324</v>
      </c>
      <c r="M2289" s="16" t="n">
        <f aca="false">J2289*INDEX(Customers!$I$2:$I$41,MATCH(C2289,Customers!$A$2:$A$41,0))/365*Assumptions!$B$6</f>
        <v>125.463452054794</v>
      </c>
      <c r="N2289" s="16" t="n">
        <f aca="false">J2289-K2289-L2289-M2289</f>
        <v>9090.9865479452</v>
      </c>
      <c r="O2289" s="16" t="n">
        <f aca="false">F2289*IF(A2289="2025",INDEX(Products!$D$2:$D$13,MATCH(D2289,Products!$A$2:$A$13,0)),INDEX(Products!$F$2:$F$13,MATCH(D2289,Products!$A$2:$A$13,0)))</f>
        <v>6480</v>
      </c>
      <c r="P2289" s="16" t="n">
        <f aca="false">N2289-O2289</f>
        <v>2610.9865479452</v>
      </c>
    </row>
    <row r="2290" customFormat="false" ht="15" hidden="false" customHeight="false" outlineLevel="0" collapsed="false">
      <c r="A2290" s="2" t="s">
        <v>118</v>
      </c>
      <c r="B2290" s="2" t="n">
        <v>9</v>
      </c>
      <c r="C2290" s="2" t="s">
        <v>96</v>
      </c>
      <c r="D2290" s="2" t="s">
        <v>36</v>
      </c>
      <c r="E2290" s="2" t="str">
        <f aca="false">INDEX(Products!$B$2:$B$13,MATCH(D2290,Products!$A$2:$A$13,0))</f>
        <v>FCC</v>
      </c>
      <c r="F2290" s="15" t="n">
        <v>3.2</v>
      </c>
      <c r="G2290" s="16" t="n">
        <f aca="false">IF(A2290="2025",INDEX(Products!$C$2:$C$13,MATCH(D2290,Products!$A$2:$A$13,0)),INDEX(Products!$E$2:$E$13,MATCH(D2290,Products!$A$2:$A$13,0)))</f>
        <v>3700</v>
      </c>
      <c r="H2290" s="13" t="n">
        <f aca="false">IF(A2290="2025",INDEX(Customers!$D$2:$D$41,MATCH(C2290,Customers!$A$2:$A$41,0)),INDEX(Customers!$F$2:$F$41,MATCH(C2290,Customers!$A$2:$A$41,0)))</f>
        <v>0.045</v>
      </c>
      <c r="I2290" s="16" t="n">
        <f aca="false">F2290*G2290</f>
        <v>11840</v>
      </c>
      <c r="J2290" s="16" t="n">
        <f aca="false">I2290*(1-H2290)</f>
        <v>11307.2</v>
      </c>
      <c r="K2290" s="16" t="n">
        <f aca="false">J2290*INDEX(Customers!$G$2:$G$41,MATCH(C2290,Customers!$A$2:$A$41,0))</f>
        <v>0</v>
      </c>
      <c r="L2290" s="16" t="n">
        <f aca="false">F2290*INDEX(Customers!$H$2:$H$41,MATCH(C2290,Customers!$A$2:$A$41,0))</f>
        <v>384</v>
      </c>
      <c r="M2290" s="16" t="n">
        <f aca="false">J2290*INDEX(Customers!$I$2:$I$41,MATCH(C2290,Customers!$A$2:$A$41,0))/365*Assumptions!$B$6</f>
        <v>148.697424657534</v>
      </c>
      <c r="N2290" s="16" t="n">
        <f aca="false">J2290-K2290-L2290-M2290</f>
        <v>10774.5025753425</v>
      </c>
      <c r="O2290" s="16" t="n">
        <f aca="false">F2290*IF(A2290="2025",INDEX(Products!$D$2:$D$13,MATCH(D2290,Products!$A$2:$A$13,0)),INDEX(Products!$F$2:$F$13,MATCH(D2290,Products!$A$2:$A$13,0)))</f>
        <v>7680</v>
      </c>
      <c r="P2290" s="16" t="n">
        <f aca="false">N2290-O2290</f>
        <v>3094.50257534247</v>
      </c>
    </row>
    <row r="2291" customFormat="false" ht="15" hidden="false" customHeight="false" outlineLevel="0" collapsed="false">
      <c r="A2291" s="2" t="s">
        <v>118</v>
      </c>
      <c r="B2291" s="2" t="n">
        <v>10</v>
      </c>
      <c r="C2291" s="2" t="s">
        <v>96</v>
      </c>
      <c r="D2291" s="2" t="s">
        <v>36</v>
      </c>
      <c r="E2291" s="2" t="str">
        <f aca="false">INDEX(Products!$B$2:$B$13,MATCH(D2291,Products!$A$2:$A$13,0))</f>
        <v>FCC</v>
      </c>
      <c r="F2291" s="15" t="n">
        <v>3</v>
      </c>
      <c r="G2291" s="16" t="n">
        <f aca="false">IF(A2291="2025",INDEX(Products!$C$2:$C$13,MATCH(D2291,Products!$A$2:$A$13,0)),INDEX(Products!$E$2:$E$13,MATCH(D2291,Products!$A$2:$A$13,0)))</f>
        <v>3700</v>
      </c>
      <c r="H2291" s="13" t="n">
        <f aca="false">IF(A2291="2025",INDEX(Customers!$D$2:$D$41,MATCH(C2291,Customers!$A$2:$A$41,0)),INDEX(Customers!$F$2:$F$41,MATCH(C2291,Customers!$A$2:$A$41,0)))</f>
        <v>0.045</v>
      </c>
      <c r="I2291" s="16" t="n">
        <f aca="false">F2291*G2291</f>
        <v>11100</v>
      </c>
      <c r="J2291" s="16" t="n">
        <f aca="false">I2291*(1-H2291)</f>
        <v>10600.5</v>
      </c>
      <c r="K2291" s="16" t="n">
        <f aca="false">J2291*INDEX(Customers!$G$2:$G$41,MATCH(C2291,Customers!$A$2:$A$41,0))</f>
        <v>0</v>
      </c>
      <c r="L2291" s="16" t="n">
        <f aca="false">F2291*INDEX(Customers!$H$2:$H$41,MATCH(C2291,Customers!$A$2:$A$41,0))</f>
        <v>360</v>
      </c>
      <c r="M2291" s="16" t="n">
        <f aca="false">J2291*INDEX(Customers!$I$2:$I$41,MATCH(C2291,Customers!$A$2:$A$41,0))/365*Assumptions!$B$6</f>
        <v>139.403835616438</v>
      </c>
      <c r="N2291" s="16" t="n">
        <f aca="false">J2291-K2291-L2291-M2291</f>
        <v>10101.0961643836</v>
      </c>
      <c r="O2291" s="16" t="n">
        <f aca="false">F2291*IF(A2291="2025",INDEX(Products!$D$2:$D$13,MATCH(D2291,Products!$A$2:$A$13,0)),INDEX(Products!$F$2:$F$13,MATCH(D2291,Products!$A$2:$A$13,0)))</f>
        <v>7200</v>
      </c>
      <c r="P2291" s="16" t="n">
        <f aca="false">N2291-O2291</f>
        <v>2901.09616438356</v>
      </c>
    </row>
    <row r="2292" customFormat="false" ht="15" hidden="false" customHeight="false" outlineLevel="0" collapsed="false">
      <c r="A2292" s="2" t="s">
        <v>118</v>
      </c>
      <c r="B2292" s="2" t="n">
        <v>11</v>
      </c>
      <c r="C2292" s="2" t="s">
        <v>96</v>
      </c>
      <c r="D2292" s="2" t="s">
        <v>36</v>
      </c>
      <c r="E2292" s="2" t="str">
        <f aca="false">INDEX(Products!$B$2:$B$13,MATCH(D2292,Products!$A$2:$A$13,0))</f>
        <v>FCC</v>
      </c>
      <c r="F2292" s="15" t="n">
        <v>2.5</v>
      </c>
      <c r="G2292" s="16" t="n">
        <f aca="false">IF(A2292="2025",INDEX(Products!$C$2:$C$13,MATCH(D2292,Products!$A$2:$A$13,0)),INDEX(Products!$E$2:$E$13,MATCH(D2292,Products!$A$2:$A$13,0)))</f>
        <v>3700</v>
      </c>
      <c r="H2292" s="13" t="n">
        <f aca="false">IF(A2292="2025",INDEX(Customers!$D$2:$D$41,MATCH(C2292,Customers!$A$2:$A$41,0)),INDEX(Customers!$F$2:$F$41,MATCH(C2292,Customers!$A$2:$A$41,0)))</f>
        <v>0.045</v>
      </c>
      <c r="I2292" s="16" t="n">
        <f aca="false">F2292*G2292</f>
        <v>9250</v>
      </c>
      <c r="J2292" s="16" t="n">
        <f aca="false">I2292*(1-H2292)</f>
        <v>8833.75</v>
      </c>
      <c r="K2292" s="16" t="n">
        <f aca="false">J2292*INDEX(Customers!$G$2:$G$41,MATCH(C2292,Customers!$A$2:$A$41,0))</f>
        <v>0</v>
      </c>
      <c r="L2292" s="16" t="n">
        <f aca="false">F2292*INDEX(Customers!$H$2:$H$41,MATCH(C2292,Customers!$A$2:$A$41,0))</f>
        <v>300</v>
      </c>
      <c r="M2292" s="16" t="n">
        <f aca="false">J2292*INDEX(Customers!$I$2:$I$41,MATCH(C2292,Customers!$A$2:$A$41,0))/365*Assumptions!$B$6</f>
        <v>116.169863013699</v>
      </c>
      <c r="N2292" s="16" t="n">
        <f aca="false">J2292-K2292-L2292-M2292</f>
        <v>8417.5801369863</v>
      </c>
      <c r="O2292" s="16" t="n">
        <f aca="false">F2292*IF(A2292="2025",INDEX(Products!$D$2:$D$13,MATCH(D2292,Products!$A$2:$A$13,0)),INDEX(Products!$F$2:$F$13,MATCH(D2292,Products!$A$2:$A$13,0)))</f>
        <v>6000</v>
      </c>
      <c r="P2292" s="16" t="n">
        <f aca="false">N2292-O2292</f>
        <v>2417.5801369863</v>
      </c>
    </row>
    <row r="2293" customFormat="false" ht="15" hidden="false" customHeight="false" outlineLevel="0" collapsed="false">
      <c r="A2293" s="2" t="s">
        <v>118</v>
      </c>
      <c r="B2293" s="2" t="n">
        <v>12</v>
      </c>
      <c r="C2293" s="2" t="s">
        <v>96</v>
      </c>
      <c r="D2293" s="2" t="s">
        <v>36</v>
      </c>
      <c r="E2293" s="2" t="str">
        <f aca="false">INDEX(Products!$B$2:$B$13,MATCH(D2293,Products!$A$2:$A$13,0))</f>
        <v>FCC</v>
      </c>
      <c r="F2293" s="15" t="n">
        <v>2.2</v>
      </c>
      <c r="G2293" s="16" t="n">
        <f aca="false">IF(A2293="2025",INDEX(Products!$C$2:$C$13,MATCH(D2293,Products!$A$2:$A$13,0)),INDEX(Products!$E$2:$E$13,MATCH(D2293,Products!$A$2:$A$13,0)))</f>
        <v>3700</v>
      </c>
      <c r="H2293" s="13" t="n">
        <f aca="false">IF(A2293="2025",INDEX(Customers!$D$2:$D$41,MATCH(C2293,Customers!$A$2:$A$41,0)),INDEX(Customers!$F$2:$F$41,MATCH(C2293,Customers!$A$2:$A$41,0)))</f>
        <v>0.045</v>
      </c>
      <c r="I2293" s="16" t="n">
        <f aca="false">F2293*G2293</f>
        <v>8140</v>
      </c>
      <c r="J2293" s="16" t="n">
        <f aca="false">I2293*(1-H2293)</f>
        <v>7773.7</v>
      </c>
      <c r="K2293" s="16" t="n">
        <f aca="false">J2293*INDEX(Customers!$G$2:$G$41,MATCH(C2293,Customers!$A$2:$A$41,0))</f>
        <v>0</v>
      </c>
      <c r="L2293" s="16" t="n">
        <f aca="false">F2293*INDEX(Customers!$H$2:$H$41,MATCH(C2293,Customers!$A$2:$A$41,0))</f>
        <v>264</v>
      </c>
      <c r="M2293" s="16" t="n">
        <f aca="false">J2293*INDEX(Customers!$I$2:$I$41,MATCH(C2293,Customers!$A$2:$A$41,0))/365*Assumptions!$B$6</f>
        <v>102.229479452055</v>
      </c>
      <c r="N2293" s="16" t="n">
        <f aca="false">J2293-K2293-L2293-M2293</f>
        <v>7407.47052054795</v>
      </c>
      <c r="O2293" s="16" t="n">
        <f aca="false">F2293*IF(A2293="2025",INDEX(Products!$D$2:$D$13,MATCH(D2293,Products!$A$2:$A$13,0)),INDEX(Products!$F$2:$F$13,MATCH(D2293,Products!$A$2:$A$13,0)))</f>
        <v>5280</v>
      </c>
      <c r="P2293" s="16" t="n">
        <f aca="false">N2293-O2293</f>
        <v>2127.47052054795</v>
      </c>
    </row>
    <row r="2294" customFormat="false" ht="15" hidden="false" customHeight="false" outlineLevel="0" collapsed="false">
      <c r="A2294" s="2" t="s">
        <v>119</v>
      </c>
      <c r="B2294" s="2" t="n">
        <v>1</v>
      </c>
      <c r="C2294" s="2" t="s">
        <v>96</v>
      </c>
      <c r="D2294" s="2" t="s">
        <v>36</v>
      </c>
      <c r="E2294" s="2" t="str">
        <f aca="false">INDEX(Products!$B$2:$B$13,MATCH(D2294,Products!$A$2:$A$13,0))</f>
        <v>FCC</v>
      </c>
      <c r="F2294" s="15" t="n">
        <v>2.8</v>
      </c>
      <c r="G2294" s="16" t="n">
        <f aca="false">IF(A2294="2025",INDEX(Products!$C$2:$C$13,MATCH(D2294,Products!$A$2:$A$13,0)),INDEX(Products!$E$2:$E$13,MATCH(D2294,Products!$A$2:$A$13,0)))</f>
        <v>3885</v>
      </c>
      <c r="H2294" s="13" t="n">
        <f aca="false">IF(A2294="2025",INDEX(Customers!$D$2:$D$41,MATCH(C2294,Customers!$A$2:$A$41,0)),INDEX(Customers!$F$2:$F$41,MATCH(C2294,Customers!$A$2:$A$41,0)))</f>
        <v>0.045</v>
      </c>
      <c r="I2294" s="16" t="n">
        <f aca="false">F2294*G2294</f>
        <v>10878</v>
      </c>
      <c r="J2294" s="16" t="n">
        <f aca="false">I2294*(1-H2294)</f>
        <v>10388.49</v>
      </c>
      <c r="K2294" s="16" t="n">
        <f aca="false">J2294*INDEX(Customers!$G$2:$G$41,MATCH(C2294,Customers!$A$2:$A$41,0))</f>
        <v>0</v>
      </c>
      <c r="L2294" s="16" t="n">
        <f aca="false">F2294*INDEX(Customers!$H$2:$H$41,MATCH(C2294,Customers!$A$2:$A$41,0))</f>
        <v>336</v>
      </c>
      <c r="M2294" s="16" t="n">
        <f aca="false">J2294*INDEX(Customers!$I$2:$I$41,MATCH(C2294,Customers!$A$2:$A$41,0))/365*Assumptions!$B$6</f>
        <v>136.61575890411</v>
      </c>
      <c r="N2294" s="16" t="n">
        <f aca="false">J2294-K2294-L2294-M2294</f>
        <v>9915.87424109589</v>
      </c>
      <c r="O2294" s="16" t="n">
        <f aca="false">F2294*IF(A2294="2025",INDEX(Products!$D$2:$D$13,MATCH(D2294,Products!$A$2:$A$13,0)),INDEX(Products!$F$2:$F$13,MATCH(D2294,Products!$A$2:$A$13,0)))</f>
        <v>6921.6</v>
      </c>
      <c r="P2294" s="16" t="n">
        <f aca="false">N2294-O2294</f>
        <v>2994.27424109589</v>
      </c>
    </row>
    <row r="2295" customFormat="false" ht="15" hidden="false" customHeight="false" outlineLevel="0" collapsed="false">
      <c r="A2295" s="2" t="s">
        <v>119</v>
      </c>
      <c r="B2295" s="2" t="n">
        <v>2</v>
      </c>
      <c r="C2295" s="2" t="s">
        <v>96</v>
      </c>
      <c r="D2295" s="2" t="s">
        <v>36</v>
      </c>
      <c r="E2295" s="2" t="str">
        <f aca="false">INDEX(Products!$B$2:$B$13,MATCH(D2295,Products!$A$2:$A$13,0))</f>
        <v>FCC</v>
      </c>
      <c r="F2295" s="15" t="n">
        <v>2.4</v>
      </c>
      <c r="G2295" s="16" t="n">
        <f aca="false">IF(A2295="2025",INDEX(Products!$C$2:$C$13,MATCH(D2295,Products!$A$2:$A$13,0)),INDEX(Products!$E$2:$E$13,MATCH(D2295,Products!$A$2:$A$13,0)))</f>
        <v>3885</v>
      </c>
      <c r="H2295" s="13" t="n">
        <f aca="false">IF(A2295="2025",INDEX(Customers!$D$2:$D$41,MATCH(C2295,Customers!$A$2:$A$41,0)),INDEX(Customers!$F$2:$F$41,MATCH(C2295,Customers!$A$2:$A$41,0)))</f>
        <v>0.045</v>
      </c>
      <c r="I2295" s="16" t="n">
        <f aca="false">F2295*G2295</f>
        <v>9324</v>
      </c>
      <c r="J2295" s="16" t="n">
        <f aca="false">I2295*(1-H2295)</f>
        <v>8904.42</v>
      </c>
      <c r="K2295" s="16" t="n">
        <f aca="false">J2295*INDEX(Customers!$G$2:$G$41,MATCH(C2295,Customers!$A$2:$A$41,0))</f>
        <v>0</v>
      </c>
      <c r="L2295" s="16" t="n">
        <f aca="false">F2295*INDEX(Customers!$H$2:$H$41,MATCH(C2295,Customers!$A$2:$A$41,0))</f>
        <v>288</v>
      </c>
      <c r="M2295" s="16" t="n">
        <f aca="false">J2295*INDEX(Customers!$I$2:$I$41,MATCH(C2295,Customers!$A$2:$A$41,0))/365*Assumptions!$B$6</f>
        <v>117.099221917808</v>
      </c>
      <c r="N2295" s="16" t="n">
        <f aca="false">J2295-K2295-L2295-M2295</f>
        <v>8499.32077808219</v>
      </c>
      <c r="O2295" s="16" t="n">
        <f aca="false">F2295*IF(A2295="2025",INDEX(Products!$D$2:$D$13,MATCH(D2295,Products!$A$2:$A$13,0)),INDEX(Products!$F$2:$F$13,MATCH(D2295,Products!$A$2:$A$13,0)))</f>
        <v>5932.8</v>
      </c>
      <c r="P2295" s="16" t="n">
        <f aca="false">N2295-O2295</f>
        <v>2566.52077808219</v>
      </c>
    </row>
    <row r="2296" customFormat="false" ht="15" hidden="false" customHeight="false" outlineLevel="0" collapsed="false">
      <c r="A2296" s="2" t="s">
        <v>119</v>
      </c>
      <c r="B2296" s="2" t="n">
        <v>3</v>
      </c>
      <c r="C2296" s="2" t="s">
        <v>96</v>
      </c>
      <c r="D2296" s="2" t="s">
        <v>36</v>
      </c>
      <c r="E2296" s="2" t="str">
        <f aca="false">INDEX(Products!$B$2:$B$13,MATCH(D2296,Products!$A$2:$A$13,0))</f>
        <v>FCC</v>
      </c>
      <c r="F2296" s="15" t="n">
        <v>2.4</v>
      </c>
      <c r="G2296" s="16" t="n">
        <f aca="false">IF(A2296="2025",INDEX(Products!$C$2:$C$13,MATCH(D2296,Products!$A$2:$A$13,0)),INDEX(Products!$E$2:$E$13,MATCH(D2296,Products!$A$2:$A$13,0)))</f>
        <v>3885</v>
      </c>
      <c r="H2296" s="13" t="n">
        <f aca="false">IF(A2296="2025",INDEX(Customers!$D$2:$D$41,MATCH(C2296,Customers!$A$2:$A$41,0)),INDEX(Customers!$F$2:$F$41,MATCH(C2296,Customers!$A$2:$A$41,0)))</f>
        <v>0.045</v>
      </c>
      <c r="I2296" s="16" t="n">
        <f aca="false">F2296*G2296</f>
        <v>9324</v>
      </c>
      <c r="J2296" s="16" t="n">
        <f aca="false">I2296*(1-H2296)</f>
        <v>8904.42</v>
      </c>
      <c r="K2296" s="16" t="n">
        <f aca="false">J2296*INDEX(Customers!$G$2:$G$41,MATCH(C2296,Customers!$A$2:$A$41,0))</f>
        <v>0</v>
      </c>
      <c r="L2296" s="16" t="n">
        <f aca="false">F2296*INDEX(Customers!$H$2:$H$41,MATCH(C2296,Customers!$A$2:$A$41,0))</f>
        <v>288</v>
      </c>
      <c r="M2296" s="16" t="n">
        <f aca="false">J2296*INDEX(Customers!$I$2:$I$41,MATCH(C2296,Customers!$A$2:$A$41,0))/365*Assumptions!$B$6</f>
        <v>117.099221917808</v>
      </c>
      <c r="N2296" s="16" t="n">
        <f aca="false">J2296-K2296-L2296-M2296</f>
        <v>8499.32077808219</v>
      </c>
      <c r="O2296" s="16" t="n">
        <f aca="false">F2296*IF(A2296="2025",INDEX(Products!$D$2:$D$13,MATCH(D2296,Products!$A$2:$A$13,0)),INDEX(Products!$F$2:$F$13,MATCH(D2296,Products!$A$2:$A$13,0)))</f>
        <v>5932.8</v>
      </c>
      <c r="P2296" s="16" t="n">
        <f aca="false">N2296-O2296</f>
        <v>2566.52077808219</v>
      </c>
    </row>
    <row r="2297" customFormat="false" ht="15" hidden="false" customHeight="false" outlineLevel="0" collapsed="false">
      <c r="A2297" s="2" t="s">
        <v>119</v>
      </c>
      <c r="B2297" s="2" t="n">
        <v>4</v>
      </c>
      <c r="C2297" s="2" t="s">
        <v>96</v>
      </c>
      <c r="D2297" s="2" t="s">
        <v>36</v>
      </c>
      <c r="E2297" s="2" t="str">
        <f aca="false">INDEX(Products!$B$2:$B$13,MATCH(D2297,Products!$A$2:$A$13,0))</f>
        <v>FCC</v>
      </c>
      <c r="F2297" s="15" t="n">
        <v>3.5</v>
      </c>
      <c r="G2297" s="16" t="n">
        <f aca="false">IF(A2297="2025",INDEX(Products!$C$2:$C$13,MATCH(D2297,Products!$A$2:$A$13,0)),INDEX(Products!$E$2:$E$13,MATCH(D2297,Products!$A$2:$A$13,0)))</f>
        <v>3885</v>
      </c>
      <c r="H2297" s="13" t="n">
        <f aca="false">IF(A2297="2025",INDEX(Customers!$D$2:$D$41,MATCH(C2297,Customers!$A$2:$A$41,0)),INDEX(Customers!$F$2:$F$41,MATCH(C2297,Customers!$A$2:$A$41,0)))</f>
        <v>0.045</v>
      </c>
      <c r="I2297" s="16" t="n">
        <f aca="false">F2297*G2297</f>
        <v>13597.5</v>
      </c>
      <c r="J2297" s="16" t="n">
        <f aca="false">I2297*(1-H2297)</f>
        <v>12985.6125</v>
      </c>
      <c r="K2297" s="16" t="n">
        <f aca="false">J2297*INDEX(Customers!$G$2:$G$41,MATCH(C2297,Customers!$A$2:$A$41,0))</f>
        <v>0</v>
      </c>
      <c r="L2297" s="16" t="n">
        <f aca="false">F2297*INDEX(Customers!$H$2:$H$41,MATCH(C2297,Customers!$A$2:$A$41,0))</f>
        <v>420</v>
      </c>
      <c r="M2297" s="16" t="n">
        <f aca="false">J2297*INDEX(Customers!$I$2:$I$41,MATCH(C2297,Customers!$A$2:$A$41,0))/365*Assumptions!$B$6</f>
        <v>170.769698630137</v>
      </c>
      <c r="N2297" s="16" t="n">
        <f aca="false">J2297-K2297-L2297-M2297</f>
        <v>12394.8428013699</v>
      </c>
      <c r="O2297" s="16" t="n">
        <f aca="false">F2297*IF(A2297="2025",INDEX(Products!$D$2:$D$13,MATCH(D2297,Products!$A$2:$A$13,0)),INDEX(Products!$F$2:$F$13,MATCH(D2297,Products!$A$2:$A$13,0)))</f>
        <v>8652</v>
      </c>
      <c r="P2297" s="16" t="n">
        <f aca="false">N2297-O2297</f>
        <v>3742.84280136986</v>
      </c>
    </row>
    <row r="2298" customFormat="false" ht="15" hidden="false" customHeight="false" outlineLevel="0" collapsed="false">
      <c r="A2298" s="2" t="s">
        <v>119</v>
      </c>
      <c r="B2298" s="2" t="n">
        <v>5</v>
      </c>
      <c r="C2298" s="2" t="s">
        <v>96</v>
      </c>
      <c r="D2298" s="2" t="s">
        <v>36</v>
      </c>
      <c r="E2298" s="2" t="str">
        <f aca="false">INDEX(Products!$B$2:$B$13,MATCH(D2298,Products!$A$2:$A$13,0))</f>
        <v>FCC</v>
      </c>
      <c r="F2298" s="15" t="n">
        <v>2.2</v>
      </c>
      <c r="G2298" s="16" t="n">
        <f aca="false">IF(A2298="2025",INDEX(Products!$C$2:$C$13,MATCH(D2298,Products!$A$2:$A$13,0)),INDEX(Products!$E$2:$E$13,MATCH(D2298,Products!$A$2:$A$13,0)))</f>
        <v>3885</v>
      </c>
      <c r="H2298" s="13" t="n">
        <f aca="false">IF(A2298="2025",INDEX(Customers!$D$2:$D$41,MATCH(C2298,Customers!$A$2:$A$41,0)),INDEX(Customers!$F$2:$F$41,MATCH(C2298,Customers!$A$2:$A$41,0)))</f>
        <v>0.045</v>
      </c>
      <c r="I2298" s="16" t="n">
        <f aca="false">F2298*G2298</f>
        <v>8547</v>
      </c>
      <c r="J2298" s="16" t="n">
        <f aca="false">I2298*(1-H2298)</f>
        <v>8162.385</v>
      </c>
      <c r="K2298" s="16" t="n">
        <f aca="false">J2298*INDEX(Customers!$G$2:$G$41,MATCH(C2298,Customers!$A$2:$A$41,0))</f>
        <v>0</v>
      </c>
      <c r="L2298" s="16" t="n">
        <f aca="false">F2298*INDEX(Customers!$H$2:$H$41,MATCH(C2298,Customers!$A$2:$A$41,0))</f>
        <v>264</v>
      </c>
      <c r="M2298" s="16" t="n">
        <f aca="false">J2298*INDEX(Customers!$I$2:$I$41,MATCH(C2298,Customers!$A$2:$A$41,0))/365*Assumptions!$B$6</f>
        <v>107.340953424658</v>
      </c>
      <c r="N2298" s="16" t="n">
        <f aca="false">J2298-K2298-L2298-M2298</f>
        <v>7791.04404657534</v>
      </c>
      <c r="O2298" s="16" t="n">
        <f aca="false">F2298*IF(A2298="2025",INDEX(Products!$D$2:$D$13,MATCH(D2298,Products!$A$2:$A$13,0)),INDEX(Products!$F$2:$F$13,MATCH(D2298,Products!$A$2:$A$13,0)))</f>
        <v>5438.4</v>
      </c>
      <c r="P2298" s="16" t="n">
        <f aca="false">N2298-O2298</f>
        <v>2352.64404657534</v>
      </c>
    </row>
    <row r="2299" customFormat="false" ht="15" hidden="false" customHeight="false" outlineLevel="0" collapsed="false">
      <c r="A2299" s="2" t="s">
        <v>119</v>
      </c>
      <c r="B2299" s="2" t="n">
        <v>6</v>
      </c>
      <c r="C2299" s="2" t="s">
        <v>96</v>
      </c>
      <c r="D2299" s="2" t="s">
        <v>36</v>
      </c>
      <c r="E2299" s="2" t="str">
        <f aca="false">INDEX(Products!$B$2:$B$13,MATCH(D2299,Products!$A$2:$A$13,0))</f>
        <v>FCC</v>
      </c>
      <c r="F2299" s="15" t="n">
        <v>3.6</v>
      </c>
      <c r="G2299" s="16" t="n">
        <f aca="false">IF(A2299="2025",INDEX(Products!$C$2:$C$13,MATCH(D2299,Products!$A$2:$A$13,0)),INDEX(Products!$E$2:$E$13,MATCH(D2299,Products!$A$2:$A$13,0)))</f>
        <v>3885</v>
      </c>
      <c r="H2299" s="13" t="n">
        <f aca="false">IF(A2299="2025",INDEX(Customers!$D$2:$D$41,MATCH(C2299,Customers!$A$2:$A$41,0)),INDEX(Customers!$F$2:$F$41,MATCH(C2299,Customers!$A$2:$A$41,0)))</f>
        <v>0.045</v>
      </c>
      <c r="I2299" s="16" t="n">
        <f aca="false">F2299*G2299</f>
        <v>13986</v>
      </c>
      <c r="J2299" s="16" t="n">
        <f aca="false">I2299*(1-H2299)</f>
        <v>13356.63</v>
      </c>
      <c r="K2299" s="16" t="n">
        <f aca="false">J2299*INDEX(Customers!$G$2:$G$41,MATCH(C2299,Customers!$A$2:$A$41,0))</f>
        <v>0</v>
      </c>
      <c r="L2299" s="16" t="n">
        <f aca="false">F2299*INDEX(Customers!$H$2:$H$41,MATCH(C2299,Customers!$A$2:$A$41,0))</f>
        <v>432</v>
      </c>
      <c r="M2299" s="16" t="n">
        <f aca="false">J2299*INDEX(Customers!$I$2:$I$41,MATCH(C2299,Customers!$A$2:$A$41,0))/365*Assumptions!$B$6</f>
        <v>175.648832876712</v>
      </c>
      <c r="N2299" s="16" t="n">
        <f aca="false">J2299-K2299-L2299-M2299</f>
        <v>12748.9811671233</v>
      </c>
      <c r="O2299" s="16" t="n">
        <f aca="false">F2299*IF(A2299="2025",INDEX(Products!$D$2:$D$13,MATCH(D2299,Products!$A$2:$A$13,0)),INDEX(Products!$F$2:$F$13,MATCH(D2299,Products!$A$2:$A$13,0)))</f>
        <v>8899.2</v>
      </c>
      <c r="P2299" s="16" t="n">
        <f aca="false">N2299-O2299</f>
        <v>3849.78116712329</v>
      </c>
    </row>
    <row r="2300" customFormat="false" ht="15" hidden="false" customHeight="false" outlineLevel="0" collapsed="false">
      <c r="A2300" s="2" t="s">
        <v>119</v>
      </c>
      <c r="B2300" s="2" t="n">
        <v>7</v>
      </c>
      <c r="C2300" s="2" t="s">
        <v>96</v>
      </c>
      <c r="D2300" s="2" t="s">
        <v>36</v>
      </c>
      <c r="E2300" s="2" t="str">
        <f aca="false">INDEX(Products!$B$2:$B$13,MATCH(D2300,Products!$A$2:$A$13,0))</f>
        <v>FCC</v>
      </c>
      <c r="F2300" s="15" t="n">
        <v>2.3</v>
      </c>
      <c r="G2300" s="16" t="n">
        <f aca="false">IF(A2300="2025",INDEX(Products!$C$2:$C$13,MATCH(D2300,Products!$A$2:$A$13,0)),INDEX(Products!$E$2:$E$13,MATCH(D2300,Products!$A$2:$A$13,0)))</f>
        <v>3885</v>
      </c>
      <c r="H2300" s="13" t="n">
        <f aca="false">IF(A2300="2025",INDEX(Customers!$D$2:$D$41,MATCH(C2300,Customers!$A$2:$A$41,0)),INDEX(Customers!$F$2:$F$41,MATCH(C2300,Customers!$A$2:$A$41,0)))</f>
        <v>0.045</v>
      </c>
      <c r="I2300" s="16" t="n">
        <f aca="false">F2300*G2300</f>
        <v>8935.5</v>
      </c>
      <c r="J2300" s="16" t="n">
        <f aca="false">I2300*(1-H2300)</f>
        <v>8533.4025</v>
      </c>
      <c r="K2300" s="16" t="n">
        <f aca="false">J2300*INDEX(Customers!$G$2:$G$41,MATCH(C2300,Customers!$A$2:$A$41,0))</f>
        <v>0</v>
      </c>
      <c r="L2300" s="16" t="n">
        <f aca="false">F2300*INDEX(Customers!$H$2:$H$41,MATCH(C2300,Customers!$A$2:$A$41,0))</f>
        <v>276</v>
      </c>
      <c r="M2300" s="16" t="n">
        <f aca="false">J2300*INDEX(Customers!$I$2:$I$41,MATCH(C2300,Customers!$A$2:$A$41,0))/365*Assumptions!$B$6</f>
        <v>112.220087671233</v>
      </c>
      <c r="N2300" s="16" t="n">
        <f aca="false">J2300-K2300-L2300-M2300</f>
        <v>8145.18241232877</v>
      </c>
      <c r="O2300" s="16" t="n">
        <f aca="false">F2300*IF(A2300="2025",INDEX(Products!$D$2:$D$13,MATCH(D2300,Products!$A$2:$A$13,0)),INDEX(Products!$F$2:$F$13,MATCH(D2300,Products!$A$2:$A$13,0)))</f>
        <v>5685.6</v>
      </c>
      <c r="P2300" s="16" t="n">
        <f aca="false">N2300-O2300</f>
        <v>2459.58241232877</v>
      </c>
    </row>
    <row r="2301" customFormat="false" ht="15" hidden="false" customHeight="false" outlineLevel="0" collapsed="false">
      <c r="A2301" s="2" t="s">
        <v>119</v>
      </c>
      <c r="B2301" s="2" t="n">
        <v>8</v>
      </c>
      <c r="C2301" s="2" t="s">
        <v>96</v>
      </c>
      <c r="D2301" s="2" t="s">
        <v>36</v>
      </c>
      <c r="E2301" s="2" t="str">
        <f aca="false">INDEX(Products!$B$2:$B$13,MATCH(D2301,Products!$A$2:$A$13,0))</f>
        <v>FCC</v>
      </c>
      <c r="F2301" s="15" t="n">
        <v>2.4</v>
      </c>
      <c r="G2301" s="16" t="n">
        <f aca="false">IF(A2301="2025",INDEX(Products!$C$2:$C$13,MATCH(D2301,Products!$A$2:$A$13,0)),INDEX(Products!$E$2:$E$13,MATCH(D2301,Products!$A$2:$A$13,0)))</f>
        <v>3885</v>
      </c>
      <c r="H2301" s="13" t="n">
        <f aca="false">IF(A2301="2025",INDEX(Customers!$D$2:$D$41,MATCH(C2301,Customers!$A$2:$A$41,0)),INDEX(Customers!$F$2:$F$41,MATCH(C2301,Customers!$A$2:$A$41,0)))</f>
        <v>0.045</v>
      </c>
      <c r="I2301" s="16" t="n">
        <f aca="false">F2301*G2301</f>
        <v>9324</v>
      </c>
      <c r="J2301" s="16" t="n">
        <f aca="false">I2301*(1-H2301)</f>
        <v>8904.42</v>
      </c>
      <c r="K2301" s="16" t="n">
        <f aca="false">J2301*INDEX(Customers!$G$2:$G$41,MATCH(C2301,Customers!$A$2:$A$41,0))</f>
        <v>0</v>
      </c>
      <c r="L2301" s="16" t="n">
        <f aca="false">F2301*INDEX(Customers!$H$2:$H$41,MATCH(C2301,Customers!$A$2:$A$41,0))</f>
        <v>288</v>
      </c>
      <c r="M2301" s="16" t="n">
        <f aca="false">J2301*INDEX(Customers!$I$2:$I$41,MATCH(C2301,Customers!$A$2:$A$41,0))/365*Assumptions!$B$6</f>
        <v>117.099221917808</v>
      </c>
      <c r="N2301" s="16" t="n">
        <f aca="false">J2301-K2301-L2301-M2301</f>
        <v>8499.32077808219</v>
      </c>
      <c r="O2301" s="16" t="n">
        <f aca="false">F2301*IF(A2301="2025",INDEX(Products!$D$2:$D$13,MATCH(D2301,Products!$A$2:$A$13,0)),INDEX(Products!$F$2:$F$13,MATCH(D2301,Products!$A$2:$A$13,0)))</f>
        <v>5932.8</v>
      </c>
      <c r="P2301" s="16" t="n">
        <f aca="false">N2301-O2301</f>
        <v>2566.52077808219</v>
      </c>
    </row>
    <row r="2302" customFormat="false" ht="15" hidden="false" customHeight="false" outlineLevel="0" collapsed="false">
      <c r="A2302" s="2" t="s">
        <v>119</v>
      </c>
      <c r="B2302" s="2" t="n">
        <v>9</v>
      </c>
      <c r="C2302" s="2" t="s">
        <v>96</v>
      </c>
      <c r="D2302" s="2" t="s">
        <v>36</v>
      </c>
      <c r="E2302" s="2" t="str">
        <f aca="false">INDEX(Products!$B$2:$B$13,MATCH(D2302,Products!$A$2:$A$13,0))</f>
        <v>FCC</v>
      </c>
      <c r="F2302" s="15" t="n">
        <v>2.2</v>
      </c>
      <c r="G2302" s="16" t="n">
        <f aca="false">IF(A2302="2025",INDEX(Products!$C$2:$C$13,MATCH(D2302,Products!$A$2:$A$13,0)),INDEX(Products!$E$2:$E$13,MATCH(D2302,Products!$A$2:$A$13,0)))</f>
        <v>3885</v>
      </c>
      <c r="H2302" s="13" t="n">
        <f aca="false">IF(A2302="2025",INDEX(Customers!$D$2:$D$41,MATCH(C2302,Customers!$A$2:$A$41,0)),INDEX(Customers!$F$2:$F$41,MATCH(C2302,Customers!$A$2:$A$41,0)))</f>
        <v>0.045</v>
      </c>
      <c r="I2302" s="16" t="n">
        <f aca="false">F2302*G2302</f>
        <v>8547</v>
      </c>
      <c r="J2302" s="16" t="n">
        <f aca="false">I2302*(1-H2302)</f>
        <v>8162.385</v>
      </c>
      <c r="K2302" s="16" t="n">
        <f aca="false">J2302*INDEX(Customers!$G$2:$G$41,MATCH(C2302,Customers!$A$2:$A$41,0))</f>
        <v>0</v>
      </c>
      <c r="L2302" s="16" t="n">
        <f aca="false">F2302*INDEX(Customers!$H$2:$H$41,MATCH(C2302,Customers!$A$2:$A$41,0))</f>
        <v>264</v>
      </c>
      <c r="M2302" s="16" t="n">
        <f aca="false">J2302*INDEX(Customers!$I$2:$I$41,MATCH(C2302,Customers!$A$2:$A$41,0))/365*Assumptions!$B$6</f>
        <v>107.340953424658</v>
      </c>
      <c r="N2302" s="16" t="n">
        <f aca="false">J2302-K2302-L2302-M2302</f>
        <v>7791.04404657534</v>
      </c>
      <c r="O2302" s="16" t="n">
        <f aca="false">F2302*IF(A2302="2025",INDEX(Products!$D$2:$D$13,MATCH(D2302,Products!$A$2:$A$13,0)),INDEX(Products!$F$2:$F$13,MATCH(D2302,Products!$A$2:$A$13,0)))</f>
        <v>5438.4</v>
      </c>
      <c r="P2302" s="16" t="n">
        <f aca="false">N2302-O2302</f>
        <v>2352.64404657534</v>
      </c>
    </row>
    <row r="2303" customFormat="false" ht="15" hidden="false" customHeight="false" outlineLevel="0" collapsed="false">
      <c r="A2303" s="2" t="s">
        <v>119</v>
      </c>
      <c r="B2303" s="2" t="n">
        <v>10</v>
      </c>
      <c r="C2303" s="2" t="s">
        <v>96</v>
      </c>
      <c r="D2303" s="2" t="s">
        <v>36</v>
      </c>
      <c r="E2303" s="2" t="str">
        <f aca="false">INDEX(Products!$B$2:$B$13,MATCH(D2303,Products!$A$2:$A$13,0))</f>
        <v>FCC</v>
      </c>
      <c r="F2303" s="15" t="n">
        <v>2.7</v>
      </c>
      <c r="G2303" s="16" t="n">
        <f aca="false">IF(A2303="2025",INDEX(Products!$C$2:$C$13,MATCH(D2303,Products!$A$2:$A$13,0)),INDEX(Products!$E$2:$E$13,MATCH(D2303,Products!$A$2:$A$13,0)))</f>
        <v>3885</v>
      </c>
      <c r="H2303" s="13" t="n">
        <f aca="false">IF(A2303="2025",INDEX(Customers!$D$2:$D$41,MATCH(C2303,Customers!$A$2:$A$41,0)),INDEX(Customers!$F$2:$F$41,MATCH(C2303,Customers!$A$2:$A$41,0)))</f>
        <v>0.045</v>
      </c>
      <c r="I2303" s="16" t="n">
        <f aca="false">F2303*G2303</f>
        <v>10489.5</v>
      </c>
      <c r="J2303" s="16" t="n">
        <f aca="false">I2303*(1-H2303)</f>
        <v>10017.4725</v>
      </c>
      <c r="K2303" s="16" t="n">
        <f aca="false">J2303*INDEX(Customers!$G$2:$G$41,MATCH(C2303,Customers!$A$2:$A$41,0))</f>
        <v>0</v>
      </c>
      <c r="L2303" s="16" t="n">
        <f aca="false">F2303*INDEX(Customers!$H$2:$H$41,MATCH(C2303,Customers!$A$2:$A$41,0))</f>
        <v>324</v>
      </c>
      <c r="M2303" s="16" t="n">
        <f aca="false">J2303*INDEX(Customers!$I$2:$I$41,MATCH(C2303,Customers!$A$2:$A$41,0))/365*Assumptions!$B$6</f>
        <v>131.736624657534</v>
      </c>
      <c r="N2303" s="16" t="n">
        <f aca="false">J2303-K2303-L2303-M2303</f>
        <v>9561.73587534247</v>
      </c>
      <c r="O2303" s="16" t="n">
        <f aca="false">F2303*IF(A2303="2025",INDEX(Products!$D$2:$D$13,MATCH(D2303,Products!$A$2:$A$13,0)),INDEX(Products!$F$2:$F$13,MATCH(D2303,Products!$A$2:$A$13,0)))</f>
        <v>6674.4</v>
      </c>
      <c r="P2303" s="16" t="n">
        <f aca="false">N2303-O2303</f>
        <v>2887.33587534246</v>
      </c>
    </row>
    <row r="2304" customFormat="false" ht="15" hidden="false" customHeight="false" outlineLevel="0" collapsed="false">
      <c r="A2304" s="2" t="s">
        <v>119</v>
      </c>
      <c r="B2304" s="2" t="n">
        <v>11</v>
      </c>
      <c r="C2304" s="2" t="s">
        <v>96</v>
      </c>
      <c r="D2304" s="2" t="s">
        <v>36</v>
      </c>
      <c r="E2304" s="2" t="str">
        <f aca="false">INDEX(Products!$B$2:$B$13,MATCH(D2304,Products!$A$2:$A$13,0))</f>
        <v>FCC</v>
      </c>
      <c r="F2304" s="15" t="n">
        <v>3.1</v>
      </c>
      <c r="G2304" s="16" t="n">
        <f aca="false">IF(A2304="2025",INDEX(Products!$C$2:$C$13,MATCH(D2304,Products!$A$2:$A$13,0)),INDEX(Products!$E$2:$E$13,MATCH(D2304,Products!$A$2:$A$13,0)))</f>
        <v>3885</v>
      </c>
      <c r="H2304" s="13" t="n">
        <f aca="false">IF(A2304="2025",INDEX(Customers!$D$2:$D$41,MATCH(C2304,Customers!$A$2:$A$41,0)),INDEX(Customers!$F$2:$F$41,MATCH(C2304,Customers!$A$2:$A$41,0)))</f>
        <v>0.045</v>
      </c>
      <c r="I2304" s="16" t="n">
        <f aca="false">F2304*G2304</f>
        <v>12043.5</v>
      </c>
      <c r="J2304" s="16" t="n">
        <f aca="false">I2304*(1-H2304)</f>
        <v>11501.5425</v>
      </c>
      <c r="K2304" s="16" t="n">
        <f aca="false">J2304*INDEX(Customers!$G$2:$G$41,MATCH(C2304,Customers!$A$2:$A$41,0))</f>
        <v>0</v>
      </c>
      <c r="L2304" s="16" t="n">
        <f aca="false">F2304*INDEX(Customers!$H$2:$H$41,MATCH(C2304,Customers!$A$2:$A$41,0))</f>
        <v>372</v>
      </c>
      <c r="M2304" s="16" t="n">
        <f aca="false">J2304*INDEX(Customers!$I$2:$I$41,MATCH(C2304,Customers!$A$2:$A$41,0))/365*Assumptions!$B$6</f>
        <v>151.253161643836</v>
      </c>
      <c r="N2304" s="16" t="n">
        <f aca="false">J2304-K2304-L2304-M2304</f>
        <v>10978.2893383562</v>
      </c>
      <c r="O2304" s="16" t="n">
        <f aca="false">F2304*IF(A2304="2025",INDEX(Products!$D$2:$D$13,MATCH(D2304,Products!$A$2:$A$13,0)),INDEX(Products!$F$2:$F$13,MATCH(D2304,Products!$A$2:$A$13,0)))</f>
        <v>7663.2</v>
      </c>
      <c r="P2304" s="16" t="n">
        <f aca="false">N2304-O2304</f>
        <v>3315.08933835616</v>
      </c>
    </row>
    <row r="2305" customFormat="false" ht="15" hidden="false" customHeight="false" outlineLevel="0" collapsed="false">
      <c r="A2305" s="2" t="s">
        <v>119</v>
      </c>
      <c r="B2305" s="2" t="n">
        <v>12</v>
      </c>
      <c r="C2305" s="2" t="s">
        <v>96</v>
      </c>
      <c r="D2305" s="2" t="s">
        <v>36</v>
      </c>
      <c r="E2305" s="2" t="str">
        <f aca="false">INDEX(Products!$B$2:$B$13,MATCH(D2305,Products!$A$2:$A$13,0))</f>
        <v>FCC</v>
      </c>
      <c r="F2305" s="15" t="n">
        <v>2.9</v>
      </c>
      <c r="G2305" s="16" t="n">
        <f aca="false">IF(A2305="2025",INDEX(Products!$C$2:$C$13,MATCH(D2305,Products!$A$2:$A$13,0)),INDEX(Products!$E$2:$E$13,MATCH(D2305,Products!$A$2:$A$13,0)))</f>
        <v>3885</v>
      </c>
      <c r="H2305" s="13" t="n">
        <f aca="false">IF(A2305="2025",INDEX(Customers!$D$2:$D$41,MATCH(C2305,Customers!$A$2:$A$41,0)),INDEX(Customers!$F$2:$F$41,MATCH(C2305,Customers!$A$2:$A$41,0)))</f>
        <v>0.045</v>
      </c>
      <c r="I2305" s="16" t="n">
        <f aca="false">F2305*G2305</f>
        <v>11266.5</v>
      </c>
      <c r="J2305" s="16" t="n">
        <f aca="false">I2305*(1-H2305)</f>
        <v>10759.5075</v>
      </c>
      <c r="K2305" s="16" t="n">
        <f aca="false">J2305*INDEX(Customers!$G$2:$G$41,MATCH(C2305,Customers!$A$2:$A$41,0))</f>
        <v>0</v>
      </c>
      <c r="L2305" s="16" t="n">
        <f aca="false">F2305*INDEX(Customers!$H$2:$H$41,MATCH(C2305,Customers!$A$2:$A$41,0))</f>
        <v>348</v>
      </c>
      <c r="M2305" s="16" t="n">
        <f aca="false">J2305*INDEX(Customers!$I$2:$I$41,MATCH(C2305,Customers!$A$2:$A$41,0))/365*Assumptions!$B$6</f>
        <v>141.494893150685</v>
      </c>
      <c r="N2305" s="16" t="n">
        <f aca="false">J2305-K2305-L2305-M2305</f>
        <v>10270.0126068493</v>
      </c>
      <c r="O2305" s="16" t="n">
        <f aca="false">F2305*IF(A2305="2025",INDEX(Products!$D$2:$D$13,MATCH(D2305,Products!$A$2:$A$13,0)),INDEX(Products!$F$2:$F$13,MATCH(D2305,Products!$A$2:$A$13,0)))</f>
        <v>7168.8</v>
      </c>
      <c r="P2305" s="16" t="n">
        <f aca="false">N2305-O2305</f>
        <v>3101.21260684932</v>
      </c>
    </row>
    <row r="2306" customFormat="false" ht="15" hidden="false" customHeight="false" outlineLevel="0" collapsed="false">
      <c r="A2306" s="2" t="s">
        <v>118</v>
      </c>
      <c r="B2306" s="2" t="n">
        <v>1</v>
      </c>
      <c r="C2306" s="2" t="s">
        <v>96</v>
      </c>
      <c r="D2306" s="2" t="s">
        <v>43</v>
      </c>
      <c r="E2306" s="2" t="str">
        <f aca="false">INDEX(Products!$B$2:$B$13,MATCH(D2306,Products!$A$2:$A$13,0))</f>
        <v>Hydroprocessing</v>
      </c>
      <c r="F2306" s="15" t="n">
        <v>1.7</v>
      </c>
      <c r="G2306" s="16" t="n">
        <f aca="false">IF(A2306="2025",INDEX(Products!$C$2:$C$13,MATCH(D2306,Products!$A$2:$A$13,0)),INDEX(Products!$E$2:$E$13,MATCH(D2306,Products!$A$2:$A$13,0)))</f>
        <v>11610</v>
      </c>
      <c r="H2306" s="13" t="n">
        <f aca="false">IF(A2306="2025",INDEX(Customers!$D$2:$D$41,MATCH(C2306,Customers!$A$2:$A$41,0)),INDEX(Customers!$F$2:$F$41,MATCH(C2306,Customers!$A$2:$A$41,0)))</f>
        <v>0.045</v>
      </c>
      <c r="I2306" s="16" t="n">
        <f aca="false">F2306*G2306</f>
        <v>19737</v>
      </c>
      <c r="J2306" s="16" t="n">
        <f aca="false">I2306*(1-H2306)</f>
        <v>18848.835</v>
      </c>
      <c r="K2306" s="16" t="n">
        <f aca="false">J2306*INDEX(Customers!$G$2:$G$41,MATCH(C2306,Customers!$A$2:$A$41,0))</f>
        <v>0</v>
      </c>
      <c r="L2306" s="16" t="n">
        <f aca="false">F2306*INDEX(Customers!$H$2:$H$41,MATCH(C2306,Customers!$A$2:$A$41,0))</f>
        <v>204</v>
      </c>
      <c r="M2306" s="16" t="n">
        <f aca="false">J2306*INDEX(Customers!$I$2:$I$41,MATCH(C2306,Customers!$A$2:$A$41,0))/365*Assumptions!$B$6</f>
        <v>247.875090410959</v>
      </c>
      <c r="N2306" s="16" t="n">
        <f aca="false">J2306-K2306-L2306-M2306</f>
        <v>18396.959909589</v>
      </c>
      <c r="O2306" s="16" t="n">
        <f aca="false">F2306*IF(A2306="2025",INDEX(Products!$D$2:$D$13,MATCH(D2306,Products!$A$2:$A$13,0)),INDEX(Products!$F$2:$F$13,MATCH(D2306,Products!$A$2:$A$13,0)))</f>
        <v>12478</v>
      </c>
      <c r="P2306" s="16" t="n">
        <f aca="false">N2306-O2306</f>
        <v>5918.95990958904</v>
      </c>
    </row>
    <row r="2307" customFormat="false" ht="15" hidden="false" customHeight="false" outlineLevel="0" collapsed="false">
      <c r="A2307" s="2" t="s">
        <v>118</v>
      </c>
      <c r="B2307" s="2" t="n">
        <v>2</v>
      </c>
      <c r="C2307" s="2" t="s">
        <v>96</v>
      </c>
      <c r="D2307" s="2" t="s">
        <v>43</v>
      </c>
      <c r="E2307" s="2" t="str">
        <f aca="false">INDEX(Products!$B$2:$B$13,MATCH(D2307,Products!$A$2:$A$13,0))</f>
        <v>Hydroprocessing</v>
      </c>
      <c r="F2307" s="15" t="n">
        <v>1.5</v>
      </c>
      <c r="G2307" s="16" t="n">
        <f aca="false">IF(A2307="2025",INDEX(Products!$C$2:$C$13,MATCH(D2307,Products!$A$2:$A$13,0)),INDEX(Products!$E$2:$E$13,MATCH(D2307,Products!$A$2:$A$13,0)))</f>
        <v>11610</v>
      </c>
      <c r="H2307" s="13" t="n">
        <f aca="false">IF(A2307="2025",INDEX(Customers!$D$2:$D$41,MATCH(C2307,Customers!$A$2:$A$41,0)),INDEX(Customers!$F$2:$F$41,MATCH(C2307,Customers!$A$2:$A$41,0)))</f>
        <v>0.045</v>
      </c>
      <c r="I2307" s="16" t="n">
        <f aca="false">F2307*G2307</f>
        <v>17415</v>
      </c>
      <c r="J2307" s="16" t="n">
        <f aca="false">I2307*(1-H2307)</f>
        <v>16631.325</v>
      </c>
      <c r="K2307" s="16" t="n">
        <f aca="false">J2307*INDEX(Customers!$G$2:$G$41,MATCH(C2307,Customers!$A$2:$A$41,0))</f>
        <v>0</v>
      </c>
      <c r="L2307" s="16" t="n">
        <f aca="false">F2307*INDEX(Customers!$H$2:$H$41,MATCH(C2307,Customers!$A$2:$A$41,0))</f>
        <v>180</v>
      </c>
      <c r="M2307" s="16" t="n">
        <f aca="false">J2307*INDEX(Customers!$I$2:$I$41,MATCH(C2307,Customers!$A$2:$A$41,0))/365*Assumptions!$B$6</f>
        <v>218.713315068493</v>
      </c>
      <c r="N2307" s="16" t="n">
        <f aca="false">J2307-K2307-L2307-M2307</f>
        <v>16232.6116849315</v>
      </c>
      <c r="O2307" s="16" t="n">
        <f aca="false">F2307*IF(A2307="2025",INDEX(Products!$D$2:$D$13,MATCH(D2307,Products!$A$2:$A$13,0)),INDEX(Products!$F$2:$F$13,MATCH(D2307,Products!$A$2:$A$13,0)))</f>
        <v>11010</v>
      </c>
      <c r="P2307" s="16" t="n">
        <f aca="false">N2307-O2307</f>
        <v>5222.61168493151</v>
      </c>
    </row>
    <row r="2308" customFormat="false" ht="15" hidden="false" customHeight="false" outlineLevel="0" collapsed="false">
      <c r="A2308" s="2" t="s">
        <v>118</v>
      </c>
      <c r="B2308" s="2" t="n">
        <v>3</v>
      </c>
      <c r="C2308" s="2" t="s">
        <v>96</v>
      </c>
      <c r="D2308" s="2" t="s">
        <v>43</v>
      </c>
      <c r="E2308" s="2" t="str">
        <f aca="false">INDEX(Products!$B$2:$B$13,MATCH(D2308,Products!$A$2:$A$13,0))</f>
        <v>Hydroprocessing</v>
      </c>
      <c r="F2308" s="15" t="n">
        <v>1.3</v>
      </c>
      <c r="G2308" s="16" t="n">
        <f aca="false">IF(A2308="2025",INDEX(Products!$C$2:$C$13,MATCH(D2308,Products!$A$2:$A$13,0)),INDEX(Products!$E$2:$E$13,MATCH(D2308,Products!$A$2:$A$13,0)))</f>
        <v>11610</v>
      </c>
      <c r="H2308" s="13" t="n">
        <f aca="false">IF(A2308="2025",INDEX(Customers!$D$2:$D$41,MATCH(C2308,Customers!$A$2:$A$41,0)),INDEX(Customers!$F$2:$F$41,MATCH(C2308,Customers!$A$2:$A$41,0)))</f>
        <v>0.045</v>
      </c>
      <c r="I2308" s="16" t="n">
        <f aca="false">F2308*G2308</f>
        <v>15093</v>
      </c>
      <c r="J2308" s="16" t="n">
        <f aca="false">I2308*(1-H2308)</f>
        <v>14413.815</v>
      </c>
      <c r="K2308" s="16" t="n">
        <f aca="false">J2308*INDEX(Customers!$G$2:$G$41,MATCH(C2308,Customers!$A$2:$A$41,0))</f>
        <v>0</v>
      </c>
      <c r="L2308" s="16" t="n">
        <f aca="false">F2308*INDEX(Customers!$H$2:$H$41,MATCH(C2308,Customers!$A$2:$A$41,0))</f>
        <v>156</v>
      </c>
      <c r="M2308" s="16" t="n">
        <f aca="false">J2308*INDEX(Customers!$I$2:$I$41,MATCH(C2308,Customers!$A$2:$A$41,0))/365*Assumptions!$B$6</f>
        <v>189.551539726027</v>
      </c>
      <c r="N2308" s="16" t="n">
        <f aca="false">J2308-K2308-L2308-M2308</f>
        <v>14068.263460274</v>
      </c>
      <c r="O2308" s="16" t="n">
        <f aca="false">F2308*IF(A2308="2025",INDEX(Products!$D$2:$D$13,MATCH(D2308,Products!$A$2:$A$13,0)),INDEX(Products!$F$2:$F$13,MATCH(D2308,Products!$A$2:$A$13,0)))</f>
        <v>9542</v>
      </c>
      <c r="P2308" s="16" t="n">
        <f aca="false">N2308-O2308</f>
        <v>4526.26346027397</v>
      </c>
    </row>
    <row r="2309" customFormat="false" ht="15" hidden="false" customHeight="false" outlineLevel="0" collapsed="false">
      <c r="A2309" s="2" t="s">
        <v>118</v>
      </c>
      <c r="B2309" s="2" t="n">
        <v>4</v>
      </c>
      <c r="C2309" s="2" t="s">
        <v>96</v>
      </c>
      <c r="D2309" s="2" t="s">
        <v>43</v>
      </c>
      <c r="E2309" s="2" t="str">
        <f aca="false">INDEX(Products!$B$2:$B$13,MATCH(D2309,Products!$A$2:$A$13,0))</f>
        <v>Hydroprocessing</v>
      </c>
      <c r="F2309" s="15" t="n">
        <v>1.3</v>
      </c>
      <c r="G2309" s="16" t="n">
        <f aca="false">IF(A2309="2025",INDEX(Products!$C$2:$C$13,MATCH(D2309,Products!$A$2:$A$13,0)),INDEX(Products!$E$2:$E$13,MATCH(D2309,Products!$A$2:$A$13,0)))</f>
        <v>11610</v>
      </c>
      <c r="H2309" s="13" t="n">
        <f aca="false">IF(A2309="2025",INDEX(Customers!$D$2:$D$41,MATCH(C2309,Customers!$A$2:$A$41,0)),INDEX(Customers!$F$2:$F$41,MATCH(C2309,Customers!$A$2:$A$41,0)))</f>
        <v>0.045</v>
      </c>
      <c r="I2309" s="16" t="n">
        <f aca="false">F2309*G2309</f>
        <v>15093</v>
      </c>
      <c r="J2309" s="16" t="n">
        <f aca="false">I2309*(1-H2309)</f>
        <v>14413.815</v>
      </c>
      <c r="K2309" s="16" t="n">
        <f aca="false">J2309*INDEX(Customers!$G$2:$G$41,MATCH(C2309,Customers!$A$2:$A$41,0))</f>
        <v>0</v>
      </c>
      <c r="L2309" s="16" t="n">
        <f aca="false">F2309*INDEX(Customers!$H$2:$H$41,MATCH(C2309,Customers!$A$2:$A$41,0))</f>
        <v>156</v>
      </c>
      <c r="M2309" s="16" t="n">
        <f aca="false">J2309*INDEX(Customers!$I$2:$I$41,MATCH(C2309,Customers!$A$2:$A$41,0))/365*Assumptions!$B$6</f>
        <v>189.551539726027</v>
      </c>
      <c r="N2309" s="16" t="n">
        <f aca="false">J2309-K2309-L2309-M2309</f>
        <v>14068.263460274</v>
      </c>
      <c r="O2309" s="16" t="n">
        <f aca="false">F2309*IF(A2309="2025",INDEX(Products!$D$2:$D$13,MATCH(D2309,Products!$A$2:$A$13,0)),INDEX(Products!$F$2:$F$13,MATCH(D2309,Products!$A$2:$A$13,0)))</f>
        <v>9542</v>
      </c>
      <c r="P2309" s="16" t="n">
        <f aca="false">N2309-O2309</f>
        <v>4526.26346027397</v>
      </c>
    </row>
    <row r="2310" customFormat="false" ht="15" hidden="false" customHeight="false" outlineLevel="0" collapsed="false">
      <c r="A2310" s="2" t="s">
        <v>118</v>
      </c>
      <c r="B2310" s="2" t="n">
        <v>5</v>
      </c>
      <c r="C2310" s="2" t="s">
        <v>96</v>
      </c>
      <c r="D2310" s="2" t="s">
        <v>43</v>
      </c>
      <c r="E2310" s="2" t="str">
        <f aca="false">INDEX(Products!$B$2:$B$13,MATCH(D2310,Products!$A$2:$A$13,0))</f>
        <v>Hydroprocessing</v>
      </c>
      <c r="F2310" s="15" t="n">
        <v>1.1</v>
      </c>
      <c r="G2310" s="16" t="n">
        <f aca="false">IF(A2310="2025",INDEX(Products!$C$2:$C$13,MATCH(D2310,Products!$A$2:$A$13,0)),INDEX(Products!$E$2:$E$13,MATCH(D2310,Products!$A$2:$A$13,0)))</f>
        <v>11610</v>
      </c>
      <c r="H2310" s="13" t="n">
        <f aca="false">IF(A2310="2025",INDEX(Customers!$D$2:$D$41,MATCH(C2310,Customers!$A$2:$A$41,0)),INDEX(Customers!$F$2:$F$41,MATCH(C2310,Customers!$A$2:$A$41,0)))</f>
        <v>0.045</v>
      </c>
      <c r="I2310" s="16" t="n">
        <f aca="false">F2310*G2310</f>
        <v>12771</v>
      </c>
      <c r="J2310" s="16" t="n">
        <f aca="false">I2310*(1-H2310)</f>
        <v>12196.305</v>
      </c>
      <c r="K2310" s="16" t="n">
        <f aca="false">J2310*INDEX(Customers!$G$2:$G$41,MATCH(C2310,Customers!$A$2:$A$41,0))</f>
        <v>0</v>
      </c>
      <c r="L2310" s="16" t="n">
        <f aca="false">F2310*INDEX(Customers!$H$2:$H$41,MATCH(C2310,Customers!$A$2:$A$41,0))</f>
        <v>132</v>
      </c>
      <c r="M2310" s="16" t="n">
        <f aca="false">J2310*INDEX(Customers!$I$2:$I$41,MATCH(C2310,Customers!$A$2:$A$41,0))/365*Assumptions!$B$6</f>
        <v>160.389764383562</v>
      </c>
      <c r="N2310" s="16" t="n">
        <f aca="false">J2310-K2310-L2310-M2310</f>
        <v>11903.9152356164</v>
      </c>
      <c r="O2310" s="16" t="n">
        <f aca="false">F2310*IF(A2310="2025",INDEX(Products!$D$2:$D$13,MATCH(D2310,Products!$A$2:$A$13,0)),INDEX(Products!$F$2:$F$13,MATCH(D2310,Products!$A$2:$A$13,0)))</f>
        <v>8074</v>
      </c>
      <c r="P2310" s="16" t="n">
        <f aca="false">N2310-O2310</f>
        <v>3829.91523561644</v>
      </c>
    </row>
    <row r="2311" customFormat="false" ht="15" hidden="false" customHeight="false" outlineLevel="0" collapsed="false">
      <c r="A2311" s="2" t="s">
        <v>118</v>
      </c>
      <c r="B2311" s="2" t="n">
        <v>6</v>
      </c>
      <c r="C2311" s="2" t="s">
        <v>96</v>
      </c>
      <c r="D2311" s="2" t="s">
        <v>43</v>
      </c>
      <c r="E2311" s="2" t="str">
        <f aca="false">INDEX(Products!$B$2:$B$13,MATCH(D2311,Products!$A$2:$A$13,0))</f>
        <v>Hydroprocessing</v>
      </c>
      <c r="F2311" s="15" t="n">
        <v>1.5</v>
      </c>
      <c r="G2311" s="16" t="n">
        <f aca="false">IF(A2311="2025",INDEX(Products!$C$2:$C$13,MATCH(D2311,Products!$A$2:$A$13,0)),INDEX(Products!$E$2:$E$13,MATCH(D2311,Products!$A$2:$A$13,0)))</f>
        <v>11610</v>
      </c>
      <c r="H2311" s="13" t="n">
        <f aca="false">IF(A2311="2025",INDEX(Customers!$D$2:$D$41,MATCH(C2311,Customers!$A$2:$A$41,0)),INDEX(Customers!$F$2:$F$41,MATCH(C2311,Customers!$A$2:$A$41,0)))</f>
        <v>0.045</v>
      </c>
      <c r="I2311" s="16" t="n">
        <f aca="false">F2311*G2311</f>
        <v>17415</v>
      </c>
      <c r="J2311" s="16" t="n">
        <f aca="false">I2311*(1-H2311)</f>
        <v>16631.325</v>
      </c>
      <c r="K2311" s="16" t="n">
        <f aca="false">J2311*INDEX(Customers!$G$2:$G$41,MATCH(C2311,Customers!$A$2:$A$41,0))</f>
        <v>0</v>
      </c>
      <c r="L2311" s="16" t="n">
        <f aca="false">F2311*INDEX(Customers!$H$2:$H$41,MATCH(C2311,Customers!$A$2:$A$41,0))</f>
        <v>180</v>
      </c>
      <c r="M2311" s="16" t="n">
        <f aca="false">J2311*INDEX(Customers!$I$2:$I$41,MATCH(C2311,Customers!$A$2:$A$41,0))/365*Assumptions!$B$6</f>
        <v>218.713315068493</v>
      </c>
      <c r="N2311" s="16" t="n">
        <f aca="false">J2311-K2311-L2311-M2311</f>
        <v>16232.6116849315</v>
      </c>
      <c r="O2311" s="16" t="n">
        <f aca="false">F2311*IF(A2311="2025",INDEX(Products!$D$2:$D$13,MATCH(D2311,Products!$A$2:$A$13,0)),INDEX(Products!$F$2:$F$13,MATCH(D2311,Products!$A$2:$A$13,0)))</f>
        <v>11010</v>
      </c>
      <c r="P2311" s="16" t="n">
        <f aca="false">N2311-O2311</f>
        <v>5222.61168493151</v>
      </c>
    </row>
    <row r="2312" customFormat="false" ht="15" hidden="false" customHeight="false" outlineLevel="0" collapsed="false">
      <c r="A2312" s="2" t="s">
        <v>118</v>
      </c>
      <c r="B2312" s="2" t="n">
        <v>7</v>
      </c>
      <c r="C2312" s="2" t="s">
        <v>96</v>
      </c>
      <c r="D2312" s="2" t="s">
        <v>43</v>
      </c>
      <c r="E2312" s="2" t="str">
        <f aca="false">INDEX(Products!$B$2:$B$13,MATCH(D2312,Products!$A$2:$A$13,0))</f>
        <v>Hydroprocessing</v>
      </c>
      <c r="F2312" s="15" t="n">
        <v>1.4</v>
      </c>
      <c r="G2312" s="16" t="n">
        <f aca="false">IF(A2312="2025",INDEX(Products!$C$2:$C$13,MATCH(D2312,Products!$A$2:$A$13,0)),INDEX(Products!$E$2:$E$13,MATCH(D2312,Products!$A$2:$A$13,0)))</f>
        <v>11610</v>
      </c>
      <c r="H2312" s="13" t="n">
        <f aca="false">IF(A2312="2025",INDEX(Customers!$D$2:$D$41,MATCH(C2312,Customers!$A$2:$A$41,0)),INDEX(Customers!$F$2:$F$41,MATCH(C2312,Customers!$A$2:$A$41,0)))</f>
        <v>0.045</v>
      </c>
      <c r="I2312" s="16" t="n">
        <f aca="false">F2312*G2312</f>
        <v>16254</v>
      </c>
      <c r="J2312" s="16" t="n">
        <f aca="false">I2312*(1-H2312)</f>
        <v>15522.57</v>
      </c>
      <c r="K2312" s="16" t="n">
        <f aca="false">J2312*INDEX(Customers!$G$2:$G$41,MATCH(C2312,Customers!$A$2:$A$41,0))</f>
        <v>0</v>
      </c>
      <c r="L2312" s="16" t="n">
        <f aca="false">F2312*INDEX(Customers!$H$2:$H$41,MATCH(C2312,Customers!$A$2:$A$41,0))</f>
        <v>168</v>
      </c>
      <c r="M2312" s="16" t="n">
        <f aca="false">J2312*INDEX(Customers!$I$2:$I$41,MATCH(C2312,Customers!$A$2:$A$41,0))/365*Assumptions!$B$6</f>
        <v>204.13242739726</v>
      </c>
      <c r="N2312" s="16" t="n">
        <f aca="false">J2312-K2312-L2312-M2312</f>
        <v>15150.4375726027</v>
      </c>
      <c r="O2312" s="16" t="n">
        <f aca="false">F2312*IF(A2312="2025",INDEX(Products!$D$2:$D$13,MATCH(D2312,Products!$A$2:$A$13,0)),INDEX(Products!$F$2:$F$13,MATCH(D2312,Products!$A$2:$A$13,0)))</f>
        <v>10276</v>
      </c>
      <c r="P2312" s="16" t="n">
        <f aca="false">N2312-O2312</f>
        <v>4874.43757260274</v>
      </c>
    </row>
    <row r="2313" customFormat="false" ht="15" hidden="false" customHeight="false" outlineLevel="0" collapsed="false">
      <c r="A2313" s="2" t="s">
        <v>118</v>
      </c>
      <c r="B2313" s="2" t="n">
        <v>8</v>
      </c>
      <c r="C2313" s="2" t="s">
        <v>96</v>
      </c>
      <c r="D2313" s="2" t="s">
        <v>43</v>
      </c>
      <c r="E2313" s="2" t="str">
        <f aca="false">INDEX(Products!$B$2:$B$13,MATCH(D2313,Products!$A$2:$A$13,0))</f>
        <v>Hydroprocessing</v>
      </c>
      <c r="F2313" s="15" t="n">
        <v>1.5</v>
      </c>
      <c r="G2313" s="16" t="n">
        <f aca="false">IF(A2313="2025",INDEX(Products!$C$2:$C$13,MATCH(D2313,Products!$A$2:$A$13,0)),INDEX(Products!$E$2:$E$13,MATCH(D2313,Products!$A$2:$A$13,0)))</f>
        <v>11610</v>
      </c>
      <c r="H2313" s="13" t="n">
        <f aca="false">IF(A2313="2025",INDEX(Customers!$D$2:$D$41,MATCH(C2313,Customers!$A$2:$A$41,0)),INDEX(Customers!$F$2:$F$41,MATCH(C2313,Customers!$A$2:$A$41,0)))</f>
        <v>0.045</v>
      </c>
      <c r="I2313" s="16" t="n">
        <f aca="false">F2313*G2313</f>
        <v>17415</v>
      </c>
      <c r="J2313" s="16" t="n">
        <f aca="false">I2313*(1-H2313)</f>
        <v>16631.325</v>
      </c>
      <c r="K2313" s="16" t="n">
        <f aca="false">J2313*INDEX(Customers!$G$2:$G$41,MATCH(C2313,Customers!$A$2:$A$41,0))</f>
        <v>0</v>
      </c>
      <c r="L2313" s="16" t="n">
        <f aca="false">F2313*INDEX(Customers!$H$2:$H$41,MATCH(C2313,Customers!$A$2:$A$41,0))</f>
        <v>180</v>
      </c>
      <c r="M2313" s="16" t="n">
        <f aca="false">J2313*INDEX(Customers!$I$2:$I$41,MATCH(C2313,Customers!$A$2:$A$41,0))/365*Assumptions!$B$6</f>
        <v>218.713315068493</v>
      </c>
      <c r="N2313" s="16" t="n">
        <f aca="false">J2313-K2313-L2313-M2313</f>
        <v>16232.6116849315</v>
      </c>
      <c r="O2313" s="16" t="n">
        <f aca="false">F2313*IF(A2313="2025",INDEX(Products!$D$2:$D$13,MATCH(D2313,Products!$A$2:$A$13,0)),INDEX(Products!$F$2:$F$13,MATCH(D2313,Products!$A$2:$A$13,0)))</f>
        <v>11010</v>
      </c>
      <c r="P2313" s="16" t="n">
        <f aca="false">N2313-O2313</f>
        <v>5222.61168493151</v>
      </c>
    </row>
    <row r="2314" customFormat="false" ht="15" hidden="false" customHeight="false" outlineLevel="0" collapsed="false">
      <c r="A2314" s="2" t="s">
        <v>118</v>
      </c>
      <c r="B2314" s="2" t="n">
        <v>9</v>
      </c>
      <c r="C2314" s="2" t="s">
        <v>96</v>
      </c>
      <c r="D2314" s="2" t="s">
        <v>43</v>
      </c>
      <c r="E2314" s="2" t="str">
        <f aca="false">INDEX(Products!$B$2:$B$13,MATCH(D2314,Products!$A$2:$A$13,0))</f>
        <v>Hydroprocessing</v>
      </c>
      <c r="F2314" s="15" t="n">
        <v>1</v>
      </c>
      <c r="G2314" s="16" t="n">
        <f aca="false">IF(A2314="2025",INDEX(Products!$C$2:$C$13,MATCH(D2314,Products!$A$2:$A$13,0)),INDEX(Products!$E$2:$E$13,MATCH(D2314,Products!$A$2:$A$13,0)))</f>
        <v>11610</v>
      </c>
      <c r="H2314" s="13" t="n">
        <f aca="false">IF(A2314="2025",INDEX(Customers!$D$2:$D$41,MATCH(C2314,Customers!$A$2:$A$41,0)),INDEX(Customers!$F$2:$F$41,MATCH(C2314,Customers!$A$2:$A$41,0)))</f>
        <v>0.045</v>
      </c>
      <c r="I2314" s="16" t="n">
        <f aca="false">F2314*G2314</f>
        <v>11610</v>
      </c>
      <c r="J2314" s="16" t="n">
        <f aca="false">I2314*(1-H2314)</f>
        <v>11087.55</v>
      </c>
      <c r="K2314" s="16" t="n">
        <f aca="false">J2314*INDEX(Customers!$G$2:$G$41,MATCH(C2314,Customers!$A$2:$A$41,0))</f>
        <v>0</v>
      </c>
      <c r="L2314" s="16" t="n">
        <f aca="false">F2314*INDEX(Customers!$H$2:$H$41,MATCH(C2314,Customers!$A$2:$A$41,0))</f>
        <v>120</v>
      </c>
      <c r="M2314" s="16" t="n">
        <f aca="false">J2314*INDEX(Customers!$I$2:$I$41,MATCH(C2314,Customers!$A$2:$A$41,0))/365*Assumptions!$B$6</f>
        <v>145.808876712329</v>
      </c>
      <c r="N2314" s="16" t="n">
        <f aca="false">J2314-K2314-L2314-M2314</f>
        <v>10821.7411232877</v>
      </c>
      <c r="O2314" s="16" t="n">
        <f aca="false">F2314*IF(A2314="2025",INDEX(Products!$D$2:$D$13,MATCH(D2314,Products!$A$2:$A$13,0)),INDEX(Products!$F$2:$F$13,MATCH(D2314,Products!$A$2:$A$13,0)))</f>
        <v>7340</v>
      </c>
      <c r="P2314" s="16" t="n">
        <f aca="false">N2314-O2314</f>
        <v>3481.74112328767</v>
      </c>
    </row>
    <row r="2315" customFormat="false" ht="15" hidden="false" customHeight="false" outlineLevel="0" collapsed="false">
      <c r="A2315" s="2" t="s">
        <v>118</v>
      </c>
      <c r="B2315" s="2" t="n">
        <v>10</v>
      </c>
      <c r="C2315" s="2" t="s">
        <v>96</v>
      </c>
      <c r="D2315" s="2" t="s">
        <v>43</v>
      </c>
      <c r="E2315" s="2" t="str">
        <f aca="false">INDEX(Products!$B$2:$B$13,MATCH(D2315,Products!$A$2:$A$13,0))</f>
        <v>Hydroprocessing</v>
      </c>
      <c r="F2315" s="15" t="n">
        <v>1.7</v>
      </c>
      <c r="G2315" s="16" t="n">
        <f aca="false">IF(A2315="2025",INDEX(Products!$C$2:$C$13,MATCH(D2315,Products!$A$2:$A$13,0)),INDEX(Products!$E$2:$E$13,MATCH(D2315,Products!$A$2:$A$13,0)))</f>
        <v>11610</v>
      </c>
      <c r="H2315" s="13" t="n">
        <f aca="false">IF(A2315="2025",INDEX(Customers!$D$2:$D$41,MATCH(C2315,Customers!$A$2:$A$41,0)),INDEX(Customers!$F$2:$F$41,MATCH(C2315,Customers!$A$2:$A$41,0)))</f>
        <v>0.045</v>
      </c>
      <c r="I2315" s="16" t="n">
        <f aca="false">F2315*G2315</f>
        <v>19737</v>
      </c>
      <c r="J2315" s="16" t="n">
        <f aca="false">I2315*(1-H2315)</f>
        <v>18848.835</v>
      </c>
      <c r="K2315" s="16" t="n">
        <f aca="false">J2315*INDEX(Customers!$G$2:$G$41,MATCH(C2315,Customers!$A$2:$A$41,0))</f>
        <v>0</v>
      </c>
      <c r="L2315" s="16" t="n">
        <f aca="false">F2315*INDEX(Customers!$H$2:$H$41,MATCH(C2315,Customers!$A$2:$A$41,0))</f>
        <v>204</v>
      </c>
      <c r="M2315" s="16" t="n">
        <f aca="false">J2315*INDEX(Customers!$I$2:$I$41,MATCH(C2315,Customers!$A$2:$A$41,0))/365*Assumptions!$B$6</f>
        <v>247.875090410959</v>
      </c>
      <c r="N2315" s="16" t="n">
        <f aca="false">J2315-K2315-L2315-M2315</f>
        <v>18396.959909589</v>
      </c>
      <c r="O2315" s="16" t="n">
        <f aca="false">F2315*IF(A2315="2025",INDEX(Products!$D$2:$D$13,MATCH(D2315,Products!$A$2:$A$13,0)),INDEX(Products!$F$2:$F$13,MATCH(D2315,Products!$A$2:$A$13,0)))</f>
        <v>12478</v>
      </c>
      <c r="P2315" s="16" t="n">
        <f aca="false">N2315-O2315</f>
        <v>5918.95990958904</v>
      </c>
    </row>
    <row r="2316" customFormat="false" ht="15" hidden="false" customHeight="false" outlineLevel="0" collapsed="false">
      <c r="A2316" s="2" t="s">
        <v>118</v>
      </c>
      <c r="B2316" s="2" t="n">
        <v>11</v>
      </c>
      <c r="C2316" s="2" t="s">
        <v>96</v>
      </c>
      <c r="D2316" s="2" t="s">
        <v>43</v>
      </c>
      <c r="E2316" s="2" t="str">
        <f aca="false">INDEX(Products!$B$2:$B$13,MATCH(D2316,Products!$A$2:$A$13,0))</f>
        <v>Hydroprocessing</v>
      </c>
      <c r="F2316" s="15" t="n">
        <v>1.7</v>
      </c>
      <c r="G2316" s="16" t="n">
        <f aca="false">IF(A2316="2025",INDEX(Products!$C$2:$C$13,MATCH(D2316,Products!$A$2:$A$13,0)),INDEX(Products!$E$2:$E$13,MATCH(D2316,Products!$A$2:$A$13,0)))</f>
        <v>11610</v>
      </c>
      <c r="H2316" s="13" t="n">
        <f aca="false">IF(A2316="2025",INDEX(Customers!$D$2:$D$41,MATCH(C2316,Customers!$A$2:$A$41,0)),INDEX(Customers!$F$2:$F$41,MATCH(C2316,Customers!$A$2:$A$41,0)))</f>
        <v>0.045</v>
      </c>
      <c r="I2316" s="16" t="n">
        <f aca="false">F2316*G2316</f>
        <v>19737</v>
      </c>
      <c r="J2316" s="16" t="n">
        <f aca="false">I2316*(1-H2316)</f>
        <v>18848.835</v>
      </c>
      <c r="K2316" s="16" t="n">
        <f aca="false">J2316*INDEX(Customers!$G$2:$G$41,MATCH(C2316,Customers!$A$2:$A$41,0))</f>
        <v>0</v>
      </c>
      <c r="L2316" s="16" t="n">
        <f aca="false">F2316*INDEX(Customers!$H$2:$H$41,MATCH(C2316,Customers!$A$2:$A$41,0))</f>
        <v>204</v>
      </c>
      <c r="M2316" s="16" t="n">
        <f aca="false">J2316*INDEX(Customers!$I$2:$I$41,MATCH(C2316,Customers!$A$2:$A$41,0))/365*Assumptions!$B$6</f>
        <v>247.875090410959</v>
      </c>
      <c r="N2316" s="16" t="n">
        <f aca="false">J2316-K2316-L2316-M2316</f>
        <v>18396.959909589</v>
      </c>
      <c r="O2316" s="16" t="n">
        <f aca="false">F2316*IF(A2316="2025",INDEX(Products!$D$2:$D$13,MATCH(D2316,Products!$A$2:$A$13,0)),INDEX(Products!$F$2:$F$13,MATCH(D2316,Products!$A$2:$A$13,0)))</f>
        <v>12478</v>
      </c>
      <c r="P2316" s="16" t="n">
        <f aca="false">N2316-O2316</f>
        <v>5918.95990958904</v>
      </c>
    </row>
    <row r="2317" customFormat="false" ht="15" hidden="false" customHeight="false" outlineLevel="0" collapsed="false">
      <c r="A2317" s="2" t="s">
        <v>118</v>
      </c>
      <c r="B2317" s="2" t="n">
        <v>12</v>
      </c>
      <c r="C2317" s="2" t="s">
        <v>96</v>
      </c>
      <c r="D2317" s="2" t="s">
        <v>43</v>
      </c>
      <c r="E2317" s="2" t="str">
        <f aca="false">INDEX(Products!$B$2:$B$13,MATCH(D2317,Products!$A$2:$A$13,0))</f>
        <v>Hydroprocessing</v>
      </c>
      <c r="F2317" s="15" t="n">
        <v>1.6</v>
      </c>
      <c r="G2317" s="16" t="n">
        <f aca="false">IF(A2317="2025",INDEX(Products!$C$2:$C$13,MATCH(D2317,Products!$A$2:$A$13,0)),INDEX(Products!$E$2:$E$13,MATCH(D2317,Products!$A$2:$A$13,0)))</f>
        <v>11610</v>
      </c>
      <c r="H2317" s="13" t="n">
        <f aca="false">IF(A2317="2025",INDEX(Customers!$D$2:$D$41,MATCH(C2317,Customers!$A$2:$A$41,0)),INDEX(Customers!$F$2:$F$41,MATCH(C2317,Customers!$A$2:$A$41,0)))</f>
        <v>0.045</v>
      </c>
      <c r="I2317" s="16" t="n">
        <f aca="false">F2317*G2317</f>
        <v>18576</v>
      </c>
      <c r="J2317" s="16" t="n">
        <f aca="false">I2317*(1-H2317)</f>
        <v>17740.08</v>
      </c>
      <c r="K2317" s="16" t="n">
        <f aca="false">J2317*INDEX(Customers!$G$2:$G$41,MATCH(C2317,Customers!$A$2:$A$41,0))</f>
        <v>0</v>
      </c>
      <c r="L2317" s="16" t="n">
        <f aca="false">F2317*INDEX(Customers!$H$2:$H$41,MATCH(C2317,Customers!$A$2:$A$41,0))</f>
        <v>192</v>
      </c>
      <c r="M2317" s="16" t="n">
        <f aca="false">J2317*INDEX(Customers!$I$2:$I$41,MATCH(C2317,Customers!$A$2:$A$41,0))/365*Assumptions!$B$6</f>
        <v>233.294202739726</v>
      </c>
      <c r="N2317" s="16" t="n">
        <f aca="false">J2317-K2317-L2317-M2317</f>
        <v>17314.7857972603</v>
      </c>
      <c r="O2317" s="16" t="n">
        <f aca="false">F2317*IF(A2317="2025",INDEX(Products!$D$2:$D$13,MATCH(D2317,Products!$A$2:$A$13,0)),INDEX(Products!$F$2:$F$13,MATCH(D2317,Products!$A$2:$A$13,0)))</f>
        <v>11744</v>
      </c>
      <c r="P2317" s="16" t="n">
        <f aca="false">N2317-O2317</f>
        <v>5570.78579726027</v>
      </c>
    </row>
    <row r="2318" customFormat="false" ht="15" hidden="false" customHeight="false" outlineLevel="0" collapsed="false">
      <c r="A2318" s="2" t="s">
        <v>119</v>
      </c>
      <c r="B2318" s="2" t="n">
        <v>1</v>
      </c>
      <c r="C2318" s="2" t="s">
        <v>96</v>
      </c>
      <c r="D2318" s="2" t="s">
        <v>43</v>
      </c>
      <c r="E2318" s="2" t="str">
        <f aca="false">INDEX(Products!$B$2:$B$13,MATCH(D2318,Products!$A$2:$A$13,0))</f>
        <v>Hydroprocessing</v>
      </c>
      <c r="F2318" s="15" t="n">
        <v>1.1</v>
      </c>
      <c r="G2318" s="16" t="n">
        <f aca="false">IF(A2318="2025",INDEX(Products!$C$2:$C$13,MATCH(D2318,Products!$A$2:$A$13,0)),INDEX(Products!$E$2:$E$13,MATCH(D2318,Products!$A$2:$A$13,0)))</f>
        <v>12190.5</v>
      </c>
      <c r="H2318" s="13" t="n">
        <f aca="false">IF(A2318="2025",INDEX(Customers!$D$2:$D$41,MATCH(C2318,Customers!$A$2:$A$41,0)),INDEX(Customers!$F$2:$F$41,MATCH(C2318,Customers!$A$2:$A$41,0)))</f>
        <v>0.045</v>
      </c>
      <c r="I2318" s="16" t="n">
        <f aca="false">F2318*G2318</f>
        <v>13409.55</v>
      </c>
      <c r="J2318" s="16" t="n">
        <f aca="false">I2318*(1-H2318)</f>
        <v>12806.12025</v>
      </c>
      <c r="K2318" s="16" t="n">
        <f aca="false">J2318*INDEX(Customers!$G$2:$G$41,MATCH(C2318,Customers!$A$2:$A$41,0))</f>
        <v>0</v>
      </c>
      <c r="L2318" s="16" t="n">
        <f aca="false">F2318*INDEX(Customers!$H$2:$H$41,MATCH(C2318,Customers!$A$2:$A$41,0))</f>
        <v>132</v>
      </c>
      <c r="M2318" s="16" t="n">
        <f aca="false">J2318*INDEX(Customers!$I$2:$I$41,MATCH(C2318,Customers!$A$2:$A$41,0))/365*Assumptions!$B$6</f>
        <v>168.40925260274</v>
      </c>
      <c r="N2318" s="16" t="n">
        <f aca="false">J2318-K2318-L2318-M2318</f>
        <v>12505.7109973973</v>
      </c>
      <c r="O2318" s="16" t="n">
        <f aca="false">F2318*IF(A2318="2025",INDEX(Products!$D$2:$D$13,MATCH(D2318,Products!$A$2:$A$13,0)),INDEX(Products!$F$2:$F$13,MATCH(D2318,Products!$A$2:$A$13,0)))</f>
        <v>8316.22</v>
      </c>
      <c r="P2318" s="16" t="n">
        <f aca="false">N2318-O2318</f>
        <v>4189.49099739726</v>
      </c>
    </row>
    <row r="2319" customFormat="false" ht="15" hidden="false" customHeight="false" outlineLevel="0" collapsed="false">
      <c r="A2319" s="2" t="s">
        <v>119</v>
      </c>
      <c r="B2319" s="2" t="n">
        <v>2</v>
      </c>
      <c r="C2319" s="2" t="s">
        <v>96</v>
      </c>
      <c r="D2319" s="2" t="s">
        <v>43</v>
      </c>
      <c r="E2319" s="2" t="str">
        <f aca="false">INDEX(Products!$B$2:$B$13,MATCH(D2319,Products!$A$2:$A$13,0))</f>
        <v>Hydroprocessing</v>
      </c>
      <c r="F2319" s="15" t="n">
        <v>1.4</v>
      </c>
      <c r="G2319" s="16" t="n">
        <f aca="false">IF(A2319="2025",INDEX(Products!$C$2:$C$13,MATCH(D2319,Products!$A$2:$A$13,0)),INDEX(Products!$E$2:$E$13,MATCH(D2319,Products!$A$2:$A$13,0)))</f>
        <v>12190.5</v>
      </c>
      <c r="H2319" s="13" t="n">
        <f aca="false">IF(A2319="2025",INDEX(Customers!$D$2:$D$41,MATCH(C2319,Customers!$A$2:$A$41,0)),INDEX(Customers!$F$2:$F$41,MATCH(C2319,Customers!$A$2:$A$41,0)))</f>
        <v>0.045</v>
      </c>
      <c r="I2319" s="16" t="n">
        <f aca="false">F2319*G2319</f>
        <v>17066.7</v>
      </c>
      <c r="J2319" s="16" t="n">
        <f aca="false">I2319*(1-H2319)</f>
        <v>16298.6985</v>
      </c>
      <c r="K2319" s="16" t="n">
        <f aca="false">J2319*INDEX(Customers!$G$2:$G$41,MATCH(C2319,Customers!$A$2:$A$41,0))</f>
        <v>0</v>
      </c>
      <c r="L2319" s="16" t="n">
        <f aca="false">F2319*INDEX(Customers!$H$2:$H$41,MATCH(C2319,Customers!$A$2:$A$41,0))</f>
        <v>168</v>
      </c>
      <c r="M2319" s="16" t="n">
        <f aca="false">J2319*INDEX(Customers!$I$2:$I$41,MATCH(C2319,Customers!$A$2:$A$41,0))/365*Assumptions!$B$6</f>
        <v>214.339048767123</v>
      </c>
      <c r="N2319" s="16" t="n">
        <f aca="false">J2319-K2319-L2319-M2319</f>
        <v>15916.3594512329</v>
      </c>
      <c r="O2319" s="16" t="n">
        <f aca="false">F2319*IF(A2319="2025",INDEX(Products!$D$2:$D$13,MATCH(D2319,Products!$A$2:$A$13,0)),INDEX(Products!$F$2:$F$13,MATCH(D2319,Products!$A$2:$A$13,0)))</f>
        <v>10584.28</v>
      </c>
      <c r="P2319" s="16" t="n">
        <f aca="false">N2319-O2319</f>
        <v>5332.07945123288</v>
      </c>
    </row>
    <row r="2320" customFormat="false" ht="15" hidden="false" customHeight="false" outlineLevel="0" collapsed="false">
      <c r="A2320" s="2" t="s">
        <v>119</v>
      </c>
      <c r="B2320" s="2" t="n">
        <v>3</v>
      </c>
      <c r="C2320" s="2" t="s">
        <v>96</v>
      </c>
      <c r="D2320" s="2" t="s">
        <v>43</v>
      </c>
      <c r="E2320" s="2" t="str">
        <f aca="false">INDEX(Products!$B$2:$B$13,MATCH(D2320,Products!$A$2:$A$13,0))</f>
        <v>Hydroprocessing</v>
      </c>
      <c r="F2320" s="15" t="n">
        <v>1.3</v>
      </c>
      <c r="G2320" s="16" t="n">
        <f aca="false">IF(A2320="2025",INDEX(Products!$C$2:$C$13,MATCH(D2320,Products!$A$2:$A$13,0)),INDEX(Products!$E$2:$E$13,MATCH(D2320,Products!$A$2:$A$13,0)))</f>
        <v>12190.5</v>
      </c>
      <c r="H2320" s="13" t="n">
        <f aca="false">IF(A2320="2025",INDEX(Customers!$D$2:$D$41,MATCH(C2320,Customers!$A$2:$A$41,0)),INDEX(Customers!$F$2:$F$41,MATCH(C2320,Customers!$A$2:$A$41,0)))</f>
        <v>0.045</v>
      </c>
      <c r="I2320" s="16" t="n">
        <f aca="false">F2320*G2320</f>
        <v>15847.65</v>
      </c>
      <c r="J2320" s="16" t="n">
        <f aca="false">I2320*(1-H2320)</f>
        <v>15134.50575</v>
      </c>
      <c r="K2320" s="16" t="n">
        <f aca="false">J2320*INDEX(Customers!$G$2:$G$41,MATCH(C2320,Customers!$A$2:$A$41,0))</f>
        <v>0</v>
      </c>
      <c r="L2320" s="16" t="n">
        <f aca="false">F2320*INDEX(Customers!$H$2:$H$41,MATCH(C2320,Customers!$A$2:$A$41,0))</f>
        <v>156</v>
      </c>
      <c r="M2320" s="16" t="n">
        <f aca="false">J2320*INDEX(Customers!$I$2:$I$41,MATCH(C2320,Customers!$A$2:$A$41,0))/365*Assumptions!$B$6</f>
        <v>199.029116712329</v>
      </c>
      <c r="N2320" s="16" t="n">
        <f aca="false">J2320-K2320-L2320-M2320</f>
        <v>14779.4766332877</v>
      </c>
      <c r="O2320" s="16" t="n">
        <f aca="false">F2320*IF(A2320="2025",INDEX(Products!$D$2:$D$13,MATCH(D2320,Products!$A$2:$A$13,0)),INDEX(Products!$F$2:$F$13,MATCH(D2320,Products!$A$2:$A$13,0)))</f>
        <v>9828.26</v>
      </c>
      <c r="P2320" s="16" t="n">
        <f aca="false">N2320-O2320</f>
        <v>4951.21663328767</v>
      </c>
    </row>
    <row r="2321" customFormat="false" ht="15" hidden="false" customHeight="false" outlineLevel="0" collapsed="false">
      <c r="A2321" s="2" t="s">
        <v>119</v>
      </c>
      <c r="B2321" s="2" t="n">
        <v>4</v>
      </c>
      <c r="C2321" s="2" t="s">
        <v>96</v>
      </c>
      <c r="D2321" s="2" t="s">
        <v>43</v>
      </c>
      <c r="E2321" s="2" t="str">
        <f aca="false">INDEX(Products!$B$2:$B$13,MATCH(D2321,Products!$A$2:$A$13,0))</f>
        <v>Hydroprocessing</v>
      </c>
      <c r="F2321" s="15" t="n">
        <v>1.4</v>
      </c>
      <c r="G2321" s="16" t="n">
        <f aca="false">IF(A2321="2025",INDEX(Products!$C$2:$C$13,MATCH(D2321,Products!$A$2:$A$13,0)),INDEX(Products!$E$2:$E$13,MATCH(D2321,Products!$A$2:$A$13,0)))</f>
        <v>12190.5</v>
      </c>
      <c r="H2321" s="13" t="n">
        <f aca="false">IF(A2321="2025",INDEX(Customers!$D$2:$D$41,MATCH(C2321,Customers!$A$2:$A$41,0)),INDEX(Customers!$F$2:$F$41,MATCH(C2321,Customers!$A$2:$A$41,0)))</f>
        <v>0.045</v>
      </c>
      <c r="I2321" s="16" t="n">
        <f aca="false">F2321*G2321</f>
        <v>17066.7</v>
      </c>
      <c r="J2321" s="16" t="n">
        <f aca="false">I2321*(1-H2321)</f>
        <v>16298.6985</v>
      </c>
      <c r="K2321" s="16" t="n">
        <f aca="false">J2321*INDEX(Customers!$G$2:$G$41,MATCH(C2321,Customers!$A$2:$A$41,0))</f>
        <v>0</v>
      </c>
      <c r="L2321" s="16" t="n">
        <f aca="false">F2321*INDEX(Customers!$H$2:$H$41,MATCH(C2321,Customers!$A$2:$A$41,0))</f>
        <v>168</v>
      </c>
      <c r="M2321" s="16" t="n">
        <f aca="false">J2321*INDEX(Customers!$I$2:$I$41,MATCH(C2321,Customers!$A$2:$A$41,0))/365*Assumptions!$B$6</f>
        <v>214.339048767123</v>
      </c>
      <c r="N2321" s="16" t="n">
        <f aca="false">J2321-K2321-L2321-M2321</f>
        <v>15916.3594512329</v>
      </c>
      <c r="O2321" s="16" t="n">
        <f aca="false">F2321*IF(A2321="2025",INDEX(Products!$D$2:$D$13,MATCH(D2321,Products!$A$2:$A$13,0)),INDEX(Products!$F$2:$F$13,MATCH(D2321,Products!$A$2:$A$13,0)))</f>
        <v>10584.28</v>
      </c>
      <c r="P2321" s="16" t="n">
        <f aca="false">N2321-O2321</f>
        <v>5332.07945123288</v>
      </c>
    </row>
    <row r="2322" customFormat="false" ht="15" hidden="false" customHeight="false" outlineLevel="0" collapsed="false">
      <c r="A2322" s="2" t="s">
        <v>119</v>
      </c>
      <c r="B2322" s="2" t="n">
        <v>5</v>
      </c>
      <c r="C2322" s="2" t="s">
        <v>96</v>
      </c>
      <c r="D2322" s="2" t="s">
        <v>43</v>
      </c>
      <c r="E2322" s="2" t="str">
        <f aca="false">INDEX(Products!$B$2:$B$13,MATCH(D2322,Products!$A$2:$A$13,0))</f>
        <v>Hydroprocessing</v>
      </c>
      <c r="F2322" s="15" t="n">
        <v>1.1</v>
      </c>
      <c r="G2322" s="16" t="n">
        <f aca="false">IF(A2322="2025",INDEX(Products!$C$2:$C$13,MATCH(D2322,Products!$A$2:$A$13,0)),INDEX(Products!$E$2:$E$13,MATCH(D2322,Products!$A$2:$A$13,0)))</f>
        <v>12190.5</v>
      </c>
      <c r="H2322" s="13" t="n">
        <f aca="false">IF(A2322="2025",INDEX(Customers!$D$2:$D$41,MATCH(C2322,Customers!$A$2:$A$41,0)),INDEX(Customers!$F$2:$F$41,MATCH(C2322,Customers!$A$2:$A$41,0)))</f>
        <v>0.045</v>
      </c>
      <c r="I2322" s="16" t="n">
        <f aca="false">F2322*G2322</f>
        <v>13409.55</v>
      </c>
      <c r="J2322" s="16" t="n">
        <f aca="false">I2322*(1-H2322)</f>
        <v>12806.12025</v>
      </c>
      <c r="K2322" s="16" t="n">
        <f aca="false">J2322*INDEX(Customers!$G$2:$G$41,MATCH(C2322,Customers!$A$2:$A$41,0))</f>
        <v>0</v>
      </c>
      <c r="L2322" s="16" t="n">
        <f aca="false">F2322*INDEX(Customers!$H$2:$H$41,MATCH(C2322,Customers!$A$2:$A$41,0))</f>
        <v>132</v>
      </c>
      <c r="M2322" s="16" t="n">
        <f aca="false">J2322*INDEX(Customers!$I$2:$I$41,MATCH(C2322,Customers!$A$2:$A$41,0))/365*Assumptions!$B$6</f>
        <v>168.40925260274</v>
      </c>
      <c r="N2322" s="16" t="n">
        <f aca="false">J2322-K2322-L2322-M2322</f>
        <v>12505.7109973973</v>
      </c>
      <c r="O2322" s="16" t="n">
        <f aca="false">F2322*IF(A2322="2025",INDEX(Products!$D$2:$D$13,MATCH(D2322,Products!$A$2:$A$13,0)),INDEX(Products!$F$2:$F$13,MATCH(D2322,Products!$A$2:$A$13,0)))</f>
        <v>8316.22</v>
      </c>
      <c r="P2322" s="16" t="n">
        <f aca="false">N2322-O2322</f>
        <v>4189.49099739726</v>
      </c>
    </row>
    <row r="2323" customFormat="false" ht="15" hidden="false" customHeight="false" outlineLevel="0" collapsed="false">
      <c r="A2323" s="2" t="s">
        <v>119</v>
      </c>
      <c r="B2323" s="2" t="n">
        <v>6</v>
      </c>
      <c r="C2323" s="2" t="s">
        <v>96</v>
      </c>
      <c r="D2323" s="2" t="s">
        <v>43</v>
      </c>
      <c r="E2323" s="2" t="str">
        <f aca="false">INDEX(Products!$B$2:$B$13,MATCH(D2323,Products!$A$2:$A$13,0))</f>
        <v>Hydroprocessing</v>
      </c>
      <c r="F2323" s="15" t="n">
        <v>1.3</v>
      </c>
      <c r="G2323" s="16" t="n">
        <f aca="false">IF(A2323="2025",INDEX(Products!$C$2:$C$13,MATCH(D2323,Products!$A$2:$A$13,0)),INDEX(Products!$E$2:$E$13,MATCH(D2323,Products!$A$2:$A$13,0)))</f>
        <v>12190.5</v>
      </c>
      <c r="H2323" s="13" t="n">
        <f aca="false">IF(A2323="2025",INDEX(Customers!$D$2:$D$41,MATCH(C2323,Customers!$A$2:$A$41,0)),INDEX(Customers!$F$2:$F$41,MATCH(C2323,Customers!$A$2:$A$41,0)))</f>
        <v>0.045</v>
      </c>
      <c r="I2323" s="16" t="n">
        <f aca="false">F2323*G2323</f>
        <v>15847.65</v>
      </c>
      <c r="J2323" s="16" t="n">
        <f aca="false">I2323*(1-H2323)</f>
        <v>15134.50575</v>
      </c>
      <c r="K2323" s="16" t="n">
        <f aca="false">J2323*INDEX(Customers!$G$2:$G$41,MATCH(C2323,Customers!$A$2:$A$41,0))</f>
        <v>0</v>
      </c>
      <c r="L2323" s="16" t="n">
        <f aca="false">F2323*INDEX(Customers!$H$2:$H$41,MATCH(C2323,Customers!$A$2:$A$41,0))</f>
        <v>156</v>
      </c>
      <c r="M2323" s="16" t="n">
        <f aca="false">J2323*INDEX(Customers!$I$2:$I$41,MATCH(C2323,Customers!$A$2:$A$41,0))/365*Assumptions!$B$6</f>
        <v>199.029116712329</v>
      </c>
      <c r="N2323" s="16" t="n">
        <f aca="false">J2323-K2323-L2323-M2323</f>
        <v>14779.4766332877</v>
      </c>
      <c r="O2323" s="16" t="n">
        <f aca="false">F2323*IF(A2323="2025",INDEX(Products!$D$2:$D$13,MATCH(D2323,Products!$A$2:$A$13,0)),INDEX(Products!$F$2:$F$13,MATCH(D2323,Products!$A$2:$A$13,0)))</f>
        <v>9828.26</v>
      </c>
      <c r="P2323" s="16" t="n">
        <f aca="false">N2323-O2323</f>
        <v>4951.21663328767</v>
      </c>
    </row>
    <row r="2324" customFormat="false" ht="15" hidden="false" customHeight="false" outlineLevel="0" collapsed="false">
      <c r="A2324" s="2" t="s">
        <v>119</v>
      </c>
      <c r="B2324" s="2" t="n">
        <v>7</v>
      </c>
      <c r="C2324" s="2" t="s">
        <v>96</v>
      </c>
      <c r="D2324" s="2" t="s">
        <v>43</v>
      </c>
      <c r="E2324" s="2" t="str">
        <f aca="false">INDEX(Products!$B$2:$B$13,MATCH(D2324,Products!$A$2:$A$13,0))</f>
        <v>Hydroprocessing</v>
      </c>
      <c r="F2324" s="15" t="n">
        <v>1.4</v>
      </c>
      <c r="G2324" s="16" t="n">
        <f aca="false">IF(A2324="2025",INDEX(Products!$C$2:$C$13,MATCH(D2324,Products!$A$2:$A$13,0)),INDEX(Products!$E$2:$E$13,MATCH(D2324,Products!$A$2:$A$13,0)))</f>
        <v>12190.5</v>
      </c>
      <c r="H2324" s="13" t="n">
        <f aca="false">IF(A2324="2025",INDEX(Customers!$D$2:$D$41,MATCH(C2324,Customers!$A$2:$A$41,0)),INDEX(Customers!$F$2:$F$41,MATCH(C2324,Customers!$A$2:$A$41,0)))</f>
        <v>0.045</v>
      </c>
      <c r="I2324" s="16" t="n">
        <f aca="false">F2324*G2324</f>
        <v>17066.7</v>
      </c>
      <c r="J2324" s="16" t="n">
        <f aca="false">I2324*(1-H2324)</f>
        <v>16298.6985</v>
      </c>
      <c r="K2324" s="16" t="n">
        <f aca="false">J2324*INDEX(Customers!$G$2:$G$41,MATCH(C2324,Customers!$A$2:$A$41,0))</f>
        <v>0</v>
      </c>
      <c r="L2324" s="16" t="n">
        <f aca="false">F2324*INDEX(Customers!$H$2:$H$41,MATCH(C2324,Customers!$A$2:$A$41,0))</f>
        <v>168</v>
      </c>
      <c r="M2324" s="16" t="n">
        <f aca="false">J2324*INDEX(Customers!$I$2:$I$41,MATCH(C2324,Customers!$A$2:$A$41,0))/365*Assumptions!$B$6</f>
        <v>214.339048767123</v>
      </c>
      <c r="N2324" s="16" t="n">
        <f aca="false">J2324-K2324-L2324-M2324</f>
        <v>15916.3594512329</v>
      </c>
      <c r="O2324" s="16" t="n">
        <f aca="false">F2324*IF(A2324="2025",INDEX(Products!$D$2:$D$13,MATCH(D2324,Products!$A$2:$A$13,0)),INDEX(Products!$F$2:$F$13,MATCH(D2324,Products!$A$2:$A$13,0)))</f>
        <v>10584.28</v>
      </c>
      <c r="P2324" s="16" t="n">
        <f aca="false">N2324-O2324</f>
        <v>5332.07945123288</v>
      </c>
    </row>
    <row r="2325" customFormat="false" ht="15" hidden="false" customHeight="false" outlineLevel="0" collapsed="false">
      <c r="A2325" s="2" t="s">
        <v>119</v>
      </c>
      <c r="B2325" s="2" t="n">
        <v>8</v>
      </c>
      <c r="C2325" s="2" t="s">
        <v>96</v>
      </c>
      <c r="D2325" s="2" t="s">
        <v>43</v>
      </c>
      <c r="E2325" s="2" t="str">
        <f aca="false">INDEX(Products!$B$2:$B$13,MATCH(D2325,Products!$A$2:$A$13,0))</f>
        <v>Hydroprocessing</v>
      </c>
      <c r="F2325" s="15" t="n">
        <v>1.8</v>
      </c>
      <c r="G2325" s="16" t="n">
        <f aca="false">IF(A2325="2025",INDEX(Products!$C$2:$C$13,MATCH(D2325,Products!$A$2:$A$13,0)),INDEX(Products!$E$2:$E$13,MATCH(D2325,Products!$A$2:$A$13,0)))</f>
        <v>12190.5</v>
      </c>
      <c r="H2325" s="13" t="n">
        <f aca="false">IF(A2325="2025",INDEX(Customers!$D$2:$D$41,MATCH(C2325,Customers!$A$2:$A$41,0)),INDEX(Customers!$F$2:$F$41,MATCH(C2325,Customers!$A$2:$A$41,0)))</f>
        <v>0.045</v>
      </c>
      <c r="I2325" s="16" t="n">
        <f aca="false">F2325*G2325</f>
        <v>21942.9</v>
      </c>
      <c r="J2325" s="16" t="n">
        <f aca="false">I2325*(1-H2325)</f>
        <v>20955.4695</v>
      </c>
      <c r="K2325" s="16" t="n">
        <f aca="false">J2325*INDEX(Customers!$G$2:$G$41,MATCH(C2325,Customers!$A$2:$A$41,0))</f>
        <v>0</v>
      </c>
      <c r="L2325" s="16" t="n">
        <f aca="false">F2325*INDEX(Customers!$H$2:$H$41,MATCH(C2325,Customers!$A$2:$A$41,0))</f>
        <v>216</v>
      </c>
      <c r="M2325" s="16" t="n">
        <f aca="false">J2325*INDEX(Customers!$I$2:$I$41,MATCH(C2325,Customers!$A$2:$A$41,0))/365*Assumptions!$B$6</f>
        <v>275.578776986301</v>
      </c>
      <c r="N2325" s="16" t="n">
        <f aca="false">J2325-K2325-L2325-M2325</f>
        <v>20463.8907230137</v>
      </c>
      <c r="O2325" s="16" t="n">
        <f aca="false">F2325*IF(A2325="2025",INDEX(Products!$D$2:$D$13,MATCH(D2325,Products!$A$2:$A$13,0)),INDEX(Products!$F$2:$F$13,MATCH(D2325,Products!$A$2:$A$13,0)))</f>
        <v>13608.36</v>
      </c>
      <c r="P2325" s="16" t="n">
        <f aca="false">N2325-O2325</f>
        <v>6855.5307230137</v>
      </c>
    </row>
    <row r="2326" customFormat="false" ht="15" hidden="false" customHeight="false" outlineLevel="0" collapsed="false">
      <c r="A2326" s="2" t="s">
        <v>119</v>
      </c>
      <c r="B2326" s="2" t="n">
        <v>9</v>
      </c>
      <c r="C2326" s="2" t="s">
        <v>96</v>
      </c>
      <c r="D2326" s="2" t="s">
        <v>43</v>
      </c>
      <c r="E2326" s="2" t="str">
        <f aca="false">INDEX(Products!$B$2:$B$13,MATCH(D2326,Products!$A$2:$A$13,0))</f>
        <v>Hydroprocessing</v>
      </c>
      <c r="F2326" s="15" t="n">
        <v>1.8</v>
      </c>
      <c r="G2326" s="16" t="n">
        <f aca="false">IF(A2326="2025",INDEX(Products!$C$2:$C$13,MATCH(D2326,Products!$A$2:$A$13,0)),INDEX(Products!$E$2:$E$13,MATCH(D2326,Products!$A$2:$A$13,0)))</f>
        <v>12190.5</v>
      </c>
      <c r="H2326" s="13" t="n">
        <f aca="false">IF(A2326="2025",INDEX(Customers!$D$2:$D$41,MATCH(C2326,Customers!$A$2:$A$41,0)),INDEX(Customers!$F$2:$F$41,MATCH(C2326,Customers!$A$2:$A$41,0)))</f>
        <v>0.045</v>
      </c>
      <c r="I2326" s="16" t="n">
        <f aca="false">F2326*G2326</f>
        <v>21942.9</v>
      </c>
      <c r="J2326" s="16" t="n">
        <f aca="false">I2326*(1-H2326)</f>
        <v>20955.4695</v>
      </c>
      <c r="K2326" s="16" t="n">
        <f aca="false">J2326*INDEX(Customers!$G$2:$G$41,MATCH(C2326,Customers!$A$2:$A$41,0))</f>
        <v>0</v>
      </c>
      <c r="L2326" s="16" t="n">
        <f aca="false">F2326*INDEX(Customers!$H$2:$H$41,MATCH(C2326,Customers!$A$2:$A$41,0))</f>
        <v>216</v>
      </c>
      <c r="M2326" s="16" t="n">
        <f aca="false">J2326*INDEX(Customers!$I$2:$I$41,MATCH(C2326,Customers!$A$2:$A$41,0))/365*Assumptions!$B$6</f>
        <v>275.578776986301</v>
      </c>
      <c r="N2326" s="16" t="n">
        <f aca="false">J2326-K2326-L2326-M2326</f>
        <v>20463.8907230137</v>
      </c>
      <c r="O2326" s="16" t="n">
        <f aca="false">F2326*IF(A2326="2025",INDEX(Products!$D$2:$D$13,MATCH(D2326,Products!$A$2:$A$13,0)),INDEX(Products!$F$2:$F$13,MATCH(D2326,Products!$A$2:$A$13,0)))</f>
        <v>13608.36</v>
      </c>
      <c r="P2326" s="16" t="n">
        <f aca="false">N2326-O2326</f>
        <v>6855.5307230137</v>
      </c>
    </row>
    <row r="2327" customFormat="false" ht="15" hidden="false" customHeight="false" outlineLevel="0" collapsed="false">
      <c r="A2327" s="2" t="s">
        <v>119</v>
      </c>
      <c r="B2327" s="2" t="n">
        <v>10</v>
      </c>
      <c r="C2327" s="2" t="s">
        <v>96</v>
      </c>
      <c r="D2327" s="2" t="s">
        <v>43</v>
      </c>
      <c r="E2327" s="2" t="str">
        <f aca="false">INDEX(Products!$B$2:$B$13,MATCH(D2327,Products!$A$2:$A$13,0))</f>
        <v>Hydroprocessing</v>
      </c>
      <c r="F2327" s="15" t="n">
        <v>1.6</v>
      </c>
      <c r="G2327" s="16" t="n">
        <f aca="false">IF(A2327="2025",INDEX(Products!$C$2:$C$13,MATCH(D2327,Products!$A$2:$A$13,0)),INDEX(Products!$E$2:$E$13,MATCH(D2327,Products!$A$2:$A$13,0)))</f>
        <v>12190.5</v>
      </c>
      <c r="H2327" s="13" t="n">
        <f aca="false">IF(A2327="2025",INDEX(Customers!$D$2:$D$41,MATCH(C2327,Customers!$A$2:$A$41,0)),INDEX(Customers!$F$2:$F$41,MATCH(C2327,Customers!$A$2:$A$41,0)))</f>
        <v>0.045</v>
      </c>
      <c r="I2327" s="16" t="n">
        <f aca="false">F2327*G2327</f>
        <v>19504.8</v>
      </c>
      <c r="J2327" s="16" t="n">
        <f aca="false">I2327*(1-H2327)</f>
        <v>18627.084</v>
      </c>
      <c r="K2327" s="16" t="n">
        <f aca="false">J2327*INDEX(Customers!$G$2:$G$41,MATCH(C2327,Customers!$A$2:$A$41,0))</f>
        <v>0</v>
      </c>
      <c r="L2327" s="16" t="n">
        <f aca="false">F2327*INDEX(Customers!$H$2:$H$41,MATCH(C2327,Customers!$A$2:$A$41,0))</f>
        <v>192</v>
      </c>
      <c r="M2327" s="16" t="n">
        <f aca="false">J2327*INDEX(Customers!$I$2:$I$41,MATCH(C2327,Customers!$A$2:$A$41,0))/365*Assumptions!$B$6</f>
        <v>244.958912876712</v>
      </c>
      <c r="N2327" s="16" t="n">
        <f aca="false">J2327-K2327-L2327-M2327</f>
        <v>18190.1250871233</v>
      </c>
      <c r="O2327" s="16" t="n">
        <f aca="false">F2327*IF(A2327="2025",INDEX(Products!$D$2:$D$13,MATCH(D2327,Products!$A$2:$A$13,0)),INDEX(Products!$F$2:$F$13,MATCH(D2327,Products!$A$2:$A$13,0)))</f>
        <v>12096.32</v>
      </c>
      <c r="P2327" s="16" t="n">
        <f aca="false">N2327-O2327</f>
        <v>6093.80508712329</v>
      </c>
    </row>
    <row r="2328" customFormat="false" ht="15" hidden="false" customHeight="false" outlineLevel="0" collapsed="false">
      <c r="A2328" s="2" t="s">
        <v>119</v>
      </c>
      <c r="B2328" s="2" t="n">
        <v>11</v>
      </c>
      <c r="C2328" s="2" t="s">
        <v>96</v>
      </c>
      <c r="D2328" s="2" t="s">
        <v>43</v>
      </c>
      <c r="E2328" s="2" t="str">
        <f aca="false">INDEX(Products!$B$2:$B$13,MATCH(D2328,Products!$A$2:$A$13,0))</f>
        <v>Hydroprocessing</v>
      </c>
      <c r="F2328" s="15" t="n">
        <v>1.1</v>
      </c>
      <c r="G2328" s="16" t="n">
        <f aca="false">IF(A2328="2025",INDEX(Products!$C$2:$C$13,MATCH(D2328,Products!$A$2:$A$13,0)),INDEX(Products!$E$2:$E$13,MATCH(D2328,Products!$A$2:$A$13,0)))</f>
        <v>12190.5</v>
      </c>
      <c r="H2328" s="13" t="n">
        <f aca="false">IF(A2328="2025",INDEX(Customers!$D$2:$D$41,MATCH(C2328,Customers!$A$2:$A$41,0)),INDEX(Customers!$F$2:$F$41,MATCH(C2328,Customers!$A$2:$A$41,0)))</f>
        <v>0.045</v>
      </c>
      <c r="I2328" s="16" t="n">
        <f aca="false">F2328*G2328</f>
        <v>13409.55</v>
      </c>
      <c r="J2328" s="16" t="n">
        <f aca="false">I2328*(1-H2328)</f>
        <v>12806.12025</v>
      </c>
      <c r="K2328" s="16" t="n">
        <f aca="false">J2328*INDEX(Customers!$G$2:$G$41,MATCH(C2328,Customers!$A$2:$A$41,0))</f>
        <v>0</v>
      </c>
      <c r="L2328" s="16" t="n">
        <f aca="false">F2328*INDEX(Customers!$H$2:$H$41,MATCH(C2328,Customers!$A$2:$A$41,0))</f>
        <v>132</v>
      </c>
      <c r="M2328" s="16" t="n">
        <f aca="false">J2328*INDEX(Customers!$I$2:$I$41,MATCH(C2328,Customers!$A$2:$A$41,0))/365*Assumptions!$B$6</f>
        <v>168.40925260274</v>
      </c>
      <c r="N2328" s="16" t="n">
        <f aca="false">J2328-K2328-L2328-M2328</f>
        <v>12505.7109973973</v>
      </c>
      <c r="O2328" s="16" t="n">
        <f aca="false">F2328*IF(A2328="2025",INDEX(Products!$D$2:$D$13,MATCH(D2328,Products!$A$2:$A$13,0)),INDEX(Products!$F$2:$F$13,MATCH(D2328,Products!$A$2:$A$13,0)))</f>
        <v>8316.22</v>
      </c>
      <c r="P2328" s="16" t="n">
        <f aca="false">N2328-O2328</f>
        <v>4189.49099739726</v>
      </c>
    </row>
    <row r="2329" customFormat="false" ht="15" hidden="false" customHeight="false" outlineLevel="0" collapsed="false">
      <c r="A2329" s="2" t="s">
        <v>119</v>
      </c>
      <c r="B2329" s="2" t="n">
        <v>12</v>
      </c>
      <c r="C2329" s="2" t="s">
        <v>96</v>
      </c>
      <c r="D2329" s="2" t="s">
        <v>43</v>
      </c>
      <c r="E2329" s="2" t="str">
        <f aca="false">INDEX(Products!$B$2:$B$13,MATCH(D2329,Products!$A$2:$A$13,0))</f>
        <v>Hydroprocessing</v>
      </c>
      <c r="F2329" s="15" t="n">
        <v>1.5</v>
      </c>
      <c r="G2329" s="16" t="n">
        <f aca="false">IF(A2329="2025",INDEX(Products!$C$2:$C$13,MATCH(D2329,Products!$A$2:$A$13,0)),INDEX(Products!$E$2:$E$13,MATCH(D2329,Products!$A$2:$A$13,0)))</f>
        <v>12190.5</v>
      </c>
      <c r="H2329" s="13" t="n">
        <f aca="false">IF(A2329="2025",INDEX(Customers!$D$2:$D$41,MATCH(C2329,Customers!$A$2:$A$41,0)),INDEX(Customers!$F$2:$F$41,MATCH(C2329,Customers!$A$2:$A$41,0)))</f>
        <v>0.045</v>
      </c>
      <c r="I2329" s="16" t="n">
        <f aca="false">F2329*G2329</f>
        <v>18285.75</v>
      </c>
      <c r="J2329" s="16" t="n">
        <f aca="false">I2329*(1-H2329)</f>
        <v>17462.89125</v>
      </c>
      <c r="K2329" s="16" t="n">
        <f aca="false">J2329*INDEX(Customers!$G$2:$G$41,MATCH(C2329,Customers!$A$2:$A$41,0))</f>
        <v>0</v>
      </c>
      <c r="L2329" s="16" t="n">
        <f aca="false">F2329*INDEX(Customers!$H$2:$H$41,MATCH(C2329,Customers!$A$2:$A$41,0))</f>
        <v>180</v>
      </c>
      <c r="M2329" s="16" t="n">
        <f aca="false">J2329*INDEX(Customers!$I$2:$I$41,MATCH(C2329,Customers!$A$2:$A$41,0))/365*Assumptions!$B$6</f>
        <v>229.648980821918</v>
      </c>
      <c r="N2329" s="16" t="n">
        <f aca="false">J2329-K2329-L2329-M2329</f>
        <v>17053.2422691781</v>
      </c>
      <c r="O2329" s="16" t="n">
        <f aca="false">F2329*IF(A2329="2025",INDEX(Products!$D$2:$D$13,MATCH(D2329,Products!$A$2:$A$13,0)),INDEX(Products!$F$2:$F$13,MATCH(D2329,Products!$A$2:$A$13,0)))</f>
        <v>11340.3</v>
      </c>
      <c r="P2329" s="16" t="n">
        <f aca="false">N2329-O2329</f>
        <v>5712.94226917808</v>
      </c>
    </row>
    <row r="2330" customFormat="false" ht="15" hidden="false" customHeight="false" outlineLevel="0" collapsed="false">
      <c r="A2330" s="2" t="s">
        <v>118</v>
      </c>
      <c r="B2330" s="2" t="n">
        <v>1</v>
      </c>
      <c r="C2330" s="2" t="s">
        <v>97</v>
      </c>
      <c r="D2330" s="2" t="s">
        <v>42</v>
      </c>
      <c r="E2330" s="2" t="str">
        <f aca="false">INDEX(Products!$B$2:$B$13,MATCH(D2330,Products!$A$2:$A$13,0))</f>
        <v>Hydroprocessing</v>
      </c>
      <c r="F2330" s="15" t="n">
        <v>8.9</v>
      </c>
      <c r="G2330" s="16" t="n">
        <f aca="false">IF(A2330="2025",INDEX(Products!$C$2:$C$13,MATCH(D2330,Products!$A$2:$A$13,0)),INDEX(Products!$E$2:$E$13,MATCH(D2330,Products!$A$2:$A$13,0)))</f>
        <v>12450</v>
      </c>
      <c r="H2330" s="13" t="n">
        <f aca="false">IF(A2330="2025",INDEX(Customers!$D$2:$D$41,MATCH(C2330,Customers!$A$2:$A$41,0)),INDEX(Customers!$F$2:$F$41,MATCH(C2330,Customers!$A$2:$A$41,0)))</f>
        <v>0.143</v>
      </c>
      <c r="I2330" s="16" t="n">
        <f aca="false">F2330*G2330</f>
        <v>110805</v>
      </c>
      <c r="J2330" s="16" t="n">
        <f aca="false">I2330*(1-H2330)</f>
        <v>94959.885</v>
      </c>
      <c r="K2330" s="16" t="n">
        <f aca="false">J2330*INDEX(Customers!$G$2:$G$41,MATCH(C2330,Customers!$A$2:$A$41,0))</f>
        <v>0</v>
      </c>
      <c r="L2330" s="16" t="n">
        <f aca="false">F2330*INDEX(Customers!$H$2:$H$41,MATCH(C2330,Customers!$A$2:$A$41,0))</f>
        <v>1691</v>
      </c>
      <c r="M2330" s="16" t="n">
        <f aca="false">J2330*INDEX(Customers!$I$2:$I$41,MATCH(C2330,Customers!$A$2:$A$41,0))/365*Assumptions!$B$6</f>
        <v>1248.78752876712</v>
      </c>
      <c r="N2330" s="16" t="n">
        <f aca="false">J2330-K2330-L2330-M2330</f>
        <v>92020.0974712329</v>
      </c>
      <c r="O2330" s="16" t="n">
        <f aca="false">F2330*IF(A2330="2025",INDEX(Products!$D$2:$D$13,MATCH(D2330,Products!$A$2:$A$13,0)),INDEX(Products!$F$2:$F$13,MATCH(D2330,Products!$A$2:$A$13,0)))</f>
        <v>69242</v>
      </c>
      <c r="P2330" s="16" t="n">
        <f aca="false">N2330-O2330</f>
        <v>22778.0974712329</v>
      </c>
    </row>
    <row r="2331" customFormat="false" ht="15" hidden="false" customHeight="false" outlineLevel="0" collapsed="false">
      <c r="A2331" s="2" t="s">
        <v>118</v>
      </c>
      <c r="B2331" s="2" t="n">
        <v>2</v>
      </c>
      <c r="C2331" s="2" t="s">
        <v>97</v>
      </c>
      <c r="D2331" s="2" t="s">
        <v>42</v>
      </c>
      <c r="E2331" s="2" t="str">
        <f aca="false">INDEX(Products!$B$2:$B$13,MATCH(D2331,Products!$A$2:$A$13,0))</f>
        <v>Hydroprocessing</v>
      </c>
      <c r="F2331" s="15" t="n">
        <v>11.1</v>
      </c>
      <c r="G2331" s="16" t="n">
        <f aca="false">IF(A2331="2025",INDEX(Products!$C$2:$C$13,MATCH(D2331,Products!$A$2:$A$13,0)),INDEX(Products!$E$2:$E$13,MATCH(D2331,Products!$A$2:$A$13,0)))</f>
        <v>12450</v>
      </c>
      <c r="H2331" s="13" t="n">
        <f aca="false">IF(A2331="2025",INDEX(Customers!$D$2:$D$41,MATCH(C2331,Customers!$A$2:$A$41,0)),INDEX(Customers!$F$2:$F$41,MATCH(C2331,Customers!$A$2:$A$41,0)))</f>
        <v>0.143</v>
      </c>
      <c r="I2331" s="16" t="n">
        <f aca="false">F2331*G2331</f>
        <v>138195</v>
      </c>
      <c r="J2331" s="16" t="n">
        <f aca="false">I2331*(1-H2331)</f>
        <v>118433.115</v>
      </c>
      <c r="K2331" s="16" t="n">
        <f aca="false">J2331*INDEX(Customers!$G$2:$G$41,MATCH(C2331,Customers!$A$2:$A$41,0))</f>
        <v>0</v>
      </c>
      <c r="L2331" s="16" t="n">
        <f aca="false">F2331*INDEX(Customers!$H$2:$H$41,MATCH(C2331,Customers!$A$2:$A$41,0))</f>
        <v>2109</v>
      </c>
      <c r="M2331" s="16" t="n">
        <f aca="false">J2331*INDEX(Customers!$I$2:$I$41,MATCH(C2331,Customers!$A$2:$A$41,0))/365*Assumptions!$B$6</f>
        <v>1557.47658082192</v>
      </c>
      <c r="N2331" s="16" t="n">
        <f aca="false">J2331-K2331-L2331-M2331</f>
        <v>114766.638419178</v>
      </c>
      <c r="O2331" s="16" t="n">
        <f aca="false">F2331*IF(A2331="2025",INDEX(Products!$D$2:$D$13,MATCH(D2331,Products!$A$2:$A$13,0)),INDEX(Products!$F$2:$F$13,MATCH(D2331,Products!$A$2:$A$13,0)))</f>
        <v>86358</v>
      </c>
      <c r="P2331" s="16" t="n">
        <f aca="false">N2331-O2331</f>
        <v>28408.6384191781</v>
      </c>
    </row>
    <row r="2332" customFormat="false" ht="15" hidden="false" customHeight="false" outlineLevel="0" collapsed="false">
      <c r="A2332" s="2" t="s">
        <v>118</v>
      </c>
      <c r="B2332" s="2" t="n">
        <v>3</v>
      </c>
      <c r="C2332" s="2" t="s">
        <v>97</v>
      </c>
      <c r="D2332" s="2" t="s">
        <v>42</v>
      </c>
      <c r="E2332" s="2" t="str">
        <f aca="false">INDEX(Products!$B$2:$B$13,MATCH(D2332,Products!$A$2:$A$13,0))</f>
        <v>Hydroprocessing</v>
      </c>
      <c r="F2332" s="15" t="n">
        <v>12</v>
      </c>
      <c r="G2332" s="16" t="n">
        <f aca="false">IF(A2332="2025",INDEX(Products!$C$2:$C$13,MATCH(D2332,Products!$A$2:$A$13,0)),INDEX(Products!$E$2:$E$13,MATCH(D2332,Products!$A$2:$A$13,0)))</f>
        <v>12450</v>
      </c>
      <c r="H2332" s="13" t="n">
        <f aca="false">IF(A2332="2025",INDEX(Customers!$D$2:$D$41,MATCH(C2332,Customers!$A$2:$A$41,0)),INDEX(Customers!$F$2:$F$41,MATCH(C2332,Customers!$A$2:$A$41,0)))</f>
        <v>0.143</v>
      </c>
      <c r="I2332" s="16" t="n">
        <f aca="false">F2332*G2332</f>
        <v>149400</v>
      </c>
      <c r="J2332" s="16" t="n">
        <f aca="false">I2332*(1-H2332)</f>
        <v>128035.8</v>
      </c>
      <c r="K2332" s="16" t="n">
        <f aca="false">J2332*INDEX(Customers!$G$2:$G$41,MATCH(C2332,Customers!$A$2:$A$41,0))</f>
        <v>0</v>
      </c>
      <c r="L2332" s="16" t="n">
        <f aca="false">F2332*INDEX(Customers!$H$2:$H$41,MATCH(C2332,Customers!$A$2:$A$41,0))</f>
        <v>2280</v>
      </c>
      <c r="M2332" s="16" t="n">
        <f aca="false">J2332*INDEX(Customers!$I$2:$I$41,MATCH(C2332,Customers!$A$2:$A$41,0))/365*Assumptions!$B$6</f>
        <v>1683.75846575342</v>
      </c>
      <c r="N2332" s="16" t="n">
        <f aca="false">J2332-K2332-L2332-M2332</f>
        <v>124072.041534247</v>
      </c>
      <c r="O2332" s="16" t="n">
        <f aca="false">F2332*IF(A2332="2025",INDEX(Products!$D$2:$D$13,MATCH(D2332,Products!$A$2:$A$13,0)),INDEX(Products!$F$2:$F$13,MATCH(D2332,Products!$A$2:$A$13,0)))</f>
        <v>93360</v>
      </c>
      <c r="P2332" s="16" t="n">
        <f aca="false">N2332-O2332</f>
        <v>30712.0415342466</v>
      </c>
    </row>
    <row r="2333" customFormat="false" ht="15" hidden="false" customHeight="false" outlineLevel="0" collapsed="false">
      <c r="A2333" s="2" t="s">
        <v>118</v>
      </c>
      <c r="B2333" s="2" t="n">
        <v>4</v>
      </c>
      <c r="C2333" s="2" t="s">
        <v>97</v>
      </c>
      <c r="D2333" s="2" t="s">
        <v>42</v>
      </c>
      <c r="E2333" s="2" t="str">
        <f aca="false">INDEX(Products!$B$2:$B$13,MATCH(D2333,Products!$A$2:$A$13,0))</f>
        <v>Hydroprocessing</v>
      </c>
      <c r="F2333" s="15" t="n">
        <v>15.8</v>
      </c>
      <c r="G2333" s="16" t="n">
        <f aca="false">IF(A2333="2025",INDEX(Products!$C$2:$C$13,MATCH(D2333,Products!$A$2:$A$13,0)),INDEX(Products!$E$2:$E$13,MATCH(D2333,Products!$A$2:$A$13,0)))</f>
        <v>12450</v>
      </c>
      <c r="H2333" s="13" t="n">
        <f aca="false">IF(A2333="2025",INDEX(Customers!$D$2:$D$41,MATCH(C2333,Customers!$A$2:$A$41,0)),INDEX(Customers!$F$2:$F$41,MATCH(C2333,Customers!$A$2:$A$41,0)))</f>
        <v>0.143</v>
      </c>
      <c r="I2333" s="16" t="n">
        <f aca="false">F2333*G2333</f>
        <v>196710</v>
      </c>
      <c r="J2333" s="16" t="n">
        <f aca="false">I2333*(1-H2333)</f>
        <v>168580.47</v>
      </c>
      <c r="K2333" s="16" t="n">
        <f aca="false">J2333*INDEX(Customers!$G$2:$G$41,MATCH(C2333,Customers!$A$2:$A$41,0))</f>
        <v>0</v>
      </c>
      <c r="L2333" s="16" t="n">
        <f aca="false">F2333*INDEX(Customers!$H$2:$H$41,MATCH(C2333,Customers!$A$2:$A$41,0))</f>
        <v>3002</v>
      </c>
      <c r="M2333" s="16" t="n">
        <f aca="false">J2333*INDEX(Customers!$I$2:$I$41,MATCH(C2333,Customers!$A$2:$A$41,0))/365*Assumptions!$B$6</f>
        <v>2216.94864657534</v>
      </c>
      <c r="N2333" s="16" t="n">
        <f aca="false">J2333-K2333-L2333-M2333</f>
        <v>163361.521353425</v>
      </c>
      <c r="O2333" s="16" t="n">
        <f aca="false">F2333*IF(A2333="2025",INDEX(Products!$D$2:$D$13,MATCH(D2333,Products!$A$2:$A$13,0)),INDEX(Products!$F$2:$F$13,MATCH(D2333,Products!$A$2:$A$13,0)))</f>
        <v>122924</v>
      </c>
      <c r="P2333" s="16" t="n">
        <f aca="false">N2333-O2333</f>
        <v>40437.5213534247</v>
      </c>
    </row>
    <row r="2334" customFormat="false" ht="15" hidden="false" customHeight="false" outlineLevel="0" collapsed="false">
      <c r="A2334" s="2" t="s">
        <v>118</v>
      </c>
      <c r="B2334" s="2" t="n">
        <v>5</v>
      </c>
      <c r="C2334" s="2" t="s">
        <v>97</v>
      </c>
      <c r="D2334" s="2" t="s">
        <v>42</v>
      </c>
      <c r="E2334" s="2" t="str">
        <f aca="false">INDEX(Products!$B$2:$B$13,MATCH(D2334,Products!$A$2:$A$13,0))</f>
        <v>Hydroprocessing</v>
      </c>
      <c r="F2334" s="15" t="n">
        <v>16</v>
      </c>
      <c r="G2334" s="16" t="n">
        <f aca="false">IF(A2334="2025",INDEX(Products!$C$2:$C$13,MATCH(D2334,Products!$A$2:$A$13,0)),INDEX(Products!$E$2:$E$13,MATCH(D2334,Products!$A$2:$A$13,0)))</f>
        <v>12450</v>
      </c>
      <c r="H2334" s="13" t="n">
        <f aca="false">IF(A2334="2025",INDEX(Customers!$D$2:$D$41,MATCH(C2334,Customers!$A$2:$A$41,0)),INDEX(Customers!$F$2:$F$41,MATCH(C2334,Customers!$A$2:$A$41,0)))</f>
        <v>0.143</v>
      </c>
      <c r="I2334" s="16" t="n">
        <f aca="false">F2334*G2334</f>
        <v>199200</v>
      </c>
      <c r="J2334" s="16" t="n">
        <f aca="false">I2334*(1-H2334)</f>
        <v>170714.4</v>
      </c>
      <c r="K2334" s="16" t="n">
        <f aca="false">J2334*INDEX(Customers!$G$2:$G$41,MATCH(C2334,Customers!$A$2:$A$41,0))</f>
        <v>0</v>
      </c>
      <c r="L2334" s="16" t="n">
        <f aca="false">F2334*INDEX(Customers!$H$2:$H$41,MATCH(C2334,Customers!$A$2:$A$41,0))</f>
        <v>3040</v>
      </c>
      <c r="M2334" s="16" t="n">
        <f aca="false">J2334*INDEX(Customers!$I$2:$I$41,MATCH(C2334,Customers!$A$2:$A$41,0))/365*Assumptions!$B$6</f>
        <v>2245.01128767123</v>
      </c>
      <c r="N2334" s="16" t="n">
        <f aca="false">J2334-K2334-L2334-M2334</f>
        <v>165429.388712329</v>
      </c>
      <c r="O2334" s="16" t="n">
        <f aca="false">F2334*IF(A2334="2025",INDEX(Products!$D$2:$D$13,MATCH(D2334,Products!$A$2:$A$13,0)),INDEX(Products!$F$2:$F$13,MATCH(D2334,Products!$A$2:$A$13,0)))</f>
        <v>124480</v>
      </c>
      <c r="P2334" s="16" t="n">
        <f aca="false">N2334-O2334</f>
        <v>40949.3887123288</v>
      </c>
    </row>
    <row r="2335" customFormat="false" ht="15" hidden="false" customHeight="false" outlineLevel="0" collapsed="false">
      <c r="A2335" s="2" t="s">
        <v>118</v>
      </c>
      <c r="B2335" s="2" t="n">
        <v>6</v>
      </c>
      <c r="C2335" s="2" t="s">
        <v>97</v>
      </c>
      <c r="D2335" s="2" t="s">
        <v>42</v>
      </c>
      <c r="E2335" s="2" t="str">
        <f aca="false">INDEX(Products!$B$2:$B$13,MATCH(D2335,Products!$A$2:$A$13,0))</f>
        <v>Hydroprocessing</v>
      </c>
      <c r="F2335" s="15" t="n">
        <v>9.3</v>
      </c>
      <c r="G2335" s="16" t="n">
        <f aca="false">IF(A2335="2025",INDEX(Products!$C$2:$C$13,MATCH(D2335,Products!$A$2:$A$13,0)),INDEX(Products!$E$2:$E$13,MATCH(D2335,Products!$A$2:$A$13,0)))</f>
        <v>12450</v>
      </c>
      <c r="H2335" s="13" t="n">
        <f aca="false">IF(A2335="2025",INDEX(Customers!$D$2:$D$41,MATCH(C2335,Customers!$A$2:$A$41,0)),INDEX(Customers!$F$2:$F$41,MATCH(C2335,Customers!$A$2:$A$41,0)))</f>
        <v>0.143</v>
      </c>
      <c r="I2335" s="16" t="n">
        <f aca="false">F2335*G2335</f>
        <v>115785</v>
      </c>
      <c r="J2335" s="16" t="n">
        <f aca="false">I2335*(1-H2335)</f>
        <v>99227.745</v>
      </c>
      <c r="K2335" s="16" t="n">
        <f aca="false">J2335*INDEX(Customers!$G$2:$G$41,MATCH(C2335,Customers!$A$2:$A$41,0))</f>
        <v>0</v>
      </c>
      <c r="L2335" s="16" t="n">
        <f aca="false">F2335*INDEX(Customers!$H$2:$H$41,MATCH(C2335,Customers!$A$2:$A$41,0))</f>
        <v>1767</v>
      </c>
      <c r="M2335" s="16" t="n">
        <f aca="false">J2335*INDEX(Customers!$I$2:$I$41,MATCH(C2335,Customers!$A$2:$A$41,0))/365*Assumptions!$B$6</f>
        <v>1304.9128109589</v>
      </c>
      <c r="N2335" s="16" t="n">
        <f aca="false">J2335-K2335-L2335-M2335</f>
        <v>96155.8321890411</v>
      </c>
      <c r="O2335" s="16" t="n">
        <f aca="false">F2335*IF(A2335="2025",INDEX(Products!$D$2:$D$13,MATCH(D2335,Products!$A$2:$A$13,0)),INDEX(Products!$F$2:$F$13,MATCH(D2335,Products!$A$2:$A$13,0)))</f>
        <v>72354</v>
      </c>
      <c r="P2335" s="16" t="n">
        <f aca="false">N2335-O2335</f>
        <v>23801.8321890411</v>
      </c>
    </row>
    <row r="2336" customFormat="false" ht="15" hidden="false" customHeight="false" outlineLevel="0" collapsed="false">
      <c r="A2336" s="2" t="s">
        <v>118</v>
      </c>
      <c r="B2336" s="2" t="n">
        <v>7</v>
      </c>
      <c r="C2336" s="2" t="s">
        <v>97</v>
      </c>
      <c r="D2336" s="2" t="s">
        <v>42</v>
      </c>
      <c r="E2336" s="2" t="str">
        <f aca="false">INDEX(Products!$B$2:$B$13,MATCH(D2336,Products!$A$2:$A$13,0))</f>
        <v>Hydroprocessing</v>
      </c>
      <c r="F2336" s="15" t="n">
        <v>13.3</v>
      </c>
      <c r="G2336" s="16" t="n">
        <f aca="false">IF(A2336="2025",INDEX(Products!$C$2:$C$13,MATCH(D2336,Products!$A$2:$A$13,0)),INDEX(Products!$E$2:$E$13,MATCH(D2336,Products!$A$2:$A$13,0)))</f>
        <v>12450</v>
      </c>
      <c r="H2336" s="13" t="n">
        <f aca="false">IF(A2336="2025",INDEX(Customers!$D$2:$D$41,MATCH(C2336,Customers!$A$2:$A$41,0)),INDEX(Customers!$F$2:$F$41,MATCH(C2336,Customers!$A$2:$A$41,0)))</f>
        <v>0.143</v>
      </c>
      <c r="I2336" s="16" t="n">
        <f aca="false">F2336*G2336</f>
        <v>165585</v>
      </c>
      <c r="J2336" s="16" t="n">
        <f aca="false">I2336*(1-H2336)</f>
        <v>141906.345</v>
      </c>
      <c r="K2336" s="16" t="n">
        <f aca="false">J2336*INDEX(Customers!$G$2:$G$41,MATCH(C2336,Customers!$A$2:$A$41,0))</f>
        <v>0</v>
      </c>
      <c r="L2336" s="16" t="n">
        <f aca="false">F2336*INDEX(Customers!$H$2:$H$41,MATCH(C2336,Customers!$A$2:$A$41,0))</f>
        <v>2527</v>
      </c>
      <c r="M2336" s="16" t="n">
        <f aca="false">J2336*INDEX(Customers!$I$2:$I$41,MATCH(C2336,Customers!$A$2:$A$41,0))/365*Assumptions!$B$6</f>
        <v>1866.16563287671</v>
      </c>
      <c r="N2336" s="16" t="n">
        <f aca="false">J2336-K2336-L2336-M2336</f>
        <v>137513.179367123</v>
      </c>
      <c r="O2336" s="16" t="n">
        <f aca="false">F2336*IF(A2336="2025",INDEX(Products!$D$2:$D$13,MATCH(D2336,Products!$A$2:$A$13,0)),INDEX(Products!$F$2:$F$13,MATCH(D2336,Products!$A$2:$A$13,0)))</f>
        <v>103474</v>
      </c>
      <c r="P2336" s="16" t="n">
        <f aca="false">N2336-O2336</f>
        <v>34039.1793671233</v>
      </c>
    </row>
    <row r="2337" customFormat="false" ht="15" hidden="false" customHeight="false" outlineLevel="0" collapsed="false">
      <c r="A2337" s="2" t="s">
        <v>118</v>
      </c>
      <c r="B2337" s="2" t="n">
        <v>8</v>
      </c>
      <c r="C2337" s="2" t="s">
        <v>97</v>
      </c>
      <c r="D2337" s="2" t="s">
        <v>42</v>
      </c>
      <c r="E2337" s="2" t="str">
        <f aca="false">INDEX(Products!$B$2:$B$13,MATCH(D2337,Products!$A$2:$A$13,0))</f>
        <v>Hydroprocessing</v>
      </c>
      <c r="F2337" s="15" t="n">
        <v>11.6</v>
      </c>
      <c r="G2337" s="16" t="n">
        <f aca="false">IF(A2337="2025",INDEX(Products!$C$2:$C$13,MATCH(D2337,Products!$A$2:$A$13,0)),INDEX(Products!$E$2:$E$13,MATCH(D2337,Products!$A$2:$A$13,0)))</f>
        <v>12450</v>
      </c>
      <c r="H2337" s="13" t="n">
        <f aca="false">IF(A2337="2025",INDEX(Customers!$D$2:$D$41,MATCH(C2337,Customers!$A$2:$A$41,0)),INDEX(Customers!$F$2:$F$41,MATCH(C2337,Customers!$A$2:$A$41,0)))</f>
        <v>0.143</v>
      </c>
      <c r="I2337" s="16" t="n">
        <f aca="false">F2337*G2337</f>
        <v>144420</v>
      </c>
      <c r="J2337" s="16" t="n">
        <f aca="false">I2337*(1-H2337)</f>
        <v>123767.94</v>
      </c>
      <c r="K2337" s="16" t="n">
        <f aca="false">J2337*INDEX(Customers!$G$2:$G$41,MATCH(C2337,Customers!$A$2:$A$41,0))</f>
        <v>0</v>
      </c>
      <c r="L2337" s="16" t="n">
        <f aca="false">F2337*INDEX(Customers!$H$2:$H$41,MATCH(C2337,Customers!$A$2:$A$41,0))</f>
        <v>2204</v>
      </c>
      <c r="M2337" s="16" t="n">
        <f aca="false">J2337*INDEX(Customers!$I$2:$I$41,MATCH(C2337,Customers!$A$2:$A$41,0))/365*Assumptions!$B$6</f>
        <v>1627.63318356164</v>
      </c>
      <c r="N2337" s="16" t="n">
        <f aca="false">J2337-K2337-L2337-M2337</f>
        <v>119936.306816438</v>
      </c>
      <c r="O2337" s="16" t="n">
        <f aca="false">F2337*IF(A2337="2025",INDEX(Products!$D$2:$D$13,MATCH(D2337,Products!$A$2:$A$13,0)),INDEX(Products!$F$2:$F$13,MATCH(D2337,Products!$A$2:$A$13,0)))</f>
        <v>90248</v>
      </c>
      <c r="P2337" s="16" t="n">
        <f aca="false">N2337-O2337</f>
        <v>29688.3068164384</v>
      </c>
    </row>
    <row r="2338" customFormat="false" ht="15" hidden="false" customHeight="false" outlineLevel="0" collapsed="false">
      <c r="A2338" s="2" t="s">
        <v>118</v>
      </c>
      <c r="B2338" s="2" t="n">
        <v>9</v>
      </c>
      <c r="C2338" s="2" t="s">
        <v>97</v>
      </c>
      <c r="D2338" s="2" t="s">
        <v>42</v>
      </c>
      <c r="E2338" s="2" t="str">
        <f aca="false">INDEX(Products!$B$2:$B$13,MATCH(D2338,Products!$A$2:$A$13,0))</f>
        <v>Hydroprocessing</v>
      </c>
      <c r="F2338" s="15" t="n">
        <v>13.9</v>
      </c>
      <c r="G2338" s="16" t="n">
        <f aca="false">IF(A2338="2025",INDEX(Products!$C$2:$C$13,MATCH(D2338,Products!$A$2:$A$13,0)),INDEX(Products!$E$2:$E$13,MATCH(D2338,Products!$A$2:$A$13,0)))</f>
        <v>12450</v>
      </c>
      <c r="H2338" s="13" t="n">
        <f aca="false">IF(A2338="2025",INDEX(Customers!$D$2:$D$41,MATCH(C2338,Customers!$A$2:$A$41,0)),INDEX(Customers!$F$2:$F$41,MATCH(C2338,Customers!$A$2:$A$41,0)))</f>
        <v>0.143</v>
      </c>
      <c r="I2338" s="16" t="n">
        <f aca="false">F2338*G2338</f>
        <v>173055</v>
      </c>
      <c r="J2338" s="16" t="n">
        <f aca="false">I2338*(1-H2338)</f>
        <v>148308.135</v>
      </c>
      <c r="K2338" s="16" t="n">
        <f aca="false">J2338*INDEX(Customers!$G$2:$G$41,MATCH(C2338,Customers!$A$2:$A$41,0))</f>
        <v>0</v>
      </c>
      <c r="L2338" s="16" t="n">
        <f aca="false">F2338*INDEX(Customers!$H$2:$H$41,MATCH(C2338,Customers!$A$2:$A$41,0))</f>
        <v>2641</v>
      </c>
      <c r="M2338" s="16" t="n">
        <f aca="false">J2338*INDEX(Customers!$I$2:$I$41,MATCH(C2338,Customers!$A$2:$A$41,0))/365*Assumptions!$B$6</f>
        <v>1950.35355616438</v>
      </c>
      <c r="N2338" s="16" t="n">
        <f aca="false">J2338-K2338-L2338-M2338</f>
        <v>143716.781443836</v>
      </c>
      <c r="O2338" s="16" t="n">
        <f aca="false">F2338*IF(A2338="2025",INDEX(Products!$D$2:$D$13,MATCH(D2338,Products!$A$2:$A$13,0)),INDEX(Products!$F$2:$F$13,MATCH(D2338,Products!$A$2:$A$13,0)))</f>
        <v>108142</v>
      </c>
      <c r="P2338" s="16" t="n">
        <f aca="false">N2338-O2338</f>
        <v>35574.7814438356</v>
      </c>
    </row>
    <row r="2339" customFormat="false" ht="15" hidden="false" customHeight="false" outlineLevel="0" collapsed="false">
      <c r="A2339" s="2" t="s">
        <v>118</v>
      </c>
      <c r="B2339" s="2" t="n">
        <v>10</v>
      </c>
      <c r="C2339" s="2" t="s">
        <v>97</v>
      </c>
      <c r="D2339" s="2" t="s">
        <v>42</v>
      </c>
      <c r="E2339" s="2" t="str">
        <f aca="false">INDEX(Products!$B$2:$B$13,MATCH(D2339,Products!$A$2:$A$13,0))</f>
        <v>Hydroprocessing</v>
      </c>
      <c r="F2339" s="15" t="n">
        <v>15.4</v>
      </c>
      <c r="G2339" s="16" t="n">
        <f aca="false">IF(A2339="2025",INDEX(Products!$C$2:$C$13,MATCH(D2339,Products!$A$2:$A$13,0)),INDEX(Products!$E$2:$E$13,MATCH(D2339,Products!$A$2:$A$13,0)))</f>
        <v>12450</v>
      </c>
      <c r="H2339" s="13" t="n">
        <f aca="false">IF(A2339="2025",INDEX(Customers!$D$2:$D$41,MATCH(C2339,Customers!$A$2:$A$41,0)),INDEX(Customers!$F$2:$F$41,MATCH(C2339,Customers!$A$2:$A$41,0)))</f>
        <v>0.143</v>
      </c>
      <c r="I2339" s="16" t="n">
        <f aca="false">F2339*G2339</f>
        <v>191730</v>
      </c>
      <c r="J2339" s="16" t="n">
        <f aca="false">I2339*(1-H2339)</f>
        <v>164312.61</v>
      </c>
      <c r="K2339" s="16" t="n">
        <f aca="false">J2339*INDEX(Customers!$G$2:$G$41,MATCH(C2339,Customers!$A$2:$A$41,0))</f>
        <v>0</v>
      </c>
      <c r="L2339" s="16" t="n">
        <f aca="false">F2339*INDEX(Customers!$H$2:$H$41,MATCH(C2339,Customers!$A$2:$A$41,0))</f>
        <v>2926</v>
      </c>
      <c r="M2339" s="16" t="n">
        <f aca="false">J2339*INDEX(Customers!$I$2:$I$41,MATCH(C2339,Customers!$A$2:$A$41,0))/365*Assumptions!$B$6</f>
        <v>2160.82336438356</v>
      </c>
      <c r="N2339" s="16" t="n">
        <f aca="false">J2339-K2339-L2339-M2339</f>
        <v>159225.786635616</v>
      </c>
      <c r="O2339" s="16" t="n">
        <f aca="false">F2339*IF(A2339="2025",INDEX(Products!$D$2:$D$13,MATCH(D2339,Products!$A$2:$A$13,0)),INDEX(Products!$F$2:$F$13,MATCH(D2339,Products!$A$2:$A$13,0)))</f>
        <v>119812</v>
      </c>
      <c r="P2339" s="16" t="n">
        <f aca="false">N2339-O2339</f>
        <v>39413.7866356164</v>
      </c>
    </row>
    <row r="2340" customFormat="false" ht="15" hidden="false" customHeight="false" outlineLevel="0" collapsed="false">
      <c r="A2340" s="2" t="s">
        <v>118</v>
      </c>
      <c r="B2340" s="2" t="n">
        <v>11</v>
      </c>
      <c r="C2340" s="2" t="s">
        <v>97</v>
      </c>
      <c r="D2340" s="2" t="s">
        <v>42</v>
      </c>
      <c r="E2340" s="2" t="str">
        <f aca="false">INDEX(Products!$B$2:$B$13,MATCH(D2340,Products!$A$2:$A$13,0))</f>
        <v>Hydroprocessing</v>
      </c>
      <c r="F2340" s="15" t="n">
        <v>14.3</v>
      </c>
      <c r="G2340" s="16" t="n">
        <f aca="false">IF(A2340="2025",INDEX(Products!$C$2:$C$13,MATCH(D2340,Products!$A$2:$A$13,0)),INDEX(Products!$E$2:$E$13,MATCH(D2340,Products!$A$2:$A$13,0)))</f>
        <v>12450</v>
      </c>
      <c r="H2340" s="13" t="n">
        <f aca="false">IF(A2340="2025",INDEX(Customers!$D$2:$D$41,MATCH(C2340,Customers!$A$2:$A$41,0)),INDEX(Customers!$F$2:$F$41,MATCH(C2340,Customers!$A$2:$A$41,0)))</f>
        <v>0.143</v>
      </c>
      <c r="I2340" s="16" t="n">
        <f aca="false">F2340*G2340</f>
        <v>178035</v>
      </c>
      <c r="J2340" s="16" t="n">
        <f aca="false">I2340*(1-H2340)</f>
        <v>152575.995</v>
      </c>
      <c r="K2340" s="16" t="n">
        <f aca="false">J2340*INDEX(Customers!$G$2:$G$41,MATCH(C2340,Customers!$A$2:$A$41,0))</f>
        <v>0</v>
      </c>
      <c r="L2340" s="16" t="n">
        <f aca="false">F2340*INDEX(Customers!$H$2:$H$41,MATCH(C2340,Customers!$A$2:$A$41,0))</f>
        <v>2717</v>
      </c>
      <c r="M2340" s="16" t="n">
        <f aca="false">J2340*INDEX(Customers!$I$2:$I$41,MATCH(C2340,Customers!$A$2:$A$41,0))/365*Assumptions!$B$6</f>
        <v>2006.47883835616</v>
      </c>
      <c r="N2340" s="16" t="n">
        <f aca="false">J2340-K2340-L2340-M2340</f>
        <v>147852.516161644</v>
      </c>
      <c r="O2340" s="16" t="n">
        <f aca="false">F2340*IF(A2340="2025",INDEX(Products!$D$2:$D$13,MATCH(D2340,Products!$A$2:$A$13,0)),INDEX(Products!$F$2:$F$13,MATCH(D2340,Products!$A$2:$A$13,0)))</f>
        <v>111254</v>
      </c>
      <c r="P2340" s="16" t="n">
        <f aca="false">N2340-O2340</f>
        <v>36598.5161616438</v>
      </c>
    </row>
    <row r="2341" customFormat="false" ht="15" hidden="false" customHeight="false" outlineLevel="0" collapsed="false">
      <c r="A2341" s="2" t="s">
        <v>118</v>
      </c>
      <c r="B2341" s="2" t="n">
        <v>12</v>
      </c>
      <c r="C2341" s="2" t="s">
        <v>97</v>
      </c>
      <c r="D2341" s="2" t="s">
        <v>42</v>
      </c>
      <c r="E2341" s="2" t="str">
        <f aca="false">INDEX(Products!$B$2:$B$13,MATCH(D2341,Products!$A$2:$A$13,0))</f>
        <v>Hydroprocessing</v>
      </c>
      <c r="F2341" s="15" t="n">
        <v>12</v>
      </c>
      <c r="G2341" s="16" t="n">
        <f aca="false">IF(A2341="2025",INDEX(Products!$C$2:$C$13,MATCH(D2341,Products!$A$2:$A$13,0)),INDEX(Products!$E$2:$E$13,MATCH(D2341,Products!$A$2:$A$13,0)))</f>
        <v>12450</v>
      </c>
      <c r="H2341" s="13" t="n">
        <f aca="false">IF(A2341="2025",INDEX(Customers!$D$2:$D$41,MATCH(C2341,Customers!$A$2:$A$41,0)),INDEX(Customers!$F$2:$F$41,MATCH(C2341,Customers!$A$2:$A$41,0)))</f>
        <v>0.143</v>
      </c>
      <c r="I2341" s="16" t="n">
        <f aca="false">F2341*G2341</f>
        <v>149400</v>
      </c>
      <c r="J2341" s="16" t="n">
        <f aca="false">I2341*(1-H2341)</f>
        <v>128035.8</v>
      </c>
      <c r="K2341" s="16" t="n">
        <f aca="false">J2341*INDEX(Customers!$G$2:$G$41,MATCH(C2341,Customers!$A$2:$A$41,0))</f>
        <v>0</v>
      </c>
      <c r="L2341" s="16" t="n">
        <f aca="false">F2341*INDEX(Customers!$H$2:$H$41,MATCH(C2341,Customers!$A$2:$A$41,0))</f>
        <v>2280</v>
      </c>
      <c r="M2341" s="16" t="n">
        <f aca="false">J2341*INDEX(Customers!$I$2:$I$41,MATCH(C2341,Customers!$A$2:$A$41,0))/365*Assumptions!$B$6</f>
        <v>1683.75846575342</v>
      </c>
      <c r="N2341" s="16" t="n">
        <f aca="false">J2341-K2341-L2341-M2341</f>
        <v>124072.041534247</v>
      </c>
      <c r="O2341" s="16" t="n">
        <f aca="false">F2341*IF(A2341="2025",INDEX(Products!$D$2:$D$13,MATCH(D2341,Products!$A$2:$A$13,0)),INDEX(Products!$F$2:$F$13,MATCH(D2341,Products!$A$2:$A$13,0)))</f>
        <v>93360</v>
      </c>
      <c r="P2341" s="16" t="n">
        <f aca="false">N2341-O2341</f>
        <v>30712.0415342466</v>
      </c>
    </row>
    <row r="2342" customFormat="false" ht="15" hidden="false" customHeight="false" outlineLevel="0" collapsed="false">
      <c r="A2342" s="2" t="s">
        <v>119</v>
      </c>
      <c r="B2342" s="2" t="n">
        <v>1</v>
      </c>
      <c r="C2342" s="2" t="s">
        <v>97</v>
      </c>
      <c r="D2342" s="2" t="s">
        <v>42</v>
      </c>
      <c r="E2342" s="2" t="str">
        <f aca="false">INDEX(Products!$B$2:$B$13,MATCH(D2342,Products!$A$2:$A$13,0))</f>
        <v>Hydroprocessing</v>
      </c>
      <c r="F2342" s="15" t="n">
        <v>9.2</v>
      </c>
      <c r="G2342" s="16" t="n">
        <f aca="false">IF(A2342="2025",INDEX(Products!$C$2:$C$13,MATCH(D2342,Products!$A$2:$A$13,0)),INDEX(Products!$E$2:$E$13,MATCH(D2342,Products!$A$2:$A$13,0)))</f>
        <v>13072.5</v>
      </c>
      <c r="H2342" s="13" t="n">
        <f aca="false">IF(A2342="2025",INDEX(Customers!$D$2:$D$41,MATCH(C2342,Customers!$A$2:$A$41,0)),INDEX(Customers!$F$2:$F$41,MATCH(C2342,Customers!$A$2:$A$41,0)))</f>
        <v>0.143</v>
      </c>
      <c r="I2342" s="16" t="n">
        <f aca="false">F2342*G2342</f>
        <v>120267</v>
      </c>
      <c r="J2342" s="16" t="n">
        <f aca="false">I2342*(1-H2342)</f>
        <v>103068.819</v>
      </c>
      <c r="K2342" s="16" t="n">
        <f aca="false">J2342*INDEX(Customers!$G$2:$G$41,MATCH(C2342,Customers!$A$2:$A$41,0))</f>
        <v>0</v>
      </c>
      <c r="L2342" s="16" t="n">
        <f aca="false">F2342*INDEX(Customers!$H$2:$H$41,MATCH(C2342,Customers!$A$2:$A$41,0))</f>
        <v>1748</v>
      </c>
      <c r="M2342" s="16" t="n">
        <f aca="false">J2342*INDEX(Customers!$I$2:$I$41,MATCH(C2342,Customers!$A$2:$A$41,0))/365*Assumptions!$B$6</f>
        <v>1355.42556493151</v>
      </c>
      <c r="N2342" s="16" t="n">
        <f aca="false">J2342-K2342-L2342-M2342</f>
        <v>99965.3934350685</v>
      </c>
      <c r="O2342" s="16" t="n">
        <f aca="false">F2342*IF(A2342="2025",INDEX(Products!$D$2:$D$13,MATCH(D2342,Products!$A$2:$A$13,0)),INDEX(Products!$F$2:$F$13,MATCH(D2342,Products!$A$2:$A$13,0)))</f>
        <v>73723.28</v>
      </c>
      <c r="P2342" s="16" t="n">
        <f aca="false">N2342-O2342</f>
        <v>26242.1134350685</v>
      </c>
    </row>
    <row r="2343" customFormat="false" ht="15" hidden="false" customHeight="false" outlineLevel="0" collapsed="false">
      <c r="A2343" s="2" t="s">
        <v>119</v>
      </c>
      <c r="B2343" s="2" t="n">
        <v>2</v>
      </c>
      <c r="C2343" s="2" t="s">
        <v>97</v>
      </c>
      <c r="D2343" s="2" t="s">
        <v>42</v>
      </c>
      <c r="E2343" s="2" t="str">
        <f aca="false">INDEX(Products!$B$2:$B$13,MATCH(D2343,Products!$A$2:$A$13,0))</f>
        <v>Hydroprocessing</v>
      </c>
      <c r="F2343" s="15" t="n">
        <v>16</v>
      </c>
      <c r="G2343" s="16" t="n">
        <f aca="false">IF(A2343="2025",INDEX(Products!$C$2:$C$13,MATCH(D2343,Products!$A$2:$A$13,0)),INDEX(Products!$E$2:$E$13,MATCH(D2343,Products!$A$2:$A$13,0)))</f>
        <v>13072.5</v>
      </c>
      <c r="H2343" s="13" t="n">
        <f aca="false">IF(A2343="2025",INDEX(Customers!$D$2:$D$41,MATCH(C2343,Customers!$A$2:$A$41,0)),INDEX(Customers!$F$2:$F$41,MATCH(C2343,Customers!$A$2:$A$41,0)))</f>
        <v>0.143</v>
      </c>
      <c r="I2343" s="16" t="n">
        <f aca="false">F2343*G2343</f>
        <v>209160</v>
      </c>
      <c r="J2343" s="16" t="n">
        <f aca="false">I2343*(1-H2343)</f>
        <v>179250.12</v>
      </c>
      <c r="K2343" s="16" t="n">
        <f aca="false">J2343*INDEX(Customers!$G$2:$G$41,MATCH(C2343,Customers!$A$2:$A$41,0))</f>
        <v>0</v>
      </c>
      <c r="L2343" s="16" t="n">
        <f aca="false">F2343*INDEX(Customers!$H$2:$H$41,MATCH(C2343,Customers!$A$2:$A$41,0))</f>
        <v>3040</v>
      </c>
      <c r="M2343" s="16" t="n">
        <f aca="false">J2343*INDEX(Customers!$I$2:$I$41,MATCH(C2343,Customers!$A$2:$A$41,0))/365*Assumptions!$B$6</f>
        <v>2357.26185205479</v>
      </c>
      <c r="N2343" s="16" t="n">
        <f aca="false">J2343-K2343-L2343-M2343</f>
        <v>173852.858147945</v>
      </c>
      <c r="O2343" s="16" t="n">
        <f aca="false">F2343*IF(A2343="2025",INDEX(Products!$D$2:$D$13,MATCH(D2343,Products!$A$2:$A$13,0)),INDEX(Products!$F$2:$F$13,MATCH(D2343,Products!$A$2:$A$13,0)))</f>
        <v>128214.4</v>
      </c>
      <c r="P2343" s="16" t="n">
        <f aca="false">N2343-O2343</f>
        <v>45638.4581479452</v>
      </c>
    </row>
    <row r="2344" customFormat="false" ht="15" hidden="false" customHeight="false" outlineLevel="0" collapsed="false">
      <c r="A2344" s="2" t="s">
        <v>119</v>
      </c>
      <c r="B2344" s="2" t="n">
        <v>3</v>
      </c>
      <c r="C2344" s="2" t="s">
        <v>97</v>
      </c>
      <c r="D2344" s="2" t="s">
        <v>42</v>
      </c>
      <c r="E2344" s="2" t="str">
        <f aca="false">INDEX(Products!$B$2:$B$13,MATCH(D2344,Products!$A$2:$A$13,0))</f>
        <v>Hydroprocessing</v>
      </c>
      <c r="F2344" s="15" t="n">
        <v>16.1</v>
      </c>
      <c r="G2344" s="16" t="n">
        <f aca="false">IF(A2344="2025",INDEX(Products!$C$2:$C$13,MATCH(D2344,Products!$A$2:$A$13,0)),INDEX(Products!$E$2:$E$13,MATCH(D2344,Products!$A$2:$A$13,0)))</f>
        <v>13072.5</v>
      </c>
      <c r="H2344" s="13" t="n">
        <f aca="false">IF(A2344="2025",INDEX(Customers!$D$2:$D$41,MATCH(C2344,Customers!$A$2:$A$41,0)),INDEX(Customers!$F$2:$F$41,MATCH(C2344,Customers!$A$2:$A$41,0)))</f>
        <v>0.143</v>
      </c>
      <c r="I2344" s="16" t="n">
        <f aca="false">F2344*G2344</f>
        <v>210467.25</v>
      </c>
      <c r="J2344" s="16" t="n">
        <f aca="false">I2344*(1-H2344)</f>
        <v>180370.43325</v>
      </c>
      <c r="K2344" s="16" t="n">
        <f aca="false">J2344*INDEX(Customers!$G$2:$G$41,MATCH(C2344,Customers!$A$2:$A$41,0))</f>
        <v>0</v>
      </c>
      <c r="L2344" s="16" t="n">
        <f aca="false">F2344*INDEX(Customers!$H$2:$H$41,MATCH(C2344,Customers!$A$2:$A$41,0))</f>
        <v>3059</v>
      </c>
      <c r="M2344" s="16" t="n">
        <f aca="false">J2344*INDEX(Customers!$I$2:$I$41,MATCH(C2344,Customers!$A$2:$A$41,0))/365*Assumptions!$B$6</f>
        <v>2371.99473863014</v>
      </c>
      <c r="N2344" s="16" t="n">
        <f aca="false">J2344-K2344-L2344-M2344</f>
        <v>174939.43851137</v>
      </c>
      <c r="O2344" s="16" t="n">
        <f aca="false">F2344*IF(A2344="2025",INDEX(Products!$D$2:$D$13,MATCH(D2344,Products!$A$2:$A$13,0)),INDEX(Products!$F$2:$F$13,MATCH(D2344,Products!$A$2:$A$13,0)))</f>
        <v>129015.74</v>
      </c>
      <c r="P2344" s="16" t="n">
        <f aca="false">N2344-O2344</f>
        <v>45923.6985113699</v>
      </c>
    </row>
    <row r="2345" customFormat="false" ht="15" hidden="false" customHeight="false" outlineLevel="0" collapsed="false">
      <c r="A2345" s="2" t="s">
        <v>119</v>
      </c>
      <c r="B2345" s="2" t="n">
        <v>4</v>
      </c>
      <c r="C2345" s="2" t="s">
        <v>97</v>
      </c>
      <c r="D2345" s="2" t="s">
        <v>42</v>
      </c>
      <c r="E2345" s="2" t="str">
        <f aca="false">INDEX(Products!$B$2:$B$13,MATCH(D2345,Products!$A$2:$A$13,0))</f>
        <v>Hydroprocessing</v>
      </c>
      <c r="F2345" s="15" t="n">
        <v>13.8</v>
      </c>
      <c r="G2345" s="16" t="n">
        <f aca="false">IF(A2345="2025",INDEX(Products!$C$2:$C$13,MATCH(D2345,Products!$A$2:$A$13,0)),INDEX(Products!$E$2:$E$13,MATCH(D2345,Products!$A$2:$A$13,0)))</f>
        <v>13072.5</v>
      </c>
      <c r="H2345" s="13" t="n">
        <f aca="false">IF(A2345="2025",INDEX(Customers!$D$2:$D$41,MATCH(C2345,Customers!$A$2:$A$41,0)),INDEX(Customers!$F$2:$F$41,MATCH(C2345,Customers!$A$2:$A$41,0)))</f>
        <v>0.143</v>
      </c>
      <c r="I2345" s="16" t="n">
        <f aca="false">F2345*G2345</f>
        <v>180400.5</v>
      </c>
      <c r="J2345" s="16" t="n">
        <f aca="false">I2345*(1-H2345)</f>
        <v>154603.2285</v>
      </c>
      <c r="K2345" s="16" t="n">
        <f aca="false">J2345*INDEX(Customers!$G$2:$G$41,MATCH(C2345,Customers!$A$2:$A$41,0))</f>
        <v>0</v>
      </c>
      <c r="L2345" s="16" t="n">
        <f aca="false">F2345*INDEX(Customers!$H$2:$H$41,MATCH(C2345,Customers!$A$2:$A$41,0))</f>
        <v>2622</v>
      </c>
      <c r="M2345" s="16" t="n">
        <f aca="false">J2345*INDEX(Customers!$I$2:$I$41,MATCH(C2345,Customers!$A$2:$A$41,0))/365*Assumptions!$B$6</f>
        <v>2033.13834739726</v>
      </c>
      <c r="N2345" s="16" t="n">
        <f aca="false">J2345-K2345-L2345-M2345</f>
        <v>149948.090152603</v>
      </c>
      <c r="O2345" s="16" t="n">
        <f aca="false">F2345*IF(A2345="2025",INDEX(Products!$D$2:$D$13,MATCH(D2345,Products!$A$2:$A$13,0)),INDEX(Products!$F$2:$F$13,MATCH(D2345,Products!$A$2:$A$13,0)))</f>
        <v>110584.92</v>
      </c>
      <c r="P2345" s="16" t="n">
        <f aca="false">N2345-O2345</f>
        <v>39363.1701526027</v>
      </c>
    </row>
    <row r="2346" customFormat="false" ht="15" hidden="false" customHeight="false" outlineLevel="0" collapsed="false">
      <c r="A2346" s="2" t="s">
        <v>119</v>
      </c>
      <c r="B2346" s="2" t="n">
        <v>5</v>
      </c>
      <c r="C2346" s="2" t="s">
        <v>97</v>
      </c>
      <c r="D2346" s="2" t="s">
        <v>42</v>
      </c>
      <c r="E2346" s="2" t="str">
        <f aca="false">INDEX(Products!$B$2:$B$13,MATCH(D2346,Products!$A$2:$A$13,0))</f>
        <v>Hydroprocessing</v>
      </c>
      <c r="F2346" s="15" t="n">
        <v>15.7</v>
      </c>
      <c r="G2346" s="16" t="n">
        <f aca="false">IF(A2346="2025",INDEX(Products!$C$2:$C$13,MATCH(D2346,Products!$A$2:$A$13,0)),INDEX(Products!$E$2:$E$13,MATCH(D2346,Products!$A$2:$A$13,0)))</f>
        <v>13072.5</v>
      </c>
      <c r="H2346" s="13" t="n">
        <f aca="false">IF(A2346="2025",INDEX(Customers!$D$2:$D$41,MATCH(C2346,Customers!$A$2:$A$41,0)),INDEX(Customers!$F$2:$F$41,MATCH(C2346,Customers!$A$2:$A$41,0)))</f>
        <v>0.143</v>
      </c>
      <c r="I2346" s="16" t="n">
        <f aca="false">F2346*G2346</f>
        <v>205238.25</v>
      </c>
      <c r="J2346" s="16" t="n">
        <f aca="false">I2346*(1-H2346)</f>
        <v>175889.18025</v>
      </c>
      <c r="K2346" s="16" t="n">
        <f aca="false">J2346*INDEX(Customers!$G$2:$G$41,MATCH(C2346,Customers!$A$2:$A$41,0))</f>
        <v>0</v>
      </c>
      <c r="L2346" s="16" t="n">
        <f aca="false">F2346*INDEX(Customers!$H$2:$H$41,MATCH(C2346,Customers!$A$2:$A$41,0))</f>
        <v>2983</v>
      </c>
      <c r="M2346" s="16" t="n">
        <f aca="false">J2346*INDEX(Customers!$I$2:$I$41,MATCH(C2346,Customers!$A$2:$A$41,0))/365*Assumptions!$B$6</f>
        <v>2313.06319232877</v>
      </c>
      <c r="N2346" s="16" t="n">
        <f aca="false">J2346-K2346-L2346-M2346</f>
        <v>170593.117057671</v>
      </c>
      <c r="O2346" s="16" t="n">
        <f aca="false">F2346*IF(A2346="2025",INDEX(Products!$D$2:$D$13,MATCH(D2346,Products!$A$2:$A$13,0)),INDEX(Products!$F$2:$F$13,MATCH(D2346,Products!$A$2:$A$13,0)))</f>
        <v>125810.38</v>
      </c>
      <c r="P2346" s="16" t="n">
        <f aca="false">N2346-O2346</f>
        <v>44782.7370576712</v>
      </c>
    </row>
    <row r="2347" customFormat="false" ht="15" hidden="false" customHeight="false" outlineLevel="0" collapsed="false">
      <c r="A2347" s="2" t="s">
        <v>119</v>
      </c>
      <c r="B2347" s="2" t="n">
        <v>6</v>
      </c>
      <c r="C2347" s="2" t="s">
        <v>97</v>
      </c>
      <c r="D2347" s="2" t="s">
        <v>42</v>
      </c>
      <c r="E2347" s="2" t="str">
        <f aca="false">INDEX(Products!$B$2:$B$13,MATCH(D2347,Products!$A$2:$A$13,0))</f>
        <v>Hydroprocessing</v>
      </c>
      <c r="F2347" s="15" t="n">
        <v>11.4</v>
      </c>
      <c r="G2347" s="16" t="n">
        <f aca="false">IF(A2347="2025",INDEX(Products!$C$2:$C$13,MATCH(D2347,Products!$A$2:$A$13,0)),INDEX(Products!$E$2:$E$13,MATCH(D2347,Products!$A$2:$A$13,0)))</f>
        <v>13072.5</v>
      </c>
      <c r="H2347" s="13" t="n">
        <f aca="false">IF(A2347="2025",INDEX(Customers!$D$2:$D$41,MATCH(C2347,Customers!$A$2:$A$41,0)),INDEX(Customers!$F$2:$F$41,MATCH(C2347,Customers!$A$2:$A$41,0)))</f>
        <v>0.143</v>
      </c>
      <c r="I2347" s="16" t="n">
        <f aca="false">F2347*G2347</f>
        <v>149026.5</v>
      </c>
      <c r="J2347" s="16" t="n">
        <f aca="false">I2347*(1-H2347)</f>
        <v>127715.7105</v>
      </c>
      <c r="K2347" s="16" t="n">
        <f aca="false">J2347*INDEX(Customers!$G$2:$G$41,MATCH(C2347,Customers!$A$2:$A$41,0))</f>
        <v>0</v>
      </c>
      <c r="L2347" s="16" t="n">
        <f aca="false">F2347*INDEX(Customers!$H$2:$H$41,MATCH(C2347,Customers!$A$2:$A$41,0))</f>
        <v>2166</v>
      </c>
      <c r="M2347" s="16" t="n">
        <f aca="false">J2347*INDEX(Customers!$I$2:$I$41,MATCH(C2347,Customers!$A$2:$A$41,0))/365*Assumptions!$B$6</f>
        <v>1679.54906958904</v>
      </c>
      <c r="N2347" s="16" t="n">
        <f aca="false">J2347-K2347-L2347-M2347</f>
        <v>123870.161430411</v>
      </c>
      <c r="O2347" s="16" t="n">
        <f aca="false">F2347*IF(A2347="2025",INDEX(Products!$D$2:$D$13,MATCH(D2347,Products!$A$2:$A$13,0)),INDEX(Products!$F$2:$F$13,MATCH(D2347,Products!$A$2:$A$13,0)))</f>
        <v>91352.76</v>
      </c>
      <c r="P2347" s="16" t="n">
        <f aca="false">N2347-O2347</f>
        <v>32517.4014304109</v>
      </c>
    </row>
    <row r="2348" customFormat="false" ht="15" hidden="false" customHeight="false" outlineLevel="0" collapsed="false">
      <c r="A2348" s="2" t="s">
        <v>119</v>
      </c>
      <c r="B2348" s="2" t="n">
        <v>7</v>
      </c>
      <c r="C2348" s="2" t="s">
        <v>97</v>
      </c>
      <c r="D2348" s="2" t="s">
        <v>42</v>
      </c>
      <c r="E2348" s="2" t="str">
        <f aca="false">INDEX(Products!$B$2:$B$13,MATCH(D2348,Products!$A$2:$A$13,0))</f>
        <v>Hydroprocessing</v>
      </c>
      <c r="F2348" s="15" t="n">
        <v>11.6</v>
      </c>
      <c r="G2348" s="16" t="n">
        <f aca="false">IF(A2348="2025",INDEX(Products!$C$2:$C$13,MATCH(D2348,Products!$A$2:$A$13,0)),INDEX(Products!$E$2:$E$13,MATCH(D2348,Products!$A$2:$A$13,0)))</f>
        <v>13072.5</v>
      </c>
      <c r="H2348" s="13" t="n">
        <f aca="false">IF(A2348="2025",INDEX(Customers!$D$2:$D$41,MATCH(C2348,Customers!$A$2:$A$41,0)),INDEX(Customers!$F$2:$F$41,MATCH(C2348,Customers!$A$2:$A$41,0)))</f>
        <v>0.143</v>
      </c>
      <c r="I2348" s="16" t="n">
        <f aca="false">F2348*G2348</f>
        <v>151641</v>
      </c>
      <c r="J2348" s="16" t="n">
        <f aca="false">I2348*(1-H2348)</f>
        <v>129956.337</v>
      </c>
      <c r="K2348" s="16" t="n">
        <f aca="false">J2348*INDEX(Customers!$G$2:$G$41,MATCH(C2348,Customers!$A$2:$A$41,0))</f>
        <v>0</v>
      </c>
      <c r="L2348" s="16" t="n">
        <f aca="false">F2348*INDEX(Customers!$H$2:$H$41,MATCH(C2348,Customers!$A$2:$A$41,0))</f>
        <v>2204</v>
      </c>
      <c r="M2348" s="16" t="n">
        <f aca="false">J2348*INDEX(Customers!$I$2:$I$41,MATCH(C2348,Customers!$A$2:$A$41,0))/365*Assumptions!$B$6</f>
        <v>1709.01484273973</v>
      </c>
      <c r="N2348" s="16" t="n">
        <f aca="false">J2348-K2348-L2348-M2348</f>
        <v>126043.32215726</v>
      </c>
      <c r="O2348" s="16" t="n">
        <f aca="false">F2348*IF(A2348="2025",INDEX(Products!$D$2:$D$13,MATCH(D2348,Products!$A$2:$A$13,0)),INDEX(Products!$F$2:$F$13,MATCH(D2348,Products!$A$2:$A$13,0)))</f>
        <v>92955.44</v>
      </c>
      <c r="P2348" s="16" t="n">
        <f aca="false">N2348-O2348</f>
        <v>33087.8821572603</v>
      </c>
    </row>
    <row r="2349" customFormat="false" ht="15" hidden="false" customHeight="false" outlineLevel="0" collapsed="false">
      <c r="A2349" s="2" t="s">
        <v>119</v>
      </c>
      <c r="B2349" s="2" t="n">
        <v>8</v>
      </c>
      <c r="C2349" s="2" t="s">
        <v>97</v>
      </c>
      <c r="D2349" s="2" t="s">
        <v>42</v>
      </c>
      <c r="E2349" s="2" t="str">
        <f aca="false">INDEX(Products!$B$2:$B$13,MATCH(D2349,Products!$A$2:$A$13,0))</f>
        <v>Hydroprocessing</v>
      </c>
      <c r="F2349" s="15" t="n">
        <v>16.3</v>
      </c>
      <c r="G2349" s="16" t="n">
        <f aca="false">IF(A2349="2025",INDEX(Products!$C$2:$C$13,MATCH(D2349,Products!$A$2:$A$13,0)),INDEX(Products!$E$2:$E$13,MATCH(D2349,Products!$A$2:$A$13,0)))</f>
        <v>13072.5</v>
      </c>
      <c r="H2349" s="13" t="n">
        <f aca="false">IF(A2349="2025",INDEX(Customers!$D$2:$D$41,MATCH(C2349,Customers!$A$2:$A$41,0)),INDEX(Customers!$F$2:$F$41,MATCH(C2349,Customers!$A$2:$A$41,0)))</f>
        <v>0.143</v>
      </c>
      <c r="I2349" s="16" t="n">
        <f aca="false">F2349*G2349</f>
        <v>213081.75</v>
      </c>
      <c r="J2349" s="16" t="n">
        <f aca="false">I2349*(1-H2349)</f>
        <v>182611.05975</v>
      </c>
      <c r="K2349" s="16" t="n">
        <f aca="false">J2349*INDEX(Customers!$G$2:$G$41,MATCH(C2349,Customers!$A$2:$A$41,0))</f>
        <v>0</v>
      </c>
      <c r="L2349" s="16" t="n">
        <f aca="false">F2349*INDEX(Customers!$H$2:$H$41,MATCH(C2349,Customers!$A$2:$A$41,0))</f>
        <v>3097</v>
      </c>
      <c r="M2349" s="16" t="n">
        <f aca="false">J2349*INDEX(Customers!$I$2:$I$41,MATCH(C2349,Customers!$A$2:$A$41,0))/365*Assumptions!$B$6</f>
        <v>2401.46051178082</v>
      </c>
      <c r="N2349" s="16" t="n">
        <f aca="false">J2349-K2349-L2349-M2349</f>
        <v>177112.599238219</v>
      </c>
      <c r="O2349" s="16" t="n">
        <f aca="false">F2349*IF(A2349="2025",INDEX(Products!$D$2:$D$13,MATCH(D2349,Products!$A$2:$A$13,0)),INDEX(Products!$F$2:$F$13,MATCH(D2349,Products!$A$2:$A$13,0)))</f>
        <v>130618.42</v>
      </c>
      <c r="P2349" s="16" t="n">
        <f aca="false">N2349-O2349</f>
        <v>46494.1792382192</v>
      </c>
    </row>
    <row r="2350" customFormat="false" ht="15" hidden="false" customHeight="false" outlineLevel="0" collapsed="false">
      <c r="A2350" s="2" t="s">
        <v>119</v>
      </c>
      <c r="B2350" s="2" t="n">
        <v>9</v>
      </c>
      <c r="C2350" s="2" t="s">
        <v>97</v>
      </c>
      <c r="D2350" s="2" t="s">
        <v>42</v>
      </c>
      <c r="E2350" s="2" t="str">
        <f aca="false">INDEX(Products!$B$2:$B$13,MATCH(D2350,Products!$A$2:$A$13,0))</f>
        <v>Hydroprocessing</v>
      </c>
      <c r="F2350" s="15" t="n">
        <v>11.5</v>
      </c>
      <c r="G2350" s="16" t="n">
        <f aca="false">IF(A2350="2025",INDEX(Products!$C$2:$C$13,MATCH(D2350,Products!$A$2:$A$13,0)),INDEX(Products!$E$2:$E$13,MATCH(D2350,Products!$A$2:$A$13,0)))</f>
        <v>13072.5</v>
      </c>
      <c r="H2350" s="13" t="n">
        <f aca="false">IF(A2350="2025",INDEX(Customers!$D$2:$D$41,MATCH(C2350,Customers!$A$2:$A$41,0)),INDEX(Customers!$F$2:$F$41,MATCH(C2350,Customers!$A$2:$A$41,0)))</f>
        <v>0.143</v>
      </c>
      <c r="I2350" s="16" t="n">
        <f aca="false">F2350*G2350</f>
        <v>150333.75</v>
      </c>
      <c r="J2350" s="16" t="n">
        <f aca="false">I2350*(1-H2350)</f>
        <v>128836.02375</v>
      </c>
      <c r="K2350" s="16" t="n">
        <f aca="false">J2350*INDEX(Customers!$G$2:$G$41,MATCH(C2350,Customers!$A$2:$A$41,0))</f>
        <v>0</v>
      </c>
      <c r="L2350" s="16" t="n">
        <f aca="false">F2350*INDEX(Customers!$H$2:$H$41,MATCH(C2350,Customers!$A$2:$A$41,0))</f>
        <v>2185</v>
      </c>
      <c r="M2350" s="16" t="n">
        <f aca="false">J2350*INDEX(Customers!$I$2:$I$41,MATCH(C2350,Customers!$A$2:$A$41,0))/365*Assumptions!$B$6</f>
        <v>1694.28195616438</v>
      </c>
      <c r="N2350" s="16" t="n">
        <f aca="false">J2350-K2350-L2350-M2350</f>
        <v>124956.741793836</v>
      </c>
      <c r="O2350" s="16" t="n">
        <f aca="false">F2350*IF(A2350="2025",INDEX(Products!$D$2:$D$13,MATCH(D2350,Products!$A$2:$A$13,0)),INDEX(Products!$F$2:$F$13,MATCH(D2350,Products!$A$2:$A$13,0)))</f>
        <v>92154.1</v>
      </c>
      <c r="P2350" s="16" t="n">
        <f aca="false">N2350-O2350</f>
        <v>32802.6417938356</v>
      </c>
    </row>
    <row r="2351" customFormat="false" ht="15" hidden="false" customHeight="false" outlineLevel="0" collapsed="false">
      <c r="A2351" s="2" t="s">
        <v>119</v>
      </c>
      <c r="B2351" s="2" t="n">
        <v>10</v>
      </c>
      <c r="C2351" s="2" t="s">
        <v>97</v>
      </c>
      <c r="D2351" s="2" t="s">
        <v>42</v>
      </c>
      <c r="E2351" s="2" t="str">
        <f aca="false">INDEX(Products!$B$2:$B$13,MATCH(D2351,Products!$A$2:$A$13,0))</f>
        <v>Hydroprocessing</v>
      </c>
      <c r="F2351" s="15" t="n">
        <v>12.4</v>
      </c>
      <c r="G2351" s="16" t="n">
        <f aca="false">IF(A2351="2025",INDEX(Products!$C$2:$C$13,MATCH(D2351,Products!$A$2:$A$13,0)),INDEX(Products!$E$2:$E$13,MATCH(D2351,Products!$A$2:$A$13,0)))</f>
        <v>13072.5</v>
      </c>
      <c r="H2351" s="13" t="n">
        <f aca="false">IF(A2351="2025",INDEX(Customers!$D$2:$D$41,MATCH(C2351,Customers!$A$2:$A$41,0)),INDEX(Customers!$F$2:$F$41,MATCH(C2351,Customers!$A$2:$A$41,0)))</f>
        <v>0.143</v>
      </c>
      <c r="I2351" s="16" t="n">
        <f aca="false">F2351*G2351</f>
        <v>162099</v>
      </c>
      <c r="J2351" s="16" t="n">
        <f aca="false">I2351*(1-H2351)</f>
        <v>138918.843</v>
      </c>
      <c r="K2351" s="16" t="n">
        <f aca="false">J2351*INDEX(Customers!$G$2:$G$41,MATCH(C2351,Customers!$A$2:$A$41,0))</f>
        <v>0</v>
      </c>
      <c r="L2351" s="16" t="n">
        <f aca="false">F2351*INDEX(Customers!$H$2:$H$41,MATCH(C2351,Customers!$A$2:$A$41,0))</f>
        <v>2356</v>
      </c>
      <c r="M2351" s="16" t="n">
        <f aca="false">J2351*INDEX(Customers!$I$2:$I$41,MATCH(C2351,Customers!$A$2:$A$41,0))/365*Assumptions!$B$6</f>
        <v>1826.87793534247</v>
      </c>
      <c r="N2351" s="16" t="n">
        <f aca="false">J2351-K2351-L2351-M2351</f>
        <v>134735.965064658</v>
      </c>
      <c r="O2351" s="16" t="n">
        <f aca="false">F2351*IF(A2351="2025",INDEX(Products!$D$2:$D$13,MATCH(D2351,Products!$A$2:$A$13,0)),INDEX(Products!$F$2:$F$13,MATCH(D2351,Products!$A$2:$A$13,0)))</f>
        <v>99366.16</v>
      </c>
      <c r="P2351" s="16" t="n">
        <f aca="false">N2351-O2351</f>
        <v>35369.8050646575</v>
      </c>
    </row>
    <row r="2352" customFormat="false" ht="15" hidden="false" customHeight="false" outlineLevel="0" collapsed="false">
      <c r="A2352" s="2" t="s">
        <v>119</v>
      </c>
      <c r="B2352" s="2" t="n">
        <v>11</v>
      </c>
      <c r="C2352" s="2" t="s">
        <v>97</v>
      </c>
      <c r="D2352" s="2" t="s">
        <v>42</v>
      </c>
      <c r="E2352" s="2" t="str">
        <f aca="false">INDEX(Products!$B$2:$B$13,MATCH(D2352,Products!$A$2:$A$13,0))</f>
        <v>Hydroprocessing</v>
      </c>
      <c r="F2352" s="15" t="n">
        <v>11.4</v>
      </c>
      <c r="G2352" s="16" t="n">
        <f aca="false">IF(A2352="2025",INDEX(Products!$C$2:$C$13,MATCH(D2352,Products!$A$2:$A$13,0)),INDEX(Products!$E$2:$E$13,MATCH(D2352,Products!$A$2:$A$13,0)))</f>
        <v>13072.5</v>
      </c>
      <c r="H2352" s="13" t="n">
        <f aca="false">IF(A2352="2025",INDEX(Customers!$D$2:$D$41,MATCH(C2352,Customers!$A$2:$A$41,0)),INDEX(Customers!$F$2:$F$41,MATCH(C2352,Customers!$A$2:$A$41,0)))</f>
        <v>0.143</v>
      </c>
      <c r="I2352" s="16" t="n">
        <f aca="false">F2352*G2352</f>
        <v>149026.5</v>
      </c>
      <c r="J2352" s="16" t="n">
        <f aca="false">I2352*(1-H2352)</f>
        <v>127715.7105</v>
      </c>
      <c r="K2352" s="16" t="n">
        <f aca="false">J2352*INDEX(Customers!$G$2:$G$41,MATCH(C2352,Customers!$A$2:$A$41,0))</f>
        <v>0</v>
      </c>
      <c r="L2352" s="16" t="n">
        <f aca="false">F2352*INDEX(Customers!$H$2:$H$41,MATCH(C2352,Customers!$A$2:$A$41,0))</f>
        <v>2166</v>
      </c>
      <c r="M2352" s="16" t="n">
        <f aca="false">J2352*INDEX(Customers!$I$2:$I$41,MATCH(C2352,Customers!$A$2:$A$41,0))/365*Assumptions!$B$6</f>
        <v>1679.54906958904</v>
      </c>
      <c r="N2352" s="16" t="n">
        <f aca="false">J2352-K2352-L2352-M2352</f>
        <v>123870.161430411</v>
      </c>
      <c r="O2352" s="16" t="n">
        <f aca="false">F2352*IF(A2352="2025",INDEX(Products!$D$2:$D$13,MATCH(D2352,Products!$A$2:$A$13,0)),INDEX(Products!$F$2:$F$13,MATCH(D2352,Products!$A$2:$A$13,0)))</f>
        <v>91352.76</v>
      </c>
      <c r="P2352" s="16" t="n">
        <f aca="false">N2352-O2352</f>
        <v>32517.4014304109</v>
      </c>
    </row>
    <row r="2353" customFormat="false" ht="15" hidden="false" customHeight="false" outlineLevel="0" collapsed="false">
      <c r="A2353" s="2" t="s">
        <v>119</v>
      </c>
      <c r="B2353" s="2" t="n">
        <v>12</v>
      </c>
      <c r="C2353" s="2" t="s">
        <v>97</v>
      </c>
      <c r="D2353" s="2" t="s">
        <v>42</v>
      </c>
      <c r="E2353" s="2" t="str">
        <f aca="false">INDEX(Products!$B$2:$B$13,MATCH(D2353,Products!$A$2:$A$13,0))</f>
        <v>Hydroprocessing</v>
      </c>
      <c r="F2353" s="15" t="n">
        <v>10.6</v>
      </c>
      <c r="G2353" s="16" t="n">
        <f aca="false">IF(A2353="2025",INDEX(Products!$C$2:$C$13,MATCH(D2353,Products!$A$2:$A$13,0)),INDEX(Products!$E$2:$E$13,MATCH(D2353,Products!$A$2:$A$13,0)))</f>
        <v>13072.5</v>
      </c>
      <c r="H2353" s="13" t="n">
        <f aca="false">IF(A2353="2025",INDEX(Customers!$D$2:$D$41,MATCH(C2353,Customers!$A$2:$A$41,0)),INDEX(Customers!$F$2:$F$41,MATCH(C2353,Customers!$A$2:$A$41,0)))</f>
        <v>0.143</v>
      </c>
      <c r="I2353" s="16" t="n">
        <f aca="false">F2353*G2353</f>
        <v>138568.5</v>
      </c>
      <c r="J2353" s="16" t="n">
        <f aca="false">I2353*(1-H2353)</f>
        <v>118753.2045</v>
      </c>
      <c r="K2353" s="16" t="n">
        <f aca="false">J2353*INDEX(Customers!$G$2:$G$41,MATCH(C2353,Customers!$A$2:$A$41,0))</f>
        <v>0</v>
      </c>
      <c r="L2353" s="16" t="n">
        <f aca="false">F2353*INDEX(Customers!$H$2:$H$41,MATCH(C2353,Customers!$A$2:$A$41,0))</f>
        <v>2014</v>
      </c>
      <c r="M2353" s="16" t="n">
        <f aca="false">J2353*INDEX(Customers!$I$2:$I$41,MATCH(C2353,Customers!$A$2:$A$41,0))/365*Assumptions!$B$6</f>
        <v>1561.6859769863</v>
      </c>
      <c r="N2353" s="16" t="n">
        <f aca="false">J2353-K2353-L2353-M2353</f>
        <v>115177.518523014</v>
      </c>
      <c r="O2353" s="16" t="n">
        <f aca="false">F2353*IF(A2353="2025",INDEX(Products!$D$2:$D$13,MATCH(D2353,Products!$A$2:$A$13,0)),INDEX(Products!$F$2:$F$13,MATCH(D2353,Products!$A$2:$A$13,0)))</f>
        <v>84942.04</v>
      </c>
      <c r="P2353" s="16" t="n">
        <f aca="false">N2353-O2353</f>
        <v>30235.4785230137</v>
      </c>
    </row>
    <row r="2354" customFormat="false" ht="15" hidden="false" customHeight="false" outlineLevel="0" collapsed="false">
      <c r="A2354" s="2" t="s">
        <v>118</v>
      </c>
      <c r="B2354" s="2" t="n">
        <v>1</v>
      </c>
      <c r="C2354" s="2" t="s">
        <v>97</v>
      </c>
      <c r="D2354" s="2" t="s">
        <v>43</v>
      </c>
      <c r="E2354" s="2" t="str">
        <f aca="false">INDEX(Products!$B$2:$B$13,MATCH(D2354,Products!$A$2:$A$13,0))</f>
        <v>Hydroprocessing</v>
      </c>
      <c r="F2354" s="15" t="n">
        <v>12.4</v>
      </c>
      <c r="G2354" s="16" t="n">
        <f aca="false">IF(A2354="2025",INDEX(Products!$C$2:$C$13,MATCH(D2354,Products!$A$2:$A$13,0)),INDEX(Products!$E$2:$E$13,MATCH(D2354,Products!$A$2:$A$13,0)))</f>
        <v>11610</v>
      </c>
      <c r="H2354" s="13" t="n">
        <f aca="false">IF(A2354="2025",INDEX(Customers!$D$2:$D$41,MATCH(C2354,Customers!$A$2:$A$41,0)),INDEX(Customers!$F$2:$F$41,MATCH(C2354,Customers!$A$2:$A$41,0)))</f>
        <v>0.143</v>
      </c>
      <c r="I2354" s="16" t="n">
        <f aca="false">F2354*G2354</f>
        <v>143964</v>
      </c>
      <c r="J2354" s="16" t="n">
        <f aca="false">I2354*(1-H2354)</f>
        <v>123377.148</v>
      </c>
      <c r="K2354" s="16" t="n">
        <f aca="false">J2354*INDEX(Customers!$G$2:$G$41,MATCH(C2354,Customers!$A$2:$A$41,0))</f>
        <v>0</v>
      </c>
      <c r="L2354" s="16" t="n">
        <f aca="false">F2354*INDEX(Customers!$H$2:$H$41,MATCH(C2354,Customers!$A$2:$A$41,0))</f>
        <v>2356</v>
      </c>
      <c r="M2354" s="16" t="n">
        <f aca="false">J2354*INDEX(Customers!$I$2:$I$41,MATCH(C2354,Customers!$A$2:$A$41,0))/365*Assumptions!$B$6</f>
        <v>1622.49400109589</v>
      </c>
      <c r="N2354" s="16" t="n">
        <f aca="false">J2354-K2354-L2354-M2354</f>
        <v>119398.653998904</v>
      </c>
      <c r="O2354" s="16" t="n">
        <f aca="false">F2354*IF(A2354="2025",INDEX(Products!$D$2:$D$13,MATCH(D2354,Products!$A$2:$A$13,0)),INDEX(Products!$F$2:$F$13,MATCH(D2354,Products!$A$2:$A$13,0)))</f>
        <v>91016</v>
      </c>
      <c r="P2354" s="16" t="n">
        <f aca="false">N2354-O2354</f>
        <v>28382.6539989041</v>
      </c>
    </row>
    <row r="2355" customFormat="false" ht="15" hidden="false" customHeight="false" outlineLevel="0" collapsed="false">
      <c r="A2355" s="2" t="s">
        <v>118</v>
      </c>
      <c r="B2355" s="2" t="n">
        <v>2</v>
      </c>
      <c r="C2355" s="2" t="s">
        <v>97</v>
      </c>
      <c r="D2355" s="2" t="s">
        <v>43</v>
      </c>
      <c r="E2355" s="2" t="str">
        <f aca="false">INDEX(Products!$B$2:$B$13,MATCH(D2355,Products!$A$2:$A$13,0))</f>
        <v>Hydroprocessing</v>
      </c>
      <c r="F2355" s="15" t="n">
        <v>14.9</v>
      </c>
      <c r="G2355" s="16" t="n">
        <f aca="false">IF(A2355="2025",INDEX(Products!$C$2:$C$13,MATCH(D2355,Products!$A$2:$A$13,0)),INDEX(Products!$E$2:$E$13,MATCH(D2355,Products!$A$2:$A$13,0)))</f>
        <v>11610</v>
      </c>
      <c r="H2355" s="13" t="n">
        <f aca="false">IF(A2355="2025",INDEX(Customers!$D$2:$D$41,MATCH(C2355,Customers!$A$2:$A$41,0)),INDEX(Customers!$F$2:$F$41,MATCH(C2355,Customers!$A$2:$A$41,0)))</f>
        <v>0.143</v>
      </c>
      <c r="I2355" s="16" t="n">
        <f aca="false">F2355*G2355</f>
        <v>172989</v>
      </c>
      <c r="J2355" s="16" t="n">
        <f aca="false">I2355*(1-H2355)</f>
        <v>148251.573</v>
      </c>
      <c r="K2355" s="16" t="n">
        <f aca="false">J2355*INDEX(Customers!$G$2:$G$41,MATCH(C2355,Customers!$A$2:$A$41,0))</f>
        <v>0</v>
      </c>
      <c r="L2355" s="16" t="n">
        <f aca="false">F2355*INDEX(Customers!$H$2:$H$41,MATCH(C2355,Customers!$A$2:$A$41,0))</f>
        <v>2831</v>
      </c>
      <c r="M2355" s="16" t="n">
        <f aca="false">J2355*INDEX(Customers!$I$2:$I$41,MATCH(C2355,Customers!$A$2:$A$41,0))/365*Assumptions!$B$6</f>
        <v>1949.60972712329</v>
      </c>
      <c r="N2355" s="16" t="n">
        <f aca="false">J2355-K2355-L2355-M2355</f>
        <v>143470.963272877</v>
      </c>
      <c r="O2355" s="16" t="n">
        <f aca="false">F2355*IF(A2355="2025",INDEX(Products!$D$2:$D$13,MATCH(D2355,Products!$A$2:$A$13,0)),INDEX(Products!$F$2:$F$13,MATCH(D2355,Products!$A$2:$A$13,0)))</f>
        <v>109366</v>
      </c>
      <c r="P2355" s="16" t="n">
        <f aca="false">N2355-O2355</f>
        <v>34104.9632728767</v>
      </c>
    </row>
    <row r="2356" customFormat="false" ht="15" hidden="false" customHeight="false" outlineLevel="0" collapsed="false">
      <c r="A2356" s="2" t="s">
        <v>118</v>
      </c>
      <c r="B2356" s="2" t="n">
        <v>3</v>
      </c>
      <c r="C2356" s="2" t="s">
        <v>97</v>
      </c>
      <c r="D2356" s="2" t="s">
        <v>43</v>
      </c>
      <c r="E2356" s="2" t="str">
        <f aca="false">INDEX(Products!$B$2:$B$13,MATCH(D2356,Products!$A$2:$A$13,0))</f>
        <v>Hydroprocessing</v>
      </c>
      <c r="F2356" s="15" t="n">
        <v>14.8</v>
      </c>
      <c r="G2356" s="16" t="n">
        <f aca="false">IF(A2356="2025",INDEX(Products!$C$2:$C$13,MATCH(D2356,Products!$A$2:$A$13,0)),INDEX(Products!$E$2:$E$13,MATCH(D2356,Products!$A$2:$A$13,0)))</f>
        <v>11610</v>
      </c>
      <c r="H2356" s="13" t="n">
        <f aca="false">IF(A2356="2025",INDEX(Customers!$D$2:$D$41,MATCH(C2356,Customers!$A$2:$A$41,0)),INDEX(Customers!$F$2:$F$41,MATCH(C2356,Customers!$A$2:$A$41,0)))</f>
        <v>0.143</v>
      </c>
      <c r="I2356" s="16" t="n">
        <f aca="false">F2356*G2356</f>
        <v>171828</v>
      </c>
      <c r="J2356" s="16" t="n">
        <f aca="false">I2356*(1-H2356)</f>
        <v>147256.596</v>
      </c>
      <c r="K2356" s="16" t="n">
        <f aca="false">J2356*INDEX(Customers!$G$2:$G$41,MATCH(C2356,Customers!$A$2:$A$41,0))</f>
        <v>0</v>
      </c>
      <c r="L2356" s="16" t="n">
        <f aca="false">F2356*INDEX(Customers!$H$2:$H$41,MATCH(C2356,Customers!$A$2:$A$41,0))</f>
        <v>2812</v>
      </c>
      <c r="M2356" s="16" t="n">
        <f aca="false">J2356*INDEX(Customers!$I$2:$I$41,MATCH(C2356,Customers!$A$2:$A$41,0))/365*Assumptions!$B$6</f>
        <v>1936.52509808219</v>
      </c>
      <c r="N2356" s="16" t="n">
        <f aca="false">J2356-K2356-L2356-M2356</f>
        <v>142508.070901918</v>
      </c>
      <c r="O2356" s="16" t="n">
        <f aca="false">F2356*IF(A2356="2025",INDEX(Products!$D$2:$D$13,MATCH(D2356,Products!$A$2:$A$13,0)),INDEX(Products!$F$2:$F$13,MATCH(D2356,Products!$A$2:$A$13,0)))</f>
        <v>108632</v>
      </c>
      <c r="P2356" s="16" t="n">
        <f aca="false">N2356-O2356</f>
        <v>33876.0709019178</v>
      </c>
    </row>
    <row r="2357" customFormat="false" ht="15" hidden="false" customHeight="false" outlineLevel="0" collapsed="false">
      <c r="A2357" s="2" t="s">
        <v>118</v>
      </c>
      <c r="B2357" s="2" t="n">
        <v>4</v>
      </c>
      <c r="C2357" s="2" t="s">
        <v>97</v>
      </c>
      <c r="D2357" s="2" t="s">
        <v>43</v>
      </c>
      <c r="E2357" s="2" t="str">
        <f aca="false">INDEX(Products!$B$2:$B$13,MATCH(D2357,Products!$A$2:$A$13,0))</f>
        <v>Hydroprocessing</v>
      </c>
      <c r="F2357" s="15" t="n">
        <v>9.4</v>
      </c>
      <c r="G2357" s="16" t="n">
        <f aca="false">IF(A2357="2025",INDEX(Products!$C$2:$C$13,MATCH(D2357,Products!$A$2:$A$13,0)),INDEX(Products!$E$2:$E$13,MATCH(D2357,Products!$A$2:$A$13,0)))</f>
        <v>11610</v>
      </c>
      <c r="H2357" s="13" t="n">
        <f aca="false">IF(A2357="2025",INDEX(Customers!$D$2:$D$41,MATCH(C2357,Customers!$A$2:$A$41,0)),INDEX(Customers!$F$2:$F$41,MATCH(C2357,Customers!$A$2:$A$41,0)))</f>
        <v>0.143</v>
      </c>
      <c r="I2357" s="16" t="n">
        <f aca="false">F2357*G2357</f>
        <v>109134</v>
      </c>
      <c r="J2357" s="16" t="n">
        <f aca="false">I2357*(1-H2357)</f>
        <v>93527.838</v>
      </c>
      <c r="K2357" s="16" t="n">
        <f aca="false">J2357*INDEX(Customers!$G$2:$G$41,MATCH(C2357,Customers!$A$2:$A$41,0))</f>
        <v>0</v>
      </c>
      <c r="L2357" s="16" t="n">
        <f aca="false">F2357*INDEX(Customers!$H$2:$H$41,MATCH(C2357,Customers!$A$2:$A$41,0))</f>
        <v>1786</v>
      </c>
      <c r="M2357" s="16" t="n">
        <f aca="false">J2357*INDEX(Customers!$I$2:$I$41,MATCH(C2357,Customers!$A$2:$A$41,0))/365*Assumptions!$B$6</f>
        <v>1229.95512986301</v>
      </c>
      <c r="N2357" s="16" t="n">
        <f aca="false">J2357-K2357-L2357-M2357</f>
        <v>90511.882870137</v>
      </c>
      <c r="O2357" s="16" t="n">
        <f aca="false">F2357*IF(A2357="2025",INDEX(Products!$D$2:$D$13,MATCH(D2357,Products!$A$2:$A$13,0)),INDEX(Products!$F$2:$F$13,MATCH(D2357,Products!$A$2:$A$13,0)))</f>
        <v>68996</v>
      </c>
      <c r="P2357" s="16" t="n">
        <f aca="false">N2357-O2357</f>
        <v>21515.882870137</v>
      </c>
    </row>
    <row r="2358" customFormat="false" ht="15" hidden="false" customHeight="false" outlineLevel="0" collapsed="false">
      <c r="A2358" s="2" t="s">
        <v>118</v>
      </c>
      <c r="B2358" s="2" t="n">
        <v>5</v>
      </c>
      <c r="C2358" s="2" t="s">
        <v>97</v>
      </c>
      <c r="D2358" s="2" t="s">
        <v>43</v>
      </c>
      <c r="E2358" s="2" t="str">
        <f aca="false">INDEX(Products!$B$2:$B$13,MATCH(D2358,Products!$A$2:$A$13,0))</f>
        <v>Hydroprocessing</v>
      </c>
      <c r="F2358" s="15" t="n">
        <v>11.6</v>
      </c>
      <c r="G2358" s="16" t="n">
        <f aca="false">IF(A2358="2025",INDEX(Products!$C$2:$C$13,MATCH(D2358,Products!$A$2:$A$13,0)),INDEX(Products!$E$2:$E$13,MATCH(D2358,Products!$A$2:$A$13,0)))</f>
        <v>11610</v>
      </c>
      <c r="H2358" s="13" t="n">
        <f aca="false">IF(A2358="2025",INDEX(Customers!$D$2:$D$41,MATCH(C2358,Customers!$A$2:$A$41,0)),INDEX(Customers!$F$2:$F$41,MATCH(C2358,Customers!$A$2:$A$41,0)))</f>
        <v>0.143</v>
      </c>
      <c r="I2358" s="16" t="n">
        <f aca="false">F2358*G2358</f>
        <v>134676</v>
      </c>
      <c r="J2358" s="16" t="n">
        <f aca="false">I2358*(1-H2358)</f>
        <v>115417.332</v>
      </c>
      <c r="K2358" s="16" t="n">
        <f aca="false">J2358*INDEX(Customers!$G$2:$G$41,MATCH(C2358,Customers!$A$2:$A$41,0))</f>
        <v>0</v>
      </c>
      <c r="L2358" s="16" t="n">
        <f aca="false">F2358*INDEX(Customers!$H$2:$H$41,MATCH(C2358,Customers!$A$2:$A$41,0))</f>
        <v>2204</v>
      </c>
      <c r="M2358" s="16" t="n">
        <f aca="false">J2358*INDEX(Customers!$I$2:$I$41,MATCH(C2358,Customers!$A$2:$A$41,0))/365*Assumptions!$B$6</f>
        <v>1517.81696876712</v>
      </c>
      <c r="N2358" s="16" t="n">
        <f aca="false">J2358-K2358-L2358-M2358</f>
        <v>111695.515031233</v>
      </c>
      <c r="O2358" s="16" t="n">
        <f aca="false">F2358*IF(A2358="2025",INDEX(Products!$D$2:$D$13,MATCH(D2358,Products!$A$2:$A$13,0)),INDEX(Products!$F$2:$F$13,MATCH(D2358,Products!$A$2:$A$13,0)))</f>
        <v>85144</v>
      </c>
      <c r="P2358" s="16" t="n">
        <f aca="false">N2358-O2358</f>
        <v>26551.5150312329</v>
      </c>
    </row>
    <row r="2359" customFormat="false" ht="15" hidden="false" customHeight="false" outlineLevel="0" collapsed="false">
      <c r="A2359" s="2" t="s">
        <v>118</v>
      </c>
      <c r="B2359" s="2" t="n">
        <v>6</v>
      </c>
      <c r="C2359" s="2" t="s">
        <v>97</v>
      </c>
      <c r="D2359" s="2" t="s">
        <v>43</v>
      </c>
      <c r="E2359" s="2" t="str">
        <f aca="false">INDEX(Products!$B$2:$B$13,MATCH(D2359,Products!$A$2:$A$13,0))</f>
        <v>Hydroprocessing</v>
      </c>
      <c r="F2359" s="15" t="n">
        <v>15.3</v>
      </c>
      <c r="G2359" s="16" t="n">
        <f aca="false">IF(A2359="2025",INDEX(Products!$C$2:$C$13,MATCH(D2359,Products!$A$2:$A$13,0)),INDEX(Products!$E$2:$E$13,MATCH(D2359,Products!$A$2:$A$13,0)))</f>
        <v>11610</v>
      </c>
      <c r="H2359" s="13" t="n">
        <f aca="false">IF(A2359="2025",INDEX(Customers!$D$2:$D$41,MATCH(C2359,Customers!$A$2:$A$41,0)),INDEX(Customers!$F$2:$F$41,MATCH(C2359,Customers!$A$2:$A$41,0)))</f>
        <v>0.143</v>
      </c>
      <c r="I2359" s="16" t="n">
        <f aca="false">F2359*G2359</f>
        <v>177633</v>
      </c>
      <c r="J2359" s="16" t="n">
        <f aca="false">I2359*(1-H2359)</f>
        <v>152231.481</v>
      </c>
      <c r="K2359" s="16" t="n">
        <f aca="false">J2359*INDEX(Customers!$G$2:$G$41,MATCH(C2359,Customers!$A$2:$A$41,0))</f>
        <v>0</v>
      </c>
      <c r="L2359" s="16" t="n">
        <f aca="false">F2359*INDEX(Customers!$H$2:$H$41,MATCH(C2359,Customers!$A$2:$A$41,0))</f>
        <v>2907</v>
      </c>
      <c r="M2359" s="16" t="n">
        <f aca="false">J2359*INDEX(Customers!$I$2:$I$41,MATCH(C2359,Customers!$A$2:$A$41,0))/365*Assumptions!$B$6</f>
        <v>2001.94824328767</v>
      </c>
      <c r="N2359" s="16" t="n">
        <f aca="false">J2359-K2359-L2359-M2359</f>
        <v>147322.532756712</v>
      </c>
      <c r="O2359" s="16" t="n">
        <f aca="false">F2359*IF(A2359="2025",INDEX(Products!$D$2:$D$13,MATCH(D2359,Products!$A$2:$A$13,0)),INDEX(Products!$F$2:$F$13,MATCH(D2359,Products!$A$2:$A$13,0)))</f>
        <v>112302</v>
      </c>
      <c r="P2359" s="16" t="n">
        <f aca="false">N2359-O2359</f>
        <v>35020.5327567123</v>
      </c>
    </row>
    <row r="2360" customFormat="false" ht="15" hidden="false" customHeight="false" outlineLevel="0" collapsed="false">
      <c r="A2360" s="2" t="s">
        <v>118</v>
      </c>
      <c r="B2360" s="2" t="n">
        <v>7</v>
      </c>
      <c r="C2360" s="2" t="s">
        <v>97</v>
      </c>
      <c r="D2360" s="2" t="s">
        <v>43</v>
      </c>
      <c r="E2360" s="2" t="str">
        <f aca="false">INDEX(Products!$B$2:$B$13,MATCH(D2360,Products!$A$2:$A$13,0))</f>
        <v>Hydroprocessing</v>
      </c>
      <c r="F2360" s="15" t="n">
        <v>15.5</v>
      </c>
      <c r="G2360" s="16" t="n">
        <f aca="false">IF(A2360="2025",INDEX(Products!$C$2:$C$13,MATCH(D2360,Products!$A$2:$A$13,0)),INDEX(Products!$E$2:$E$13,MATCH(D2360,Products!$A$2:$A$13,0)))</f>
        <v>11610</v>
      </c>
      <c r="H2360" s="13" t="n">
        <f aca="false">IF(A2360="2025",INDEX(Customers!$D$2:$D$41,MATCH(C2360,Customers!$A$2:$A$41,0)),INDEX(Customers!$F$2:$F$41,MATCH(C2360,Customers!$A$2:$A$41,0)))</f>
        <v>0.143</v>
      </c>
      <c r="I2360" s="16" t="n">
        <f aca="false">F2360*G2360</f>
        <v>179955</v>
      </c>
      <c r="J2360" s="16" t="n">
        <f aca="false">I2360*(1-H2360)</f>
        <v>154221.435</v>
      </c>
      <c r="K2360" s="16" t="n">
        <f aca="false">J2360*INDEX(Customers!$G$2:$G$41,MATCH(C2360,Customers!$A$2:$A$41,0))</f>
        <v>0</v>
      </c>
      <c r="L2360" s="16" t="n">
        <f aca="false">F2360*INDEX(Customers!$H$2:$H$41,MATCH(C2360,Customers!$A$2:$A$41,0))</f>
        <v>2945</v>
      </c>
      <c r="M2360" s="16" t="n">
        <f aca="false">J2360*INDEX(Customers!$I$2:$I$41,MATCH(C2360,Customers!$A$2:$A$41,0))/365*Assumptions!$B$6</f>
        <v>2028.11750136986</v>
      </c>
      <c r="N2360" s="16" t="n">
        <f aca="false">J2360-K2360-L2360-M2360</f>
        <v>149248.31749863</v>
      </c>
      <c r="O2360" s="16" t="n">
        <f aca="false">F2360*IF(A2360="2025",INDEX(Products!$D$2:$D$13,MATCH(D2360,Products!$A$2:$A$13,0)),INDEX(Products!$F$2:$F$13,MATCH(D2360,Products!$A$2:$A$13,0)))</f>
        <v>113770</v>
      </c>
      <c r="P2360" s="16" t="n">
        <f aca="false">N2360-O2360</f>
        <v>35478.3174986301</v>
      </c>
    </row>
    <row r="2361" customFormat="false" ht="15" hidden="false" customHeight="false" outlineLevel="0" collapsed="false">
      <c r="A2361" s="2" t="s">
        <v>118</v>
      </c>
      <c r="B2361" s="2" t="n">
        <v>8</v>
      </c>
      <c r="C2361" s="2" t="s">
        <v>97</v>
      </c>
      <c r="D2361" s="2" t="s">
        <v>43</v>
      </c>
      <c r="E2361" s="2" t="str">
        <f aca="false">INDEX(Products!$B$2:$B$13,MATCH(D2361,Products!$A$2:$A$13,0))</f>
        <v>Hydroprocessing</v>
      </c>
      <c r="F2361" s="15" t="n">
        <v>11.6</v>
      </c>
      <c r="G2361" s="16" t="n">
        <f aca="false">IF(A2361="2025",INDEX(Products!$C$2:$C$13,MATCH(D2361,Products!$A$2:$A$13,0)),INDEX(Products!$E$2:$E$13,MATCH(D2361,Products!$A$2:$A$13,0)))</f>
        <v>11610</v>
      </c>
      <c r="H2361" s="13" t="n">
        <f aca="false">IF(A2361="2025",INDEX(Customers!$D$2:$D$41,MATCH(C2361,Customers!$A$2:$A$41,0)),INDEX(Customers!$F$2:$F$41,MATCH(C2361,Customers!$A$2:$A$41,0)))</f>
        <v>0.143</v>
      </c>
      <c r="I2361" s="16" t="n">
        <f aca="false">F2361*G2361</f>
        <v>134676</v>
      </c>
      <c r="J2361" s="16" t="n">
        <f aca="false">I2361*(1-H2361)</f>
        <v>115417.332</v>
      </c>
      <c r="K2361" s="16" t="n">
        <f aca="false">J2361*INDEX(Customers!$G$2:$G$41,MATCH(C2361,Customers!$A$2:$A$41,0))</f>
        <v>0</v>
      </c>
      <c r="L2361" s="16" t="n">
        <f aca="false">F2361*INDEX(Customers!$H$2:$H$41,MATCH(C2361,Customers!$A$2:$A$41,0))</f>
        <v>2204</v>
      </c>
      <c r="M2361" s="16" t="n">
        <f aca="false">J2361*INDEX(Customers!$I$2:$I$41,MATCH(C2361,Customers!$A$2:$A$41,0))/365*Assumptions!$B$6</f>
        <v>1517.81696876712</v>
      </c>
      <c r="N2361" s="16" t="n">
        <f aca="false">J2361-K2361-L2361-M2361</f>
        <v>111695.515031233</v>
      </c>
      <c r="O2361" s="16" t="n">
        <f aca="false">F2361*IF(A2361="2025",INDEX(Products!$D$2:$D$13,MATCH(D2361,Products!$A$2:$A$13,0)),INDEX(Products!$F$2:$F$13,MATCH(D2361,Products!$A$2:$A$13,0)))</f>
        <v>85144</v>
      </c>
      <c r="P2361" s="16" t="n">
        <f aca="false">N2361-O2361</f>
        <v>26551.5150312329</v>
      </c>
    </row>
    <row r="2362" customFormat="false" ht="15" hidden="false" customHeight="false" outlineLevel="0" collapsed="false">
      <c r="A2362" s="2" t="s">
        <v>118</v>
      </c>
      <c r="B2362" s="2" t="n">
        <v>9</v>
      </c>
      <c r="C2362" s="2" t="s">
        <v>97</v>
      </c>
      <c r="D2362" s="2" t="s">
        <v>43</v>
      </c>
      <c r="E2362" s="2" t="str">
        <f aca="false">INDEX(Products!$B$2:$B$13,MATCH(D2362,Products!$A$2:$A$13,0))</f>
        <v>Hydroprocessing</v>
      </c>
      <c r="F2362" s="15" t="n">
        <v>15.2</v>
      </c>
      <c r="G2362" s="16" t="n">
        <f aca="false">IF(A2362="2025",INDEX(Products!$C$2:$C$13,MATCH(D2362,Products!$A$2:$A$13,0)),INDEX(Products!$E$2:$E$13,MATCH(D2362,Products!$A$2:$A$13,0)))</f>
        <v>11610</v>
      </c>
      <c r="H2362" s="13" t="n">
        <f aca="false">IF(A2362="2025",INDEX(Customers!$D$2:$D$41,MATCH(C2362,Customers!$A$2:$A$41,0)),INDEX(Customers!$F$2:$F$41,MATCH(C2362,Customers!$A$2:$A$41,0)))</f>
        <v>0.143</v>
      </c>
      <c r="I2362" s="16" t="n">
        <f aca="false">F2362*G2362</f>
        <v>176472</v>
      </c>
      <c r="J2362" s="16" t="n">
        <f aca="false">I2362*(1-H2362)</f>
        <v>151236.504</v>
      </c>
      <c r="K2362" s="16" t="n">
        <f aca="false">J2362*INDEX(Customers!$G$2:$G$41,MATCH(C2362,Customers!$A$2:$A$41,0))</f>
        <v>0</v>
      </c>
      <c r="L2362" s="16" t="n">
        <f aca="false">F2362*INDEX(Customers!$H$2:$H$41,MATCH(C2362,Customers!$A$2:$A$41,0))</f>
        <v>2888</v>
      </c>
      <c r="M2362" s="16" t="n">
        <f aca="false">J2362*INDEX(Customers!$I$2:$I$41,MATCH(C2362,Customers!$A$2:$A$41,0))/365*Assumptions!$B$6</f>
        <v>1988.86361424658</v>
      </c>
      <c r="N2362" s="16" t="n">
        <f aca="false">J2362-K2362-L2362-M2362</f>
        <v>146359.640385753</v>
      </c>
      <c r="O2362" s="16" t="n">
        <f aca="false">F2362*IF(A2362="2025",INDEX(Products!$D$2:$D$13,MATCH(D2362,Products!$A$2:$A$13,0)),INDEX(Products!$F$2:$F$13,MATCH(D2362,Products!$A$2:$A$13,0)))</f>
        <v>111568</v>
      </c>
      <c r="P2362" s="16" t="n">
        <f aca="false">N2362-O2362</f>
        <v>34791.6403857534</v>
      </c>
    </row>
    <row r="2363" customFormat="false" ht="15" hidden="false" customHeight="false" outlineLevel="0" collapsed="false">
      <c r="A2363" s="2" t="s">
        <v>118</v>
      </c>
      <c r="B2363" s="2" t="n">
        <v>10</v>
      </c>
      <c r="C2363" s="2" t="s">
        <v>97</v>
      </c>
      <c r="D2363" s="2" t="s">
        <v>43</v>
      </c>
      <c r="E2363" s="2" t="str">
        <f aca="false">INDEX(Products!$B$2:$B$13,MATCH(D2363,Products!$A$2:$A$13,0))</f>
        <v>Hydroprocessing</v>
      </c>
      <c r="F2363" s="15" t="n">
        <v>14.6</v>
      </c>
      <c r="G2363" s="16" t="n">
        <f aca="false">IF(A2363="2025",INDEX(Products!$C$2:$C$13,MATCH(D2363,Products!$A$2:$A$13,0)),INDEX(Products!$E$2:$E$13,MATCH(D2363,Products!$A$2:$A$13,0)))</f>
        <v>11610</v>
      </c>
      <c r="H2363" s="13" t="n">
        <f aca="false">IF(A2363="2025",INDEX(Customers!$D$2:$D$41,MATCH(C2363,Customers!$A$2:$A$41,0)),INDEX(Customers!$F$2:$F$41,MATCH(C2363,Customers!$A$2:$A$41,0)))</f>
        <v>0.143</v>
      </c>
      <c r="I2363" s="16" t="n">
        <f aca="false">F2363*G2363</f>
        <v>169506</v>
      </c>
      <c r="J2363" s="16" t="n">
        <f aca="false">I2363*(1-H2363)</f>
        <v>145266.642</v>
      </c>
      <c r="K2363" s="16" t="n">
        <f aca="false">J2363*INDEX(Customers!$G$2:$G$41,MATCH(C2363,Customers!$A$2:$A$41,0))</f>
        <v>0</v>
      </c>
      <c r="L2363" s="16" t="n">
        <f aca="false">F2363*INDEX(Customers!$H$2:$H$41,MATCH(C2363,Customers!$A$2:$A$41,0))</f>
        <v>2774</v>
      </c>
      <c r="M2363" s="16" t="n">
        <f aca="false">J2363*INDEX(Customers!$I$2:$I$41,MATCH(C2363,Customers!$A$2:$A$41,0))/365*Assumptions!$B$6</f>
        <v>1910.35584</v>
      </c>
      <c r="N2363" s="16" t="n">
        <f aca="false">J2363-K2363-L2363-M2363</f>
        <v>140582.28616</v>
      </c>
      <c r="O2363" s="16" t="n">
        <f aca="false">F2363*IF(A2363="2025",INDEX(Products!$D$2:$D$13,MATCH(D2363,Products!$A$2:$A$13,0)),INDEX(Products!$F$2:$F$13,MATCH(D2363,Products!$A$2:$A$13,0)))</f>
        <v>107164</v>
      </c>
      <c r="P2363" s="16" t="n">
        <f aca="false">N2363-O2363</f>
        <v>33418.28616</v>
      </c>
    </row>
    <row r="2364" customFormat="false" ht="15" hidden="false" customHeight="false" outlineLevel="0" collapsed="false">
      <c r="A2364" s="2" t="s">
        <v>118</v>
      </c>
      <c r="B2364" s="2" t="n">
        <v>11</v>
      </c>
      <c r="C2364" s="2" t="s">
        <v>97</v>
      </c>
      <c r="D2364" s="2" t="s">
        <v>43</v>
      </c>
      <c r="E2364" s="2" t="str">
        <f aca="false">INDEX(Products!$B$2:$B$13,MATCH(D2364,Products!$A$2:$A$13,0))</f>
        <v>Hydroprocessing</v>
      </c>
      <c r="F2364" s="15" t="n">
        <v>11.8</v>
      </c>
      <c r="G2364" s="16" t="n">
        <f aca="false">IF(A2364="2025",INDEX(Products!$C$2:$C$13,MATCH(D2364,Products!$A$2:$A$13,0)),INDEX(Products!$E$2:$E$13,MATCH(D2364,Products!$A$2:$A$13,0)))</f>
        <v>11610</v>
      </c>
      <c r="H2364" s="13" t="n">
        <f aca="false">IF(A2364="2025",INDEX(Customers!$D$2:$D$41,MATCH(C2364,Customers!$A$2:$A$41,0)),INDEX(Customers!$F$2:$F$41,MATCH(C2364,Customers!$A$2:$A$41,0)))</f>
        <v>0.143</v>
      </c>
      <c r="I2364" s="16" t="n">
        <f aca="false">F2364*G2364</f>
        <v>136998</v>
      </c>
      <c r="J2364" s="16" t="n">
        <f aca="false">I2364*(1-H2364)</f>
        <v>117407.286</v>
      </c>
      <c r="K2364" s="16" t="n">
        <f aca="false">J2364*INDEX(Customers!$G$2:$G$41,MATCH(C2364,Customers!$A$2:$A$41,0))</f>
        <v>0</v>
      </c>
      <c r="L2364" s="16" t="n">
        <f aca="false">F2364*INDEX(Customers!$H$2:$H$41,MATCH(C2364,Customers!$A$2:$A$41,0))</f>
        <v>2242</v>
      </c>
      <c r="M2364" s="16" t="n">
        <f aca="false">J2364*INDEX(Customers!$I$2:$I$41,MATCH(C2364,Customers!$A$2:$A$41,0))/365*Assumptions!$B$6</f>
        <v>1543.98622684932</v>
      </c>
      <c r="N2364" s="16" t="n">
        <f aca="false">J2364-K2364-L2364-M2364</f>
        <v>113621.299773151</v>
      </c>
      <c r="O2364" s="16" t="n">
        <f aca="false">F2364*IF(A2364="2025",INDEX(Products!$D$2:$D$13,MATCH(D2364,Products!$A$2:$A$13,0)),INDEX(Products!$F$2:$F$13,MATCH(D2364,Products!$A$2:$A$13,0)))</f>
        <v>86612</v>
      </c>
      <c r="P2364" s="16" t="n">
        <f aca="false">N2364-O2364</f>
        <v>27009.2997731507</v>
      </c>
    </row>
    <row r="2365" customFormat="false" ht="15" hidden="false" customHeight="false" outlineLevel="0" collapsed="false">
      <c r="A2365" s="2" t="s">
        <v>118</v>
      </c>
      <c r="B2365" s="2" t="n">
        <v>12</v>
      </c>
      <c r="C2365" s="2" t="s">
        <v>97</v>
      </c>
      <c r="D2365" s="2" t="s">
        <v>43</v>
      </c>
      <c r="E2365" s="2" t="str">
        <f aca="false">INDEX(Products!$B$2:$B$13,MATCH(D2365,Products!$A$2:$A$13,0))</f>
        <v>Hydroprocessing</v>
      </c>
      <c r="F2365" s="15" t="n">
        <v>13.2</v>
      </c>
      <c r="G2365" s="16" t="n">
        <f aca="false">IF(A2365="2025",INDEX(Products!$C$2:$C$13,MATCH(D2365,Products!$A$2:$A$13,0)),INDEX(Products!$E$2:$E$13,MATCH(D2365,Products!$A$2:$A$13,0)))</f>
        <v>11610</v>
      </c>
      <c r="H2365" s="13" t="n">
        <f aca="false">IF(A2365="2025",INDEX(Customers!$D$2:$D$41,MATCH(C2365,Customers!$A$2:$A$41,0)),INDEX(Customers!$F$2:$F$41,MATCH(C2365,Customers!$A$2:$A$41,0)))</f>
        <v>0.143</v>
      </c>
      <c r="I2365" s="16" t="n">
        <f aca="false">F2365*G2365</f>
        <v>153252</v>
      </c>
      <c r="J2365" s="16" t="n">
        <f aca="false">I2365*(1-H2365)</f>
        <v>131336.964</v>
      </c>
      <c r="K2365" s="16" t="n">
        <f aca="false">J2365*INDEX(Customers!$G$2:$G$41,MATCH(C2365,Customers!$A$2:$A$41,0))</f>
        <v>0</v>
      </c>
      <c r="L2365" s="16" t="n">
        <f aca="false">F2365*INDEX(Customers!$H$2:$H$41,MATCH(C2365,Customers!$A$2:$A$41,0))</f>
        <v>2508</v>
      </c>
      <c r="M2365" s="16" t="n">
        <f aca="false">J2365*INDEX(Customers!$I$2:$I$41,MATCH(C2365,Customers!$A$2:$A$41,0))/365*Assumptions!$B$6</f>
        <v>1727.17103342466</v>
      </c>
      <c r="N2365" s="16" t="n">
        <f aca="false">J2365-K2365-L2365-M2365</f>
        <v>127101.792966575</v>
      </c>
      <c r="O2365" s="16" t="n">
        <f aca="false">F2365*IF(A2365="2025",INDEX(Products!$D$2:$D$13,MATCH(D2365,Products!$A$2:$A$13,0)),INDEX(Products!$F$2:$F$13,MATCH(D2365,Products!$A$2:$A$13,0)))</f>
        <v>96888</v>
      </c>
      <c r="P2365" s="16" t="n">
        <f aca="false">N2365-O2365</f>
        <v>30213.7929665753</v>
      </c>
    </row>
    <row r="2366" customFormat="false" ht="15" hidden="false" customHeight="false" outlineLevel="0" collapsed="false">
      <c r="A2366" s="2" t="s">
        <v>119</v>
      </c>
      <c r="B2366" s="2" t="n">
        <v>1</v>
      </c>
      <c r="C2366" s="2" t="s">
        <v>97</v>
      </c>
      <c r="D2366" s="2" t="s">
        <v>43</v>
      </c>
      <c r="E2366" s="2" t="str">
        <f aca="false">INDEX(Products!$B$2:$B$13,MATCH(D2366,Products!$A$2:$A$13,0))</f>
        <v>Hydroprocessing</v>
      </c>
      <c r="F2366" s="15" t="n">
        <v>10.7</v>
      </c>
      <c r="G2366" s="16" t="n">
        <f aca="false">IF(A2366="2025",INDEX(Products!$C$2:$C$13,MATCH(D2366,Products!$A$2:$A$13,0)),INDEX(Products!$E$2:$E$13,MATCH(D2366,Products!$A$2:$A$13,0)))</f>
        <v>12190.5</v>
      </c>
      <c r="H2366" s="13" t="n">
        <f aca="false">IF(A2366="2025",INDEX(Customers!$D$2:$D$41,MATCH(C2366,Customers!$A$2:$A$41,0)),INDEX(Customers!$F$2:$F$41,MATCH(C2366,Customers!$A$2:$A$41,0)))</f>
        <v>0.143</v>
      </c>
      <c r="I2366" s="16" t="n">
        <f aca="false">F2366*G2366</f>
        <v>130438.35</v>
      </c>
      <c r="J2366" s="16" t="n">
        <f aca="false">I2366*(1-H2366)</f>
        <v>111785.66595</v>
      </c>
      <c r="K2366" s="16" t="n">
        <f aca="false">J2366*INDEX(Customers!$G$2:$G$41,MATCH(C2366,Customers!$A$2:$A$41,0))</f>
        <v>0</v>
      </c>
      <c r="L2366" s="16" t="n">
        <f aca="false">F2366*INDEX(Customers!$H$2:$H$41,MATCH(C2366,Customers!$A$2:$A$41,0))</f>
        <v>2033</v>
      </c>
      <c r="M2366" s="16" t="n">
        <f aca="false">J2366*INDEX(Customers!$I$2:$I$41,MATCH(C2366,Customers!$A$2:$A$41,0))/365*Assumptions!$B$6</f>
        <v>1470.05807276712</v>
      </c>
      <c r="N2366" s="16" t="n">
        <f aca="false">J2366-K2366-L2366-M2366</f>
        <v>108282.607877233</v>
      </c>
      <c r="O2366" s="16" t="n">
        <f aca="false">F2366*IF(A2366="2025",INDEX(Products!$D$2:$D$13,MATCH(D2366,Products!$A$2:$A$13,0)),INDEX(Products!$F$2:$F$13,MATCH(D2366,Products!$A$2:$A$13,0)))</f>
        <v>80894.14</v>
      </c>
      <c r="P2366" s="16" t="n">
        <f aca="false">N2366-O2366</f>
        <v>27388.4678772329</v>
      </c>
    </row>
    <row r="2367" customFormat="false" ht="15" hidden="false" customHeight="false" outlineLevel="0" collapsed="false">
      <c r="A2367" s="2" t="s">
        <v>119</v>
      </c>
      <c r="B2367" s="2" t="n">
        <v>2</v>
      </c>
      <c r="C2367" s="2" t="s">
        <v>97</v>
      </c>
      <c r="D2367" s="2" t="s">
        <v>43</v>
      </c>
      <c r="E2367" s="2" t="str">
        <f aca="false">INDEX(Products!$B$2:$B$13,MATCH(D2367,Products!$A$2:$A$13,0))</f>
        <v>Hydroprocessing</v>
      </c>
      <c r="F2367" s="15" t="n">
        <v>9.5</v>
      </c>
      <c r="G2367" s="16" t="n">
        <f aca="false">IF(A2367="2025",INDEX(Products!$C$2:$C$13,MATCH(D2367,Products!$A$2:$A$13,0)),INDEX(Products!$E$2:$E$13,MATCH(D2367,Products!$A$2:$A$13,0)))</f>
        <v>12190.5</v>
      </c>
      <c r="H2367" s="13" t="n">
        <f aca="false">IF(A2367="2025",INDEX(Customers!$D$2:$D$41,MATCH(C2367,Customers!$A$2:$A$41,0)),INDEX(Customers!$F$2:$F$41,MATCH(C2367,Customers!$A$2:$A$41,0)))</f>
        <v>0.143</v>
      </c>
      <c r="I2367" s="16" t="n">
        <f aca="false">F2367*G2367</f>
        <v>115809.75</v>
      </c>
      <c r="J2367" s="16" t="n">
        <f aca="false">I2367*(1-H2367)</f>
        <v>99248.95575</v>
      </c>
      <c r="K2367" s="16" t="n">
        <f aca="false">J2367*INDEX(Customers!$G$2:$G$41,MATCH(C2367,Customers!$A$2:$A$41,0))</f>
        <v>0</v>
      </c>
      <c r="L2367" s="16" t="n">
        <f aca="false">F2367*INDEX(Customers!$H$2:$H$41,MATCH(C2367,Customers!$A$2:$A$41,0))</f>
        <v>1805</v>
      </c>
      <c r="M2367" s="16" t="n">
        <f aca="false">J2367*INDEX(Customers!$I$2:$I$41,MATCH(C2367,Customers!$A$2:$A$41,0))/365*Assumptions!$B$6</f>
        <v>1305.19174684932</v>
      </c>
      <c r="N2367" s="16" t="n">
        <f aca="false">J2367-K2367-L2367-M2367</f>
        <v>96138.7640031507</v>
      </c>
      <c r="O2367" s="16" t="n">
        <f aca="false">F2367*IF(A2367="2025",INDEX(Products!$D$2:$D$13,MATCH(D2367,Products!$A$2:$A$13,0)),INDEX(Products!$F$2:$F$13,MATCH(D2367,Products!$A$2:$A$13,0)))</f>
        <v>71821.9</v>
      </c>
      <c r="P2367" s="16" t="n">
        <f aca="false">N2367-O2367</f>
        <v>24316.8640031507</v>
      </c>
    </row>
    <row r="2368" customFormat="false" ht="15" hidden="false" customHeight="false" outlineLevel="0" collapsed="false">
      <c r="A2368" s="2" t="s">
        <v>119</v>
      </c>
      <c r="B2368" s="2" t="n">
        <v>3</v>
      </c>
      <c r="C2368" s="2" t="s">
        <v>97</v>
      </c>
      <c r="D2368" s="2" t="s">
        <v>43</v>
      </c>
      <c r="E2368" s="2" t="str">
        <f aca="false">INDEX(Products!$B$2:$B$13,MATCH(D2368,Products!$A$2:$A$13,0))</f>
        <v>Hydroprocessing</v>
      </c>
      <c r="F2368" s="15" t="n">
        <v>11.1</v>
      </c>
      <c r="G2368" s="16" t="n">
        <f aca="false">IF(A2368="2025",INDEX(Products!$C$2:$C$13,MATCH(D2368,Products!$A$2:$A$13,0)),INDEX(Products!$E$2:$E$13,MATCH(D2368,Products!$A$2:$A$13,0)))</f>
        <v>12190.5</v>
      </c>
      <c r="H2368" s="13" t="n">
        <f aca="false">IF(A2368="2025",INDEX(Customers!$D$2:$D$41,MATCH(C2368,Customers!$A$2:$A$41,0)),INDEX(Customers!$F$2:$F$41,MATCH(C2368,Customers!$A$2:$A$41,0)))</f>
        <v>0.143</v>
      </c>
      <c r="I2368" s="16" t="n">
        <f aca="false">F2368*G2368</f>
        <v>135314.55</v>
      </c>
      <c r="J2368" s="16" t="n">
        <f aca="false">I2368*(1-H2368)</f>
        <v>115964.56935</v>
      </c>
      <c r="K2368" s="16" t="n">
        <f aca="false">J2368*INDEX(Customers!$G$2:$G$41,MATCH(C2368,Customers!$A$2:$A$41,0))</f>
        <v>0</v>
      </c>
      <c r="L2368" s="16" t="n">
        <f aca="false">F2368*INDEX(Customers!$H$2:$H$41,MATCH(C2368,Customers!$A$2:$A$41,0))</f>
        <v>2109</v>
      </c>
      <c r="M2368" s="16" t="n">
        <f aca="false">J2368*INDEX(Customers!$I$2:$I$41,MATCH(C2368,Customers!$A$2:$A$41,0))/365*Assumptions!$B$6</f>
        <v>1525.01351473973</v>
      </c>
      <c r="N2368" s="16" t="n">
        <f aca="false">J2368-K2368-L2368-M2368</f>
        <v>112330.55583526</v>
      </c>
      <c r="O2368" s="16" t="n">
        <f aca="false">F2368*IF(A2368="2025",INDEX(Products!$D$2:$D$13,MATCH(D2368,Products!$A$2:$A$13,0)),INDEX(Products!$F$2:$F$13,MATCH(D2368,Products!$A$2:$A$13,0)))</f>
        <v>83918.22</v>
      </c>
      <c r="P2368" s="16" t="n">
        <f aca="false">N2368-O2368</f>
        <v>28412.3358352603</v>
      </c>
    </row>
    <row r="2369" customFormat="false" ht="15" hidden="false" customHeight="false" outlineLevel="0" collapsed="false">
      <c r="A2369" s="2" t="s">
        <v>119</v>
      </c>
      <c r="B2369" s="2" t="n">
        <v>4</v>
      </c>
      <c r="C2369" s="2" t="s">
        <v>97</v>
      </c>
      <c r="D2369" s="2" t="s">
        <v>43</v>
      </c>
      <c r="E2369" s="2" t="str">
        <f aca="false">INDEX(Products!$B$2:$B$13,MATCH(D2369,Products!$A$2:$A$13,0))</f>
        <v>Hydroprocessing</v>
      </c>
      <c r="F2369" s="15" t="n">
        <v>13.9</v>
      </c>
      <c r="G2369" s="16" t="n">
        <f aca="false">IF(A2369="2025",INDEX(Products!$C$2:$C$13,MATCH(D2369,Products!$A$2:$A$13,0)),INDEX(Products!$E$2:$E$13,MATCH(D2369,Products!$A$2:$A$13,0)))</f>
        <v>12190.5</v>
      </c>
      <c r="H2369" s="13" t="n">
        <f aca="false">IF(A2369="2025",INDEX(Customers!$D$2:$D$41,MATCH(C2369,Customers!$A$2:$A$41,0)),INDEX(Customers!$F$2:$F$41,MATCH(C2369,Customers!$A$2:$A$41,0)))</f>
        <v>0.143</v>
      </c>
      <c r="I2369" s="16" t="n">
        <f aca="false">F2369*G2369</f>
        <v>169447.95</v>
      </c>
      <c r="J2369" s="16" t="n">
        <f aca="false">I2369*(1-H2369)</f>
        <v>145216.89315</v>
      </c>
      <c r="K2369" s="16" t="n">
        <f aca="false">J2369*INDEX(Customers!$G$2:$G$41,MATCH(C2369,Customers!$A$2:$A$41,0))</f>
        <v>0</v>
      </c>
      <c r="L2369" s="16" t="n">
        <f aca="false">F2369*INDEX(Customers!$H$2:$H$41,MATCH(C2369,Customers!$A$2:$A$41,0))</f>
        <v>2641</v>
      </c>
      <c r="M2369" s="16" t="n">
        <f aca="false">J2369*INDEX(Customers!$I$2:$I$41,MATCH(C2369,Customers!$A$2:$A$41,0))/365*Assumptions!$B$6</f>
        <v>1909.70160854795</v>
      </c>
      <c r="N2369" s="16" t="n">
        <f aca="false">J2369-K2369-L2369-M2369</f>
        <v>140666.191541452</v>
      </c>
      <c r="O2369" s="16" t="n">
        <f aca="false">F2369*IF(A2369="2025",INDEX(Products!$D$2:$D$13,MATCH(D2369,Products!$A$2:$A$13,0)),INDEX(Products!$F$2:$F$13,MATCH(D2369,Products!$A$2:$A$13,0)))</f>
        <v>105086.78</v>
      </c>
      <c r="P2369" s="16" t="n">
        <f aca="false">N2369-O2369</f>
        <v>35579.4115414521</v>
      </c>
    </row>
    <row r="2370" customFormat="false" ht="15" hidden="false" customHeight="false" outlineLevel="0" collapsed="false">
      <c r="A2370" s="2" t="s">
        <v>119</v>
      </c>
      <c r="B2370" s="2" t="n">
        <v>5</v>
      </c>
      <c r="C2370" s="2" t="s">
        <v>97</v>
      </c>
      <c r="D2370" s="2" t="s">
        <v>43</v>
      </c>
      <c r="E2370" s="2" t="str">
        <f aca="false">INDEX(Products!$B$2:$B$13,MATCH(D2370,Products!$A$2:$A$13,0))</f>
        <v>Hydroprocessing</v>
      </c>
      <c r="F2370" s="15" t="n">
        <v>15.5</v>
      </c>
      <c r="G2370" s="16" t="n">
        <f aca="false">IF(A2370="2025",INDEX(Products!$C$2:$C$13,MATCH(D2370,Products!$A$2:$A$13,0)),INDEX(Products!$E$2:$E$13,MATCH(D2370,Products!$A$2:$A$13,0)))</f>
        <v>12190.5</v>
      </c>
      <c r="H2370" s="13" t="n">
        <f aca="false">IF(A2370="2025",INDEX(Customers!$D$2:$D$41,MATCH(C2370,Customers!$A$2:$A$41,0)),INDEX(Customers!$F$2:$F$41,MATCH(C2370,Customers!$A$2:$A$41,0)))</f>
        <v>0.143</v>
      </c>
      <c r="I2370" s="16" t="n">
        <f aca="false">F2370*G2370</f>
        <v>188952.75</v>
      </c>
      <c r="J2370" s="16" t="n">
        <f aca="false">I2370*(1-H2370)</f>
        <v>161932.50675</v>
      </c>
      <c r="K2370" s="16" t="n">
        <f aca="false">J2370*INDEX(Customers!$G$2:$G$41,MATCH(C2370,Customers!$A$2:$A$41,0))</f>
        <v>0</v>
      </c>
      <c r="L2370" s="16" t="n">
        <f aca="false">F2370*INDEX(Customers!$H$2:$H$41,MATCH(C2370,Customers!$A$2:$A$41,0))</f>
        <v>2945</v>
      </c>
      <c r="M2370" s="16" t="n">
        <f aca="false">J2370*INDEX(Customers!$I$2:$I$41,MATCH(C2370,Customers!$A$2:$A$41,0))/365*Assumptions!$B$6</f>
        <v>2129.52337643836</v>
      </c>
      <c r="N2370" s="16" t="n">
        <f aca="false">J2370-K2370-L2370-M2370</f>
        <v>156857.983373562</v>
      </c>
      <c r="O2370" s="16" t="n">
        <f aca="false">F2370*IF(A2370="2025",INDEX(Products!$D$2:$D$13,MATCH(D2370,Products!$A$2:$A$13,0)),INDEX(Products!$F$2:$F$13,MATCH(D2370,Products!$A$2:$A$13,0)))</f>
        <v>117183.1</v>
      </c>
      <c r="P2370" s="16" t="n">
        <f aca="false">N2370-O2370</f>
        <v>39674.8833735617</v>
      </c>
    </row>
    <row r="2371" customFormat="false" ht="15" hidden="false" customHeight="false" outlineLevel="0" collapsed="false">
      <c r="A2371" s="2" t="s">
        <v>119</v>
      </c>
      <c r="B2371" s="2" t="n">
        <v>6</v>
      </c>
      <c r="C2371" s="2" t="s">
        <v>97</v>
      </c>
      <c r="D2371" s="2" t="s">
        <v>43</v>
      </c>
      <c r="E2371" s="2" t="str">
        <f aca="false">INDEX(Products!$B$2:$B$13,MATCH(D2371,Products!$A$2:$A$13,0))</f>
        <v>Hydroprocessing</v>
      </c>
      <c r="F2371" s="15" t="n">
        <v>16.6</v>
      </c>
      <c r="G2371" s="16" t="n">
        <f aca="false">IF(A2371="2025",INDEX(Products!$C$2:$C$13,MATCH(D2371,Products!$A$2:$A$13,0)),INDEX(Products!$E$2:$E$13,MATCH(D2371,Products!$A$2:$A$13,0)))</f>
        <v>12190.5</v>
      </c>
      <c r="H2371" s="13" t="n">
        <f aca="false">IF(A2371="2025",INDEX(Customers!$D$2:$D$41,MATCH(C2371,Customers!$A$2:$A$41,0)),INDEX(Customers!$F$2:$F$41,MATCH(C2371,Customers!$A$2:$A$41,0)))</f>
        <v>0.143</v>
      </c>
      <c r="I2371" s="16" t="n">
        <f aca="false">F2371*G2371</f>
        <v>202362.3</v>
      </c>
      <c r="J2371" s="16" t="n">
        <f aca="false">I2371*(1-H2371)</f>
        <v>173424.4911</v>
      </c>
      <c r="K2371" s="16" t="n">
        <f aca="false">J2371*INDEX(Customers!$G$2:$G$41,MATCH(C2371,Customers!$A$2:$A$41,0))</f>
        <v>0</v>
      </c>
      <c r="L2371" s="16" t="n">
        <f aca="false">F2371*INDEX(Customers!$H$2:$H$41,MATCH(C2371,Customers!$A$2:$A$41,0))</f>
        <v>3154</v>
      </c>
      <c r="M2371" s="16" t="n">
        <f aca="false">J2371*INDEX(Customers!$I$2:$I$41,MATCH(C2371,Customers!$A$2:$A$41,0))/365*Assumptions!$B$6</f>
        <v>2280.65084186301</v>
      </c>
      <c r="N2371" s="16" t="n">
        <f aca="false">J2371-K2371-L2371-M2371</f>
        <v>167989.840258137</v>
      </c>
      <c r="O2371" s="16" t="n">
        <f aca="false">F2371*IF(A2371="2025",INDEX(Products!$D$2:$D$13,MATCH(D2371,Products!$A$2:$A$13,0)),INDEX(Products!$F$2:$F$13,MATCH(D2371,Products!$A$2:$A$13,0)))</f>
        <v>125499.32</v>
      </c>
      <c r="P2371" s="16" t="n">
        <f aca="false">N2371-O2371</f>
        <v>42490.520258137</v>
      </c>
    </row>
    <row r="2372" customFormat="false" ht="15" hidden="false" customHeight="false" outlineLevel="0" collapsed="false">
      <c r="A2372" s="2" t="s">
        <v>119</v>
      </c>
      <c r="B2372" s="2" t="n">
        <v>7</v>
      </c>
      <c r="C2372" s="2" t="s">
        <v>97</v>
      </c>
      <c r="D2372" s="2" t="s">
        <v>43</v>
      </c>
      <c r="E2372" s="2" t="str">
        <f aca="false">INDEX(Products!$B$2:$B$13,MATCH(D2372,Products!$A$2:$A$13,0))</f>
        <v>Hydroprocessing</v>
      </c>
      <c r="F2372" s="15" t="n">
        <v>16.4</v>
      </c>
      <c r="G2372" s="16" t="n">
        <f aca="false">IF(A2372="2025",INDEX(Products!$C$2:$C$13,MATCH(D2372,Products!$A$2:$A$13,0)),INDEX(Products!$E$2:$E$13,MATCH(D2372,Products!$A$2:$A$13,0)))</f>
        <v>12190.5</v>
      </c>
      <c r="H2372" s="13" t="n">
        <f aca="false">IF(A2372="2025",INDEX(Customers!$D$2:$D$41,MATCH(C2372,Customers!$A$2:$A$41,0)),INDEX(Customers!$F$2:$F$41,MATCH(C2372,Customers!$A$2:$A$41,0)))</f>
        <v>0.143</v>
      </c>
      <c r="I2372" s="16" t="n">
        <f aca="false">F2372*G2372</f>
        <v>199924.2</v>
      </c>
      <c r="J2372" s="16" t="n">
        <f aca="false">I2372*(1-H2372)</f>
        <v>171335.0394</v>
      </c>
      <c r="K2372" s="16" t="n">
        <f aca="false">J2372*INDEX(Customers!$G$2:$G$41,MATCH(C2372,Customers!$A$2:$A$41,0))</f>
        <v>0</v>
      </c>
      <c r="L2372" s="16" t="n">
        <f aca="false">F2372*INDEX(Customers!$H$2:$H$41,MATCH(C2372,Customers!$A$2:$A$41,0))</f>
        <v>3116</v>
      </c>
      <c r="M2372" s="16" t="n">
        <f aca="false">J2372*INDEX(Customers!$I$2:$I$41,MATCH(C2372,Customers!$A$2:$A$41,0))/365*Assumptions!$B$6</f>
        <v>2253.17312087671</v>
      </c>
      <c r="N2372" s="16" t="n">
        <f aca="false">J2372-K2372-L2372-M2372</f>
        <v>165965.866279123</v>
      </c>
      <c r="O2372" s="16" t="n">
        <f aca="false">F2372*IF(A2372="2025",INDEX(Products!$D$2:$D$13,MATCH(D2372,Products!$A$2:$A$13,0)),INDEX(Products!$F$2:$F$13,MATCH(D2372,Products!$A$2:$A$13,0)))</f>
        <v>123987.28</v>
      </c>
      <c r="P2372" s="16" t="n">
        <f aca="false">N2372-O2372</f>
        <v>41978.5862791233</v>
      </c>
    </row>
    <row r="2373" customFormat="false" ht="15" hidden="false" customHeight="false" outlineLevel="0" collapsed="false">
      <c r="A2373" s="2" t="s">
        <v>119</v>
      </c>
      <c r="B2373" s="2" t="n">
        <v>8</v>
      </c>
      <c r="C2373" s="2" t="s">
        <v>97</v>
      </c>
      <c r="D2373" s="2" t="s">
        <v>43</v>
      </c>
      <c r="E2373" s="2" t="str">
        <f aca="false">INDEX(Products!$B$2:$B$13,MATCH(D2373,Products!$A$2:$A$13,0))</f>
        <v>Hydroprocessing</v>
      </c>
      <c r="F2373" s="15" t="n">
        <v>9.7</v>
      </c>
      <c r="G2373" s="16" t="n">
        <f aca="false">IF(A2373="2025",INDEX(Products!$C$2:$C$13,MATCH(D2373,Products!$A$2:$A$13,0)),INDEX(Products!$E$2:$E$13,MATCH(D2373,Products!$A$2:$A$13,0)))</f>
        <v>12190.5</v>
      </c>
      <c r="H2373" s="13" t="n">
        <f aca="false">IF(A2373="2025",INDEX(Customers!$D$2:$D$41,MATCH(C2373,Customers!$A$2:$A$41,0)),INDEX(Customers!$F$2:$F$41,MATCH(C2373,Customers!$A$2:$A$41,0)))</f>
        <v>0.143</v>
      </c>
      <c r="I2373" s="16" t="n">
        <f aca="false">F2373*G2373</f>
        <v>118247.85</v>
      </c>
      <c r="J2373" s="16" t="n">
        <f aca="false">I2373*(1-H2373)</f>
        <v>101338.40745</v>
      </c>
      <c r="K2373" s="16" t="n">
        <f aca="false">J2373*INDEX(Customers!$G$2:$G$41,MATCH(C2373,Customers!$A$2:$A$41,0))</f>
        <v>0</v>
      </c>
      <c r="L2373" s="16" t="n">
        <f aca="false">F2373*INDEX(Customers!$H$2:$H$41,MATCH(C2373,Customers!$A$2:$A$41,0))</f>
        <v>1843</v>
      </c>
      <c r="M2373" s="16" t="n">
        <f aca="false">J2373*INDEX(Customers!$I$2:$I$41,MATCH(C2373,Customers!$A$2:$A$41,0))/365*Assumptions!$B$6</f>
        <v>1332.66946783562</v>
      </c>
      <c r="N2373" s="16" t="n">
        <f aca="false">J2373-K2373-L2373-M2373</f>
        <v>98162.7379821644</v>
      </c>
      <c r="O2373" s="16" t="n">
        <f aca="false">F2373*IF(A2373="2025",INDEX(Products!$D$2:$D$13,MATCH(D2373,Products!$A$2:$A$13,0)),INDEX(Products!$F$2:$F$13,MATCH(D2373,Products!$A$2:$A$13,0)))</f>
        <v>73333.94</v>
      </c>
      <c r="P2373" s="16" t="n">
        <f aca="false">N2373-O2373</f>
        <v>24828.7979821644</v>
      </c>
    </row>
    <row r="2374" customFormat="false" ht="15" hidden="false" customHeight="false" outlineLevel="0" collapsed="false">
      <c r="A2374" s="2" t="s">
        <v>119</v>
      </c>
      <c r="B2374" s="2" t="n">
        <v>9</v>
      </c>
      <c r="C2374" s="2" t="s">
        <v>97</v>
      </c>
      <c r="D2374" s="2" t="s">
        <v>43</v>
      </c>
      <c r="E2374" s="2" t="str">
        <f aca="false">INDEX(Products!$B$2:$B$13,MATCH(D2374,Products!$A$2:$A$13,0))</f>
        <v>Hydroprocessing</v>
      </c>
      <c r="F2374" s="15" t="n">
        <v>16.2</v>
      </c>
      <c r="G2374" s="16" t="n">
        <f aca="false">IF(A2374="2025",INDEX(Products!$C$2:$C$13,MATCH(D2374,Products!$A$2:$A$13,0)),INDEX(Products!$E$2:$E$13,MATCH(D2374,Products!$A$2:$A$13,0)))</f>
        <v>12190.5</v>
      </c>
      <c r="H2374" s="13" t="n">
        <f aca="false">IF(A2374="2025",INDEX(Customers!$D$2:$D$41,MATCH(C2374,Customers!$A$2:$A$41,0)),INDEX(Customers!$F$2:$F$41,MATCH(C2374,Customers!$A$2:$A$41,0)))</f>
        <v>0.143</v>
      </c>
      <c r="I2374" s="16" t="n">
        <f aca="false">F2374*G2374</f>
        <v>197486.1</v>
      </c>
      <c r="J2374" s="16" t="n">
        <f aca="false">I2374*(1-H2374)</f>
        <v>169245.5877</v>
      </c>
      <c r="K2374" s="16" t="n">
        <f aca="false">J2374*INDEX(Customers!$G$2:$G$41,MATCH(C2374,Customers!$A$2:$A$41,0))</f>
        <v>0</v>
      </c>
      <c r="L2374" s="16" t="n">
        <f aca="false">F2374*INDEX(Customers!$H$2:$H$41,MATCH(C2374,Customers!$A$2:$A$41,0))</f>
        <v>3078</v>
      </c>
      <c r="M2374" s="16" t="n">
        <f aca="false">J2374*INDEX(Customers!$I$2:$I$41,MATCH(C2374,Customers!$A$2:$A$41,0))/365*Assumptions!$B$6</f>
        <v>2225.69539989041</v>
      </c>
      <c r="N2374" s="16" t="n">
        <f aca="false">J2374-K2374-L2374-M2374</f>
        <v>163941.89230011</v>
      </c>
      <c r="O2374" s="16" t="n">
        <f aca="false">F2374*IF(A2374="2025",INDEX(Products!$D$2:$D$13,MATCH(D2374,Products!$A$2:$A$13,0)),INDEX(Products!$F$2:$F$13,MATCH(D2374,Products!$A$2:$A$13,0)))</f>
        <v>122475.24</v>
      </c>
      <c r="P2374" s="16" t="n">
        <f aca="false">N2374-O2374</f>
        <v>41466.6523001096</v>
      </c>
    </row>
    <row r="2375" customFormat="false" ht="15" hidden="false" customHeight="false" outlineLevel="0" collapsed="false">
      <c r="A2375" s="2" t="s">
        <v>119</v>
      </c>
      <c r="B2375" s="2" t="n">
        <v>10</v>
      </c>
      <c r="C2375" s="2" t="s">
        <v>97</v>
      </c>
      <c r="D2375" s="2" t="s">
        <v>43</v>
      </c>
      <c r="E2375" s="2" t="str">
        <f aca="false">INDEX(Products!$B$2:$B$13,MATCH(D2375,Products!$A$2:$A$13,0))</f>
        <v>Hydroprocessing</v>
      </c>
      <c r="F2375" s="15" t="n">
        <v>10.1</v>
      </c>
      <c r="G2375" s="16" t="n">
        <f aca="false">IF(A2375="2025",INDEX(Products!$C$2:$C$13,MATCH(D2375,Products!$A$2:$A$13,0)),INDEX(Products!$E$2:$E$13,MATCH(D2375,Products!$A$2:$A$13,0)))</f>
        <v>12190.5</v>
      </c>
      <c r="H2375" s="13" t="n">
        <f aca="false">IF(A2375="2025",INDEX(Customers!$D$2:$D$41,MATCH(C2375,Customers!$A$2:$A$41,0)),INDEX(Customers!$F$2:$F$41,MATCH(C2375,Customers!$A$2:$A$41,0)))</f>
        <v>0.143</v>
      </c>
      <c r="I2375" s="16" t="n">
        <f aca="false">F2375*G2375</f>
        <v>123124.05</v>
      </c>
      <c r="J2375" s="16" t="n">
        <f aca="false">I2375*(1-H2375)</f>
        <v>105517.31085</v>
      </c>
      <c r="K2375" s="16" t="n">
        <f aca="false">J2375*INDEX(Customers!$G$2:$G$41,MATCH(C2375,Customers!$A$2:$A$41,0))</f>
        <v>0</v>
      </c>
      <c r="L2375" s="16" t="n">
        <f aca="false">F2375*INDEX(Customers!$H$2:$H$41,MATCH(C2375,Customers!$A$2:$A$41,0))</f>
        <v>1919</v>
      </c>
      <c r="M2375" s="16" t="n">
        <f aca="false">J2375*INDEX(Customers!$I$2:$I$41,MATCH(C2375,Customers!$A$2:$A$41,0))/365*Assumptions!$B$6</f>
        <v>1387.62490980822</v>
      </c>
      <c r="N2375" s="16" t="n">
        <f aca="false">J2375-K2375-L2375-M2375</f>
        <v>102210.685940192</v>
      </c>
      <c r="O2375" s="16" t="n">
        <f aca="false">F2375*IF(A2375="2025",INDEX(Products!$D$2:$D$13,MATCH(D2375,Products!$A$2:$A$13,0)),INDEX(Products!$F$2:$F$13,MATCH(D2375,Products!$A$2:$A$13,0)))</f>
        <v>76358.02</v>
      </c>
      <c r="P2375" s="16" t="n">
        <f aca="false">N2375-O2375</f>
        <v>25852.6659401918</v>
      </c>
    </row>
    <row r="2376" customFormat="false" ht="15" hidden="false" customHeight="false" outlineLevel="0" collapsed="false">
      <c r="A2376" s="2" t="s">
        <v>119</v>
      </c>
      <c r="B2376" s="2" t="n">
        <v>11</v>
      </c>
      <c r="C2376" s="2" t="s">
        <v>97</v>
      </c>
      <c r="D2376" s="2" t="s">
        <v>43</v>
      </c>
      <c r="E2376" s="2" t="str">
        <f aca="false">INDEX(Products!$B$2:$B$13,MATCH(D2376,Products!$A$2:$A$13,0))</f>
        <v>Hydroprocessing</v>
      </c>
      <c r="F2376" s="15" t="n">
        <v>10</v>
      </c>
      <c r="G2376" s="16" t="n">
        <f aca="false">IF(A2376="2025",INDEX(Products!$C$2:$C$13,MATCH(D2376,Products!$A$2:$A$13,0)),INDEX(Products!$E$2:$E$13,MATCH(D2376,Products!$A$2:$A$13,0)))</f>
        <v>12190.5</v>
      </c>
      <c r="H2376" s="13" t="n">
        <f aca="false">IF(A2376="2025",INDEX(Customers!$D$2:$D$41,MATCH(C2376,Customers!$A$2:$A$41,0)),INDEX(Customers!$F$2:$F$41,MATCH(C2376,Customers!$A$2:$A$41,0)))</f>
        <v>0.143</v>
      </c>
      <c r="I2376" s="16" t="n">
        <f aca="false">F2376*G2376</f>
        <v>121905</v>
      </c>
      <c r="J2376" s="16" t="n">
        <f aca="false">I2376*(1-H2376)</f>
        <v>104472.585</v>
      </c>
      <c r="K2376" s="16" t="n">
        <f aca="false">J2376*INDEX(Customers!$G$2:$G$41,MATCH(C2376,Customers!$A$2:$A$41,0))</f>
        <v>0</v>
      </c>
      <c r="L2376" s="16" t="n">
        <f aca="false">F2376*INDEX(Customers!$H$2:$H$41,MATCH(C2376,Customers!$A$2:$A$41,0))</f>
        <v>1900</v>
      </c>
      <c r="M2376" s="16" t="n">
        <f aca="false">J2376*INDEX(Customers!$I$2:$I$41,MATCH(C2376,Customers!$A$2:$A$41,0))/365*Assumptions!$B$6</f>
        <v>1373.88604931507</v>
      </c>
      <c r="N2376" s="16" t="n">
        <f aca="false">J2376-K2376-L2376-M2376</f>
        <v>101198.698950685</v>
      </c>
      <c r="O2376" s="16" t="n">
        <f aca="false">F2376*IF(A2376="2025",INDEX(Products!$D$2:$D$13,MATCH(D2376,Products!$A$2:$A$13,0)),INDEX(Products!$F$2:$F$13,MATCH(D2376,Products!$A$2:$A$13,0)))</f>
        <v>75602</v>
      </c>
      <c r="P2376" s="16" t="n">
        <f aca="false">N2376-O2376</f>
        <v>25596.6989506849</v>
      </c>
    </row>
    <row r="2377" customFormat="false" ht="15" hidden="false" customHeight="false" outlineLevel="0" collapsed="false">
      <c r="A2377" s="2" t="s">
        <v>119</v>
      </c>
      <c r="B2377" s="2" t="n">
        <v>12</v>
      </c>
      <c r="C2377" s="2" t="s">
        <v>97</v>
      </c>
      <c r="D2377" s="2" t="s">
        <v>43</v>
      </c>
      <c r="E2377" s="2" t="str">
        <f aca="false">INDEX(Products!$B$2:$B$13,MATCH(D2377,Products!$A$2:$A$13,0))</f>
        <v>Hydroprocessing</v>
      </c>
      <c r="F2377" s="15" t="n">
        <v>11.8</v>
      </c>
      <c r="G2377" s="16" t="n">
        <f aca="false">IF(A2377="2025",INDEX(Products!$C$2:$C$13,MATCH(D2377,Products!$A$2:$A$13,0)),INDEX(Products!$E$2:$E$13,MATCH(D2377,Products!$A$2:$A$13,0)))</f>
        <v>12190.5</v>
      </c>
      <c r="H2377" s="13" t="n">
        <f aca="false">IF(A2377="2025",INDEX(Customers!$D$2:$D$41,MATCH(C2377,Customers!$A$2:$A$41,0)),INDEX(Customers!$F$2:$F$41,MATCH(C2377,Customers!$A$2:$A$41,0)))</f>
        <v>0.143</v>
      </c>
      <c r="I2377" s="16" t="n">
        <f aca="false">F2377*G2377</f>
        <v>143847.9</v>
      </c>
      <c r="J2377" s="16" t="n">
        <f aca="false">I2377*(1-H2377)</f>
        <v>123277.6503</v>
      </c>
      <c r="K2377" s="16" t="n">
        <f aca="false">J2377*INDEX(Customers!$G$2:$G$41,MATCH(C2377,Customers!$A$2:$A$41,0))</f>
        <v>0</v>
      </c>
      <c r="L2377" s="16" t="n">
        <f aca="false">F2377*INDEX(Customers!$H$2:$H$41,MATCH(C2377,Customers!$A$2:$A$41,0))</f>
        <v>2242</v>
      </c>
      <c r="M2377" s="16" t="n">
        <f aca="false">J2377*INDEX(Customers!$I$2:$I$41,MATCH(C2377,Customers!$A$2:$A$41,0))/365*Assumptions!$B$6</f>
        <v>1621.18553819178</v>
      </c>
      <c r="N2377" s="16" t="n">
        <f aca="false">J2377-K2377-L2377-M2377</f>
        <v>119414.464761808</v>
      </c>
      <c r="O2377" s="16" t="n">
        <f aca="false">F2377*IF(A2377="2025",INDEX(Products!$D$2:$D$13,MATCH(D2377,Products!$A$2:$A$13,0)),INDEX(Products!$F$2:$F$13,MATCH(D2377,Products!$A$2:$A$13,0)))</f>
        <v>89210.36</v>
      </c>
      <c r="P2377" s="16" t="n">
        <f aca="false">N2377-O2377</f>
        <v>30204.1047618082</v>
      </c>
    </row>
    <row r="2378" customFormat="false" ht="15" hidden="false" customHeight="false" outlineLevel="0" collapsed="false">
      <c r="A2378" s="2" t="s">
        <v>118</v>
      </c>
      <c r="B2378" s="2" t="n">
        <v>1</v>
      </c>
      <c r="C2378" s="2" t="s">
        <v>97</v>
      </c>
      <c r="D2378" s="2" t="s">
        <v>34</v>
      </c>
      <c r="E2378" s="2" t="str">
        <f aca="false">INDEX(Products!$B$2:$B$13,MATCH(D2378,Products!$A$2:$A$13,0))</f>
        <v>FCC</v>
      </c>
      <c r="F2378" s="15" t="n">
        <v>24.2</v>
      </c>
      <c r="G2378" s="16" t="n">
        <f aca="false">IF(A2378="2025",INDEX(Products!$C$2:$C$13,MATCH(D2378,Products!$A$2:$A$13,0)),INDEX(Products!$E$2:$E$13,MATCH(D2378,Products!$A$2:$A$13,0)))</f>
        <v>3270</v>
      </c>
      <c r="H2378" s="13" t="n">
        <f aca="false">IF(A2378="2025",INDEX(Customers!$D$2:$D$41,MATCH(C2378,Customers!$A$2:$A$41,0)),INDEX(Customers!$F$2:$F$41,MATCH(C2378,Customers!$A$2:$A$41,0)))</f>
        <v>0.143</v>
      </c>
      <c r="I2378" s="16" t="n">
        <f aca="false">F2378*G2378</f>
        <v>79134</v>
      </c>
      <c r="J2378" s="16" t="n">
        <f aca="false">I2378*(1-H2378)</f>
        <v>67817.838</v>
      </c>
      <c r="K2378" s="16" t="n">
        <f aca="false">J2378*INDEX(Customers!$G$2:$G$41,MATCH(C2378,Customers!$A$2:$A$41,0))</f>
        <v>0</v>
      </c>
      <c r="L2378" s="16" t="n">
        <f aca="false">F2378*INDEX(Customers!$H$2:$H$41,MATCH(C2378,Customers!$A$2:$A$41,0))</f>
        <v>4598</v>
      </c>
      <c r="M2378" s="16" t="n">
        <f aca="false">J2378*INDEX(Customers!$I$2:$I$41,MATCH(C2378,Customers!$A$2:$A$41,0))/365*Assumptions!$B$6</f>
        <v>891.851020273973</v>
      </c>
      <c r="N2378" s="16" t="n">
        <f aca="false">J2378-K2378-L2378-M2378</f>
        <v>62327.986979726</v>
      </c>
      <c r="O2378" s="16" t="n">
        <f aca="false">F2378*IF(A2378="2025",INDEX(Products!$D$2:$D$13,MATCH(D2378,Products!$A$2:$A$13,0)),INDEX(Products!$F$2:$F$13,MATCH(D2378,Products!$A$2:$A$13,0)))</f>
        <v>52998</v>
      </c>
      <c r="P2378" s="16" t="n">
        <f aca="false">N2378-O2378</f>
        <v>9329.98697972603</v>
      </c>
    </row>
    <row r="2379" customFormat="false" ht="15" hidden="false" customHeight="false" outlineLevel="0" collapsed="false">
      <c r="A2379" s="2" t="s">
        <v>118</v>
      </c>
      <c r="B2379" s="2" t="n">
        <v>2</v>
      </c>
      <c r="C2379" s="2" t="s">
        <v>97</v>
      </c>
      <c r="D2379" s="2" t="s">
        <v>34</v>
      </c>
      <c r="E2379" s="2" t="str">
        <f aca="false">INDEX(Products!$B$2:$B$13,MATCH(D2379,Products!$A$2:$A$13,0))</f>
        <v>FCC</v>
      </c>
      <c r="F2379" s="15" t="n">
        <v>33.3</v>
      </c>
      <c r="G2379" s="16" t="n">
        <f aca="false">IF(A2379="2025",INDEX(Products!$C$2:$C$13,MATCH(D2379,Products!$A$2:$A$13,0)),INDEX(Products!$E$2:$E$13,MATCH(D2379,Products!$A$2:$A$13,0)))</f>
        <v>3270</v>
      </c>
      <c r="H2379" s="13" t="n">
        <f aca="false">IF(A2379="2025",INDEX(Customers!$D$2:$D$41,MATCH(C2379,Customers!$A$2:$A$41,0)),INDEX(Customers!$F$2:$F$41,MATCH(C2379,Customers!$A$2:$A$41,0)))</f>
        <v>0.143</v>
      </c>
      <c r="I2379" s="16" t="n">
        <f aca="false">F2379*G2379</f>
        <v>108891</v>
      </c>
      <c r="J2379" s="16" t="n">
        <f aca="false">I2379*(1-H2379)</f>
        <v>93319.587</v>
      </c>
      <c r="K2379" s="16" t="n">
        <f aca="false">J2379*INDEX(Customers!$G$2:$G$41,MATCH(C2379,Customers!$A$2:$A$41,0))</f>
        <v>0</v>
      </c>
      <c r="L2379" s="16" t="n">
        <f aca="false">F2379*INDEX(Customers!$H$2:$H$41,MATCH(C2379,Customers!$A$2:$A$41,0))</f>
        <v>6327</v>
      </c>
      <c r="M2379" s="16" t="n">
        <f aca="false">J2379*INDEX(Customers!$I$2:$I$41,MATCH(C2379,Customers!$A$2:$A$41,0))/365*Assumptions!$B$6</f>
        <v>1227.21648657534</v>
      </c>
      <c r="N2379" s="16" t="n">
        <f aca="false">J2379-K2379-L2379-M2379</f>
        <v>85765.3705134246</v>
      </c>
      <c r="O2379" s="16" t="n">
        <f aca="false">F2379*IF(A2379="2025",INDEX(Products!$D$2:$D$13,MATCH(D2379,Products!$A$2:$A$13,0)),INDEX(Products!$F$2:$F$13,MATCH(D2379,Products!$A$2:$A$13,0)))</f>
        <v>72927</v>
      </c>
      <c r="P2379" s="16" t="n">
        <f aca="false">N2379-O2379</f>
        <v>12838.3705134246</v>
      </c>
    </row>
    <row r="2380" customFormat="false" ht="15" hidden="false" customHeight="false" outlineLevel="0" collapsed="false">
      <c r="A2380" s="2" t="s">
        <v>118</v>
      </c>
      <c r="B2380" s="2" t="n">
        <v>3</v>
      </c>
      <c r="C2380" s="2" t="s">
        <v>97</v>
      </c>
      <c r="D2380" s="2" t="s">
        <v>34</v>
      </c>
      <c r="E2380" s="2" t="str">
        <f aca="false">INDEX(Products!$B$2:$B$13,MATCH(D2380,Products!$A$2:$A$13,0))</f>
        <v>FCC</v>
      </c>
      <c r="F2380" s="15" t="n">
        <v>25.7</v>
      </c>
      <c r="G2380" s="16" t="n">
        <f aca="false">IF(A2380="2025",INDEX(Products!$C$2:$C$13,MATCH(D2380,Products!$A$2:$A$13,0)),INDEX(Products!$E$2:$E$13,MATCH(D2380,Products!$A$2:$A$13,0)))</f>
        <v>3270</v>
      </c>
      <c r="H2380" s="13" t="n">
        <f aca="false">IF(A2380="2025",INDEX(Customers!$D$2:$D$41,MATCH(C2380,Customers!$A$2:$A$41,0)),INDEX(Customers!$F$2:$F$41,MATCH(C2380,Customers!$A$2:$A$41,0)))</f>
        <v>0.143</v>
      </c>
      <c r="I2380" s="16" t="n">
        <f aca="false">F2380*G2380</f>
        <v>84039</v>
      </c>
      <c r="J2380" s="16" t="n">
        <f aca="false">I2380*(1-H2380)</f>
        <v>72021.423</v>
      </c>
      <c r="K2380" s="16" t="n">
        <f aca="false">J2380*INDEX(Customers!$G$2:$G$41,MATCH(C2380,Customers!$A$2:$A$41,0))</f>
        <v>0</v>
      </c>
      <c r="L2380" s="16" t="n">
        <f aca="false">F2380*INDEX(Customers!$H$2:$H$41,MATCH(C2380,Customers!$A$2:$A$41,0))</f>
        <v>4883</v>
      </c>
      <c r="M2380" s="16" t="n">
        <f aca="false">J2380*INDEX(Customers!$I$2:$I$41,MATCH(C2380,Customers!$A$2:$A$41,0))/365*Assumptions!$B$6</f>
        <v>947.131042191781</v>
      </c>
      <c r="N2380" s="16" t="n">
        <f aca="false">J2380-K2380-L2380-M2380</f>
        <v>66191.2919578082</v>
      </c>
      <c r="O2380" s="16" t="n">
        <f aca="false">F2380*IF(A2380="2025",INDEX(Products!$D$2:$D$13,MATCH(D2380,Products!$A$2:$A$13,0)),INDEX(Products!$F$2:$F$13,MATCH(D2380,Products!$A$2:$A$13,0)))</f>
        <v>56283</v>
      </c>
      <c r="P2380" s="16" t="n">
        <f aca="false">N2380-O2380</f>
        <v>9908.29195780821</v>
      </c>
    </row>
    <row r="2381" customFormat="false" ht="15" hidden="false" customHeight="false" outlineLevel="0" collapsed="false">
      <c r="A2381" s="2" t="s">
        <v>118</v>
      </c>
      <c r="B2381" s="2" t="n">
        <v>4</v>
      </c>
      <c r="C2381" s="2" t="s">
        <v>97</v>
      </c>
      <c r="D2381" s="2" t="s">
        <v>34</v>
      </c>
      <c r="E2381" s="2" t="str">
        <f aca="false">INDEX(Products!$B$2:$B$13,MATCH(D2381,Products!$A$2:$A$13,0))</f>
        <v>FCC</v>
      </c>
      <c r="F2381" s="15" t="n">
        <v>24.2</v>
      </c>
      <c r="G2381" s="16" t="n">
        <f aca="false">IF(A2381="2025",INDEX(Products!$C$2:$C$13,MATCH(D2381,Products!$A$2:$A$13,0)),INDEX(Products!$E$2:$E$13,MATCH(D2381,Products!$A$2:$A$13,0)))</f>
        <v>3270</v>
      </c>
      <c r="H2381" s="13" t="n">
        <f aca="false">IF(A2381="2025",INDEX(Customers!$D$2:$D$41,MATCH(C2381,Customers!$A$2:$A$41,0)),INDEX(Customers!$F$2:$F$41,MATCH(C2381,Customers!$A$2:$A$41,0)))</f>
        <v>0.143</v>
      </c>
      <c r="I2381" s="16" t="n">
        <f aca="false">F2381*G2381</f>
        <v>79134</v>
      </c>
      <c r="J2381" s="16" t="n">
        <f aca="false">I2381*(1-H2381)</f>
        <v>67817.838</v>
      </c>
      <c r="K2381" s="16" t="n">
        <f aca="false">J2381*INDEX(Customers!$G$2:$G$41,MATCH(C2381,Customers!$A$2:$A$41,0))</f>
        <v>0</v>
      </c>
      <c r="L2381" s="16" t="n">
        <f aca="false">F2381*INDEX(Customers!$H$2:$H$41,MATCH(C2381,Customers!$A$2:$A$41,0))</f>
        <v>4598</v>
      </c>
      <c r="M2381" s="16" t="n">
        <f aca="false">J2381*INDEX(Customers!$I$2:$I$41,MATCH(C2381,Customers!$A$2:$A$41,0))/365*Assumptions!$B$6</f>
        <v>891.851020273973</v>
      </c>
      <c r="N2381" s="16" t="n">
        <f aca="false">J2381-K2381-L2381-M2381</f>
        <v>62327.986979726</v>
      </c>
      <c r="O2381" s="16" t="n">
        <f aca="false">F2381*IF(A2381="2025",INDEX(Products!$D$2:$D$13,MATCH(D2381,Products!$A$2:$A$13,0)),INDEX(Products!$F$2:$F$13,MATCH(D2381,Products!$A$2:$A$13,0)))</f>
        <v>52998</v>
      </c>
      <c r="P2381" s="16" t="n">
        <f aca="false">N2381-O2381</f>
        <v>9329.98697972603</v>
      </c>
    </row>
    <row r="2382" customFormat="false" ht="15" hidden="false" customHeight="false" outlineLevel="0" collapsed="false">
      <c r="A2382" s="2" t="s">
        <v>118</v>
      </c>
      <c r="B2382" s="2" t="n">
        <v>5</v>
      </c>
      <c r="C2382" s="2" t="s">
        <v>97</v>
      </c>
      <c r="D2382" s="2" t="s">
        <v>34</v>
      </c>
      <c r="E2382" s="2" t="str">
        <f aca="false">INDEX(Products!$B$2:$B$13,MATCH(D2382,Products!$A$2:$A$13,0))</f>
        <v>FCC</v>
      </c>
      <c r="F2382" s="15" t="n">
        <v>28.3</v>
      </c>
      <c r="G2382" s="16" t="n">
        <f aca="false">IF(A2382="2025",INDEX(Products!$C$2:$C$13,MATCH(D2382,Products!$A$2:$A$13,0)),INDEX(Products!$E$2:$E$13,MATCH(D2382,Products!$A$2:$A$13,0)))</f>
        <v>3270</v>
      </c>
      <c r="H2382" s="13" t="n">
        <f aca="false">IF(A2382="2025",INDEX(Customers!$D$2:$D$41,MATCH(C2382,Customers!$A$2:$A$41,0)),INDEX(Customers!$F$2:$F$41,MATCH(C2382,Customers!$A$2:$A$41,0)))</f>
        <v>0.143</v>
      </c>
      <c r="I2382" s="16" t="n">
        <f aca="false">F2382*G2382</f>
        <v>92541</v>
      </c>
      <c r="J2382" s="16" t="n">
        <f aca="false">I2382*(1-H2382)</f>
        <v>79307.637</v>
      </c>
      <c r="K2382" s="16" t="n">
        <f aca="false">J2382*INDEX(Customers!$G$2:$G$41,MATCH(C2382,Customers!$A$2:$A$41,0))</f>
        <v>0</v>
      </c>
      <c r="L2382" s="16" t="n">
        <f aca="false">F2382*INDEX(Customers!$H$2:$H$41,MATCH(C2382,Customers!$A$2:$A$41,0))</f>
        <v>5377</v>
      </c>
      <c r="M2382" s="16" t="n">
        <f aca="false">J2382*INDEX(Customers!$I$2:$I$41,MATCH(C2382,Customers!$A$2:$A$41,0))/365*Assumptions!$B$6</f>
        <v>1042.94974684932</v>
      </c>
      <c r="N2382" s="16" t="n">
        <f aca="false">J2382-K2382-L2382-M2382</f>
        <v>72887.6872531507</v>
      </c>
      <c r="O2382" s="16" t="n">
        <f aca="false">F2382*IF(A2382="2025",INDEX(Products!$D$2:$D$13,MATCH(D2382,Products!$A$2:$A$13,0)),INDEX(Products!$F$2:$F$13,MATCH(D2382,Products!$A$2:$A$13,0)))</f>
        <v>61977</v>
      </c>
      <c r="P2382" s="16" t="n">
        <f aca="false">N2382-O2382</f>
        <v>10910.6872531507</v>
      </c>
    </row>
    <row r="2383" customFormat="false" ht="15" hidden="false" customHeight="false" outlineLevel="0" collapsed="false">
      <c r="A2383" s="2" t="s">
        <v>118</v>
      </c>
      <c r="B2383" s="2" t="n">
        <v>6</v>
      </c>
      <c r="C2383" s="2" t="s">
        <v>97</v>
      </c>
      <c r="D2383" s="2" t="s">
        <v>34</v>
      </c>
      <c r="E2383" s="2" t="str">
        <f aca="false">INDEX(Products!$B$2:$B$13,MATCH(D2383,Products!$A$2:$A$13,0))</f>
        <v>FCC</v>
      </c>
      <c r="F2383" s="15" t="n">
        <v>35</v>
      </c>
      <c r="G2383" s="16" t="n">
        <f aca="false">IF(A2383="2025",INDEX(Products!$C$2:$C$13,MATCH(D2383,Products!$A$2:$A$13,0)),INDEX(Products!$E$2:$E$13,MATCH(D2383,Products!$A$2:$A$13,0)))</f>
        <v>3270</v>
      </c>
      <c r="H2383" s="13" t="n">
        <f aca="false">IF(A2383="2025",INDEX(Customers!$D$2:$D$41,MATCH(C2383,Customers!$A$2:$A$41,0)),INDEX(Customers!$F$2:$F$41,MATCH(C2383,Customers!$A$2:$A$41,0)))</f>
        <v>0.143</v>
      </c>
      <c r="I2383" s="16" t="n">
        <f aca="false">F2383*G2383</f>
        <v>114450</v>
      </c>
      <c r="J2383" s="16" t="n">
        <f aca="false">I2383*(1-H2383)</f>
        <v>98083.65</v>
      </c>
      <c r="K2383" s="16" t="n">
        <f aca="false">J2383*INDEX(Customers!$G$2:$G$41,MATCH(C2383,Customers!$A$2:$A$41,0))</f>
        <v>0</v>
      </c>
      <c r="L2383" s="16" t="n">
        <f aca="false">F2383*INDEX(Customers!$H$2:$H$41,MATCH(C2383,Customers!$A$2:$A$41,0))</f>
        <v>6650</v>
      </c>
      <c r="M2383" s="16" t="n">
        <f aca="false">J2383*INDEX(Customers!$I$2:$I$41,MATCH(C2383,Customers!$A$2:$A$41,0))/365*Assumptions!$B$6</f>
        <v>1289.86717808219</v>
      </c>
      <c r="N2383" s="16" t="n">
        <f aca="false">J2383-K2383-L2383-M2383</f>
        <v>90143.7828219178</v>
      </c>
      <c r="O2383" s="16" t="n">
        <f aca="false">F2383*IF(A2383="2025",INDEX(Products!$D$2:$D$13,MATCH(D2383,Products!$A$2:$A$13,0)),INDEX(Products!$F$2:$F$13,MATCH(D2383,Products!$A$2:$A$13,0)))</f>
        <v>76650</v>
      </c>
      <c r="P2383" s="16" t="n">
        <f aca="false">N2383-O2383</f>
        <v>13493.7828219178</v>
      </c>
    </row>
    <row r="2384" customFormat="false" ht="15" hidden="false" customHeight="false" outlineLevel="0" collapsed="false">
      <c r="A2384" s="2" t="s">
        <v>118</v>
      </c>
      <c r="B2384" s="2" t="n">
        <v>7</v>
      </c>
      <c r="C2384" s="2" t="s">
        <v>97</v>
      </c>
      <c r="D2384" s="2" t="s">
        <v>34</v>
      </c>
      <c r="E2384" s="2" t="str">
        <f aca="false">INDEX(Products!$B$2:$B$13,MATCH(D2384,Products!$A$2:$A$13,0))</f>
        <v>FCC</v>
      </c>
      <c r="F2384" s="15" t="n">
        <v>24</v>
      </c>
      <c r="G2384" s="16" t="n">
        <f aca="false">IF(A2384="2025",INDEX(Products!$C$2:$C$13,MATCH(D2384,Products!$A$2:$A$13,0)),INDEX(Products!$E$2:$E$13,MATCH(D2384,Products!$A$2:$A$13,0)))</f>
        <v>3270</v>
      </c>
      <c r="H2384" s="13" t="n">
        <f aca="false">IF(A2384="2025",INDEX(Customers!$D$2:$D$41,MATCH(C2384,Customers!$A$2:$A$41,0)),INDEX(Customers!$F$2:$F$41,MATCH(C2384,Customers!$A$2:$A$41,0)))</f>
        <v>0.143</v>
      </c>
      <c r="I2384" s="16" t="n">
        <f aca="false">F2384*G2384</f>
        <v>78480</v>
      </c>
      <c r="J2384" s="16" t="n">
        <f aca="false">I2384*(1-H2384)</f>
        <v>67257.36</v>
      </c>
      <c r="K2384" s="16" t="n">
        <f aca="false">J2384*INDEX(Customers!$G$2:$G$41,MATCH(C2384,Customers!$A$2:$A$41,0))</f>
        <v>0</v>
      </c>
      <c r="L2384" s="16" t="n">
        <f aca="false">F2384*INDEX(Customers!$H$2:$H$41,MATCH(C2384,Customers!$A$2:$A$41,0))</f>
        <v>4560</v>
      </c>
      <c r="M2384" s="16" t="n">
        <f aca="false">J2384*INDEX(Customers!$I$2:$I$41,MATCH(C2384,Customers!$A$2:$A$41,0))/365*Assumptions!$B$6</f>
        <v>884.480350684932</v>
      </c>
      <c r="N2384" s="16" t="n">
        <f aca="false">J2384-K2384-L2384-M2384</f>
        <v>61812.8796493151</v>
      </c>
      <c r="O2384" s="16" t="n">
        <f aca="false">F2384*IF(A2384="2025",INDEX(Products!$D$2:$D$13,MATCH(D2384,Products!$A$2:$A$13,0)),INDEX(Products!$F$2:$F$13,MATCH(D2384,Products!$A$2:$A$13,0)))</f>
        <v>52560</v>
      </c>
      <c r="P2384" s="16" t="n">
        <f aca="false">N2384-O2384</f>
        <v>9252.87964931507</v>
      </c>
    </row>
    <row r="2385" customFormat="false" ht="15" hidden="false" customHeight="false" outlineLevel="0" collapsed="false">
      <c r="A2385" s="2" t="s">
        <v>118</v>
      </c>
      <c r="B2385" s="2" t="n">
        <v>8</v>
      </c>
      <c r="C2385" s="2" t="s">
        <v>97</v>
      </c>
      <c r="D2385" s="2" t="s">
        <v>34</v>
      </c>
      <c r="E2385" s="2" t="str">
        <f aca="false">INDEX(Products!$B$2:$B$13,MATCH(D2385,Products!$A$2:$A$13,0))</f>
        <v>FCC</v>
      </c>
      <c r="F2385" s="15" t="n">
        <v>33.1</v>
      </c>
      <c r="G2385" s="16" t="n">
        <f aca="false">IF(A2385="2025",INDEX(Products!$C$2:$C$13,MATCH(D2385,Products!$A$2:$A$13,0)),INDEX(Products!$E$2:$E$13,MATCH(D2385,Products!$A$2:$A$13,0)))</f>
        <v>3270</v>
      </c>
      <c r="H2385" s="13" t="n">
        <f aca="false">IF(A2385="2025",INDEX(Customers!$D$2:$D$41,MATCH(C2385,Customers!$A$2:$A$41,0)),INDEX(Customers!$F$2:$F$41,MATCH(C2385,Customers!$A$2:$A$41,0)))</f>
        <v>0.143</v>
      </c>
      <c r="I2385" s="16" t="n">
        <f aca="false">F2385*G2385</f>
        <v>108237</v>
      </c>
      <c r="J2385" s="16" t="n">
        <f aca="false">I2385*(1-H2385)</f>
        <v>92759.109</v>
      </c>
      <c r="K2385" s="16" t="n">
        <f aca="false">J2385*INDEX(Customers!$G$2:$G$41,MATCH(C2385,Customers!$A$2:$A$41,0))</f>
        <v>0</v>
      </c>
      <c r="L2385" s="16" t="n">
        <f aca="false">F2385*INDEX(Customers!$H$2:$H$41,MATCH(C2385,Customers!$A$2:$A$41,0))</f>
        <v>6289</v>
      </c>
      <c r="M2385" s="16" t="n">
        <f aca="false">J2385*INDEX(Customers!$I$2:$I$41,MATCH(C2385,Customers!$A$2:$A$41,0))/365*Assumptions!$B$6</f>
        <v>1219.8458169863</v>
      </c>
      <c r="N2385" s="16" t="n">
        <f aca="false">J2385-K2385-L2385-M2385</f>
        <v>85250.2631830137</v>
      </c>
      <c r="O2385" s="16" t="n">
        <f aca="false">F2385*IF(A2385="2025",INDEX(Products!$D$2:$D$13,MATCH(D2385,Products!$A$2:$A$13,0)),INDEX(Products!$F$2:$F$13,MATCH(D2385,Products!$A$2:$A$13,0)))</f>
        <v>72489</v>
      </c>
      <c r="P2385" s="16" t="n">
        <f aca="false">N2385-O2385</f>
        <v>12761.2631830137</v>
      </c>
    </row>
    <row r="2386" customFormat="false" ht="15" hidden="false" customHeight="false" outlineLevel="0" collapsed="false">
      <c r="A2386" s="2" t="s">
        <v>118</v>
      </c>
      <c r="B2386" s="2" t="n">
        <v>9</v>
      </c>
      <c r="C2386" s="2" t="s">
        <v>97</v>
      </c>
      <c r="D2386" s="2" t="s">
        <v>34</v>
      </c>
      <c r="E2386" s="2" t="str">
        <f aca="false">INDEX(Products!$B$2:$B$13,MATCH(D2386,Products!$A$2:$A$13,0))</f>
        <v>FCC</v>
      </c>
      <c r="F2386" s="15" t="n">
        <v>31.4</v>
      </c>
      <c r="G2386" s="16" t="n">
        <f aca="false">IF(A2386="2025",INDEX(Products!$C$2:$C$13,MATCH(D2386,Products!$A$2:$A$13,0)),INDEX(Products!$E$2:$E$13,MATCH(D2386,Products!$A$2:$A$13,0)))</f>
        <v>3270</v>
      </c>
      <c r="H2386" s="13" t="n">
        <f aca="false">IF(A2386="2025",INDEX(Customers!$D$2:$D$41,MATCH(C2386,Customers!$A$2:$A$41,0)),INDEX(Customers!$F$2:$F$41,MATCH(C2386,Customers!$A$2:$A$41,0)))</f>
        <v>0.143</v>
      </c>
      <c r="I2386" s="16" t="n">
        <f aca="false">F2386*G2386</f>
        <v>102678</v>
      </c>
      <c r="J2386" s="16" t="n">
        <f aca="false">I2386*(1-H2386)</f>
        <v>87995.046</v>
      </c>
      <c r="K2386" s="16" t="n">
        <f aca="false">J2386*INDEX(Customers!$G$2:$G$41,MATCH(C2386,Customers!$A$2:$A$41,0))</f>
        <v>0</v>
      </c>
      <c r="L2386" s="16" t="n">
        <f aca="false">F2386*INDEX(Customers!$H$2:$H$41,MATCH(C2386,Customers!$A$2:$A$41,0))</f>
        <v>5966</v>
      </c>
      <c r="M2386" s="16" t="n">
        <f aca="false">J2386*INDEX(Customers!$I$2:$I$41,MATCH(C2386,Customers!$A$2:$A$41,0))/365*Assumptions!$B$6</f>
        <v>1157.19512547945</v>
      </c>
      <c r="N2386" s="16" t="n">
        <f aca="false">J2386-K2386-L2386-M2386</f>
        <v>80871.8508745206</v>
      </c>
      <c r="O2386" s="16" t="n">
        <f aca="false">F2386*IF(A2386="2025",INDEX(Products!$D$2:$D$13,MATCH(D2386,Products!$A$2:$A$13,0)),INDEX(Products!$F$2:$F$13,MATCH(D2386,Products!$A$2:$A$13,0)))</f>
        <v>68766</v>
      </c>
      <c r="P2386" s="16" t="n">
        <f aca="false">N2386-O2386</f>
        <v>12105.8508745205</v>
      </c>
    </row>
    <row r="2387" customFormat="false" ht="15" hidden="false" customHeight="false" outlineLevel="0" collapsed="false">
      <c r="A2387" s="2" t="s">
        <v>118</v>
      </c>
      <c r="B2387" s="2" t="n">
        <v>10</v>
      </c>
      <c r="C2387" s="2" t="s">
        <v>97</v>
      </c>
      <c r="D2387" s="2" t="s">
        <v>34</v>
      </c>
      <c r="E2387" s="2" t="str">
        <f aca="false">INDEX(Products!$B$2:$B$13,MATCH(D2387,Products!$A$2:$A$13,0))</f>
        <v>FCC</v>
      </c>
      <c r="F2387" s="15" t="n">
        <v>27.1</v>
      </c>
      <c r="G2387" s="16" t="n">
        <f aca="false">IF(A2387="2025",INDEX(Products!$C$2:$C$13,MATCH(D2387,Products!$A$2:$A$13,0)),INDEX(Products!$E$2:$E$13,MATCH(D2387,Products!$A$2:$A$13,0)))</f>
        <v>3270</v>
      </c>
      <c r="H2387" s="13" t="n">
        <f aca="false">IF(A2387="2025",INDEX(Customers!$D$2:$D$41,MATCH(C2387,Customers!$A$2:$A$41,0)),INDEX(Customers!$F$2:$F$41,MATCH(C2387,Customers!$A$2:$A$41,0)))</f>
        <v>0.143</v>
      </c>
      <c r="I2387" s="16" t="n">
        <f aca="false">F2387*G2387</f>
        <v>88617</v>
      </c>
      <c r="J2387" s="16" t="n">
        <f aca="false">I2387*(1-H2387)</f>
        <v>75944.769</v>
      </c>
      <c r="K2387" s="16" t="n">
        <f aca="false">J2387*INDEX(Customers!$G$2:$G$41,MATCH(C2387,Customers!$A$2:$A$41,0))</f>
        <v>0</v>
      </c>
      <c r="L2387" s="16" t="n">
        <f aca="false">F2387*INDEX(Customers!$H$2:$H$41,MATCH(C2387,Customers!$A$2:$A$41,0))</f>
        <v>5149</v>
      </c>
      <c r="M2387" s="16" t="n">
        <f aca="false">J2387*INDEX(Customers!$I$2:$I$41,MATCH(C2387,Customers!$A$2:$A$41,0))/365*Assumptions!$B$6</f>
        <v>998.725729315069</v>
      </c>
      <c r="N2387" s="16" t="n">
        <f aca="false">J2387-K2387-L2387-M2387</f>
        <v>69797.0432706849</v>
      </c>
      <c r="O2387" s="16" t="n">
        <f aca="false">F2387*IF(A2387="2025",INDEX(Products!$D$2:$D$13,MATCH(D2387,Products!$A$2:$A$13,0)),INDEX(Products!$F$2:$F$13,MATCH(D2387,Products!$A$2:$A$13,0)))</f>
        <v>59349</v>
      </c>
      <c r="P2387" s="16" t="n">
        <f aca="false">N2387-O2387</f>
        <v>10448.0432706849</v>
      </c>
    </row>
    <row r="2388" customFormat="false" ht="15" hidden="false" customHeight="false" outlineLevel="0" collapsed="false">
      <c r="A2388" s="2" t="s">
        <v>118</v>
      </c>
      <c r="B2388" s="2" t="n">
        <v>11</v>
      </c>
      <c r="C2388" s="2" t="s">
        <v>97</v>
      </c>
      <c r="D2388" s="2" t="s">
        <v>34</v>
      </c>
      <c r="E2388" s="2" t="str">
        <f aca="false">INDEX(Products!$B$2:$B$13,MATCH(D2388,Products!$A$2:$A$13,0))</f>
        <v>FCC</v>
      </c>
      <c r="F2388" s="15" t="n">
        <v>31.7</v>
      </c>
      <c r="G2388" s="16" t="n">
        <f aca="false">IF(A2388="2025",INDEX(Products!$C$2:$C$13,MATCH(D2388,Products!$A$2:$A$13,0)),INDEX(Products!$E$2:$E$13,MATCH(D2388,Products!$A$2:$A$13,0)))</f>
        <v>3270</v>
      </c>
      <c r="H2388" s="13" t="n">
        <f aca="false">IF(A2388="2025",INDEX(Customers!$D$2:$D$41,MATCH(C2388,Customers!$A$2:$A$41,0)),INDEX(Customers!$F$2:$F$41,MATCH(C2388,Customers!$A$2:$A$41,0)))</f>
        <v>0.143</v>
      </c>
      <c r="I2388" s="16" t="n">
        <f aca="false">F2388*G2388</f>
        <v>103659</v>
      </c>
      <c r="J2388" s="16" t="n">
        <f aca="false">I2388*(1-H2388)</f>
        <v>88835.763</v>
      </c>
      <c r="K2388" s="16" t="n">
        <f aca="false">J2388*INDEX(Customers!$G$2:$G$41,MATCH(C2388,Customers!$A$2:$A$41,0))</f>
        <v>0</v>
      </c>
      <c r="L2388" s="16" t="n">
        <f aca="false">F2388*INDEX(Customers!$H$2:$H$41,MATCH(C2388,Customers!$A$2:$A$41,0))</f>
        <v>6023</v>
      </c>
      <c r="M2388" s="16" t="n">
        <f aca="false">J2388*INDEX(Customers!$I$2:$I$41,MATCH(C2388,Customers!$A$2:$A$41,0))/365*Assumptions!$B$6</f>
        <v>1168.25112986301</v>
      </c>
      <c r="N2388" s="16" t="n">
        <f aca="false">J2388-K2388-L2388-M2388</f>
        <v>81644.511870137</v>
      </c>
      <c r="O2388" s="16" t="n">
        <f aca="false">F2388*IF(A2388="2025",INDEX(Products!$D$2:$D$13,MATCH(D2388,Products!$A$2:$A$13,0)),INDEX(Products!$F$2:$F$13,MATCH(D2388,Products!$A$2:$A$13,0)))</f>
        <v>69423</v>
      </c>
      <c r="P2388" s="16" t="n">
        <f aca="false">N2388-O2388</f>
        <v>12221.511870137</v>
      </c>
    </row>
    <row r="2389" customFormat="false" ht="15" hidden="false" customHeight="false" outlineLevel="0" collapsed="false">
      <c r="A2389" s="2" t="s">
        <v>118</v>
      </c>
      <c r="B2389" s="2" t="n">
        <v>12</v>
      </c>
      <c r="C2389" s="2" t="s">
        <v>97</v>
      </c>
      <c r="D2389" s="2" t="s">
        <v>34</v>
      </c>
      <c r="E2389" s="2" t="str">
        <f aca="false">INDEX(Products!$B$2:$B$13,MATCH(D2389,Products!$A$2:$A$13,0))</f>
        <v>FCC</v>
      </c>
      <c r="F2389" s="15" t="n">
        <v>27.6</v>
      </c>
      <c r="G2389" s="16" t="n">
        <f aca="false">IF(A2389="2025",INDEX(Products!$C$2:$C$13,MATCH(D2389,Products!$A$2:$A$13,0)),INDEX(Products!$E$2:$E$13,MATCH(D2389,Products!$A$2:$A$13,0)))</f>
        <v>3270</v>
      </c>
      <c r="H2389" s="13" t="n">
        <f aca="false">IF(A2389="2025",INDEX(Customers!$D$2:$D$41,MATCH(C2389,Customers!$A$2:$A$41,0)),INDEX(Customers!$F$2:$F$41,MATCH(C2389,Customers!$A$2:$A$41,0)))</f>
        <v>0.143</v>
      </c>
      <c r="I2389" s="16" t="n">
        <f aca="false">F2389*G2389</f>
        <v>90252</v>
      </c>
      <c r="J2389" s="16" t="n">
        <f aca="false">I2389*(1-H2389)</f>
        <v>77345.964</v>
      </c>
      <c r="K2389" s="16" t="n">
        <f aca="false">J2389*INDEX(Customers!$G$2:$G$41,MATCH(C2389,Customers!$A$2:$A$41,0))</f>
        <v>0</v>
      </c>
      <c r="L2389" s="16" t="n">
        <f aca="false">F2389*INDEX(Customers!$H$2:$H$41,MATCH(C2389,Customers!$A$2:$A$41,0))</f>
        <v>5244</v>
      </c>
      <c r="M2389" s="16" t="n">
        <f aca="false">J2389*INDEX(Customers!$I$2:$I$41,MATCH(C2389,Customers!$A$2:$A$41,0))/365*Assumptions!$B$6</f>
        <v>1017.15240328767</v>
      </c>
      <c r="N2389" s="16" t="n">
        <f aca="false">J2389-K2389-L2389-M2389</f>
        <v>71084.8115967123</v>
      </c>
      <c r="O2389" s="16" t="n">
        <f aca="false">F2389*IF(A2389="2025",INDEX(Products!$D$2:$D$13,MATCH(D2389,Products!$A$2:$A$13,0)),INDEX(Products!$F$2:$F$13,MATCH(D2389,Products!$A$2:$A$13,0)))</f>
        <v>60444</v>
      </c>
      <c r="P2389" s="16" t="n">
        <f aca="false">N2389-O2389</f>
        <v>10640.8115967123</v>
      </c>
    </row>
    <row r="2390" customFormat="false" ht="15" hidden="false" customHeight="false" outlineLevel="0" collapsed="false">
      <c r="A2390" s="2" t="s">
        <v>119</v>
      </c>
      <c r="B2390" s="2" t="n">
        <v>1</v>
      </c>
      <c r="C2390" s="2" t="s">
        <v>97</v>
      </c>
      <c r="D2390" s="2" t="s">
        <v>34</v>
      </c>
      <c r="E2390" s="2" t="str">
        <f aca="false">INDEX(Products!$B$2:$B$13,MATCH(D2390,Products!$A$2:$A$13,0))</f>
        <v>FCC</v>
      </c>
      <c r="F2390" s="15" t="n">
        <v>31.8</v>
      </c>
      <c r="G2390" s="16" t="n">
        <f aca="false">IF(A2390="2025",INDEX(Products!$C$2:$C$13,MATCH(D2390,Products!$A$2:$A$13,0)),INDEX(Products!$E$2:$E$13,MATCH(D2390,Products!$A$2:$A$13,0)))</f>
        <v>3433.5</v>
      </c>
      <c r="H2390" s="13" t="n">
        <f aca="false">IF(A2390="2025",INDEX(Customers!$D$2:$D$41,MATCH(C2390,Customers!$A$2:$A$41,0)),INDEX(Customers!$F$2:$F$41,MATCH(C2390,Customers!$A$2:$A$41,0)))</f>
        <v>0.143</v>
      </c>
      <c r="I2390" s="16" t="n">
        <f aca="false">F2390*G2390</f>
        <v>109185.3</v>
      </c>
      <c r="J2390" s="16" t="n">
        <f aca="false">I2390*(1-H2390)</f>
        <v>93571.8021</v>
      </c>
      <c r="K2390" s="16" t="n">
        <f aca="false">J2390*INDEX(Customers!$G$2:$G$41,MATCH(C2390,Customers!$A$2:$A$41,0))</f>
        <v>0</v>
      </c>
      <c r="L2390" s="16" t="n">
        <f aca="false">F2390*INDEX(Customers!$H$2:$H$41,MATCH(C2390,Customers!$A$2:$A$41,0))</f>
        <v>6042</v>
      </c>
      <c r="M2390" s="16" t="n">
        <f aca="false">J2390*INDEX(Customers!$I$2:$I$41,MATCH(C2390,Customers!$A$2:$A$41,0))/365*Assumptions!$B$6</f>
        <v>1230.53328789041</v>
      </c>
      <c r="N2390" s="16" t="n">
        <f aca="false">J2390-K2390-L2390-M2390</f>
        <v>86299.2688121096</v>
      </c>
      <c r="O2390" s="16" t="n">
        <f aca="false">F2390*IF(A2390="2025",INDEX(Products!$D$2:$D$13,MATCH(D2390,Products!$A$2:$A$13,0)),INDEX(Products!$F$2:$F$13,MATCH(D2390,Products!$A$2:$A$13,0)))</f>
        <v>71731.26</v>
      </c>
      <c r="P2390" s="16" t="n">
        <f aca="false">N2390-O2390</f>
        <v>14568.0088121096</v>
      </c>
    </row>
    <row r="2391" customFormat="false" ht="15" hidden="false" customHeight="false" outlineLevel="0" collapsed="false">
      <c r="A2391" s="2" t="s">
        <v>119</v>
      </c>
      <c r="B2391" s="2" t="n">
        <v>2</v>
      </c>
      <c r="C2391" s="2" t="s">
        <v>97</v>
      </c>
      <c r="D2391" s="2" t="s">
        <v>34</v>
      </c>
      <c r="E2391" s="2" t="str">
        <f aca="false">INDEX(Products!$B$2:$B$13,MATCH(D2391,Products!$A$2:$A$13,0))</f>
        <v>FCC</v>
      </c>
      <c r="F2391" s="15" t="n">
        <v>25.9</v>
      </c>
      <c r="G2391" s="16" t="n">
        <f aca="false">IF(A2391="2025",INDEX(Products!$C$2:$C$13,MATCH(D2391,Products!$A$2:$A$13,0)),INDEX(Products!$E$2:$E$13,MATCH(D2391,Products!$A$2:$A$13,0)))</f>
        <v>3433.5</v>
      </c>
      <c r="H2391" s="13" t="n">
        <f aca="false">IF(A2391="2025",INDEX(Customers!$D$2:$D$41,MATCH(C2391,Customers!$A$2:$A$41,0)),INDEX(Customers!$F$2:$F$41,MATCH(C2391,Customers!$A$2:$A$41,0)))</f>
        <v>0.143</v>
      </c>
      <c r="I2391" s="16" t="n">
        <f aca="false">F2391*G2391</f>
        <v>88927.65</v>
      </c>
      <c r="J2391" s="16" t="n">
        <f aca="false">I2391*(1-H2391)</f>
        <v>76210.99605</v>
      </c>
      <c r="K2391" s="16" t="n">
        <f aca="false">J2391*INDEX(Customers!$G$2:$G$41,MATCH(C2391,Customers!$A$2:$A$41,0))</f>
        <v>0</v>
      </c>
      <c r="L2391" s="16" t="n">
        <f aca="false">F2391*INDEX(Customers!$H$2:$H$41,MATCH(C2391,Customers!$A$2:$A$41,0))</f>
        <v>4921</v>
      </c>
      <c r="M2391" s="16" t="n">
        <f aca="false">J2391*INDEX(Customers!$I$2:$I$41,MATCH(C2391,Customers!$A$2:$A$41,0))/365*Assumptions!$B$6</f>
        <v>1002.22679736986</v>
      </c>
      <c r="N2391" s="16" t="n">
        <f aca="false">J2391-K2391-L2391-M2391</f>
        <v>70287.7692526301</v>
      </c>
      <c r="O2391" s="16" t="n">
        <f aca="false">F2391*IF(A2391="2025",INDEX(Products!$D$2:$D$13,MATCH(D2391,Products!$A$2:$A$13,0)),INDEX(Products!$F$2:$F$13,MATCH(D2391,Products!$A$2:$A$13,0)))</f>
        <v>58422.63</v>
      </c>
      <c r="P2391" s="16" t="n">
        <f aca="false">N2391-O2391</f>
        <v>11865.1392526301</v>
      </c>
    </row>
    <row r="2392" customFormat="false" ht="15" hidden="false" customHeight="false" outlineLevel="0" collapsed="false">
      <c r="A2392" s="2" t="s">
        <v>119</v>
      </c>
      <c r="B2392" s="2" t="n">
        <v>3</v>
      </c>
      <c r="C2392" s="2" t="s">
        <v>97</v>
      </c>
      <c r="D2392" s="2" t="s">
        <v>34</v>
      </c>
      <c r="E2392" s="2" t="str">
        <f aca="false">INDEX(Products!$B$2:$B$13,MATCH(D2392,Products!$A$2:$A$13,0))</f>
        <v>FCC</v>
      </c>
      <c r="F2392" s="15" t="n">
        <v>28</v>
      </c>
      <c r="G2392" s="16" t="n">
        <f aca="false">IF(A2392="2025",INDEX(Products!$C$2:$C$13,MATCH(D2392,Products!$A$2:$A$13,0)),INDEX(Products!$E$2:$E$13,MATCH(D2392,Products!$A$2:$A$13,0)))</f>
        <v>3433.5</v>
      </c>
      <c r="H2392" s="13" t="n">
        <f aca="false">IF(A2392="2025",INDEX(Customers!$D$2:$D$41,MATCH(C2392,Customers!$A$2:$A$41,0)),INDEX(Customers!$F$2:$F$41,MATCH(C2392,Customers!$A$2:$A$41,0)))</f>
        <v>0.143</v>
      </c>
      <c r="I2392" s="16" t="n">
        <f aca="false">F2392*G2392</f>
        <v>96138</v>
      </c>
      <c r="J2392" s="16" t="n">
        <f aca="false">I2392*(1-H2392)</f>
        <v>82390.266</v>
      </c>
      <c r="K2392" s="16" t="n">
        <f aca="false">J2392*INDEX(Customers!$G$2:$G$41,MATCH(C2392,Customers!$A$2:$A$41,0))</f>
        <v>0</v>
      </c>
      <c r="L2392" s="16" t="n">
        <f aca="false">F2392*INDEX(Customers!$H$2:$H$41,MATCH(C2392,Customers!$A$2:$A$41,0))</f>
        <v>5320</v>
      </c>
      <c r="M2392" s="16" t="n">
        <f aca="false">J2392*INDEX(Customers!$I$2:$I$41,MATCH(C2392,Customers!$A$2:$A$41,0))/365*Assumptions!$B$6</f>
        <v>1083.48842958904</v>
      </c>
      <c r="N2392" s="16" t="n">
        <f aca="false">J2392-K2392-L2392-M2392</f>
        <v>75986.777570411</v>
      </c>
      <c r="O2392" s="16" t="n">
        <f aca="false">F2392*IF(A2392="2025",INDEX(Products!$D$2:$D$13,MATCH(D2392,Products!$A$2:$A$13,0)),INDEX(Products!$F$2:$F$13,MATCH(D2392,Products!$A$2:$A$13,0)))</f>
        <v>63159.6</v>
      </c>
      <c r="P2392" s="16" t="n">
        <f aca="false">N2392-O2392</f>
        <v>12827.177570411</v>
      </c>
    </row>
    <row r="2393" customFormat="false" ht="15" hidden="false" customHeight="false" outlineLevel="0" collapsed="false">
      <c r="A2393" s="2" t="s">
        <v>119</v>
      </c>
      <c r="B2393" s="2" t="n">
        <v>4</v>
      </c>
      <c r="C2393" s="2" t="s">
        <v>97</v>
      </c>
      <c r="D2393" s="2" t="s">
        <v>34</v>
      </c>
      <c r="E2393" s="2" t="str">
        <f aca="false">INDEX(Products!$B$2:$B$13,MATCH(D2393,Products!$A$2:$A$13,0))</f>
        <v>FCC</v>
      </c>
      <c r="F2393" s="15" t="n">
        <v>23.5</v>
      </c>
      <c r="G2393" s="16" t="n">
        <f aca="false">IF(A2393="2025",INDEX(Products!$C$2:$C$13,MATCH(D2393,Products!$A$2:$A$13,0)),INDEX(Products!$E$2:$E$13,MATCH(D2393,Products!$A$2:$A$13,0)))</f>
        <v>3433.5</v>
      </c>
      <c r="H2393" s="13" t="n">
        <f aca="false">IF(A2393="2025",INDEX(Customers!$D$2:$D$41,MATCH(C2393,Customers!$A$2:$A$41,0)),INDEX(Customers!$F$2:$F$41,MATCH(C2393,Customers!$A$2:$A$41,0)))</f>
        <v>0.143</v>
      </c>
      <c r="I2393" s="16" t="n">
        <f aca="false">F2393*G2393</f>
        <v>80687.25</v>
      </c>
      <c r="J2393" s="16" t="n">
        <f aca="false">I2393*(1-H2393)</f>
        <v>69148.97325</v>
      </c>
      <c r="K2393" s="16" t="n">
        <f aca="false">J2393*INDEX(Customers!$G$2:$G$41,MATCH(C2393,Customers!$A$2:$A$41,0))</f>
        <v>0</v>
      </c>
      <c r="L2393" s="16" t="n">
        <f aca="false">F2393*INDEX(Customers!$H$2:$H$41,MATCH(C2393,Customers!$A$2:$A$41,0))</f>
        <v>4465</v>
      </c>
      <c r="M2393" s="16" t="n">
        <f aca="false">J2393*INDEX(Customers!$I$2:$I$41,MATCH(C2393,Customers!$A$2:$A$41,0))/365*Assumptions!$B$6</f>
        <v>909.356360547945</v>
      </c>
      <c r="N2393" s="16" t="n">
        <f aca="false">J2393-K2393-L2393-M2393</f>
        <v>63774.6168894521</v>
      </c>
      <c r="O2393" s="16" t="n">
        <f aca="false">F2393*IF(A2393="2025",INDEX(Products!$D$2:$D$13,MATCH(D2393,Products!$A$2:$A$13,0)),INDEX(Products!$F$2:$F$13,MATCH(D2393,Products!$A$2:$A$13,0)))</f>
        <v>53008.95</v>
      </c>
      <c r="P2393" s="16" t="n">
        <f aca="false">N2393-O2393</f>
        <v>10765.666889452</v>
      </c>
    </row>
    <row r="2394" customFormat="false" ht="15" hidden="false" customHeight="false" outlineLevel="0" collapsed="false">
      <c r="A2394" s="2" t="s">
        <v>119</v>
      </c>
      <c r="B2394" s="2" t="n">
        <v>5</v>
      </c>
      <c r="C2394" s="2" t="s">
        <v>97</v>
      </c>
      <c r="D2394" s="2" t="s">
        <v>34</v>
      </c>
      <c r="E2394" s="2" t="str">
        <f aca="false">INDEX(Products!$B$2:$B$13,MATCH(D2394,Products!$A$2:$A$13,0))</f>
        <v>FCC</v>
      </c>
      <c r="F2394" s="15" t="n">
        <v>25.3</v>
      </c>
      <c r="G2394" s="16" t="n">
        <f aca="false">IF(A2394="2025",INDEX(Products!$C$2:$C$13,MATCH(D2394,Products!$A$2:$A$13,0)),INDEX(Products!$E$2:$E$13,MATCH(D2394,Products!$A$2:$A$13,0)))</f>
        <v>3433.5</v>
      </c>
      <c r="H2394" s="13" t="n">
        <f aca="false">IF(A2394="2025",INDEX(Customers!$D$2:$D$41,MATCH(C2394,Customers!$A$2:$A$41,0)),INDEX(Customers!$F$2:$F$41,MATCH(C2394,Customers!$A$2:$A$41,0)))</f>
        <v>0.143</v>
      </c>
      <c r="I2394" s="16" t="n">
        <f aca="false">F2394*G2394</f>
        <v>86867.55</v>
      </c>
      <c r="J2394" s="16" t="n">
        <f aca="false">I2394*(1-H2394)</f>
        <v>74445.49035</v>
      </c>
      <c r="K2394" s="16" t="n">
        <f aca="false">J2394*INDEX(Customers!$G$2:$G$41,MATCH(C2394,Customers!$A$2:$A$41,0))</f>
        <v>0</v>
      </c>
      <c r="L2394" s="16" t="n">
        <f aca="false">F2394*INDEX(Customers!$H$2:$H$41,MATCH(C2394,Customers!$A$2:$A$41,0))</f>
        <v>4807</v>
      </c>
      <c r="M2394" s="16" t="n">
        <f aca="false">J2394*INDEX(Customers!$I$2:$I$41,MATCH(C2394,Customers!$A$2:$A$41,0))/365*Assumptions!$B$6</f>
        <v>979.009188164384</v>
      </c>
      <c r="N2394" s="16" t="n">
        <f aca="false">J2394-K2394-L2394-M2394</f>
        <v>68659.4811618356</v>
      </c>
      <c r="O2394" s="16" t="n">
        <f aca="false">F2394*IF(A2394="2025",INDEX(Products!$D$2:$D$13,MATCH(D2394,Products!$A$2:$A$13,0)),INDEX(Products!$F$2:$F$13,MATCH(D2394,Products!$A$2:$A$13,0)))</f>
        <v>57069.21</v>
      </c>
      <c r="P2394" s="16" t="n">
        <f aca="false">N2394-O2394</f>
        <v>11590.2711618356</v>
      </c>
    </row>
    <row r="2395" customFormat="false" ht="15" hidden="false" customHeight="false" outlineLevel="0" collapsed="false">
      <c r="A2395" s="2" t="s">
        <v>119</v>
      </c>
      <c r="B2395" s="2" t="n">
        <v>6</v>
      </c>
      <c r="C2395" s="2" t="s">
        <v>97</v>
      </c>
      <c r="D2395" s="2" t="s">
        <v>34</v>
      </c>
      <c r="E2395" s="2" t="str">
        <f aca="false">INDEX(Products!$B$2:$B$13,MATCH(D2395,Products!$A$2:$A$13,0))</f>
        <v>FCC</v>
      </c>
      <c r="F2395" s="15" t="n">
        <v>36.8</v>
      </c>
      <c r="G2395" s="16" t="n">
        <f aca="false">IF(A2395="2025",INDEX(Products!$C$2:$C$13,MATCH(D2395,Products!$A$2:$A$13,0)),INDEX(Products!$E$2:$E$13,MATCH(D2395,Products!$A$2:$A$13,0)))</f>
        <v>3433.5</v>
      </c>
      <c r="H2395" s="13" t="n">
        <f aca="false">IF(A2395="2025",INDEX(Customers!$D$2:$D$41,MATCH(C2395,Customers!$A$2:$A$41,0)),INDEX(Customers!$F$2:$F$41,MATCH(C2395,Customers!$A$2:$A$41,0)))</f>
        <v>0.143</v>
      </c>
      <c r="I2395" s="16" t="n">
        <f aca="false">F2395*G2395</f>
        <v>126352.8</v>
      </c>
      <c r="J2395" s="16" t="n">
        <f aca="false">I2395*(1-H2395)</f>
        <v>108284.3496</v>
      </c>
      <c r="K2395" s="16" t="n">
        <f aca="false">J2395*INDEX(Customers!$G$2:$G$41,MATCH(C2395,Customers!$A$2:$A$41,0))</f>
        <v>0</v>
      </c>
      <c r="L2395" s="16" t="n">
        <f aca="false">F2395*INDEX(Customers!$H$2:$H$41,MATCH(C2395,Customers!$A$2:$A$41,0))</f>
        <v>6992</v>
      </c>
      <c r="M2395" s="16" t="n">
        <f aca="false">J2395*INDEX(Customers!$I$2:$I$41,MATCH(C2395,Customers!$A$2:$A$41,0))/365*Assumptions!$B$6</f>
        <v>1424.01336460274</v>
      </c>
      <c r="N2395" s="16" t="n">
        <f aca="false">J2395-K2395-L2395-M2395</f>
        <v>99868.3362353973</v>
      </c>
      <c r="O2395" s="16" t="n">
        <f aca="false">F2395*IF(A2395="2025",INDEX(Products!$D$2:$D$13,MATCH(D2395,Products!$A$2:$A$13,0)),INDEX(Products!$F$2:$F$13,MATCH(D2395,Products!$A$2:$A$13,0)))</f>
        <v>83009.76</v>
      </c>
      <c r="P2395" s="16" t="n">
        <f aca="false">N2395-O2395</f>
        <v>16858.5762353972</v>
      </c>
    </row>
    <row r="2396" customFormat="false" ht="15" hidden="false" customHeight="false" outlineLevel="0" collapsed="false">
      <c r="A2396" s="2" t="s">
        <v>119</v>
      </c>
      <c r="B2396" s="2" t="n">
        <v>7</v>
      </c>
      <c r="C2396" s="2" t="s">
        <v>97</v>
      </c>
      <c r="D2396" s="2" t="s">
        <v>34</v>
      </c>
      <c r="E2396" s="2" t="str">
        <f aca="false">INDEX(Products!$B$2:$B$13,MATCH(D2396,Products!$A$2:$A$13,0))</f>
        <v>FCC</v>
      </c>
      <c r="F2396" s="15" t="n">
        <v>30.1</v>
      </c>
      <c r="G2396" s="16" t="n">
        <f aca="false">IF(A2396="2025",INDEX(Products!$C$2:$C$13,MATCH(D2396,Products!$A$2:$A$13,0)),INDEX(Products!$E$2:$E$13,MATCH(D2396,Products!$A$2:$A$13,0)))</f>
        <v>3433.5</v>
      </c>
      <c r="H2396" s="13" t="n">
        <f aca="false">IF(A2396="2025",INDEX(Customers!$D$2:$D$41,MATCH(C2396,Customers!$A$2:$A$41,0)),INDEX(Customers!$F$2:$F$41,MATCH(C2396,Customers!$A$2:$A$41,0)))</f>
        <v>0.143</v>
      </c>
      <c r="I2396" s="16" t="n">
        <f aca="false">F2396*G2396</f>
        <v>103348.35</v>
      </c>
      <c r="J2396" s="16" t="n">
        <f aca="false">I2396*(1-H2396)</f>
        <v>88569.53595</v>
      </c>
      <c r="K2396" s="16" t="n">
        <f aca="false">J2396*INDEX(Customers!$G$2:$G$41,MATCH(C2396,Customers!$A$2:$A$41,0))</f>
        <v>0</v>
      </c>
      <c r="L2396" s="16" t="n">
        <f aca="false">F2396*INDEX(Customers!$H$2:$H$41,MATCH(C2396,Customers!$A$2:$A$41,0))</f>
        <v>5719</v>
      </c>
      <c r="M2396" s="16" t="n">
        <f aca="false">J2396*INDEX(Customers!$I$2:$I$41,MATCH(C2396,Customers!$A$2:$A$41,0))/365*Assumptions!$B$6</f>
        <v>1164.75006180822</v>
      </c>
      <c r="N2396" s="16" t="n">
        <f aca="false">J2396-K2396-L2396-M2396</f>
        <v>81685.7858881918</v>
      </c>
      <c r="O2396" s="16" t="n">
        <f aca="false">F2396*IF(A2396="2025",INDEX(Products!$D$2:$D$13,MATCH(D2396,Products!$A$2:$A$13,0)),INDEX(Products!$F$2:$F$13,MATCH(D2396,Products!$A$2:$A$13,0)))</f>
        <v>67896.57</v>
      </c>
      <c r="P2396" s="16" t="n">
        <f aca="false">N2396-O2396</f>
        <v>13789.2158881918</v>
      </c>
    </row>
    <row r="2397" customFormat="false" ht="15" hidden="false" customHeight="false" outlineLevel="0" collapsed="false">
      <c r="A2397" s="2" t="s">
        <v>119</v>
      </c>
      <c r="B2397" s="2" t="n">
        <v>8</v>
      </c>
      <c r="C2397" s="2" t="s">
        <v>97</v>
      </c>
      <c r="D2397" s="2" t="s">
        <v>34</v>
      </c>
      <c r="E2397" s="2" t="str">
        <f aca="false">INDEX(Products!$B$2:$B$13,MATCH(D2397,Products!$A$2:$A$13,0))</f>
        <v>FCC</v>
      </c>
      <c r="F2397" s="15" t="n">
        <v>30.6</v>
      </c>
      <c r="G2397" s="16" t="n">
        <f aca="false">IF(A2397="2025",INDEX(Products!$C$2:$C$13,MATCH(D2397,Products!$A$2:$A$13,0)),INDEX(Products!$E$2:$E$13,MATCH(D2397,Products!$A$2:$A$13,0)))</f>
        <v>3433.5</v>
      </c>
      <c r="H2397" s="13" t="n">
        <f aca="false">IF(A2397="2025",INDEX(Customers!$D$2:$D$41,MATCH(C2397,Customers!$A$2:$A$41,0)),INDEX(Customers!$F$2:$F$41,MATCH(C2397,Customers!$A$2:$A$41,0)))</f>
        <v>0.143</v>
      </c>
      <c r="I2397" s="16" t="n">
        <f aca="false">F2397*G2397</f>
        <v>105065.1</v>
      </c>
      <c r="J2397" s="16" t="n">
        <f aca="false">I2397*(1-H2397)</f>
        <v>90040.7907</v>
      </c>
      <c r="K2397" s="16" t="n">
        <f aca="false">J2397*INDEX(Customers!$G$2:$G$41,MATCH(C2397,Customers!$A$2:$A$41,0))</f>
        <v>0</v>
      </c>
      <c r="L2397" s="16" t="n">
        <f aca="false">F2397*INDEX(Customers!$H$2:$H$41,MATCH(C2397,Customers!$A$2:$A$41,0))</f>
        <v>5814</v>
      </c>
      <c r="M2397" s="16" t="n">
        <f aca="false">J2397*INDEX(Customers!$I$2:$I$41,MATCH(C2397,Customers!$A$2:$A$41,0))/365*Assumptions!$B$6</f>
        <v>1184.09806947945</v>
      </c>
      <c r="N2397" s="16" t="n">
        <f aca="false">J2397-K2397-L2397-M2397</f>
        <v>83042.6926305205</v>
      </c>
      <c r="O2397" s="16" t="n">
        <f aca="false">F2397*IF(A2397="2025",INDEX(Products!$D$2:$D$13,MATCH(D2397,Products!$A$2:$A$13,0)),INDEX(Products!$F$2:$F$13,MATCH(D2397,Products!$A$2:$A$13,0)))</f>
        <v>69024.42</v>
      </c>
      <c r="P2397" s="16" t="n">
        <f aca="false">N2397-O2397</f>
        <v>14018.2726305205</v>
      </c>
    </row>
    <row r="2398" customFormat="false" ht="15" hidden="false" customHeight="false" outlineLevel="0" collapsed="false">
      <c r="A2398" s="2" t="s">
        <v>119</v>
      </c>
      <c r="B2398" s="2" t="n">
        <v>9</v>
      </c>
      <c r="C2398" s="2" t="s">
        <v>97</v>
      </c>
      <c r="D2398" s="2" t="s">
        <v>34</v>
      </c>
      <c r="E2398" s="2" t="str">
        <f aca="false">INDEX(Products!$B$2:$B$13,MATCH(D2398,Products!$A$2:$A$13,0))</f>
        <v>FCC</v>
      </c>
      <c r="F2398" s="15" t="n">
        <v>25.4</v>
      </c>
      <c r="G2398" s="16" t="n">
        <f aca="false">IF(A2398="2025",INDEX(Products!$C$2:$C$13,MATCH(D2398,Products!$A$2:$A$13,0)),INDEX(Products!$E$2:$E$13,MATCH(D2398,Products!$A$2:$A$13,0)))</f>
        <v>3433.5</v>
      </c>
      <c r="H2398" s="13" t="n">
        <f aca="false">IF(A2398="2025",INDEX(Customers!$D$2:$D$41,MATCH(C2398,Customers!$A$2:$A$41,0)),INDEX(Customers!$F$2:$F$41,MATCH(C2398,Customers!$A$2:$A$41,0)))</f>
        <v>0.143</v>
      </c>
      <c r="I2398" s="16" t="n">
        <f aca="false">F2398*G2398</f>
        <v>87210.9</v>
      </c>
      <c r="J2398" s="16" t="n">
        <f aca="false">I2398*(1-H2398)</f>
        <v>74739.7413</v>
      </c>
      <c r="K2398" s="16" t="n">
        <f aca="false">J2398*INDEX(Customers!$G$2:$G$41,MATCH(C2398,Customers!$A$2:$A$41,0))</f>
        <v>0</v>
      </c>
      <c r="L2398" s="16" t="n">
        <f aca="false">F2398*INDEX(Customers!$H$2:$H$41,MATCH(C2398,Customers!$A$2:$A$41,0))</f>
        <v>4826</v>
      </c>
      <c r="M2398" s="16" t="n">
        <f aca="false">J2398*INDEX(Customers!$I$2:$I$41,MATCH(C2398,Customers!$A$2:$A$41,0))/365*Assumptions!$B$6</f>
        <v>982.87878969863</v>
      </c>
      <c r="N2398" s="16" t="n">
        <f aca="false">J2398-K2398-L2398-M2398</f>
        <v>68930.8625103014</v>
      </c>
      <c r="O2398" s="16" t="n">
        <f aca="false">F2398*IF(A2398="2025",INDEX(Products!$D$2:$D$13,MATCH(D2398,Products!$A$2:$A$13,0)),INDEX(Products!$F$2:$F$13,MATCH(D2398,Products!$A$2:$A$13,0)))</f>
        <v>57294.78</v>
      </c>
      <c r="P2398" s="16" t="n">
        <f aca="false">N2398-O2398</f>
        <v>11636.0825103014</v>
      </c>
    </row>
    <row r="2399" customFormat="false" ht="15" hidden="false" customHeight="false" outlineLevel="0" collapsed="false">
      <c r="A2399" s="2" t="s">
        <v>119</v>
      </c>
      <c r="B2399" s="2" t="n">
        <v>10</v>
      </c>
      <c r="C2399" s="2" t="s">
        <v>97</v>
      </c>
      <c r="D2399" s="2" t="s">
        <v>34</v>
      </c>
      <c r="E2399" s="2" t="str">
        <f aca="false">INDEX(Products!$B$2:$B$13,MATCH(D2399,Products!$A$2:$A$13,0))</f>
        <v>FCC</v>
      </c>
      <c r="F2399" s="15" t="n">
        <v>30.4</v>
      </c>
      <c r="G2399" s="16" t="n">
        <f aca="false">IF(A2399="2025",INDEX(Products!$C$2:$C$13,MATCH(D2399,Products!$A$2:$A$13,0)),INDEX(Products!$E$2:$E$13,MATCH(D2399,Products!$A$2:$A$13,0)))</f>
        <v>3433.5</v>
      </c>
      <c r="H2399" s="13" t="n">
        <f aca="false">IF(A2399="2025",INDEX(Customers!$D$2:$D$41,MATCH(C2399,Customers!$A$2:$A$41,0)),INDEX(Customers!$F$2:$F$41,MATCH(C2399,Customers!$A$2:$A$41,0)))</f>
        <v>0.143</v>
      </c>
      <c r="I2399" s="16" t="n">
        <f aca="false">F2399*G2399</f>
        <v>104378.4</v>
      </c>
      <c r="J2399" s="16" t="n">
        <f aca="false">I2399*(1-H2399)</f>
        <v>89452.2888</v>
      </c>
      <c r="K2399" s="16" t="n">
        <f aca="false">J2399*INDEX(Customers!$G$2:$G$41,MATCH(C2399,Customers!$A$2:$A$41,0))</f>
        <v>0</v>
      </c>
      <c r="L2399" s="16" t="n">
        <f aca="false">F2399*INDEX(Customers!$H$2:$H$41,MATCH(C2399,Customers!$A$2:$A$41,0))</f>
        <v>5776</v>
      </c>
      <c r="M2399" s="16" t="n">
        <f aca="false">J2399*INDEX(Customers!$I$2:$I$41,MATCH(C2399,Customers!$A$2:$A$41,0))/365*Assumptions!$B$6</f>
        <v>1176.35886641096</v>
      </c>
      <c r="N2399" s="16" t="n">
        <f aca="false">J2399-K2399-L2399-M2399</f>
        <v>82499.929933589</v>
      </c>
      <c r="O2399" s="16" t="n">
        <f aca="false">F2399*IF(A2399="2025",INDEX(Products!$D$2:$D$13,MATCH(D2399,Products!$A$2:$A$13,0)),INDEX(Products!$F$2:$F$13,MATCH(D2399,Products!$A$2:$A$13,0)))</f>
        <v>68573.28</v>
      </c>
      <c r="P2399" s="16" t="n">
        <f aca="false">N2399-O2399</f>
        <v>13926.649933589</v>
      </c>
    </row>
    <row r="2400" customFormat="false" ht="15" hidden="false" customHeight="false" outlineLevel="0" collapsed="false">
      <c r="A2400" s="2" t="s">
        <v>119</v>
      </c>
      <c r="B2400" s="2" t="n">
        <v>11</v>
      </c>
      <c r="C2400" s="2" t="s">
        <v>97</v>
      </c>
      <c r="D2400" s="2" t="s">
        <v>34</v>
      </c>
      <c r="E2400" s="2" t="str">
        <f aca="false">INDEX(Products!$B$2:$B$13,MATCH(D2400,Products!$A$2:$A$13,0))</f>
        <v>FCC</v>
      </c>
      <c r="F2400" s="15" t="n">
        <v>24.3</v>
      </c>
      <c r="G2400" s="16" t="n">
        <f aca="false">IF(A2400="2025",INDEX(Products!$C$2:$C$13,MATCH(D2400,Products!$A$2:$A$13,0)),INDEX(Products!$E$2:$E$13,MATCH(D2400,Products!$A$2:$A$13,0)))</f>
        <v>3433.5</v>
      </c>
      <c r="H2400" s="13" t="n">
        <f aca="false">IF(A2400="2025",INDEX(Customers!$D$2:$D$41,MATCH(C2400,Customers!$A$2:$A$41,0)),INDEX(Customers!$F$2:$F$41,MATCH(C2400,Customers!$A$2:$A$41,0)))</f>
        <v>0.143</v>
      </c>
      <c r="I2400" s="16" t="n">
        <f aca="false">F2400*G2400</f>
        <v>83434.05</v>
      </c>
      <c r="J2400" s="16" t="n">
        <f aca="false">I2400*(1-H2400)</f>
        <v>71502.98085</v>
      </c>
      <c r="K2400" s="16" t="n">
        <f aca="false">J2400*INDEX(Customers!$G$2:$G$41,MATCH(C2400,Customers!$A$2:$A$41,0))</f>
        <v>0</v>
      </c>
      <c r="L2400" s="16" t="n">
        <f aca="false">F2400*INDEX(Customers!$H$2:$H$41,MATCH(C2400,Customers!$A$2:$A$41,0))</f>
        <v>4617</v>
      </c>
      <c r="M2400" s="16" t="n">
        <f aca="false">J2400*INDEX(Customers!$I$2:$I$41,MATCH(C2400,Customers!$A$2:$A$41,0))/365*Assumptions!$B$6</f>
        <v>940.313172821918</v>
      </c>
      <c r="N2400" s="16" t="n">
        <f aca="false">J2400-K2400-L2400-M2400</f>
        <v>65945.6676771781</v>
      </c>
      <c r="O2400" s="16" t="n">
        <f aca="false">F2400*IF(A2400="2025",INDEX(Products!$D$2:$D$13,MATCH(D2400,Products!$A$2:$A$13,0)),INDEX(Products!$F$2:$F$13,MATCH(D2400,Products!$A$2:$A$13,0)))</f>
        <v>54813.51</v>
      </c>
      <c r="P2400" s="16" t="n">
        <f aca="false">N2400-O2400</f>
        <v>11132.1576771781</v>
      </c>
    </row>
    <row r="2401" customFormat="false" ht="15" hidden="false" customHeight="false" outlineLevel="0" collapsed="false">
      <c r="A2401" s="2" t="s">
        <v>119</v>
      </c>
      <c r="B2401" s="2" t="n">
        <v>12</v>
      </c>
      <c r="C2401" s="2" t="s">
        <v>97</v>
      </c>
      <c r="D2401" s="2" t="s">
        <v>34</v>
      </c>
      <c r="E2401" s="2" t="str">
        <f aca="false">INDEX(Products!$B$2:$B$13,MATCH(D2401,Products!$A$2:$A$13,0))</f>
        <v>FCC</v>
      </c>
      <c r="F2401" s="15" t="n">
        <v>26.3</v>
      </c>
      <c r="G2401" s="16" t="n">
        <f aca="false">IF(A2401="2025",INDEX(Products!$C$2:$C$13,MATCH(D2401,Products!$A$2:$A$13,0)),INDEX(Products!$E$2:$E$13,MATCH(D2401,Products!$A$2:$A$13,0)))</f>
        <v>3433.5</v>
      </c>
      <c r="H2401" s="13" t="n">
        <f aca="false">IF(A2401="2025",INDEX(Customers!$D$2:$D$41,MATCH(C2401,Customers!$A$2:$A$41,0)),INDEX(Customers!$F$2:$F$41,MATCH(C2401,Customers!$A$2:$A$41,0)))</f>
        <v>0.143</v>
      </c>
      <c r="I2401" s="16" t="n">
        <f aca="false">F2401*G2401</f>
        <v>90301.05</v>
      </c>
      <c r="J2401" s="16" t="n">
        <f aca="false">I2401*(1-H2401)</f>
        <v>77387.99985</v>
      </c>
      <c r="K2401" s="16" t="n">
        <f aca="false">J2401*INDEX(Customers!$G$2:$G$41,MATCH(C2401,Customers!$A$2:$A$41,0))</f>
        <v>0</v>
      </c>
      <c r="L2401" s="16" t="n">
        <f aca="false">F2401*INDEX(Customers!$H$2:$H$41,MATCH(C2401,Customers!$A$2:$A$41,0))</f>
        <v>4997</v>
      </c>
      <c r="M2401" s="16" t="n">
        <f aca="false">J2401*INDEX(Customers!$I$2:$I$41,MATCH(C2401,Customers!$A$2:$A$41,0))/365*Assumptions!$B$6</f>
        <v>1017.70520350685</v>
      </c>
      <c r="N2401" s="16" t="n">
        <f aca="false">J2401-K2401-L2401-M2401</f>
        <v>71373.2946464932</v>
      </c>
      <c r="O2401" s="16" t="n">
        <f aca="false">F2401*IF(A2401="2025",INDEX(Products!$D$2:$D$13,MATCH(D2401,Products!$A$2:$A$13,0)),INDEX(Products!$F$2:$F$13,MATCH(D2401,Products!$A$2:$A$13,0)))</f>
        <v>59324.91</v>
      </c>
      <c r="P2401" s="16" t="n">
        <f aca="false">N2401-O2401</f>
        <v>12048.3846464931</v>
      </c>
    </row>
    <row r="2402" customFormat="false" ht="15" hidden="false" customHeight="false" outlineLevel="0" collapsed="false">
      <c r="A2402" s="2" t="s">
        <v>118</v>
      </c>
      <c r="B2402" s="2" t="n">
        <v>1</v>
      </c>
      <c r="C2402" s="2" t="s">
        <v>98</v>
      </c>
      <c r="D2402" s="2" t="s">
        <v>41</v>
      </c>
      <c r="E2402" s="2" t="str">
        <f aca="false">INDEX(Products!$B$2:$B$13,MATCH(D2402,Products!$A$2:$A$13,0))</f>
        <v>Hydroprocessing</v>
      </c>
      <c r="F2402" s="15" t="n">
        <v>25.1</v>
      </c>
      <c r="G2402" s="16" t="n">
        <f aca="false">IF(A2402="2025",INDEX(Products!$C$2:$C$13,MATCH(D2402,Products!$A$2:$A$13,0)),INDEX(Products!$E$2:$E$13,MATCH(D2402,Products!$A$2:$A$13,0)))</f>
        <v>14770</v>
      </c>
      <c r="H2402" s="13" t="n">
        <f aca="false">IF(A2402="2025",INDEX(Customers!$D$2:$D$41,MATCH(C2402,Customers!$A$2:$A$41,0)),INDEX(Customers!$F$2:$F$41,MATCH(C2402,Customers!$A$2:$A$41,0)))</f>
        <v>0.167</v>
      </c>
      <c r="I2402" s="16" t="n">
        <f aca="false">F2402*G2402</f>
        <v>370727</v>
      </c>
      <c r="J2402" s="16" t="n">
        <f aca="false">I2402*(1-H2402)</f>
        <v>308815.591</v>
      </c>
      <c r="K2402" s="16" t="n">
        <f aca="false">J2402*INDEX(Customers!$G$2:$G$41,MATCH(C2402,Customers!$A$2:$A$41,0))</f>
        <v>3088.15591</v>
      </c>
      <c r="L2402" s="16" t="n">
        <f aca="false">F2402*INDEX(Customers!$H$2:$H$41,MATCH(C2402,Customers!$A$2:$A$41,0))</f>
        <v>9538</v>
      </c>
      <c r="M2402" s="16" t="n">
        <f aca="false">J2402*INDEX(Customers!$I$2:$I$41,MATCH(C2402,Customers!$A$2:$A$41,0))/365*Assumptions!$B$6</f>
        <v>6091.70480876712</v>
      </c>
      <c r="N2402" s="16" t="n">
        <f aca="false">J2402-K2402-L2402-M2402</f>
        <v>290097.730281233</v>
      </c>
      <c r="O2402" s="16" t="n">
        <f aca="false">F2402*IF(A2402="2025",INDEX(Products!$D$2:$D$13,MATCH(D2402,Products!$A$2:$A$13,0)),INDEX(Products!$F$2:$F$13,MATCH(D2402,Products!$A$2:$A$13,0)))</f>
        <v>237948</v>
      </c>
      <c r="P2402" s="16" t="n">
        <f aca="false">N2402-O2402</f>
        <v>52149.7302812329</v>
      </c>
    </row>
    <row r="2403" customFormat="false" ht="15" hidden="false" customHeight="false" outlineLevel="0" collapsed="false">
      <c r="A2403" s="2" t="s">
        <v>118</v>
      </c>
      <c r="B2403" s="2" t="n">
        <v>2</v>
      </c>
      <c r="C2403" s="2" t="s">
        <v>98</v>
      </c>
      <c r="D2403" s="2" t="s">
        <v>41</v>
      </c>
      <c r="E2403" s="2" t="str">
        <f aca="false">INDEX(Products!$B$2:$B$13,MATCH(D2403,Products!$A$2:$A$13,0))</f>
        <v>Hydroprocessing</v>
      </c>
      <c r="F2403" s="15" t="n">
        <v>27.1</v>
      </c>
      <c r="G2403" s="16" t="n">
        <f aca="false">IF(A2403="2025",INDEX(Products!$C$2:$C$13,MATCH(D2403,Products!$A$2:$A$13,0)),INDEX(Products!$E$2:$E$13,MATCH(D2403,Products!$A$2:$A$13,0)))</f>
        <v>14770</v>
      </c>
      <c r="H2403" s="13" t="n">
        <f aca="false">IF(A2403="2025",INDEX(Customers!$D$2:$D$41,MATCH(C2403,Customers!$A$2:$A$41,0)),INDEX(Customers!$F$2:$F$41,MATCH(C2403,Customers!$A$2:$A$41,0)))</f>
        <v>0.167</v>
      </c>
      <c r="I2403" s="16" t="n">
        <f aca="false">F2403*G2403</f>
        <v>400267</v>
      </c>
      <c r="J2403" s="16" t="n">
        <f aca="false">I2403*(1-H2403)</f>
        <v>333422.411</v>
      </c>
      <c r="K2403" s="16" t="n">
        <f aca="false">J2403*INDEX(Customers!$G$2:$G$41,MATCH(C2403,Customers!$A$2:$A$41,0))</f>
        <v>3334.22411</v>
      </c>
      <c r="L2403" s="16" t="n">
        <f aca="false">F2403*INDEX(Customers!$H$2:$H$41,MATCH(C2403,Customers!$A$2:$A$41,0))</f>
        <v>10298</v>
      </c>
      <c r="M2403" s="16" t="n">
        <f aca="false">J2403*INDEX(Customers!$I$2:$I$41,MATCH(C2403,Customers!$A$2:$A$41,0))/365*Assumptions!$B$6</f>
        <v>6577.09961424658</v>
      </c>
      <c r="N2403" s="16" t="n">
        <f aca="false">J2403-K2403-L2403-M2403</f>
        <v>313213.087275753</v>
      </c>
      <c r="O2403" s="16" t="n">
        <f aca="false">F2403*IF(A2403="2025",INDEX(Products!$D$2:$D$13,MATCH(D2403,Products!$A$2:$A$13,0)),INDEX(Products!$F$2:$F$13,MATCH(D2403,Products!$A$2:$A$13,0)))</f>
        <v>256908</v>
      </c>
      <c r="P2403" s="16" t="n">
        <f aca="false">N2403-O2403</f>
        <v>56305.0872757534</v>
      </c>
    </row>
    <row r="2404" customFormat="false" ht="15" hidden="false" customHeight="false" outlineLevel="0" collapsed="false">
      <c r="A2404" s="2" t="s">
        <v>118</v>
      </c>
      <c r="B2404" s="2" t="n">
        <v>3</v>
      </c>
      <c r="C2404" s="2" t="s">
        <v>98</v>
      </c>
      <c r="D2404" s="2" t="s">
        <v>41</v>
      </c>
      <c r="E2404" s="2" t="str">
        <f aca="false">INDEX(Products!$B$2:$B$13,MATCH(D2404,Products!$A$2:$A$13,0))</f>
        <v>Hydroprocessing</v>
      </c>
      <c r="F2404" s="15" t="n">
        <v>23.2</v>
      </c>
      <c r="G2404" s="16" t="n">
        <f aca="false">IF(A2404="2025",INDEX(Products!$C$2:$C$13,MATCH(D2404,Products!$A$2:$A$13,0)),INDEX(Products!$E$2:$E$13,MATCH(D2404,Products!$A$2:$A$13,0)))</f>
        <v>14770</v>
      </c>
      <c r="H2404" s="13" t="n">
        <f aca="false">IF(A2404="2025",INDEX(Customers!$D$2:$D$41,MATCH(C2404,Customers!$A$2:$A$41,0)),INDEX(Customers!$F$2:$F$41,MATCH(C2404,Customers!$A$2:$A$41,0)))</f>
        <v>0.167</v>
      </c>
      <c r="I2404" s="16" t="n">
        <f aca="false">F2404*G2404</f>
        <v>342664</v>
      </c>
      <c r="J2404" s="16" t="n">
        <f aca="false">I2404*(1-H2404)</f>
        <v>285439.112</v>
      </c>
      <c r="K2404" s="16" t="n">
        <f aca="false">J2404*INDEX(Customers!$G$2:$G$41,MATCH(C2404,Customers!$A$2:$A$41,0))</f>
        <v>2854.39112</v>
      </c>
      <c r="L2404" s="16" t="n">
        <f aca="false">F2404*INDEX(Customers!$H$2:$H$41,MATCH(C2404,Customers!$A$2:$A$41,0))</f>
        <v>8816</v>
      </c>
      <c r="M2404" s="16" t="n">
        <f aca="false">J2404*INDEX(Customers!$I$2:$I$41,MATCH(C2404,Customers!$A$2:$A$41,0))/365*Assumptions!$B$6</f>
        <v>5630.57974356164</v>
      </c>
      <c r="N2404" s="16" t="n">
        <f aca="false">J2404-K2404-L2404-M2404</f>
        <v>268138.141136438</v>
      </c>
      <c r="O2404" s="16" t="n">
        <f aca="false">F2404*IF(A2404="2025",INDEX(Products!$D$2:$D$13,MATCH(D2404,Products!$A$2:$A$13,0)),INDEX(Products!$F$2:$F$13,MATCH(D2404,Products!$A$2:$A$13,0)))</f>
        <v>219936</v>
      </c>
      <c r="P2404" s="16" t="n">
        <f aca="false">N2404-O2404</f>
        <v>48202.1411364384</v>
      </c>
    </row>
    <row r="2405" customFormat="false" ht="15" hidden="false" customHeight="false" outlineLevel="0" collapsed="false">
      <c r="A2405" s="2" t="s">
        <v>118</v>
      </c>
      <c r="B2405" s="2" t="n">
        <v>4</v>
      </c>
      <c r="C2405" s="2" t="s">
        <v>98</v>
      </c>
      <c r="D2405" s="2" t="s">
        <v>41</v>
      </c>
      <c r="E2405" s="2" t="str">
        <f aca="false">INDEX(Products!$B$2:$B$13,MATCH(D2405,Products!$A$2:$A$13,0))</f>
        <v>Hydroprocessing</v>
      </c>
      <c r="F2405" s="15" t="n">
        <v>29.3</v>
      </c>
      <c r="G2405" s="16" t="n">
        <f aca="false">IF(A2405="2025",INDEX(Products!$C$2:$C$13,MATCH(D2405,Products!$A$2:$A$13,0)),INDEX(Products!$E$2:$E$13,MATCH(D2405,Products!$A$2:$A$13,0)))</f>
        <v>14770</v>
      </c>
      <c r="H2405" s="13" t="n">
        <f aca="false">IF(A2405="2025",INDEX(Customers!$D$2:$D$41,MATCH(C2405,Customers!$A$2:$A$41,0)),INDEX(Customers!$F$2:$F$41,MATCH(C2405,Customers!$A$2:$A$41,0)))</f>
        <v>0.167</v>
      </c>
      <c r="I2405" s="16" t="n">
        <f aca="false">F2405*G2405</f>
        <v>432761</v>
      </c>
      <c r="J2405" s="16" t="n">
        <f aca="false">I2405*(1-H2405)</f>
        <v>360489.913</v>
      </c>
      <c r="K2405" s="16" t="n">
        <f aca="false">J2405*INDEX(Customers!$G$2:$G$41,MATCH(C2405,Customers!$A$2:$A$41,0))</f>
        <v>3604.89913</v>
      </c>
      <c r="L2405" s="16" t="n">
        <f aca="false">F2405*INDEX(Customers!$H$2:$H$41,MATCH(C2405,Customers!$A$2:$A$41,0))</f>
        <v>11134</v>
      </c>
      <c r="M2405" s="16" t="n">
        <f aca="false">J2405*INDEX(Customers!$I$2:$I$41,MATCH(C2405,Customers!$A$2:$A$41,0))/365*Assumptions!$B$6</f>
        <v>7111.03390027397</v>
      </c>
      <c r="N2405" s="16" t="n">
        <f aca="false">J2405-K2405-L2405-M2405</f>
        <v>338639.979969726</v>
      </c>
      <c r="O2405" s="16" t="n">
        <f aca="false">F2405*IF(A2405="2025",INDEX(Products!$D$2:$D$13,MATCH(D2405,Products!$A$2:$A$13,0)),INDEX(Products!$F$2:$F$13,MATCH(D2405,Products!$A$2:$A$13,0)))</f>
        <v>277764</v>
      </c>
      <c r="P2405" s="16" t="n">
        <f aca="false">N2405-O2405</f>
        <v>60875.9799697261</v>
      </c>
    </row>
    <row r="2406" customFormat="false" ht="15" hidden="false" customHeight="false" outlineLevel="0" collapsed="false">
      <c r="A2406" s="2" t="s">
        <v>118</v>
      </c>
      <c r="B2406" s="2" t="n">
        <v>5</v>
      </c>
      <c r="C2406" s="2" t="s">
        <v>98</v>
      </c>
      <c r="D2406" s="2" t="s">
        <v>41</v>
      </c>
      <c r="E2406" s="2" t="str">
        <f aca="false">INDEX(Products!$B$2:$B$13,MATCH(D2406,Products!$A$2:$A$13,0))</f>
        <v>Hydroprocessing</v>
      </c>
      <c r="F2406" s="15" t="n">
        <v>22.9</v>
      </c>
      <c r="G2406" s="16" t="n">
        <f aca="false">IF(A2406="2025",INDEX(Products!$C$2:$C$13,MATCH(D2406,Products!$A$2:$A$13,0)),INDEX(Products!$E$2:$E$13,MATCH(D2406,Products!$A$2:$A$13,0)))</f>
        <v>14770</v>
      </c>
      <c r="H2406" s="13" t="n">
        <f aca="false">IF(A2406="2025",INDEX(Customers!$D$2:$D$41,MATCH(C2406,Customers!$A$2:$A$41,0)),INDEX(Customers!$F$2:$F$41,MATCH(C2406,Customers!$A$2:$A$41,0)))</f>
        <v>0.167</v>
      </c>
      <c r="I2406" s="16" t="n">
        <f aca="false">F2406*G2406</f>
        <v>338233</v>
      </c>
      <c r="J2406" s="16" t="n">
        <f aca="false">I2406*(1-H2406)</f>
        <v>281748.089</v>
      </c>
      <c r="K2406" s="16" t="n">
        <f aca="false">J2406*INDEX(Customers!$G$2:$G$41,MATCH(C2406,Customers!$A$2:$A$41,0))</f>
        <v>2817.48089</v>
      </c>
      <c r="L2406" s="16" t="n">
        <f aca="false">F2406*INDEX(Customers!$H$2:$H$41,MATCH(C2406,Customers!$A$2:$A$41,0))</f>
        <v>8702</v>
      </c>
      <c r="M2406" s="16" t="n">
        <f aca="false">J2406*INDEX(Customers!$I$2:$I$41,MATCH(C2406,Customers!$A$2:$A$41,0))/365*Assumptions!$B$6</f>
        <v>5557.77052273973</v>
      </c>
      <c r="N2406" s="16" t="n">
        <f aca="false">J2406-K2406-L2406-M2406</f>
        <v>264670.83758726</v>
      </c>
      <c r="O2406" s="16" t="n">
        <f aca="false">F2406*IF(A2406="2025",INDEX(Products!$D$2:$D$13,MATCH(D2406,Products!$A$2:$A$13,0)),INDEX(Products!$F$2:$F$13,MATCH(D2406,Products!$A$2:$A$13,0)))</f>
        <v>217092</v>
      </c>
      <c r="P2406" s="16" t="n">
        <f aca="false">N2406-O2406</f>
        <v>47578.8375872602</v>
      </c>
    </row>
    <row r="2407" customFormat="false" ht="15" hidden="false" customHeight="false" outlineLevel="0" collapsed="false">
      <c r="A2407" s="2" t="s">
        <v>118</v>
      </c>
      <c r="B2407" s="2" t="n">
        <v>6</v>
      </c>
      <c r="C2407" s="2" t="s">
        <v>98</v>
      </c>
      <c r="D2407" s="2" t="s">
        <v>41</v>
      </c>
      <c r="E2407" s="2" t="str">
        <f aca="false">INDEX(Products!$B$2:$B$13,MATCH(D2407,Products!$A$2:$A$13,0))</f>
        <v>Hydroprocessing</v>
      </c>
      <c r="F2407" s="15" t="n">
        <v>31.5</v>
      </c>
      <c r="G2407" s="16" t="n">
        <f aca="false">IF(A2407="2025",INDEX(Products!$C$2:$C$13,MATCH(D2407,Products!$A$2:$A$13,0)),INDEX(Products!$E$2:$E$13,MATCH(D2407,Products!$A$2:$A$13,0)))</f>
        <v>14770</v>
      </c>
      <c r="H2407" s="13" t="n">
        <f aca="false">IF(A2407="2025",INDEX(Customers!$D$2:$D$41,MATCH(C2407,Customers!$A$2:$A$41,0)),INDEX(Customers!$F$2:$F$41,MATCH(C2407,Customers!$A$2:$A$41,0)))</f>
        <v>0.167</v>
      </c>
      <c r="I2407" s="16" t="n">
        <f aca="false">F2407*G2407</f>
        <v>465255</v>
      </c>
      <c r="J2407" s="16" t="n">
        <f aca="false">I2407*(1-H2407)</f>
        <v>387557.415</v>
      </c>
      <c r="K2407" s="16" t="n">
        <f aca="false">J2407*INDEX(Customers!$G$2:$G$41,MATCH(C2407,Customers!$A$2:$A$41,0))</f>
        <v>3875.57415</v>
      </c>
      <c r="L2407" s="16" t="n">
        <f aca="false">F2407*INDEX(Customers!$H$2:$H$41,MATCH(C2407,Customers!$A$2:$A$41,0))</f>
        <v>11970</v>
      </c>
      <c r="M2407" s="16" t="n">
        <f aca="false">J2407*INDEX(Customers!$I$2:$I$41,MATCH(C2407,Customers!$A$2:$A$41,0))/365*Assumptions!$B$6</f>
        <v>7644.96818630137</v>
      </c>
      <c r="N2407" s="16" t="n">
        <f aca="false">J2407-K2407-L2407-M2407</f>
        <v>364066.872663699</v>
      </c>
      <c r="O2407" s="16" t="n">
        <f aca="false">F2407*IF(A2407="2025",INDEX(Products!$D$2:$D$13,MATCH(D2407,Products!$A$2:$A$13,0)),INDEX(Products!$F$2:$F$13,MATCH(D2407,Products!$A$2:$A$13,0)))</f>
        <v>298620</v>
      </c>
      <c r="P2407" s="16" t="n">
        <f aca="false">N2407-O2407</f>
        <v>65446.8726636986</v>
      </c>
    </row>
    <row r="2408" customFormat="false" ht="15" hidden="false" customHeight="false" outlineLevel="0" collapsed="false">
      <c r="A2408" s="2" t="s">
        <v>118</v>
      </c>
      <c r="B2408" s="2" t="n">
        <v>7</v>
      </c>
      <c r="C2408" s="2" t="s">
        <v>98</v>
      </c>
      <c r="D2408" s="2" t="s">
        <v>41</v>
      </c>
      <c r="E2408" s="2" t="str">
        <f aca="false">INDEX(Products!$B$2:$B$13,MATCH(D2408,Products!$A$2:$A$13,0))</f>
        <v>Hydroprocessing</v>
      </c>
      <c r="F2408" s="15" t="n">
        <v>33.1</v>
      </c>
      <c r="G2408" s="16" t="n">
        <f aca="false">IF(A2408="2025",INDEX(Products!$C$2:$C$13,MATCH(D2408,Products!$A$2:$A$13,0)),INDEX(Products!$E$2:$E$13,MATCH(D2408,Products!$A$2:$A$13,0)))</f>
        <v>14770</v>
      </c>
      <c r="H2408" s="13" t="n">
        <f aca="false">IF(A2408="2025",INDEX(Customers!$D$2:$D$41,MATCH(C2408,Customers!$A$2:$A$41,0)),INDEX(Customers!$F$2:$F$41,MATCH(C2408,Customers!$A$2:$A$41,0)))</f>
        <v>0.167</v>
      </c>
      <c r="I2408" s="16" t="n">
        <f aca="false">F2408*G2408</f>
        <v>488887</v>
      </c>
      <c r="J2408" s="16" t="n">
        <f aca="false">I2408*(1-H2408)</f>
        <v>407242.871</v>
      </c>
      <c r="K2408" s="16" t="n">
        <f aca="false">J2408*INDEX(Customers!$G$2:$G$41,MATCH(C2408,Customers!$A$2:$A$41,0))</f>
        <v>4072.42871</v>
      </c>
      <c r="L2408" s="16" t="n">
        <f aca="false">F2408*INDEX(Customers!$H$2:$H$41,MATCH(C2408,Customers!$A$2:$A$41,0))</f>
        <v>12578</v>
      </c>
      <c r="M2408" s="16" t="n">
        <f aca="false">J2408*INDEX(Customers!$I$2:$I$41,MATCH(C2408,Customers!$A$2:$A$41,0))/365*Assumptions!$B$6</f>
        <v>8033.28403068493</v>
      </c>
      <c r="N2408" s="16" t="n">
        <f aca="false">J2408-K2408-L2408-M2408</f>
        <v>382559.158259315</v>
      </c>
      <c r="O2408" s="16" t="n">
        <f aca="false">F2408*IF(A2408="2025",INDEX(Products!$D$2:$D$13,MATCH(D2408,Products!$A$2:$A$13,0)),INDEX(Products!$F$2:$F$13,MATCH(D2408,Products!$A$2:$A$13,0)))</f>
        <v>313788</v>
      </c>
      <c r="P2408" s="16" t="n">
        <f aca="false">N2408-O2408</f>
        <v>68771.1582593151</v>
      </c>
    </row>
    <row r="2409" customFormat="false" ht="15" hidden="false" customHeight="false" outlineLevel="0" collapsed="false">
      <c r="A2409" s="2" t="s">
        <v>118</v>
      </c>
      <c r="B2409" s="2" t="n">
        <v>8</v>
      </c>
      <c r="C2409" s="2" t="s">
        <v>98</v>
      </c>
      <c r="D2409" s="2" t="s">
        <v>41</v>
      </c>
      <c r="E2409" s="2" t="str">
        <f aca="false">INDEX(Products!$B$2:$B$13,MATCH(D2409,Products!$A$2:$A$13,0))</f>
        <v>Hydroprocessing</v>
      </c>
      <c r="F2409" s="15" t="n">
        <v>28.8</v>
      </c>
      <c r="G2409" s="16" t="n">
        <f aca="false">IF(A2409="2025",INDEX(Products!$C$2:$C$13,MATCH(D2409,Products!$A$2:$A$13,0)),INDEX(Products!$E$2:$E$13,MATCH(D2409,Products!$A$2:$A$13,0)))</f>
        <v>14770</v>
      </c>
      <c r="H2409" s="13" t="n">
        <f aca="false">IF(A2409="2025",INDEX(Customers!$D$2:$D$41,MATCH(C2409,Customers!$A$2:$A$41,0)),INDEX(Customers!$F$2:$F$41,MATCH(C2409,Customers!$A$2:$A$41,0)))</f>
        <v>0.167</v>
      </c>
      <c r="I2409" s="16" t="n">
        <f aca="false">F2409*G2409</f>
        <v>425376</v>
      </c>
      <c r="J2409" s="16" t="n">
        <f aca="false">I2409*(1-H2409)</f>
        <v>354338.208</v>
      </c>
      <c r="K2409" s="16" t="n">
        <f aca="false">J2409*INDEX(Customers!$G$2:$G$41,MATCH(C2409,Customers!$A$2:$A$41,0))</f>
        <v>3543.38208</v>
      </c>
      <c r="L2409" s="16" t="n">
        <f aca="false">F2409*INDEX(Customers!$H$2:$H$41,MATCH(C2409,Customers!$A$2:$A$41,0))</f>
        <v>10944</v>
      </c>
      <c r="M2409" s="16" t="n">
        <f aca="false">J2409*INDEX(Customers!$I$2:$I$41,MATCH(C2409,Customers!$A$2:$A$41,0))/365*Assumptions!$B$6</f>
        <v>6989.68519890411</v>
      </c>
      <c r="N2409" s="16" t="n">
        <f aca="false">J2409-K2409-L2409-M2409</f>
        <v>332861.140721096</v>
      </c>
      <c r="O2409" s="16" t="n">
        <f aca="false">F2409*IF(A2409="2025",INDEX(Products!$D$2:$D$13,MATCH(D2409,Products!$A$2:$A$13,0)),INDEX(Products!$F$2:$F$13,MATCH(D2409,Products!$A$2:$A$13,0)))</f>
        <v>273024</v>
      </c>
      <c r="P2409" s="16" t="n">
        <f aca="false">N2409-O2409</f>
        <v>59837.1407210958</v>
      </c>
    </row>
    <row r="2410" customFormat="false" ht="15" hidden="false" customHeight="false" outlineLevel="0" collapsed="false">
      <c r="A2410" s="2" t="s">
        <v>118</v>
      </c>
      <c r="B2410" s="2" t="n">
        <v>9</v>
      </c>
      <c r="C2410" s="2" t="s">
        <v>98</v>
      </c>
      <c r="D2410" s="2" t="s">
        <v>41</v>
      </c>
      <c r="E2410" s="2" t="str">
        <f aca="false">INDEX(Products!$B$2:$B$13,MATCH(D2410,Products!$A$2:$A$13,0))</f>
        <v>Hydroprocessing</v>
      </c>
      <c r="F2410" s="15" t="n">
        <v>21.4</v>
      </c>
      <c r="G2410" s="16" t="n">
        <f aca="false">IF(A2410="2025",INDEX(Products!$C$2:$C$13,MATCH(D2410,Products!$A$2:$A$13,0)),INDEX(Products!$E$2:$E$13,MATCH(D2410,Products!$A$2:$A$13,0)))</f>
        <v>14770</v>
      </c>
      <c r="H2410" s="13" t="n">
        <f aca="false">IF(A2410="2025",INDEX(Customers!$D$2:$D$41,MATCH(C2410,Customers!$A$2:$A$41,0)),INDEX(Customers!$F$2:$F$41,MATCH(C2410,Customers!$A$2:$A$41,0)))</f>
        <v>0.167</v>
      </c>
      <c r="I2410" s="16" t="n">
        <f aca="false">F2410*G2410</f>
        <v>316078</v>
      </c>
      <c r="J2410" s="16" t="n">
        <f aca="false">I2410*(1-H2410)</f>
        <v>263292.974</v>
      </c>
      <c r="K2410" s="16" t="n">
        <f aca="false">J2410*INDEX(Customers!$G$2:$G$41,MATCH(C2410,Customers!$A$2:$A$41,0))</f>
        <v>2632.92974</v>
      </c>
      <c r="L2410" s="16" t="n">
        <f aca="false">F2410*INDEX(Customers!$H$2:$H$41,MATCH(C2410,Customers!$A$2:$A$41,0))</f>
        <v>8132</v>
      </c>
      <c r="M2410" s="16" t="n">
        <f aca="false">J2410*INDEX(Customers!$I$2:$I$41,MATCH(C2410,Customers!$A$2:$A$41,0))/365*Assumptions!$B$6</f>
        <v>5193.72441863014</v>
      </c>
      <c r="N2410" s="16" t="n">
        <f aca="false">J2410-K2410-L2410-M2410</f>
        <v>247334.31984137</v>
      </c>
      <c r="O2410" s="16" t="n">
        <f aca="false">F2410*IF(A2410="2025",INDEX(Products!$D$2:$D$13,MATCH(D2410,Products!$A$2:$A$13,0)),INDEX(Products!$F$2:$F$13,MATCH(D2410,Products!$A$2:$A$13,0)))</f>
        <v>202872</v>
      </c>
      <c r="P2410" s="16" t="n">
        <f aca="false">N2410-O2410</f>
        <v>44462.3198413699</v>
      </c>
    </row>
    <row r="2411" customFormat="false" ht="15" hidden="false" customHeight="false" outlineLevel="0" collapsed="false">
      <c r="A2411" s="2" t="s">
        <v>118</v>
      </c>
      <c r="B2411" s="2" t="n">
        <v>10</v>
      </c>
      <c r="C2411" s="2" t="s">
        <v>98</v>
      </c>
      <c r="D2411" s="2" t="s">
        <v>41</v>
      </c>
      <c r="E2411" s="2" t="str">
        <f aca="false">INDEX(Products!$B$2:$B$13,MATCH(D2411,Products!$A$2:$A$13,0))</f>
        <v>Hydroprocessing</v>
      </c>
      <c r="F2411" s="15" t="n">
        <v>25.2</v>
      </c>
      <c r="G2411" s="16" t="n">
        <f aca="false">IF(A2411="2025",INDEX(Products!$C$2:$C$13,MATCH(D2411,Products!$A$2:$A$13,0)),INDEX(Products!$E$2:$E$13,MATCH(D2411,Products!$A$2:$A$13,0)))</f>
        <v>14770</v>
      </c>
      <c r="H2411" s="13" t="n">
        <f aca="false">IF(A2411="2025",INDEX(Customers!$D$2:$D$41,MATCH(C2411,Customers!$A$2:$A$41,0)),INDEX(Customers!$F$2:$F$41,MATCH(C2411,Customers!$A$2:$A$41,0)))</f>
        <v>0.167</v>
      </c>
      <c r="I2411" s="16" t="n">
        <f aca="false">F2411*G2411</f>
        <v>372204</v>
      </c>
      <c r="J2411" s="16" t="n">
        <f aca="false">I2411*(1-H2411)</f>
        <v>310045.932</v>
      </c>
      <c r="K2411" s="16" t="n">
        <f aca="false">J2411*INDEX(Customers!$G$2:$G$41,MATCH(C2411,Customers!$A$2:$A$41,0))</f>
        <v>3100.45932</v>
      </c>
      <c r="L2411" s="16" t="n">
        <f aca="false">F2411*INDEX(Customers!$H$2:$H$41,MATCH(C2411,Customers!$A$2:$A$41,0))</f>
        <v>9576</v>
      </c>
      <c r="M2411" s="16" t="n">
        <f aca="false">J2411*INDEX(Customers!$I$2:$I$41,MATCH(C2411,Customers!$A$2:$A$41,0))/365*Assumptions!$B$6</f>
        <v>6115.9745490411</v>
      </c>
      <c r="N2411" s="16" t="n">
        <f aca="false">J2411-K2411-L2411-M2411</f>
        <v>291253.498130959</v>
      </c>
      <c r="O2411" s="16" t="n">
        <f aca="false">F2411*IF(A2411="2025",INDEX(Products!$D$2:$D$13,MATCH(D2411,Products!$A$2:$A$13,0)),INDEX(Products!$F$2:$F$13,MATCH(D2411,Products!$A$2:$A$13,0)))</f>
        <v>238896</v>
      </c>
      <c r="P2411" s="16" t="n">
        <f aca="false">N2411-O2411</f>
        <v>52357.4981309589</v>
      </c>
    </row>
    <row r="2412" customFormat="false" ht="15" hidden="false" customHeight="false" outlineLevel="0" collapsed="false">
      <c r="A2412" s="2" t="s">
        <v>118</v>
      </c>
      <c r="B2412" s="2" t="n">
        <v>11</v>
      </c>
      <c r="C2412" s="2" t="s">
        <v>98</v>
      </c>
      <c r="D2412" s="2" t="s">
        <v>41</v>
      </c>
      <c r="E2412" s="2" t="str">
        <f aca="false">INDEX(Products!$B$2:$B$13,MATCH(D2412,Products!$A$2:$A$13,0))</f>
        <v>Hydroprocessing</v>
      </c>
      <c r="F2412" s="15" t="n">
        <v>22.8</v>
      </c>
      <c r="G2412" s="16" t="n">
        <f aca="false">IF(A2412="2025",INDEX(Products!$C$2:$C$13,MATCH(D2412,Products!$A$2:$A$13,0)),INDEX(Products!$E$2:$E$13,MATCH(D2412,Products!$A$2:$A$13,0)))</f>
        <v>14770</v>
      </c>
      <c r="H2412" s="13" t="n">
        <f aca="false">IF(A2412="2025",INDEX(Customers!$D$2:$D$41,MATCH(C2412,Customers!$A$2:$A$41,0)),INDEX(Customers!$F$2:$F$41,MATCH(C2412,Customers!$A$2:$A$41,0)))</f>
        <v>0.167</v>
      </c>
      <c r="I2412" s="16" t="n">
        <f aca="false">F2412*G2412</f>
        <v>336756</v>
      </c>
      <c r="J2412" s="16" t="n">
        <f aca="false">I2412*(1-H2412)</f>
        <v>280517.748</v>
      </c>
      <c r="K2412" s="16" t="n">
        <f aca="false">J2412*INDEX(Customers!$G$2:$G$41,MATCH(C2412,Customers!$A$2:$A$41,0))</f>
        <v>2805.17748</v>
      </c>
      <c r="L2412" s="16" t="n">
        <f aca="false">F2412*INDEX(Customers!$H$2:$H$41,MATCH(C2412,Customers!$A$2:$A$41,0))</f>
        <v>8664</v>
      </c>
      <c r="M2412" s="16" t="n">
        <f aca="false">J2412*INDEX(Customers!$I$2:$I$41,MATCH(C2412,Customers!$A$2:$A$41,0))/365*Assumptions!$B$6</f>
        <v>5533.50078246575</v>
      </c>
      <c r="N2412" s="16" t="n">
        <f aca="false">J2412-K2412-L2412-M2412</f>
        <v>263515.069737534</v>
      </c>
      <c r="O2412" s="16" t="n">
        <f aca="false">F2412*IF(A2412="2025",INDEX(Products!$D$2:$D$13,MATCH(D2412,Products!$A$2:$A$13,0)),INDEX(Products!$F$2:$F$13,MATCH(D2412,Products!$A$2:$A$13,0)))</f>
        <v>216144</v>
      </c>
      <c r="P2412" s="16" t="n">
        <f aca="false">N2412-O2412</f>
        <v>47371.0697375342</v>
      </c>
    </row>
    <row r="2413" customFormat="false" ht="15" hidden="false" customHeight="false" outlineLevel="0" collapsed="false">
      <c r="A2413" s="2" t="s">
        <v>118</v>
      </c>
      <c r="B2413" s="2" t="n">
        <v>12</v>
      </c>
      <c r="C2413" s="2" t="s">
        <v>98</v>
      </c>
      <c r="D2413" s="2" t="s">
        <v>41</v>
      </c>
      <c r="E2413" s="2" t="str">
        <f aca="false">INDEX(Products!$B$2:$B$13,MATCH(D2413,Products!$A$2:$A$13,0))</f>
        <v>Hydroprocessing</v>
      </c>
      <c r="F2413" s="15" t="n">
        <v>24.1</v>
      </c>
      <c r="G2413" s="16" t="n">
        <f aca="false">IF(A2413="2025",INDEX(Products!$C$2:$C$13,MATCH(D2413,Products!$A$2:$A$13,0)),INDEX(Products!$E$2:$E$13,MATCH(D2413,Products!$A$2:$A$13,0)))</f>
        <v>14770</v>
      </c>
      <c r="H2413" s="13" t="n">
        <f aca="false">IF(A2413="2025",INDEX(Customers!$D$2:$D$41,MATCH(C2413,Customers!$A$2:$A$41,0)),INDEX(Customers!$F$2:$F$41,MATCH(C2413,Customers!$A$2:$A$41,0)))</f>
        <v>0.167</v>
      </c>
      <c r="I2413" s="16" t="n">
        <f aca="false">F2413*G2413</f>
        <v>355957</v>
      </c>
      <c r="J2413" s="16" t="n">
        <f aca="false">I2413*(1-H2413)</f>
        <v>296512.181</v>
      </c>
      <c r="K2413" s="16" t="n">
        <f aca="false">J2413*INDEX(Customers!$G$2:$G$41,MATCH(C2413,Customers!$A$2:$A$41,0))</f>
        <v>2965.12181</v>
      </c>
      <c r="L2413" s="16" t="n">
        <f aca="false">F2413*INDEX(Customers!$H$2:$H$41,MATCH(C2413,Customers!$A$2:$A$41,0))</f>
        <v>9158</v>
      </c>
      <c r="M2413" s="16" t="n">
        <f aca="false">J2413*INDEX(Customers!$I$2:$I$41,MATCH(C2413,Customers!$A$2:$A$41,0))/365*Assumptions!$B$6</f>
        <v>5849.0074060274</v>
      </c>
      <c r="N2413" s="16" t="n">
        <f aca="false">J2413-K2413-L2413-M2413</f>
        <v>278540.051783973</v>
      </c>
      <c r="O2413" s="16" t="n">
        <f aca="false">F2413*IF(A2413="2025",INDEX(Products!$D$2:$D$13,MATCH(D2413,Products!$A$2:$A$13,0)),INDEX(Products!$F$2:$F$13,MATCH(D2413,Products!$A$2:$A$13,0)))</f>
        <v>228468</v>
      </c>
      <c r="P2413" s="16" t="n">
        <f aca="false">N2413-O2413</f>
        <v>50072.0517839726</v>
      </c>
    </row>
    <row r="2414" customFormat="false" ht="15" hidden="false" customHeight="false" outlineLevel="0" collapsed="false">
      <c r="A2414" s="2" t="s">
        <v>119</v>
      </c>
      <c r="B2414" s="2" t="n">
        <v>1</v>
      </c>
      <c r="C2414" s="2" t="s">
        <v>98</v>
      </c>
      <c r="D2414" s="2" t="s">
        <v>41</v>
      </c>
      <c r="E2414" s="2" t="str">
        <f aca="false">INDEX(Products!$B$2:$B$13,MATCH(D2414,Products!$A$2:$A$13,0))</f>
        <v>Hydroprocessing</v>
      </c>
      <c r="F2414" s="15" t="n">
        <v>17.7</v>
      </c>
      <c r="G2414" s="16" t="n">
        <f aca="false">IF(A2414="2025",INDEX(Products!$C$2:$C$13,MATCH(D2414,Products!$A$2:$A$13,0)),INDEX(Products!$E$2:$E$13,MATCH(D2414,Products!$A$2:$A$13,0)))</f>
        <v>15508.5</v>
      </c>
      <c r="H2414" s="13" t="n">
        <f aca="false">IF(A2414="2025",INDEX(Customers!$D$2:$D$41,MATCH(C2414,Customers!$A$2:$A$41,0)),INDEX(Customers!$F$2:$F$41,MATCH(C2414,Customers!$A$2:$A$41,0)))</f>
        <v>0.183</v>
      </c>
      <c r="I2414" s="16" t="n">
        <f aca="false">F2414*G2414</f>
        <v>274500.45</v>
      </c>
      <c r="J2414" s="16" t="n">
        <f aca="false">I2414*(1-H2414)</f>
        <v>224266.86765</v>
      </c>
      <c r="K2414" s="16" t="n">
        <f aca="false">J2414*INDEX(Customers!$G$2:$G$41,MATCH(C2414,Customers!$A$2:$A$41,0))</f>
        <v>2242.6686765</v>
      </c>
      <c r="L2414" s="16" t="n">
        <f aca="false">F2414*INDEX(Customers!$H$2:$H$41,MATCH(C2414,Customers!$A$2:$A$41,0))</f>
        <v>6726</v>
      </c>
      <c r="M2414" s="16" t="n">
        <f aca="false">J2414*INDEX(Customers!$I$2:$I$41,MATCH(C2414,Customers!$A$2:$A$41,0))/365*Assumptions!$B$6</f>
        <v>4423.89437556164</v>
      </c>
      <c r="N2414" s="16" t="n">
        <f aca="false">J2414-K2414-L2414-M2414</f>
        <v>210874.304597938</v>
      </c>
      <c r="O2414" s="16" t="n">
        <f aca="false">F2414*IF(A2414="2025",INDEX(Products!$D$2:$D$13,MATCH(D2414,Products!$A$2:$A$13,0)),INDEX(Products!$F$2:$F$13,MATCH(D2414,Products!$A$2:$A$13,0)))</f>
        <v>172829.88</v>
      </c>
      <c r="P2414" s="16" t="n">
        <f aca="false">N2414-O2414</f>
        <v>38044.4245979384</v>
      </c>
    </row>
    <row r="2415" customFormat="false" ht="15" hidden="false" customHeight="false" outlineLevel="0" collapsed="false">
      <c r="A2415" s="2" t="s">
        <v>119</v>
      </c>
      <c r="B2415" s="2" t="n">
        <v>2</v>
      </c>
      <c r="C2415" s="2" t="s">
        <v>98</v>
      </c>
      <c r="D2415" s="2" t="s">
        <v>41</v>
      </c>
      <c r="E2415" s="2" t="str">
        <f aca="false">INDEX(Products!$B$2:$B$13,MATCH(D2415,Products!$A$2:$A$13,0))</f>
        <v>Hydroprocessing</v>
      </c>
      <c r="F2415" s="15" t="n">
        <v>23.6</v>
      </c>
      <c r="G2415" s="16" t="n">
        <f aca="false">IF(A2415="2025",INDEX(Products!$C$2:$C$13,MATCH(D2415,Products!$A$2:$A$13,0)),INDEX(Products!$E$2:$E$13,MATCH(D2415,Products!$A$2:$A$13,0)))</f>
        <v>15508.5</v>
      </c>
      <c r="H2415" s="13" t="n">
        <f aca="false">IF(A2415="2025",INDEX(Customers!$D$2:$D$41,MATCH(C2415,Customers!$A$2:$A$41,0)),INDEX(Customers!$F$2:$F$41,MATCH(C2415,Customers!$A$2:$A$41,0)))</f>
        <v>0.183</v>
      </c>
      <c r="I2415" s="16" t="n">
        <f aca="false">F2415*G2415</f>
        <v>366000.6</v>
      </c>
      <c r="J2415" s="16" t="n">
        <f aca="false">I2415*(1-H2415)</f>
        <v>299022.4902</v>
      </c>
      <c r="K2415" s="16" t="n">
        <f aca="false">J2415*INDEX(Customers!$G$2:$G$41,MATCH(C2415,Customers!$A$2:$A$41,0))</f>
        <v>2990.224902</v>
      </c>
      <c r="L2415" s="16" t="n">
        <f aca="false">F2415*INDEX(Customers!$H$2:$H$41,MATCH(C2415,Customers!$A$2:$A$41,0))</f>
        <v>8968</v>
      </c>
      <c r="M2415" s="16" t="n">
        <f aca="false">J2415*INDEX(Customers!$I$2:$I$41,MATCH(C2415,Customers!$A$2:$A$41,0))/365*Assumptions!$B$6</f>
        <v>5898.52583408219</v>
      </c>
      <c r="N2415" s="16" t="n">
        <f aca="false">J2415-K2415-L2415-M2415</f>
        <v>281165.739463918</v>
      </c>
      <c r="O2415" s="16" t="n">
        <f aca="false">F2415*IF(A2415="2025",INDEX(Products!$D$2:$D$13,MATCH(D2415,Products!$A$2:$A$13,0)),INDEX(Products!$F$2:$F$13,MATCH(D2415,Products!$A$2:$A$13,0)))</f>
        <v>230439.84</v>
      </c>
      <c r="P2415" s="16" t="n">
        <f aca="false">N2415-O2415</f>
        <v>50725.8994639178</v>
      </c>
    </row>
    <row r="2416" customFormat="false" ht="15" hidden="false" customHeight="false" outlineLevel="0" collapsed="false">
      <c r="A2416" s="2" t="s">
        <v>119</v>
      </c>
      <c r="B2416" s="2" t="n">
        <v>3</v>
      </c>
      <c r="C2416" s="2" t="s">
        <v>98</v>
      </c>
      <c r="D2416" s="2" t="s">
        <v>41</v>
      </c>
      <c r="E2416" s="2" t="str">
        <f aca="false">INDEX(Products!$B$2:$B$13,MATCH(D2416,Products!$A$2:$A$13,0))</f>
        <v>Hydroprocessing</v>
      </c>
      <c r="F2416" s="15" t="n">
        <v>19.8</v>
      </c>
      <c r="G2416" s="16" t="n">
        <f aca="false">IF(A2416="2025",INDEX(Products!$C$2:$C$13,MATCH(D2416,Products!$A$2:$A$13,0)),INDEX(Products!$E$2:$E$13,MATCH(D2416,Products!$A$2:$A$13,0)))</f>
        <v>15508.5</v>
      </c>
      <c r="H2416" s="13" t="n">
        <f aca="false">IF(A2416="2025",INDEX(Customers!$D$2:$D$41,MATCH(C2416,Customers!$A$2:$A$41,0)),INDEX(Customers!$F$2:$F$41,MATCH(C2416,Customers!$A$2:$A$41,0)))</f>
        <v>0.183</v>
      </c>
      <c r="I2416" s="16" t="n">
        <f aca="false">F2416*G2416</f>
        <v>307068.3</v>
      </c>
      <c r="J2416" s="16" t="n">
        <f aca="false">I2416*(1-H2416)</f>
        <v>250874.8011</v>
      </c>
      <c r="K2416" s="16" t="n">
        <f aca="false">J2416*INDEX(Customers!$G$2:$G$41,MATCH(C2416,Customers!$A$2:$A$41,0))</f>
        <v>2508.748011</v>
      </c>
      <c r="L2416" s="16" t="n">
        <f aca="false">F2416*INDEX(Customers!$H$2:$H$41,MATCH(C2416,Customers!$A$2:$A$41,0))</f>
        <v>7524</v>
      </c>
      <c r="M2416" s="16" t="n">
        <f aca="false">J2416*INDEX(Customers!$I$2:$I$41,MATCH(C2416,Customers!$A$2:$A$41,0))/365*Assumptions!$B$6</f>
        <v>4948.76319978082</v>
      </c>
      <c r="N2416" s="16" t="n">
        <f aca="false">J2416-K2416-L2416-M2416</f>
        <v>235893.289889219</v>
      </c>
      <c r="O2416" s="16" t="n">
        <f aca="false">F2416*IF(A2416="2025",INDEX(Products!$D$2:$D$13,MATCH(D2416,Products!$A$2:$A$13,0)),INDEX(Products!$F$2:$F$13,MATCH(D2416,Products!$A$2:$A$13,0)))</f>
        <v>193335.12</v>
      </c>
      <c r="P2416" s="16" t="n">
        <f aca="false">N2416-O2416</f>
        <v>42558.1698892192</v>
      </c>
    </row>
    <row r="2417" customFormat="false" ht="15" hidden="false" customHeight="false" outlineLevel="0" collapsed="false">
      <c r="A2417" s="2" t="s">
        <v>119</v>
      </c>
      <c r="B2417" s="2" t="n">
        <v>4</v>
      </c>
      <c r="C2417" s="2" t="s">
        <v>98</v>
      </c>
      <c r="D2417" s="2" t="s">
        <v>41</v>
      </c>
      <c r="E2417" s="2" t="str">
        <f aca="false">INDEX(Products!$B$2:$B$13,MATCH(D2417,Products!$A$2:$A$13,0))</f>
        <v>Hydroprocessing</v>
      </c>
      <c r="F2417" s="15" t="n">
        <v>17.7</v>
      </c>
      <c r="G2417" s="16" t="n">
        <f aca="false">IF(A2417="2025",INDEX(Products!$C$2:$C$13,MATCH(D2417,Products!$A$2:$A$13,0)),INDEX(Products!$E$2:$E$13,MATCH(D2417,Products!$A$2:$A$13,0)))</f>
        <v>15508.5</v>
      </c>
      <c r="H2417" s="13" t="n">
        <f aca="false">IF(A2417="2025",INDEX(Customers!$D$2:$D$41,MATCH(C2417,Customers!$A$2:$A$41,0)),INDEX(Customers!$F$2:$F$41,MATCH(C2417,Customers!$A$2:$A$41,0)))</f>
        <v>0.183</v>
      </c>
      <c r="I2417" s="16" t="n">
        <f aca="false">F2417*G2417</f>
        <v>274500.45</v>
      </c>
      <c r="J2417" s="16" t="n">
        <f aca="false">I2417*(1-H2417)</f>
        <v>224266.86765</v>
      </c>
      <c r="K2417" s="16" t="n">
        <f aca="false">J2417*INDEX(Customers!$G$2:$G$41,MATCH(C2417,Customers!$A$2:$A$41,0))</f>
        <v>2242.6686765</v>
      </c>
      <c r="L2417" s="16" t="n">
        <f aca="false">F2417*INDEX(Customers!$H$2:$H$41,MATCH(C2417,Customers!$A$2:$A$41,0))</f>
        <v>6726</v>
      </c>
      <c r="M2417" s="16" t="n">
        <f aca="false">J2417*INDEX(Customers!$I$2:$I$41,MATCH(C2417,Customers!$A$2:$A$41,0))/365*Assumptions!$B$6</f>
        <v>4423.89437556164</v>
      </c>
      <c r="N2417" s="16" t="n">
        <f aca="false">J2417-K2417-L2417-M2417</f>
        <v>210874.304597938</v>
      </c>
      <c r="O2417" s="16" t="n">
        <f aca="false">F2417*IF(A2417="2025",INDEX(Products!$D$2:$D$13,MATCH(D2417,Products!$A$2:$A$13,0)),INDEX(Products!$F$2:$F$13,MATCH(D2417,Products!$A$2:$A$13,0)))</f>
        <v>172829.88</v>
      </c>
      <c r="P2417" s="16" t="n">
        <f aca="false">N2417-O2417</f>
        <v>38044.4245979384</v>
      </c>
    </row>
    <row r="2418" customFormat="false" ht="15" hidden="false" customHeight="false" outlineLevel="0" collapsed="false">
      <c r="A2418" s="2" t="s">
        <v>119</v>
      </c>
      <c r="B2418" s="2" t="n">
        <v>5</v>
      </c>
      <c r="C2418" s="2" t="s">
        <v>98</v>
      </c>
      <c r="D2418" s="2" t="s">
        <v>41</v>
      </c>
      <c r="E2418" s="2" t="str">
        <f aca="false">INDEX(Products!$B$2:$B$13,MATCH(D2418,Products!$A$2:$A$13,0))</f>
        <v>Hydroprocessing</v>
      </c>
      <c r="F2418" s="15" t="n">
        <v>28</v>
      </c>
      <c r="G2418" s="16" t="n">
        <f aca="false">IF(A2418="2025",INDEX(Products!$C$2:$C$13,MATCH(D2418,Products!$A$2:$A$13,0)),INDEX(Products!$E$2:$E$13,MATCH(D2418,Products!$A$2:$A$13,0)))</f>
        <v>15508.5</v>
      </c>
      <c r="H2418" s="13" t="n">
        <f aca="false">IF(A2418="2025",INDEX(Customers!$D$2:$D$41,MATCH(C2418,Customers!$A$2:$A$41,0)),INDEX(Customers!$F$2:$F$41,MATCH(C2418,Customers!$A$2:$A$41,0)))</f>
        <v>0.183</v>
      </c>
      <c r="I2418" s="16" t="n">
        <f aca="false">F2418*G2418</f>
        <v>434238</v>
      </c>
      <c r="J2418" s="16" t="n">
        <f aca="false">I2418*(1-H2418)</f>
        <v>354772.446</v>
      </c>
      <c r="K2418" s="16" t="n">
        <f aca="false">J2418*INDEX(Customers!$G$2:$G$41,MATCH(C2418,Customers!$A$2:$A$41,0))</f>
        <v>3547.72446</v>
      </c>
      <c r="L2418" s="16" t="n">
        <f aca="false">F2418*INDEX(Customers!$H$2:$H$41,MATCH(C2418,Customers!$A$2:$A$41,0))</f>
        <v>10640</v>
      </c>
      <c r="M2418" s="16" t="n">
        <f aca="false">J2418*INDEX(Customers!$I$2:$I$41,MATCH(C2418,Customers!$A$2:$A$41,0))/365*Assumptions!$B$6</f>
        <v>6998.25098958904</v>
      </c>
      <c r="N2418" s="16" t="n">
        <f aca="false">J2418-K2418-L2418-M2418</f>
        <v>333586.470550411</v>
      </c>
      <c r="O2418" s="16" t="n">
        <f aca="false">F2418*IF(A2418="2025",INDEX(Products!$D$2:$D$13,MATCH(D2418,Products!$A$2:$A$13,0)),INDEX(Products!$F$2:$F$13,MATCH(D2418,Products!$A$2:$A$13,0)))</f>
        <v>273403.2</v>
      </c>
      <c r="P2418" s="16" t="n">
        <f aca="false">N2418-O2418</f>
        <v>60183.270550411</v>
      </c>
    </row>
    <row r="2419" customFormat="false" ht="15" hidden="false" customHeight="false" outlineLevel="0" collapsed="false">
      <c r="A2419" s="2" t="s">
        <v>119</v>
      </c>
      <c r="B2419" s="2" t="n">
        <v>6</v>
      </c>
      <c r="C2419" s="2" t="s">
        <v>98</v>
      </c>
      <c r="D2419" s="2" t="s">
        <v>41</v>
      </c>
      <c r="E2419" s="2" t="str">
        <f aca="false">INDEX(Products!$B$2:$B$13,MATCH(D2419,Products!$A$2:$A$13,0))</f>
        <v>Hydroprocessing</v>
      </c>
      <c r="F2419" s="15" t="n">
        <v>15.9</v>
      </c>
      <c r="G2419" s="16" t="n">
        <f aca="false">IF(A2419="2025",INDEX(Products!$C$2:$C$13,MATCH(D2419,Products!$A$2:$A$13,0)),INDEX(Products!$E$2:$E$13,MATCH(D2419,Products!$A$2:$A$13,0)))</f>
        <v>15508.5</v>
      </c>
      <c r="H2419" s="13" t="n">
        <f aca="false">IF(A2419="2025",INDEX(Customers!$D$2:$D$41,MATCH(C2419,Customers!$A$2:$A$41,0)),INDEX(Customers!$F$2:$F$41,MATCH(C2419,Customers!$A$2:$A$41,0)))</f>
        <v>0.183</v>
      </c>
      <c r="I2419" s="16" t="n">
        <f aca="false">F2419*G2419</f>
        <v>246585.15</v>
      </c>
      <c r="J2419" s="16" t="n">
        <f aca="false">I2419*(1-H2419)</f>
        <v>201460.06755</v>
      </c>
      <c r="K2419" s="16" t="n">
        <f aca="false">J2419*INDEX(Customers!$G$2:$G$41,MATCH(C2419,Customers!$A$2:$A$41,0))</f>
        <v>2014.6006755</v>
      </c>
      <c r="L2419" s="16" t="n">
        <f aca="false">F2419*INDEX(Customers!$H$2:$H$41,MATCH(C2419,Customers!$A$2:$A$41,0))</f>
        <v>6042</v>
      </c>
      <c r="M2419" s="16" t="n">
        <f aca="false">J2419*INDEX(Customers!$I$2:$I$41,MATCH(C2419,Customers!$A$2:$A$41,0))/365*Assumptions!$B$6</f>
        <v>3974.00681194521</v>
      </c>
      <c r="N2419" s="16" t="n">
        <f aca="false">J2419-K2419-L2419-M2419</f>
        <v>189429.460062555</v>
      </c>
      <c r="O2419" s="16" t="n">
        <f aca="false">F2419*IF(A2419="2025",INDEX(Products!$D$2:$D$13,MATCH(D2419,Products!$A$2:$A$13,0)),INDEX(Products!$F$2:$F$13,MATCH(D2419,Products!$A$2:$A$13,0)))</f>
        <v>155253.96</v>
      </c>
      <c r="P2419" s="16" t="n">
        <f aca="false">N2419-O2419</f>
        <v>34175.5000625548</v>
      </c>
    </row>
    <row r="2420" customFormat="false" ht="15" hidden="false" customHeight="false" outlineLevel="0" collapsed="false">
      <c r="A2420" s="2" t="s">
        <v>119</v>
      </c>
      <c r="B2420" s="2" t="n">
        <v>7</v>
      </c>
      <c r="C2420" s="2" t="s">
        <v>98</v>
      </c>
      <c r="D2420" s="2" t="s">
        <v>41</v>
      </c>
      <c r="E2420" s="2" t="str">
        <f aca="false">INDEX(Products!$B$2:$B$13,MATCH(D2420,Products!$A$2:$A$13,0))</f>
        <v>Hydroprocessing</v>
      </c>
      <c r="F2420" s="15" t="n">
        <v>28.8</v>
      </c>
      <c r="G2420" s="16" t="n">
        <f aca="false">IF(A2420="2025",INDEX(Products!$C$2:$C$13,MATCH(D2420,Products!$A$2:$A$13,0)),INDEX(Products!$E$2:$E$13,MATCH(D2420,Products!$A$2:$A$13,0)))</f>
        <v>15508.5</v>
      </c>
      <c r="H2420" s="13" t="n">
        <f aca="false">IF(A2420="2025",INDEX(Customers!$D$2:$D$41,MATCH(C2420,Customers!$A$2:$A$41,0)),INDEX(Customers!$F$2:$F$41,MATCH(C2420,Customers!$A$2:$A$41,0)))</f>
        <v>0.183</v>
      </c>
      <c r="I2420" s="16" t="n">
        <f aca="false">F2420*G2420</f>
        <v>446644.8</v>
      </c>
      <c r="J2420" s="16" t="n">
        <f aca="false">I2420*(1-H2420)</f>
        <v>364908.8016</v>
      </c>
      <c r="K2420" s="16" t="n">
        <f aca="false">J2420*INDEX(Customers!$G$2:$G$41,MATCH(C2420,Customers!$A$2:$A$41,0))</f>
        <v>3649.088016</v>
      </c>
      <c r="L2420" s="16" t="n">
        <f aca="false">F2420*INDEX(Customers!$H$2:$H$41,MATCH(C2420,Customers!$A$2:$A$41,0))</f>
        <v>10944</v>
      </c>
      <c r="M2420" s="16" t="n">
        <f aca="false">J2420*INDEX(Customers!$I$2:$I$41,MATCH(C2420,Customers!$A$2:$A$41,0))/365*Assumptions!$B$6</f>
        <v>7198.20101786301</v>
      </c>
      <c r="N2420" s="16" t="n">
        <f aca="false">J2420-K2420-L2420-M2420</f>
        <v>343117.512566137</v>
      </c>
      <c r="O2420" s="16" t="n">
        <f aca="false">F2420*IF(A2420="2025",INDEX(Products!$D$2:$D$13,MATCH(D2420,Products!$A$2:$A$13,0)),INDEX(Products!$F$2:$F$13,MATCH(D2420,Products!$A$2:$A$13,0)))</f>
        <v>281214.72</v>
      </c>
      <c r="P2420" s="16" t="n">
        <f aca="false">N2420-O2420</f>
        <v>61902.792566137</v>
      </c>
    </row>
    <row r="2421" customFormat="false" ht="15" hidden="false" customHeight="false" outlineLevel="0" collapsed="false">
      <c r="A2421" s="2" t="s">
        <v>119</v>
      </c>
      <c r="B2421" s="2" t="n">
        <v>8</v>
      </c>
      <c r="C2421" s="2" t="s">
        <v>98</v>
      </c>
      <c r="D2421" s="2" t="s">
        <v>41</v>
      </c>
      <c r="E2421" s="2" t="str">
        <f aca="false">INDEX(Products!$B$2:$B$13,MATCH(D2421,Products!$A$2:$A$13,0))</f>
        <v>Hydroprocessing</v>
      </c>
      <c r="F2421" s="15" t="n">
        <v>16.9</v>
      </c>
      <c r="G2421" s="16" t="n">
        <f aca="false">IF(A2421="2025",INDEX(Products!$C$2:$C$13,MATCH(D2421,Products!$A$2:$A$13,0)),INDEX(Products!$E$2:$E$13,MATCH(D2421,Products!$A$2:$A$13,0)))</f>
        <v>15508.5</v>
      </c>
      <c r="H2421" s="13" t="n">
        <f aca="false">IF(A2421="2025",INDEX(Customers!$D$2:$D$41,MATCH(C2421,Customers!$A$2:$A$41,0)),INDEX(Customers!$F$2:$F$41,MATCH(C2421,Customers!$A$2:$A$41,0)))</f>
        <v>0.183</v>
      </c>
      <c r="I2421" s="16" t="n">
        <f aca="false">F2421*G2421</f>
        <v>262093.65</v>
      </c>
      <c r="J2421" s="16" t="n">
        <f aca="false">I2421*(1-H2421)</f>
        <v>214130.51205</v>
      </c>
      <c r="K2421" s="16" t="n">
        <f aca="false">J2421*INDEX(Customers!$G$2:$G$41,MATCH(C2421,Customers!$A$2:$A$41,0))</f>
        <v>2141.3051205</v>
      </c>
      <c r="L2421" s="16" t="n">
        <f aca="false">F2421*INDEX(Customers!$H$2:$H$41,MATCH(C2421,Customers!$A$2:$A$41,0))</f>
        <v>6422</v>
      </c>
      <c r="M2421" s="16" t="n">
        <f aca="false">J2421*INDEX(Customers!$I$2:$I$41,MATCH(C2421,Customers!$A$2:$A$41,0))/365*Assumptions!$B$6</f>
        <v>4223.94434728767</v>
      </c>
      <c r="N2421" s="16" t="n">
        <f aca="false">J2421-K2421-L2421-M2421</f>
        <v>201343.262582212</v>
      </c>
      <c r="O2421" s="16" t="n">
        <f aca="false">F2421*IF(A2421="2025",INDEX(Products!$D$2:$D$13,MATCH(D2421,Products!$A$2:$A$13,0)),INDEX(Products!$F$2:$F$13,MATCH(D2421,Products!$A$2:$A$13,0)))</f>
        <v>165018.36</v>
      </c>
      <c r="P2421" s="16" t="n">
        <f aca="false">N2421-O2421</f>
        <v>36324.9025822123</v>
      </c>
    </row>
    <row r="2422" customFormat="false" ht="15" hidden="false" customHeight="false" outlineLevel="0" collapsed="false">
      <c r="A2422" s="2" t="s">
        <v>119</v>
      </c>
      <c r="B2422" s="2" t="n">
        <v>9</v>
      </c>
      <c r="C2422" s="2" t="s">
        <v>98</v>
      </c>
      <c r="D2422" s="2" t="s">
        <v>41</v>
      </c>
      <c r="E2422" s="2" t="str">
        <f aca="false">INDEX(Products!$B$2:$B$13,MATCH(D2422,Products!$A$2:$A$13,0))</f>
        <v>Hydroprocessing</v>
      </c>
      <c r="F2422" s="15" t="n">
        <v>21.4</v>
      </c>
      <c r="G2422" s="16" t="n">
        <f aca="false">IF(A2422="2025",INDEX(Products!$C$2:$C$13,MATCH(D2422,Products!$A$2:$A$13,0)),INDEX(Products!$E$2:$E$13,MATCH(D2422,Products!$A$2:$A$13,0)))</f>
        <v>15508.5</v>
      </c>
      <c r="H2422" s="13" t="n">
        <f aca="false">IF(A2422="2025",INDEX(Customers!$D$2:$D$41,MATCH(C2422,Customers!$A$2:$A$41,0)),INDEX(Customers!$F$2:$F$41,MATCH(C2422,Customers!$A$2:$A$41,0)))</f>
        <v>0.183</v>
      </c>
      <c r="I2422" s="16" t="n">
        <f aca="false">F2422*G2422</f>
        <v>331881.9</v>
      </c>
      <c r="J2422" s="16" t="n">
        <f aca="false">I2422*(1-H2422)</f>
        <v>271147.5123</v>
      </c>
      <c r="K2422" s="16" t="n">
        <f aca="false">J2422*INDEX(Customers!$G$2:$G$41,MATCH(C2422,Customers!$A$2:$A$41,0))</f>
        <v>2711.475123</v>
      </c>
      <c r="L2422" s="16" t="n">
        <f aca="false">F2422*INDEX(Customers!$H$2:$H$41,MATCH(C2422,Customers!$A$2:$A$41,0))</f>
        <v>8132</v>
      </c>
      <c r="M2422" s="16" t="n">
        <f aca="false">J2422*INDEX(Customers!$I$2:$I$41,MATCH(C2422,Customers!$A$2:$A$41,0))/365*Assumptions!$B$6</f>
        <v>5348.66325632877</v>
      </c>
      <c r="N2422" s="16" t="n">
        <f aca="false">J2422-K2422-L2422-M2422</f>
        <v>254955.373920671</v>
      </c>
      <c r="O2422" s="16" t="n">
        <f aca="false">F2422*IF(A2422="2025",INDEX(Products!$D$2:$D$13,MATCH(D2422,Products!$A$2:$A$13,0)),INDEX(Products!$F$2:$F$13,MATCH(D2422,Products!$A$2:$A$13,0)))</f>
        <v>208958.16</v>
      </c>
      <c r="P2422" s="16" t="n">
        <f aca="false">N2422-O2422</f>
        <v>45997.2139206712</v>
      </c>
    </row>
    <row r="2423" customFormat="false" ht="15" hidden="false" customHeight="false" outlineLevel="0" collapsed="false">
      <c r="A2423" s="2" t="s">
        <v>119</v>
      </c>
      <c r="B2423" s="2" t="n">
        <v>10</v>
      </c>
      <c r="C2423" s="2" t="s">
        <v>98</v>
      </c>
      <c r="D2423" s="2" t="s">
        <v>41</v>
      </c>
      <c r="E2423" s="2" t="str">
        <f aca="false">INDEX(Products!$B$2:$B$13,MATCH(D2423,Products!$A$2:$A$13,0))</f>
        <v>Hydroprocessing</v>
      </c>
      <c r="F2423" s="15" t="n">
        <v>22</v>
      </c>
      <c r="G2423" s="16" t="n">
        <f aca="false">IF(A2423="2025",INDEX(Products!$C$2:$C$13,MATCH(D2423,Products!$A$2:$A$13,0)),INDEX(Products!$E$2:$E$13,MATCH(D2423,Products!$A$2:$A$13,0)))</f>
        <v>15508.5</v>
      </c>
      <c r="H2423" s="13" t="n">
        <f aca="false">IF(A2423="2025",INDEX(Customers!$D$2:$D$41,MATCH(C2423,Customers!$A$2:$A$41,0)),INDEX(Customers!$F$2:$F$41,MATCH(C2423,Customers!$A$2:$A$41,0)))</f>
        <v>0.183</v>
      </c>
      <c r="I2423" s="16" t="n">
        <f aca="false">F2423*G2423</f>
        <v>341187</v>
      </c>
      <c r="J2423" s="16" t="n">
        <f aca="false">I2423*(1-H2423)</f>
        <v>278749.779</v>
      </c>
      <c r="K2423" s="16" t="n">
        <f aca="false">J2423*INDEX(Customers!$G$2:$G$41,MATCH(C2423,Customers!$A$2:$A$41,0))</f>
        <v>2787.49779</v>
      </c>
      <c r="L2423" s="16" t="n">
        <f aca="false">F2423*INDEX(Customers!$H$2:$H$41,MATCH(C2423,Customers!$A$2:$A$41,0))</f>
        <v>8360</v>
      </c>
      <c r="M2423" s="16" t="n">
        <f aca="false">J2423*INDEX(Customers!$I$2:$I$41,MATCH(C2423,Customers!$A$2:$A$41,0))/365*Assumptions!$B$6</f>
        <v>5498.62577753425</v>
      </c>
      <c r="N2423" s="16" t="n">
        <f aca="false">J2423-K2423-L2423-M2423</f>
        <v>262103.655432466</v>
      </c>
      <c r="O2423" s="16" t="n">
        <f aca="false">F2423*IF(A2423="2025",INDEX(Products!$D$2:$D$13,MATCH(D2423,Products!$A$2:$A$13,0)),INDEX(Products!$F$2:$F$13,MATCH(D2423,Products!$A$2:$A$13,0)))</f>
        <v>214816.8</v>
      </c>
      <c r="P2423" s="16" t="n">
        <f aca="false">N2423-O2423</f>
        <v>47286.8554324658</v>
      </c>
    </row>
    <row r="2424" customFormat="false" ht="15" hidden="false" customHeight="false" outlineLevel="0" collapsed="false">
      <c r="A2424" s="2" t="s">
        <v>119</v>
      </c>
      <c r="B2424" s="2" t="n">
        <v>11</v>
      </c>
      <c r="C2424" s="2" t="s">
        <v>98</v>
      </c>
      <c r="D2424" s="2" t="s">
        <v>41</v>
      </c>
      <c r="E2424" s="2" t="str">
        <f aca="false">INDEX(Products!$B$2:$B$13,MATCH(D2424,Products!$A$2:$A$13,0))</f>
        <v>Hydroprocessing</v>
      </c>
      <c r="F2424" s="15" t="n">
        <v>25.4</v>
      </c>
      <c r="G2424" s="16" t="n">
        <f aca="false">IF(A2424="2025",INDEX(Products!$C$2:$C$13,MATCH(D2424,Products!$A$2:$A$13,0)),INDEX(Products!$E$2:$E$13,MATCH(D2424,Products!$A$2:$A$13,0)))</f>
        <v>15508.5</v>
      </c>
      <c r="H2424" s="13" t="n">
        <f aca="false">IF(A2424="2025",INDEX(Customers!$D$2:$D$41,MATCH(C2424,Customers!$A$2:$A$41,0)),INDEX(Customers!$F$2:$F$41,MATCH(C2424,Customers!$A$2:$A$41,0)))</f>
        <v>0.183</v>
      </c>
      <c r="I2424" s="16" t="n">
        <f aca="false">F2424*G2424</f>
        <v>393915.9</v>
      </c>
      <c r="J2424" s="16" t="n">
        <f aca="false">I2424*(1-H2424)</f>
        <v>321829.2903</v>
      </c>
      <c r="K2424" s="16" t="n">
        <f aca="false">J2424*INDEX(Customers!$G$2:$G$41,MATCH(C2424,Customers!$A$2:$A$41,0))</f>
        <v>3218.292903</v>
      </c>
      <c r="L2424" s="16" t="n">
        <f aca="false">F2424*INDEX(Customers!$H$2:$H$41,MATCH(C2424,Customers!$A$2:$A$41,0))</f>
        <v>9652</v>
      </c>
      <c r="M2424" s="16" t="n">
        <f aca="false">J2424*INDEX(Customers!$I$2:$I$41,MATCH(C2424,Customers!$A$2:$A$41,0))/365*Assumptions!$B$6</f>
        <v>6348.41339769863</v>
      </c>
      <c r="N2424" s="16" t="n">
        <f aca="false">J2424-K2424-L2424-M2424</f>
        <v>302610.583999301</v>
      </c>
      <c r="O2424" s="16" t="n">
        <f aca="false">F2424*IF(A2424="2025",INDEX(Products!$D$2:$D$13,MATCH(D2424,Products!$A$2:$A$13,0)),INDEX(Products!$F$2:$F$13,MATCH(D2424,Products!$A$2:$A$13,0)))</f>
        <v>248015.76</v>
      </c>
      <c r="P2424" s="16" t="n">
        <f aca="false">N2424-O2424</f>
        <v>54594.8239993013</v>
      </c>
    </row>
    <row r="2425" customFormat="false" ht="15" hidden="false" customHeight="false" outlineLevel="0" collapsed="false">
      <c r="A2425" s="2" t="s">
        <v>119</v>
      </c>
      <c r="B2425" s="2" t="n">
        <v>12</v>
      </c>
      <c r="C2425" s="2" t="s">
        <v>98</v>
      </c>
      <c r="D2425" s="2" t="s">
        <v>41</v>
      </c>
      <c r="E2425" s="2" t="str">
        <f aca="false">INDEX(Products!$B$2:$B$13,MATCH(D2425,Products!$A$2:$A$13,0))</f>
        <v>Hydroprocessing</v>
      </c>
      <c r="F2425" s="15" t="n">
        <v>27.7</v>
      </c>
      <c r="G2425" s="16" t="n">
        <f aca="false">IF(A2425="2025",INDEX(Products!$C$2:$C$13,MATCH(D2425,Products!$A$2:$A$13,0)),INDEX(Products!$E$2:$E$13,MATCH(D2425,Products!$A$2:$A$13,0)))</f>
        <v>15508.5</v>
      </c>
      <c r="H2425" s="13" t="n">
        <f aca="false">IF(A2425="2025",INDEX(Customers!$D$2:$D$41,MATCH(C2425,Customers!$A$2:$A$41,0)),INDEX(Customers!$F$2:$F$41,MATCH(C2425,Customers!$A$2:$A$41,0)))</f>
        <v>0.183</v>
      </c>
      <c r="I2425" s="16" t="n">
        <f aca="false">F2425*G2425</f>
        <v>429585.45</v>
      </c>
      <c r="J2425" s="16" t="n">
        <f aca="false">I2425*(1-H2425)</f>
        <v>350971.31265</v>
      </c>
      <c r="K2425" s="16" t="n">
        <f aca="false">J2425*INDEX(Customers!$G$2:$G$41,MATCH(C2425,Customers!$A$2:$A$41,0))</f>
        <v>3509.7131265</v>
      </c>
      <c r="L2425" s="16" t="n">
        <f aca="false">F2425*INDEX(Customers!$H$2:$H$41,MATCH(C2425,Customers!$A$2:$A$41,0))</f>
        <v>10526</v>
      </c>
      <c r="M2425" s="16" t="n">
        <f aca="false">J2425*INDEX(Customers!$I$2:$I$41,MATCH(C2425,Customers!$A$2:$A$41,0))/365*Assumptions!$B$6</f>
        <v>6923.2697289863</v>
      </c>
      <c r="N2425" s="16" t="n">
        <f aca="false">J2425-K2425-L2425-M2425</f>
        <v>330012.329794514</v>
      </c>
      <c r="O2425" s="16" t="n">
        <f aca="false">F2425*IF(A2425="2025",INDEX(Products!$D$2:$D$13,MATCH(D2425,Products!$A$2:$A$13,0)),INDEX(Products!$F$2:$F$13,MATCH(D2425,Products!$A$2:$A$13,0)))</f>
        <v>270473.88</v>
      </c>
      <c r="P2425" s="16" t="n">
        <f aca="false">N2425-O2425</f>
        <v>59538.4497945136</v>
      </c>
    </row>
    <row r="2426" customFormat="false" ht="15" hidden="false" customHeight="false" outlineLevel="0" collapsed="false">
      <c r="A2426" s="2" t="s">
        <v>118</v>
      </c>
      <c r="B2426" s="2" t="n">
        <v>1</v>
      </c>
      <c r="C2426" s="2" t="s">
        <v>98</v>
      </c>
      <c r="D2426" s="2" t="s">
        <v>38</v>
      </c>
      <c r="E2426" s="2" t="str">
        <f aca="false">INDEX(Products!$B$2:$B$13,MATCH(D2426,Products!$A$2:$A$13,0))</f>
        <v>FCC</v>
      </c>
      <c r="F2426" s="15" t="n">
        <v>50.6</v>
      </c>
      <c r="G2426" s="16" t="n">
        <f aca="false">IF(A2426="2025",INDEX(Products!$C$2:$C$13,MATCH(D2426,Products!$A$2:$A$13,0)),INDEX(Products!$E$2:$E$13,MATCH(D2426,Products!$A$2:$A$13,0)))</f>
        <v>4360</v>
      </c>
      <c r="H2426" s="13" t="n">
        <f aca="false">IF(A2426="2025",INDEX(Customers!$D$2:$D$41,MATCH(C2426,Customers!$A$2:$A$41,0)),INDEX(Customers!$F$2:$F$41,MATCH(C2426,Customers!$A$2:$A$41,0)))</f>
        <v>0.167</v>
      </c>
      <c r="I2426" s="16" t="n">
        <f aca="false">F2426*G2426</f>
        <v>220616</v>
      </c>
      <c r="J2426" s="16" t="n">
        <f aca="false">I2426*(1-H2426)</f>
        <v>183773.128</v>
      </c>
      <c r="K2426" s="16" t="n">
        <f aca="false">J2426*INDEX(Customers!$G$2:$G$41,MATCH(C2426,Customers!$A$2:$A$41,0))</f>
        <v>1837.73128</v>
      </c>
      <c r="L2426" s="16" t="n">
        <f aca="false">F2426*INDEX(Customers!$H$2:$H$41,MATCH(C2426,Customers!$A$2:$A$41,0))</f>
        <v>19228</v>
      </c>
      <c r="M2426" s="16" t="n">
        <f aca="false">J2426*INDEX(Customers!$I$2:$I$41,MATCH(C2426,Customers!$A$2:$A$41,0))/365*Assumptions!$B$6</f>
        <v>3625.11375780822</v>
      </c>
      <c r="N2426" s="16" t="n">
        <f aca="false">J2426-K2426-L2426-M2426</f>
        <v>159082.282962192</v>
      </c>
      <c r="O2426" s="16" t="n">
        <f aca="false">F2426*IF(A2426="2025",INDEX(Products!$D$2:$D$13,MATCH(D2426,Products!$A$2:$A$13,0)),INDEX(Products!$F$2:$F$13,MATCH(D2426,Products!$A$2:$A$13,0)))</f>
        <v>140162</v>
      </c>
      <c r="P2426" s="16" t="n">
        <f aca="false">N2426-O2426</f>
        <v>18920.2829621918</v>
      </c>
    </row>
    <row r="2427" customFormat="false" ht="15" hidden="false" customHeight="false" outlineLevel="0" collapsed="false">
      <c r="A2427" s="2" t="s">
        <v>118</v>
      </c>
      <c r="B2427" s="2" t="n">
        <v>2</v>
      </c>
      <c r="C2427" s="2" t="s">
        <v>98</v>
      </c>
      <c r="D2427" s="2" t="s">
        <v>38</v>
      </c>
      <c r="E2427" s="2" t="str">
        <f aca="false">INDEX(Products!$B$2:$B$13,MATCH(D2427,Products!$A$2:$A$13,0))</f>
        <v>FCC</v>
      </c>
      <c r="F2427" s="15" t="n">
        <v>61.1</v>
      </c>
      <c r="G2427" s="16" t="n">
        <f aca="false">IF(A2427="2025",INDEX(Products!$C$2:$C$13,MATCH(D2427,Products!$A$2:$A$13,0)),INDEX(Products!$E$2:$E$13,MATCH(D2427,Products!$A$2:$A$13,0)))</f>
        <v>4360</v>
      </c>
      <c r="H2427" s="13" t="n">
        <f aca="false">IF(A2427="2025",INDEX(Customers!$D$2:$D$41,MATCH(C2427,Customers!$A$2:$A$41,0)),INDEX(Customers!$F$2:$F$41,MATCH(C2427,Customers!$A$2:$A$41,0)))</f>
        <v>0.167</v>
      </c>
      <c r="I2427" s="16" t="n">
        <f aca="false">F2427*G2427</f>
        <v>266396</v>
      </c>
      <c r="J2427" s="16" t="n">
        <f aca="false">I2427*(1-H2427)</f>
        <v>221907.868</v>
      </c>
      <c r="K2427" s="16" t="n">
        <f aca="false">J2427*INDEX(Customers!$G$2:$G$41,MATCH(C2427,Customers!$A$2:$A$41,0))</f>
        <v>2219.07868</v>
      </c>
      <c r="L2427" s="16" t="n">
        <f aca="false">F2427*INDEX(Customers!$H$2:$H$41,MATCH(C2427,Customers!$A$2:$A$41,0))</f>
        <v>23218</v>
      </c>
      <c r="M2427" s="16" t="n">
        <f aca="false">J2427*INDEX(Customers!$I$2:$I$41,MATCH(C2427,Customers!$A$2:$A$41,0))/365*Assumptions!$B$6</f>
        <v>4377.36068383562</v>
      </c>
      <c r="N2427" s="16" t="n">
        <f aca="false">J2427-K2427-L2427-M2427</f>
        <v>192093.428636164</v>
      </c>
      <c r="O2427" s="16" t="n">
        <f aca="false">F2427*IF(A2427="2025",INDEX(Products!$D$2:$D$13,MATCH(D2427,Products!$A$2:$A$13,0)),INDEX(Products!$F$2:$F$13,MATCH(D2427,Products!$A$2:$A$13,0)))</f>
        <v>169247</v>
      </c>
      <c r="P2427" s="16" t="n">
        <f aca="false">N2427-O2427</f>
        <v>22846.4286361644</v>
      </c>
    </row>
    <row r="2428" customFormat="false" ht="15" hidden="false" customHeight="false" outlineLevel="0" collapsed="false">
      <c r="A2428" s="2" t="s">
        <v>118</v>
      </c>
      <c r="B2428" s="2" t="n">
        <v>3</v>
      </c>
      <c r="C2428" s="2" t="s">
        <v>98</v>
      </c>
      <c r="D2428" s="2" t="s">
        <v>38</v>
      </c>
      <c r="E2428" s="2" t="str">
        <f aca="false">INDEX(Products!$B$2:$B$13,MATCH(D2428,Products!$A$2:$A$13,0))</f>
        <v>FCC</v>
      </c>
      <c r="F2428" s="15" t="n">
        <v>38.8</v>
      </c>
      <c r="G2428" s="16" t="n">
        <f aca="false">IF(A2428="2025",INDEX(Products!$C$2:$C$13,MATCH(D2428,Products!$A$2:$A$13,0)),INDEX(Products!$E$2:$E$13,MATCH(D2428,Products!$A$2:$A$13,0)))</f>
        <v>4360</v>
      </c>
      <c r="H2428" s="13" t="n">
        <f aca="false">IF(A2428="2025",INDEX(Customers!$D$2:$D$41,MATCH(C2428,Customers!$A$2:$A$41,0)),INDEX(Customers!$F$2:$F$41,MATCH(C2428,Customers!$A$2:$A$41,0)))</f>
        <v>0.167</v>
      </c>
      <c r="I2428" s="16" t="n">
        <f aca="false">F2428*G2428</f>
        <v>169168</v>
      </c>
      <c r="J2428" s="16" t="n">
        <f aca="false">I2428*(1-H2428)</f>
        <v>140916.944</v>
      </c>
      <c r="K2428" s="16" t="n">
        <f aca="false">J2428*INDEX(Customers!$G$2:$G$41,MATCH(C2428,Customers!$A$2:$A$41,0))</f>
        <v>1409.16944</v>
      </c>
      <c r="L2428" s="16" t="n">
        <f aca="false">F2428*INDEX(Customers!$H$2:$H$41,MATCH(C2428,Customers!$A$2:$A$41,0))</f>
        <v>14744</v>
      </c>
      <c r="M2428" s="16" t="n">
        <f aca="false">J2428*INDEX(Customers!$I$2:$I$41,MATCH(C2428,Customers!$A$2:$A$41,0))/365*Assumptions!$B$6</f>
        <v>2779.73149808219</v>
      </c>
      <c r="N2428" s="16" t="n">
        <f aca="false">J2428-K2428-L2428-M2428</f>
        <v>121984.043061918</v>
      </c>
      <c r="O2428" s="16" t="n">
        <f aca="false">F2428*IF(A2428="2025",INDEX(Products!$D$2:$D$13,MATCH(D2428,Products!$A$2:$A$13,0)),INDEX(Products!$F$2:$F$13,MATCH(D2428,Products!$A$2:$A$13,0)))</f>
        <v>107476</v>
      </c>
      <c r="P2428" s="16" t="n">
        <f aca="false">N2428-O2428</f>
        <v>14508.0430619178</v>
      </c>
    </row>
    <row r="2429" customFormat="false" ht="15" hidden="false" customHeight="false" outlineLevel="0" collapsed="false">
      <c r="A2429" s="2" t="s">
        <v>118</v>
      </c>
      <c r="B2429" s="2" t="n">
        <v>4</v>
      </c>
      <c r="C2429" s="2" t="s">
        <v>98</v>
      </c>
      <c r="D2429" s="2" t="s">
        <v>38</v>
      </c>
      <c r="E2429" s="2" t="str">
        <f aca="false">INDEX(Products!$B$2:$B$13,MATCH(D2429,Products!$A$2:$A$13,0))</f>
        <v>FCC</v>
      </c>
      <c r="F2429" s="15" t="n">
        <v>38.8</v>
      </c>
      <c r="G2429" s="16" t="n">
        <f aca="false">IF(A2429="2025",INDEX(Products!$C$2:$C$13,MATCH(D2429,Products!$A$2:$A$13,0)),INDEX(Products!$E$2:$E$13,MATCH(D2429,Products!$A$2:$A$13,0)))</f>
        <v>4360</v>
      </c>
      <c r="H2429" s="13" t="n">
        <f aca="false">IF(A2429="2025",INDEX(Customers!$D$2:$D$41,MATCH(C2429,Customers!$A$2:$A$41,0)),INDEX(Customers!$F$2:$F$41,MATCH(C2429,Customers!$A$2:$A$41,0)))</f>
        <v>0.167</v>
      </c>
      <c r="I2429" s="16" t="n">
        <f aca="false">F2429*G2429</f>
        <v>169168</v>
      </c>
      <c r="J2429" s="16" t="n">
        <f aca="false">I2429*(1-H2429)</f>
        <v>140916.944</v>
      </c>
      <c r="K2429" s="16" t="n">
        <f aca="false">J2429*INDEX(Customers!$G$2:$G$41,MATCH(C2429,Customers!$A$2:$A$41,0))</f>
        <v>1409.16944</v>
      </c>
      <c r="L2429" s="16" t="n">
        <f aca="false">F2429*INDEX(Customers!$H$2:$H$41,MATCH(C2429,Customers!$A$2:$A$41,0))</f>
        <v>14744</v>
      </c>
      <c r="M2429" s="16" t="n">
        <f aca="false">J2429*INDEX(Customers!$I$2:$I$41,MATCH(C2429,Customers!$A$2:$A$41,0))/365*Assumptions!$B$6</f>
        <v>2779.73149808219</v>
      </c>
      <c r="N2429" s="16" t="n">
        <f aca="false">J2429-K2429-L2429-M2429</f>
        <v>121984.043061918</v>
      </c>
      <c r="O2429" s="16" t="n">
        <f aca="false">F2429*IF(A2429="2025",INDEX(Products!$D$2:$D$13,MATCH(D2429,Products!$A$2:$A$13,0)),INDEX(Products!$F$2:$F$13,MATCH(D2429,Products!$A$2:$A$13,0)))</f>
        <v>107476</v>
      </c>
      <c r="P2429" s="16" t="n">
        <f aca="false">N2429-O2429</f>
        <v>14508.0430619178</v>
      </c>
    </row>
    <row r="2430" customFormat="false" ht="15" hidden="false" customHeight="false" outlineLevel="0" collapsed="false">
      <c r="A2430" s="2" t="s">
        <v>118</v>
      </c>
      <c r="B2430" s="2" t="n">
        <v>5</v>
      </c>
      <c r="C2430" s="2" t="s">
        <v>98</v>
      </c>
      <c r="D2430" s="2" t="s">
        <v>38</v>
      </c>
      <c r="E2430" s="2" t="str">
        <f aca="false">INDEX(Products!$B$2:$B$13,MATCH(D2430,Products!$A$2:$A$13,0))</f>
        <v>FCC</v>
      </c>
      <c r="F2430" s="15" t="n">
        <v>49</v>
      </c>
      <c r="G2430" s="16" t="n">
        <f aca="false">IF(A2430="2025",INDEX(Products!$C$2:$C$13,MATCH(D2430,Products!$A$2:$A$13,0)),INDEX(Products!$E$2:$E$13,MATCH(D2430,Products!$A$2:$A$13,0)))</f>
        <v>4360</v>
      </c>
      <c r="H2430" s="13" t="n">
        <f aca="false">IF(A2430="2025",INDEX(Customers!$D$2:$D$41,MATCH(C2430,Customers!$A$2:$A$41,0)),INDEX(Customers!$F$2:$F$41,MATCH(C2430,Customers!$A$2:$A$41,0)))</f>
        <v>0.167</v>
      </c>
      <c r="I2430" s="16" t="n">
        <f aca="false">F2430*G2430</f>
        <v>213640</v>
      </c>
      <c r="J2430" s="16" t="n">
        <f aca="false">I2430*(1-H2430)</f>
        <v>177962.12</v>
      </c>
      <c r="K2430" s="16" t="n">
        <f aca="false">J2430*INDEX(Customers!$G$2:$G$41,MATCH(C2430,Customers!$A$2:$A$41,0))</f>
        <v>1779.6212</v>
      </c>
      <c r="L2430" s="16" t="n">
        <f aca="false">F2430*INDEX(Customers!$H$2:$H$41,MATCH(C2430,Customers!$A$2:$A$41,0))</f>
        <v>18620</v>
      </c>
      <c r="M2430" s="16" t="n">
        <f aca="false">J2430*INDEX(Customers!$I$2:$I$41,MATCH(C2430,Customers!$A$2:$A$41,0))/365*Assumptions!$B$6</f>
        <v>3510.48565479452</v>
      </c>
      <c r="N2430" s="16" t="n">
        <f aca="false">J2430-K2430-L2430-M2430</f>
        <v>154052.013145205</v>
      </c>
      <c r="O2430" s="16" t="n">
        <f aca="false">F2430*IF(A2430="2025",INDEX(Products!$D$2:$D$13,MATCH(D2430,Products!$A$2:$A$13,0)),INDEX(Products!$F$2:$F$13,MATCH(D2430,Products!$A$2:$A$13,0)))</f>
        <v>135730</v>
      </c>
      <c r="P2430" s="16" t="n">
        <f aca="false">N2430-O2430</f>
        <v>18322.0131452055</v>
      </c>
    </row>
    <row r="2431" customFormat="false" ht="15" hidden="false" customHeight="false" outlineLevel="0" collapsed="false">
      <c r="A2431" s="2" t="s">
        <v>118</v>
      </c>
      <c r="B2431" s="2" t="n">
        <v>6</v>
      </c>
      <c r="C2431" s="2" t="s">
        <v>98</v>
      </c>
      <c r="D2431" s="2" t="s">
        <v>38</v>
      </c>
      <c r="E2431" s="2" t="str">
        <f aca="false">INDEX(Products!$B$2:$B$13,MATCH(D2431,Products!$A$2:$A$13,0))</f>
        <v>FCC</v>
      </c>
      <c r="F2431" s="15" t="n">
        <v>50.6</v>
      </c>
      <c r="G2431" s="16" t="n">
        <f aca="false">IF(A2431="2025",INDEX(Products!$C$2:$C$13,MATCH(D2431,Products!$A$2:$A$13,0)),INDEX(Products!$E$2:$E$13,MATCH(D2431,Products!$A$2:$A$13,0)))</f>
        <v>4360</v>
      </c>
      <c r="H2431" s="13" t="n">
        <f aca="false">IF(A2431="2025",INDEX(Customers!$D$2:$D$41,MATCH(C2431,Customers!$A$2:$A$41,0)),INDEX(Customers!$F$2:$F$41,MATCH(C2431,Customers!$A$2:$A$41,0)))</f>
        <v>0.167</v>
      </c>
      <c r="I2431" s="16" t="n">
        <f aca="false">F2431*G2431</f>
        <v>220616</v>
      </c>
      <c r="J2431" s="16" t="n">
        <f aca="false">I2431*(1-H2431)</f>
        <v>183773.128</v>
      </c>
      <c r="K2431" s="16" t="n">
        <f aca="false">J2431*INDEX(Customers!$G$2:$G$41,MATCH(C2431,Customers!$A$2:$A$41,0))</f>
        <v>1837.73128</v>
      </c>
      <c r="L2431" s="16" t="n">
        <f aca="false">F2431*INDEX(Customers!$H$2:$H$41,MATCH(C2431,Customers!$A$2:$A$41,0))</f>
        <v>19228</v>
      </c>
      <c r="M2431" s="16" t="n">
        <f aca="false">J2431*INDEX(Customers!$I$2:$I$41,MATCH(C2431,Customers!$A$2:$A$41,0))/365*Assumptions!$B$6</f>
        <v>3625.11375780822</v>
      </c>
      <c r="N2431" s="16" t="n">
        <f aca="false">J2431-K2431-L2431-M2431</f>
        <v>159082.282962192</v>
      </c>
      <c r="O2431" s="16" t="n">
        <f aca="false">F2431*IF(A2431="2025",INDEX(Products!$D$2:$D$13,MATCH(D2431,Products!$A$2:$A$13,0)),INDEX(Products!$F$2:$F$13,MATCH(D2431,Products!$A$2:$A$13,0)))</f>
        <v>140162</v>
      </c>
      <c r="P2431" s="16" t="n">
        <f aca="false">N2431-O2431</f>
        <v>18920.2829621918</v>
      </c>
    </row>
    <row r="2432" customFormat="false" ht="15" hidden="false" customHeight="false" outlineLevel="0" collapsed="false">
      <c r="A2432" s="2" t="s">
        <v>118</v>
      </c>
      <c r="B2432" s="2" t="n">
        <v>7</v>
      </c>
      <c r="C2432" s="2" t="s">
        <v>98</v>
      </c>
      <c r="D2432" s="2" t="s">
        <v>38</v>
      </c>
      <c r="E2432" s="2" t="str">
        <f aca="false">INDEX(Products!$B$2:$B$13,MATCH(D2432,Products!$A$2:$A$13,0))</f>
        <v>FCC</v>
      </c>
      <c r="F2432" s="15" t="n">
        <v>50.6</v>
      </c>
      <c r="G2432" s="16" t="n">
        <f aca="false">IF(A2432="2025",INDEX(Products!$C$2:$C$13,MATCH(D2432,Products!$A$2:$A$13,0)),INDEX(Products!$E$2:$E$13,MATCH(D2432,Products!$A$2:$A$13,0)))</f>
        <v>4360</v>
      </c>
      <c r="H2432" s="13" t="n">
        <f aca="false">IF(A2432="2025",INDEX(Customers!$D$2:$D$41,MATCH(C2432,Customers!$A$2:$A$41,0)),INDEX(Customers!$F$2:$F$41,MATCH(C2432,Customers!$A$2:$A$41,0)))</f>
        <v>0.167</v>
      </c>
      <c r="I2432" s="16" t="n">
        <f aca="false">F2432*G2432</f>
        <v>220616</v>
      </c>
      <c r="J2432" s="16" t="n">
        <f aca="false">I2432*(1-H2432)</f>
        <v>183773.128</v>
      </c>
      <c r="K2432" s="16" t="n">
        <f aca="false">J2432*INDEX(Customers!$G$2:$G$41,MATCH(C2432,Customers!$A$2:$A$41,0))</f>
        <v>1837.73128</v>
      </c>
      <c r="L2432" s="16" t="n">
        <f aca="false">F2432*INDEX(Customers!$H$2:$H$41,MATCH(C2432,Customers!$A$2:$A$41,0))</f>
        <v>19228</v>
      </c>
      <c r="M2432" s="16" t="n">
        <f aca="false">J2432*INDEX(Customers!$I$2:$I$41,MATCH(C2432,Customers!$A$2:$A$41,0))/365*Assumptions!$B$6</f>
        <v>3625.11375780822</v>
      </c>
      <c r="N2432" s="16" t="n">
        <f aca="false">J2432-K2432-L2432-M2432</f>
        <v>159082.282962192</v>
      </c>
      <c r="O2432" s="16" t="n">
        <f aca="false">F2432*IF(A2432="2025",INDEX(Products!$D$2:$D$13,MATCH(D2432,Products!$A$2:$A$13,0)),INDEX(Products!$F$2:$F$13,MATCH(D2432,Products!$A$2:$A$13,0)))</f>
        <v>140162</v>
      </c>
      <c r="P2432" s="16" t="n">
        <f aca="false">N2432-O2432</f>
        <v>18920.2829621918</v>
      </c>
    </row>
    <row r="2433" customFormat="false" ht="15" hidden="false" customHeight="false" outlineLevel="0" collapsed="false">
      <c r="A2433" s="2" t="s">
        <v>118</v>
      </c>
      <c r="B2433" s="2" t="n">
        <v>8</v>
      </c>
      <c r="C2433" s="2" t="s">
        <v>98</v>
      </c>
      <c r="D2433" s="2" t="s">
        <v>38</v>
      </c>
      <c r="E2433" s="2" t="str">
        <f aca="false">INDEX(Products!$B$2:$B$13,MATCH(D2433,Products!$A$2:$A$13,0))</f>
        <v>FCC</v>
      </c>
      <c r="F2433" s="15" t="n">
        <v>51.7</v>
      </c>
      <c r="G2433" s="16" t="n">
        <f aca="false">IF(A2433="2025",INDEX(Products!$C$2:$C$13,MATCH(D2433,Products!$A$2:$A$13,0)),INDEX(Products!$E$2:$E$13,MATCH(D2433,Products!$A$2:$A$13,0)))</f>
        <v>4360</v>
      </c>
      <c r="H2433" s="13" t="n">
        <f aca="false">IF(A2433="2025",INDEX(Customers!$D$2:$D$41,MATCH(C2433,Customers!$A$2:$A$41,0)),INDEX(Customers!$F$2:$F$41,MATCH(C2433,Customers!$A$2:$A$41,0)))</f>
        <v>0.167</v>
      </c>
      <c r="I2433" s="16" t="n">
        <f aca="false">F2433*G2433</f>
        <v>225412</v>
      </c>
      <c r="J2433" s="16" t="n">
        <f aca="false">I2433*(1-H2433)</f>
        <v>187768.196</v>
      </c>
      <c r="K2433" s="16" t="n">
        <f aca="false">J2433*INDEX(Customers!$G$2:$G$41,MATCH(C2433,Customers!$A$2:$A$41,0))</f>
        <v>1877.68196</v>
      </c>
      <c r="L2433" s="16" t="n">
        <f aca="false">F2433*INDEX(Customers!$H$2:$H$41,MATCH(C2433,Customers!$A$2:$A$41,0))</f>
        <v>19646</v>
      </c>
      <c r="M2433" s="16" t="n">
        <f aca="false">J2433*INDEX(Customers!$I$2:$I$41,MATCH(C2433,Customers!$A$2:$A$41,0))/365*Assumptions!$B$6</f>
        <v>3703.92057863014</v>
      </c>
      <c r="N2433" s="16" t="n">
        <f aca="false">J2433-K2433-L2433-M2433</f>
        <v>162540.59346137</v>
      </c>
      <c r="O2433" s="16" t="n">
        <f aca="false">F2433*IF(A2433="2025",INDEX(Products!$D$2:$D$13,MATCH(D2433,Products!$A$2:$A$13,0)),INDEX(Products!$F$2:$F$13,MATCH(D2433,Products!$A$2:$A$13,0)))</f>
        <v>143209</v>
      </c>
      <c r="P2433" s="16" t="n">
        <f aca="false">N2433-O2433</f>
        <v>19331.5934613699</v>
      </c>
    </row>
    <row r="2434" customFormat="false" ht="15" hidden="false" customHeight="false" outlineLevel="0" collapsed="false">
      <c r="A2434" s="2" t="s">
        <v>118</v>
      </c>
      <c r="B2434" s="2" t="n">
        <v>9</v>
      </c>
      <c r="C2434" s="2" t="s">
        <v>98</v>
      </c>
      <c r="D2434" s="2" t="s">
        <v>38</v>
      </c>
      <c r="E2434" s="2" t="str">
        <f aca="false">INDEX(Products!$B$2:$B$13,MATCH(D2434,Products!$A$2:$A$13,0))</f>
        <v>FCC</v>
      </c>
      <c r="F2434" s="15" t="n">
        <v>58.3</v>
      </c>
      <c r="G2434" s="16" t="n">
        <f aca="false">IF(A2434="2025",INDEX(Products!$C$2:$C$13,MATCH(D2434,Products!$A$2:$A$13,0)),INDEX(Products!$E$2:$E$13,MATCH(D2434,Products!$A$2:$A$13,0)))</f>
        <v>4360</v>
      </c>
      <c r="H2434" s="13" t="n">
        <f aca="false">IF(A2434="2025",INDEX(Customers!$D$2:$D$41,MATCH(C2434,Customers!$A$2:$A$41,0)),INDEX(Customers!$F$2:$F$41,MATCH(C2434,Customers!$A$2:$A$41,0)))</f>
        <v>0.167</v>
      </c>
      <c r="I2434" s="16" t="n">
        <f aca="false">F2434*G2434</f>
        <v>254188</v>
      </c>
      <c r="J2434" s="16" t="n">
        <f aca="false">I2434*(1-H2434)</f>
        <v>211738.604</v>
      </c>
      <c r="K2434" s="16" t="n">
        <f aca="false">J2434*INDEX(Customers!$G$2:$G$41,MATCH(C2434,Customers!$A$2:$A$41,0))</f>
        <v>2117.38604</v>
      </c>
      <c r="L2434" s="16" t="n">
        <f aca="false">F2434*INDEX(Customers!$H$2:$H$41,MATCH(C2434,Customers!$A$2:$A$41,0))</f>
        <v>22154</v>
      </c>
      <c r="M2434" s="16" t="n">
        <f aca="false">J2434*INDEX(Customers!$I$2:$I$41,MATCH(C2434,Customers!$A$2:$A$41,0))/365*Assumptions!$B$6</f>
        <v>4176.76150356164</v>
      </c>
      <c r="N2434" s="16" t="n">
        <f aca="false">J2434-K2434-L2434-M2434</f>
        <v>183290.456456438</v>
      </c>
      <c r="O2434" s="16" t="n">
        <f aca="false">F2434*IF(A2434="2025",INDEX(Products!$D$2:$D$13,MATCH(D2434,Products!$A$2:$A$13,0)),INDEX(Products!$F$2:$F$13,MATCH(D2434,Products!$A$2:$A$13,0)))</f>
        <v>161491</v>
      </c>
      <c r="P2434" s="16" t="n">
        <f aca="false">N2434-O2434</f>
        <v>21799.4564564383</v>
      </c>
    </row>
    <row r="2435" customFormat="false" ht="15" hidden="false" customHeight="false" outlineLevel="0" collapsed="false">
      <c r="A2435" s="2" t="s">
        <v>118</v>
      </c>
      <c r="B2435" s="2" t="n">
        <v>10</v>
      </c>
      <c r="C2435" s="2" t="s">
        <v>98</v>
      </c>
      <c r="D2435" s="2" t="s">
        <v>38</v>
      </c>
      <c r="E2435" s="2" t="str">
        <f aca="false">INDEX(Products!$B$2:$B$13,MATCH(D2435,Products!$A$2:$A$13,0))</f>
        <v>FCC</v>
      </c>
      <c r="F2435" s="15" t="n">
        <v>45.1</v>
      </c>
      <c r="G2435" s="16" t="n">
        <f aca="false">IF(A2435="2025",INDEX(Products!$C$2:$C$13,MATCH(D2435,Products!$A$2:$A$13,0)),INDEX(Products!$E$2:$E$13,MATCH(D2435,Products!$A$2:$A$13,0)))</f>
        <v>4360</v>
      </c>
      <c r="H2435" s="13" t="n">
        <f aca="false">IF(A2435="2025",INDEX(Customers!$D$2:$D$41,MATCH(C2435,Customers!$A$2:$A$41,0)),INDEX(Customers!$F$2:$F$41,MATCH(C2435,Customers!$A$2:$A$41,0)))</f>
        <v>0.167</v>
      </c>
      <c r="I2435" s="16" t="n">
        <f aca="false">F2435*G2435</f>
        <v>196636</v>
      </c>
      <c r="J2435" s="16" t="n">
        <f aca="false">I2435*(1-H2435)</f>
        <v>163797.788</v>
      </c>
      <c r="K2435" s="16" t="n">
        <f aca="false">J2435*INDEX(Customers!$G$2:$G$41,MATCH(C2435,Customers!$A$2:$A$41,0))</f>
        <v>1637.97788</v>
      </c>
      <c r="L2435" s="16" t="n">
        <f aca="false">F2435*INDEX(Customers!$H$2:$H$41,MATCH(C2435,Customers!$A$2:$A$41,0))</f>
        <v>17138</v>
      </c>
      <c r="M2435" s="16" t="n">
        <f aca="false">J2435*INDEX(Customers!$I$2:$I$41,MATCH(C2435,Customers!$A$2:$A$41,0))/365*Assumptions!$B$6</f>
        <v>3231.07965369863</v>
      </c>
      <c r="N2435" s="16" t="n">
        <f aca="false">J2435-K2435-L2435-M2435</f>
        <v>141790.730466301</v>
      </c>
      <c r="O2435" s="16" t="n">
        <f aca="false">F2435*IF(A2435="2025",INDEX(Products!$D$2:$D$13,MATCH(D2435,Products!$A$2:$A$13,0)),INDEX(Products!$F$2:$F$13,MATCH(D2435,Products!$A$2:$A$13,0)))</f>
        <v>124927</v>
      </c>
      <c r="P2435" s="16" t="n">
        <f aca="false">N2435-O2435</f>
        <v>16863.7304663014</v>
      </c>
    </row>
    <row r="2436" customFormat="false" ht="15" hidden="false" customHeight="false" outlineLevel="0" collapsed="false">
      <c r="A2436" s="2" t="s">
        <v>118</v>
      </c>
      <c r="B2436" s="2" t="n">
        <v>11</v>
      </c>
      <c r="C2436" s="2" t="s">
        <v>98</v>
      </c>
      <c r="D2436" s="2" t="s">
        <v>38</v>
      </c>
      <c r="E2436" s="2" t="str">
        <f aca="false">INDEX(Products!$B$2:$B$13,MATCH(D2436,Products!$A$2:$A$13,0))</f>
        <v>FCC</v>
      </c>
      <c r="F2436" s="15" t="n">
        <v>50.4</v>
      </c>
      <c r="G2436" s="16" t="n">
        <f aca="false">IF(A2436="2025",INDEX(Products!$C$2:$C$13,MATCH(D2436,Products!$A$2:$A$13,0)),INDEX(Products!$E$2:$E$13,MATCH(D2436,Products!$A$2:$A$13,0)))</f>
        <v>4360</v>
      </c>
      <c r="H2436" s="13" t="n">
        <f aca="false">IF(A2436="2025",INDEX(Customers!$D$2:$D$41,MATCH(C2436,Customers!$A$2:$A$41,0)),INDEX(Customers!$F$2:$F$41,MATCH(C2436,Customers!$A$2:$A$41,0)))</f>
        <v>0.167</v>
      </c>
      <c r="I2436" s="16" t="n">
        <f aca="false">F2436*G2436</f>
        <v>219744</v>
      </c>
      <c r="J2436" s="16" t="n">
        <f aca="false">I2436*(1-H2436)</f>
        <v>183046.752</v>
      </c>
      <c r="K2436" s="16" t="n">
        <f aca="false">J2436*INDEX(Customers!$G$2:$G$41,MATCH(C2436,Customers!$A$2:$A$41,0))</f>
        <v>1830.46752</v>
      </c>
      <c r="L2436" s="16" t="n">
        <f aca="false">F2436*INDEX(Customers!$H$2:$H$41,MATCH(C2436,Customers!$A$2:$A$41,0))</f>
        <v>19152</v>
      </c>
      <c r="M2436" s="16" t="n">
        <f aca="false">J2436*INDEX(Customers!$I$2:$I$41,MATCH(C2436,Customers!$A$2:$A$41,0))/365*Assumptions!$B$6</f>
        <v>3610.78524493151</v>
      </c>
      <c r="N2436" s="16" t="n">
        <f aca="false">J2436-K2436-L2436-M2436</f>
        <v>158453.499235068</v>
      </c>
      <c r="O2436" s="16" t="n">
        <f aca="false">F2436*IF(A2436="2025",INDEX(Products!$D$2:$D$13,MATCH(D2436,Products!$A$2:$A$13,0)),INDEX(Products!$F$2:$F$13,MATCH(D2436,Products!$A$2:$A$13,0)))</f>
        <v>139608</v>
      </c>
      <c r="P2436" s="16" t="n">
        <f aca="false">N2436-O2436</f>
        <v>18845.4992350685</v>
      </c>
    </row>
    <row r="2437" customFormat="false" ht="15" hidden="false" customHeight="false" outlineLevel="0" collapsed="false">
      <c r="A2437" s="2" t="s">
        <v>118</v>
      </c>
      <c r="B2437" s="2" t="n">
        <v>12</v>
      </c>
      <c r="C2437" s="2" t="s">
        <v>98</v>
      </c>
      <c r="D2437" s="2" t="s">
        <v>38</v>
      </c>
      <c r="E2437" s="2" t="str">
        <f aca="false">INDEX(Products!$B$2:$B$13,MATCH(D2437,Products!$A$2:$A$13,0))</f>
        <v>FCC</v>
      </c>
      <c r="F2437" s="15" t="n">
        <v>48.9</v>
      </c>
      <c r="G2437" s="16" t="n">
        <f aca="false">IF(A2437="2025",INDEX(Products!$C$2:$C$13,MATCH(D2437,Products!$A$2:$A$13,0)),INDEX(Products!$E$2:$E$13,MATCH(D2437,Products!$A$2:$A$13,0)))</f>
        <v>4360</v>
      </c>
      <c r="H2437" s="13" t="n">
        <f aca="false">IF(A2437="2025",INDEX(Customers!$D$2:$D$41,MATCH(C2437,Customers!$A$2:$A$41,0)),INDEX(Customers!$F$2:$F$41,MATCH(C2437,Customers!$A$2:$A$41,0)))</f>
        <v>0.167</v>
      </c>
      <c r="I2437" s="16" t="n">
        <f aca="false">F2437*G2437</f>
        <v>213204</v>
      </c>
      <c r="J2437" s="16" t="n">
        <f aca="false">I2437*(1-H2437)</f>
        <v>177598.932</v>
      </c>
      <c r="K2437" s="16" t="n">
        <f aca="false">J2437*INDEX(Customers!$G$2:$G$41,MATCH(C2437,Customers!$A$2:$A$41,0))</f>
        <v>1775.98932</v>
      </c>
      <c r="L2437" s="16" t="n">
        <f aca="false">F2437*INDEX(Customers!$H$2:$H$41,MATCH(C2437,Customers!$A$2:$A$41,0))</f>
        <v>18582</v>
      </c>
      <c r="M2437" s="16" t="n">
        <f aca="false">J2437*INDEX(Customers!$I$2:$I$41,MATCH(C2437,Customers!$A$2:$A$41,0))/365*Assumptions!$B$6</f>
        <v>3503.32139835616</v>
      </c>
      <c r="N2437" s="16" t="n">
        <f aca="false">J2437-K2437-L2437-M2437</f>
        <v>153737.621281644</v>
      </c>
      <c r="O2437" s="16" t="n">
        <f aca="false">F2437*IF(A2437="2025",INDEX(Products!$D$2:$D$13,MATCH(D2437,Products!$A$2:$A$13,0)),INDEX(Products!$F$2:$F$13,MATCH(D2437,Products!$A$2:$A$13,0)))</f>
        <v>135453</v>
      </c>
      <c r="P2437" s="16" t="n">
        <f aca="false">N2437-O2437</f>
        <v>18284.6212816438</v>
      </c>
    </row>
    <row r="2438" customFormat="false" ht="15" hidden="false" customHeight="false" outlineLevel="0" collapsed="false">
      <c r="A2438" s="2" t="s">
        <v>119</v>
      </c>
      <c r="B2438" s="2" t="n">
        <v>1</v>
      </c>
      <c r="C2438" s="2" t="s">
        <v>98</v>
      </c>
      <c r="D2438" s="2" t="s">
        <v>38</v>
      </c>
      <c r="E2438" s="2" t="str">
        <f aca="false">INDEX(Products!$B$2:$B$13,MATCH(D2438,Products!$A$2:$A$13,0))</f>
        <v>FCC</v>
      </c>
      <c r="F2438" s="15" t="n">
        <v>59.8</v>
      </c>
      <c r="G2438" s="16" t="n">
        <f aca="false">IF(A2438="2025",INDEX(Products!$C$2:$C$13,MATCH(D2438,Products!$A$2:$A$13,0)),INDEX(Products!$E$2:$E$13,MATCH(D2438,Products!$A$2:$A$13,0)))</f>
        <v>4578</v>
      </c>
      <c r="H2438" s="13" t="n">
        <f aca="false">IF(A2438="2025",INDEX(Customers!$D$2:$D$41,MATCH(C2438,Customers!$A$2:$A$41,0)),INDEX(Customers!$F$2:$F$41,MATCH(C2438,Customers!$A$2:$A$41,0)))</f>
        <v>0.183</v>
      </c>
      <c r="I2438" s="16" t="n">
        <f aca="false">F2438*G2438</f>
        <v>273764.4</v>
      </c>
      <c r="J2438" s="16" t="n">
        <f aca="false">I2438*(1-H2438)</f>
        <v>223665.5148</v>
      </c>
      <c r="K2438" s="16" t="n">
        <f aca="false">J2438*INDEX(Customers!$G$2:$G$41,MATCH(C2438,Customers!$A$2:$A$41,0))</f>
        <v>2236.655148</v>
      </c>
      <c r="L2438" s="16" t="n">
        <f aca="false">F2438*INDEX(Customers!$H$2:$H$41,MATCH(C2438,Customers!$A$2:$A$41,0))</f>
        <v>22724</v>
      </c>
      <c r="M2438" s="16" t="n">
        <f aca="false">J2438*INDEX(Customers!$I$2:$I$41,MATCH(C2438,Customers!$A$2:$A$41,0))/365*Assumptions!$B$6</f>
        <v>4412.03207276712</v>
      </c>
      <c r="N2438" s="16" t="n">
        <f aca="false">J2438-K2438-L2438-M2438</f>
        <v>194292.827579233</v>
      </c>
      <c r="O2438" s="16" t="n">
        <f aca="false">F2438*IF(A2438="2025",INDEX(Products!$D$2:$D$13,MATCH(D2438,Products!$A$2:$A$13,0)),INDEX(Products!$F$2:$F$13,MATCH(D2438,Products!$A$2:$A$13,0)))</f>
        <v>170615.38</v>
      </c>
      <c r="P2438" s="16" t="n">
        <f aca="false">N2438-O2438</f>
        <v>23677.4475792329</v>
      </c>
    </row>
    <row r="2439" customFormat="false" ht="15" hidden="false" customHeight="false" outlineLevel="0" collapsed="false">
      <c r="A2439" s="2" t="s">
        <v>119</v>
      </c>
      <c r="B2439" s="2" t="n">
        <v>2</v>
      </c>
      <c r="C2439" s="2" t="s">
        <v>98</v>
      </c>
      <c r="D2439" s="2" t="s">
        <v>38</v>
      </c>
      <c r="E2439" s="2" t="str">
        <f aca="false">INDEX(Products!$B$2:$B$13,MATCH(D2439,Products!$A$2:$A$13,0))</f>
        <v>FCC</v>
      </c>
      <c r="F2439" s="15" t="n">
        <v>37</v>
      </c>
      <c r="G2439" s="16" t="n">
        <f aca="false">IF(A2439="2025",INDEX(Products!$C$2:$C$13,MATCH(D2439,Products!$A$2:$A$13,0)),INDEX(Products!$E$2:$E$13,MATCH(D2439,Products!$A$2:$A$13,0)))</f>
        <v>4578</v>
      </c>
      <c r="H2439" s="13" t="n">
        <f aca="false">IF(A2439="2025",INDEX(Customers!$D$2:$D$41,MATCH(C2439,Customers!$A$2:$A$41,0)),INDEX(Customers!$F$2:$F$41,MATCH(C2439,Customers!$A$2:$A$41,0)))</f>
        <v>0.183</v>
      </c>
      <c r="I2439" s="16" t="n">
        <f aca="false">F2439*G2439</f>
        <v>169386</v>
      </c>
      <c r="J2439" s="16" t="n">
        <f aca="false">I2439*(1-H2439)</f>
        <v>138388.362</v>
      </c>
      <c r="K2439" s="16" t="n">
        <f aca="false">J2439*INDEX(Customers!$G$2:$G$41,MATCH(C2439,Customers!$A$2:$A$41,0))</f>
        <v>1383.88362</v>
      </c>
      <c r="L2439" s="16" t="n">
        <f aca="false">F2439*INDEX(Customers!$H$2:$H$41,MATCH(C2439,Customers!$A$2:$A$41,0))</f>
        <v>14060</v>
      </c>
      <c r="M2439" s="16" t="n">
        <f aca="false">J2439*INDEX(Customers!$I$2:$I$41,MATCH(C2439,Customers!$A$2:$A$41,0))/365*Assumptions!$B$6</f>
        <v>2729.85262027397</v>
      </c>
      <c r="N2439" s="16" t="n">
        <f aca="false">J2439-K2439-L2439-M2439</f>
        <v>120214.625759726</v>
      </c>
      <c r="O2439" s="16" t="n">
        <f aca="false">F2439*IF(A2439="2025",INDEX(Products!$D$2:$D$13,MATCH(D2439,Products!$A$2:$A$13,0)),INDEX(Products!$F$2:$F$13,MATCH(D2439,Products!$A$2:$A$13,0)))</f>
        <v>105564.7</v>
      </c>
      <c r="P2439" s="16" t="n">
        <f aca="false">N2439-O2439</f>
        <v>14649.925759726</v>
      </c>
    </row>
    <row r="2440" customFormat="false" ht="15" hidden="false" customHeight="false" outlineLevel="0" collapsed="false">
      <c r="A2440" s="2" t="s">
        <v>119</v>
      </c>
      <c r="B2440" s="2" t="n">
        <v>3</v>
      </c>
      <c r="C2440" s="2" t="s">
        <v>98</v>
      </c>
      <c r="D2440" s="2" t="s">
        <v>38</v>
      </c>
      <c r="E2440" s="2" t="str">
        <f aca="false">INDEX(Products!$B$2:$B$13,MATCH(D2440,Products!$A$2:$A$13,0))</f>
        <v>FCC</v>
      </c>
      <c r="F2440" s="15" t="n">
        <v>33.7</v>
      </c>
      <c r="G2440" s="16" t="n">
        <f aca="false">IF(A2440="2025",INDEX(Products!$C$2:$C$13,MATCH(D2440,Products!$A$2:$A$13,0)),INDEX(Products!$E$2:$E$13,MATCH(D2440,Products!$A$2:$A$13,0)))</f>
        <v>4578</v>
      </c>
      <c r="H2440" s="13" t="n">
        <f aca="false">IF(A2440="2025",INDEX(Customers!$D$2:$D$41,MATCH(C2440,Customers!$A$2:$A$41,0)),INDEX(Customers!$F$2:$F$41,MATCH(C2440,Customers!$A$2:$A$41,0)))</f>
        <v>0.183</v>
      </c>
      <c r="I2440" s="16" t="n">
        <f aca="false">F2440*G2440</f>
        <v>154278.6</v>
      </c>
      <c r="J2440" s="16" t="n">
        <f aca="false">I2440*(1-H2440)</f>
        <v>126045.6162</v>
      </c>
      <c r="K2440" s="16" t="n">
        <f aca="false">J2440*INDEX(Customers!$G$2:$G$41,MATCH(C2440,Customers!$A$2:$A$41,0))</f>
        <v>1260.456162</v>
      </c>
      <c r="L2440" s="16" t="n">
        <f aca="false">F2440*INDEX(Customers!$H$2:$H$41,MATCH(C2440,Customers!$A$2:$A$41,0))</f>
        <v>12806</v>
      </c>
      <c r="M2440" s="16" t="n">
        <f aca="false">J2440*INDEX(Customers!$I$2:$I$41,MATCH(C2440,Customers!$A$2:$A$41,0))/365*Assumptions!$B$6</f>
        <v>2486.37927846575</v>
      </c>
      <c r="N2440" s="16" t="n">
        <f aca="false">J2440-K2440-L2440-M2440</f>
        <v>109492.780759534</v>
      </c>
      <c r="O2440" s="16" t="n">
        <f aca="false">F2440*IF(A2440="2025",INDEX(Products!$D$2:$D$13,MATCH(D2440,Products!$A$2:$A$13,0)),INDEX(Products!$F$2:$F$13,MATCH(D2440,Products!$A$2:$A$13,0)))</f>
        <v>96149.47</v>
      </c>
      <c r="P2440" s="16" t="n">
        <f aca="false">N2440-O2440</f>
        <v>13343.3107595342</v>
      </c>
    </row>
    <row r="2441" customFormat="false" ht="15" hidden="false" customHeight="false" outlineLevel="0" collapsed="false">
      <c r="A2441" s="2" t="s">
        <v>119</v>
      </c>
      <c r="B2441" s="2" t="n">
        <v>4</v>
      </c>
      <c r="C2441" s="2" t="s">
        <v>98</v>
      </c>
      <c r="D2441" s="2" t="s">
        <v>38</v>
      </c>
      <c r="E2441" s="2" t="str">
        <f aca="false">INDEX(Products!$B$2:$B$13,MATCH(D2441,Products!$A$2:$A$13,0))</f>
        <v>FCC</v>
      </c>
      <c r="F2441" s="15" t="n">
        <v>37.5</v>
      </c>
      <c r="G2441" s="16" t="n">
        <f aca="false">IF(A2441="2025",INDEX(Products!$C$2:$C$13,MATCH(D2441,Products!$A$2:$A$13,0)),INDEX(Products!$E$2:$E$13,MATCH(D2441,Products!$A$2:$A$13,0)))</f>
        <v>4578</v>
      </c>
      <c r="H2441" s="13" t="n">
        <f aca="false">IF(A2441="2025",INDEX(Customers!$D$2:$D$41,MATCH(C2441,Customers!$A$2:$A$41,0)),INDEX(Customers!$F$2:$F$41,MATCH(C2441,Customers!$A$2:$A$41,0)))</f>
        <v>0.183</v>
      </c>
      <c r="I2441" s="16" t="n">
        <f aca="false">F2441*G2441</f>
        <v>171675</v>
      </c>
      <c r="J2441" s="16" t="n">
        <f aca="false">I2441*(1-H2441)</f>
        <v>140258.475</v>
      </c>
      <c r="K2441" s="16" t="n">
        <f aca="false">J2441*INDEX(Customers!$G$2:$G$41,MATCH(C2441,Customers!$A$2:$A$41,0))</f>
        <v>1402.58475</v>
      </c>
      <c r="L2441" s="16" t="n">
        <f aca="false">F2441*INDEX(Customers!$H$2:$H$41,MATCH(C2441,Customers!$A$2:$A$41,0))</f>
        <v>14250</v>
      </c>
      <c r="M2441" s="16" t="n">
        <f aca="false">J2441*INDEX(Customers!$I$2:$I$41,MATCH(C2441,Customers!$A$2:$A$41,0))/365*Assumptions!$B$6</f>
        <v>2766.74252054794</v>
      </c>
      <c r="N2441" s="16" t="n">
        <f aca="false">J2441-K2441-L2441-M2441</f>
        <v>121839.147729452</v>
      </c>
      <c r="O2441" s="16" t="n">
        <f aca="false">F2441*IF(A2441="2025",INDEX(Products!$D$2:$D$13,MATCH(D2441,Products!$A$2:$A$13,0)),INDEX(Products!$F$2:$F$13,MATCH(D2441,Products!$A$2:$A$13,0)))</f>
        <v>106991.25</v>
      </c>
      <c r="P2441" s="16" t="n">
        <f aca="false">N2441-O2441</f>
        <v>14847.897729452</v>
      </c>
    </row>
    <row r="2442" customFormat="false" ht="15" hidden="false" customHeight="false" outlineLevel="0" collapsed="false">
      <c r="A2442" s="2" t="s">
        <v>119</v>
      </c>
      <c r="B2442" s="2" t="n">
        <v>5</v>
      </c>
      <c r="C2442" s="2" t="s">
        <v>98</v>
      </c>
      <c r="D2442" s="2" t="s">
        <v>38</v>
      </c>
      <c r="E2442" s="2" t="str">
        <f aca="false">INDEX(Products!$B$2:$B$13,MATCH(D2442,Products!$A$2:$A$13,0))</f>
        <v>FCC</v>
      </c>
      <c r="F2442" s="15" t="n">
        <v>52.3</v>
      </c>
      <c r="G2442" s="16" t="n">
        <f aca="false">IF(A2442="2025",INDEX(Products!$C$2:$C$13,MATCH(D2442,Products!$A$2:$A$13,0)),INDEX(Products!$E$2:$E$13,MATCH(D2442,Products!$A$2:$A$13,0)))</f>
        <v>4578</v>
      </c>
      <c r="H2442" s="13" t="n">
        <f aca="false">IF(A2442="2025",INDEX(Customers!$D$2:$D$41,MATCH(C2442,Customers!$A$2:$A$41,0)),INDEX(Customers!$F$2:$F$41,MATCH(C2442,Customers!$A$2:$A$41,0)))</f>
        <v>0.183</v>
      </c>
      <c r="I2442" s="16" t="n">
        <f aca="false">F2442*G2442</f>
        <v>239429.4</v>
      </c>
      <c r="J2442" s="16" t="n">
        <f aca="false">I2442*(1-H2442)</f>
        <v>195613.8198</v>
      </c>
      <c r="K2442" s="16" t="n">
        <f aca="false">J2442*INDEX(Customers!$G$2:$G$41,MATCH(C2442,Customers!$A$2:$A$41,0))</f>
        <v>1956.138198</v>
      </c>
      <c r="L2442" s="16" t="n">
        <f aca="false">F2442*INDEX(Customers!$H$2:$H$41,MATCH(C2442,Customers!$A$2:$A$41,0))</f>
        <v>19874</v>
      </c>
      <c r="M2442" s="16" t="n">
        <f aca="false">J2442*INDEX(Customers!$I$2:$I$41,MATCH(C2442,Customers!$A$2:$A$41,0))/365*Assumptions!$B$6</f>
        <v>3858.68356865753</v>
      </c>
      <c r="N2442" s="16" t="n">
        <f aca="false">J2442-K2442-L2442-M2442</f>
        <v>169924.998033342</v>
      </c>
      <c r="O2442" s="16" t="n">
        <f aca="false">F2442*IF(A2442="2025",INDEX(Products!$D$2:$D$13,MATCH(D2442,Products!$A$2:$A$13,0)),INDEX(Products!$F$2:$F$13,MATCH(D2442,Products!$A$2:$A$13,0)))</f>
        <v>149217.13</v>
      </c>
      <c r="P2442" s="16" t="n">
        <f aca="false">N2442-O2442</f>
        <v>20707.8680333425</v>
      </c>
    </row>
    <row r="2443" customFormat="false" ht="15" hidden="false" customHeight="false" outlineLevel="0" collapsed="false">
      <c r="A2443" s="2" t="s">
        <v>119</v>
      </c>
      <c r="B2443" s="2" t="n">
        <v>6</v>
      </c>
      <c r="C2443" s="2" t="s">
        <v>98</v>
      </c>
      <c r="D2443" s="2" t="s">
        <v>38</v>
      </c>
      <c r="E2443" s="2" t="str">
        <f aca="false">INDEX(Products!$B$2:$B$13,MATCH(D2443,Products!$A$2:$A$13,0))</f>
        <v>FCC</v>
      </c>
      <c r="F2443" s="15" t="n">
        <v>37</v>
      </c>
      <c r="G2443" s="16" t="n">
        <f aca="false">IF(A2443="2025",INDEX(Products!$C$2:$C$13,MATCH(D2443,Products!$A$2:$A$13,0)),INDEX(Products!$E$2:$E$13,MATCH(D2443,Products!$A$2:$A$13,0)))</f>
        <v>4578</v>
      </c>
      <c r="H2443" s="13" t="n">
        <f aca="false">IF(A2443="2025",INDEX(Customers!$D$2:$D$41,MATCH(C2443,Customers!$A$2:$A$41,0)),INDEX(Customers!$F$2:$F$41,MATCH(C2443,Customers!$A$2:$A$41,0)))</f>
        <v>0.183</v>
      </c>
      <c r="I2443" s="16" t="n">
        <f aca="false">F2443*G2443</f>
        <v>169386</v>
      </c>
      <c r="J2443" s="16" t="n">
        <f aca="false">I2443*(1-H2443)</f>
        <v>138388.362</v>
      </c>
      <c r="K2443" s="16" t="n">
        <f aca="false">J2443*INDEX(Customers!$G$2:$G$41,MATCH(C2443,Customers!$A$2:$A$41,0))</f>
        <v>1383.88362</v>
      </c>
      <c r="L2443" s="16" t="n">
        <f aca="false">F2443*INDEX(Customers!$H$2:$H$41,MATCH(C2443,Customers!$A$2:$A$41,0))</f>
        <v>14060</v>
      </c>
      <c r="M2443" s="16" t="n">
        <f aca="false">J2443*INDEX(Customers!$I$2:$I$41,MATCH(C2443,Customers!$A$2:$A$41,0))/365*Assumptions!$B$6</f>
        <v>2729.85262027397</v>
      </c>
      <c r="N2443" s="16" t="n">
        <f aca="false">J2443-K2443-L2443-M2443</f>
        <v>120214.625759726</v>
      </c>
      <c r="O2443" s="16" t="n">
        <f aca="false">F2443*IF(A2443="2025",INDEX(Products!$D$2:$D$13,MATCH(D2443,Products!$A$2:$A$13,0)),INDEX(Products!$F$2:$F$13,MATCH(D2443,Products!$A$2:$A$13,0)))</f>
        <v>105564.7</v>
      </c>
      <c r="P2443" s="16" t="n">
        <f aca="false">N2443-O2443</f>
        <v>14649.925759726</v>
      </c>
    </row>
    <row r="2444" customFormat="false" ht="15" hidden="false" customHeight="false" outlineLevel="0" collapsed="false">
      <c r="A2444" s="2" t="s">
        <v>119</v>
      </c>
      <c r="B2444" s="2" t="n">
        <v>7</v>
      </c>
      <c r="C2444" s="2" t="s">
        <v>98</v>
      </c>
      <c r="D2444" s="2" t="s">
        <v>38</v>
      </c>
      <c r="E2444" s="2" t="str">
        <f aca="false">INDEX(Products!$B$2:$B$13,MATCH(D2444,Products!$A$2:$A$13,0))</f>
        <v>FCC</v>
      </c>
      <c r="F2444" s="15" t="n">
        <v>48.6</v>
      </c>
      <c r="G2444" s="16" t="n">
        <f aca="false">IF(A2444="2025",INDEX(Products!$C$2:$C$13,MATCH(D2444,Products!$A$2:$A$13,0)),INDEX(Products!$E$2:$E$13,MATCH(D2444,Products!$A$2:$A$13,0)))</f>
        <v>4578</v>
      </c>
      <c r="H2444" s="13" t="n">
        <f aca="false">IF(A2444="2025",INDEX(Customers!$D$2:$D$41,MATCH(C2444,Customers!$A$2:$A$41,0)),INDEX(Customers!$F$2:$F$41,MATCH(C2444,Customers!$A$2:$A$41,0)))</f>
        <v>0.183</v>
      </c>
      <c r="I2444" s="16" t="n">
        <f aca="false">F2444*G2444</f>
        <v>222490.8</v>
      </c>
      <c r="J2444" s="16" t="n">
        <f aca="false">I2444*(1-H2444)</f>
        <v>181774.9836</v>
      </c>
      <c r="K2444" s="16" t="n">
        <f aca="false">J2444*INDEX(Customers!$G$2:$G$41,MATCH(C2444,Customers!$A$2:$A$41,0))</f>
        <v>1817.749836</v>
      </c>
      <c r="L2444" s="16" t="n">
        <f aca="false">F2444*INDEX(Customers!$H$2:$H$41,MATCH(C2444,Customers!$A$2:$A$41,0))</f>
        <v>18468</v>
      </c>
      <c r="M2444" s="16" t="n">
        <f aca="false">J2444*INDEX(Customers!$I$2:$I$41,MATCH(C2444,Customers!$A$2:$A$41,0))/365*Assumptions!$B$6</f>
        <v>3585.69830663014</v>
      </c>
      <c r="N2444" s="16" t="n">
        <f aca="false">J2444-K2444-L2444-M2444</f>
        <v>157903.53545737</v>
      </c>
      <c r="O2444" s="16" t="n">
        <f aca="false">F2444*IF(A2444="2025",INDEX(Products!$D$2:$D$13,MATCH(D2444,Products!$A$2:$A$13,0)),INDEX(Products!$F$2:$F$13,MATCH(D2444,Products!$A$2:$A$13,0)))</f>
        <v>138660.66</v>
      </c>
      <c r="P2444" s="16" t="n">
        <f aca="false">N2444-O2444</f>
        <v>19242.8754573699</v>
      </c>
    </row>
    <row r="2445" customFormat="false" ht="15" hidden="false" customHeight="false" outlineLevel="0" collapsed="false">
      <c r="A2445" s="2" t="s">
        <v>119</v>
      </c>
      <c r="B2445" s="2" t="n">
        <v>8</v>
      </c>
      <c r="C2445" s="2" t="s">
        <v>98</v>
      </c>
      <c r="D2445" s="2" t="s">
        <v>38</v>
      </c>
      <c r="E2445" s="2" t="str">
        <f aca="false">INDEX(Products!$B$2:$B$13,MATCH(D2445,Products!$A$2:$A$13,0))</f>
        <v>FCC</v>
      </c>
      <c r="F2445" s="15" t="n">
        <v>51.1</v>
      </c>
      <c r="G2445" s="16" t="n">
        <f aca="false">IF(A2445="2025",INDEX(Products!$C$2:$C$13,MATCH(D2445,Products!$A$2:$A$13,0)),INDEX(Products!$E$2:$E$13,MATCH(D2445,Products!$A$2:$A$13,0)))</f>
        <v>4578</v>
      </c>
      <c r="H2445" s="13" t="n">
        <f aca="false">IF(A2445="2025",INDEX(Customers!$D$2:$D$41,MATCH(C2445,Customers!$A$2:$A$41,0)),INDEX(Customers!$F$2:$F$41,MATCH(C2445,Customers!$A$2:$A$41,0)))</f>
        <v>0.183</v>
      </c>
      <c r="I2445" s="16" t="n">
        <f aca="false">F2445*G2445</f>
        <v>233935.8</v>
      </c>
      <c r="J2445" s="16" t="n">
        <f aca="false">I2445*(1-H2445)</f>
        <v>191125.5486</v>
      </c>
      <c r="K2445" s="16" t="n">
        <f aca="false">J2445*INDEX(Customers!$G$2:$G$41,MATCH(C2445,Customers!$A$2:$A$41,0))</f>
        <v>1911.255486</v>
      </c>
      <c r="L2445" s="16" t="n">
        <f aca="false">F2445*INDEX(Customers!$H$2:$H$41,MATCH(C2445,Customers!$A$2:$A$41,0))</f>
        <v>19418</v>
      </c>
      <c r="M2445" s="16" t="n">
        <f aca="false">J2445*INDEX(Customers!$I$2:$I$41,MATCH(C2445,Customers!$A$2:$A$41,0))/365*Assumptions!$B$6</f>
        <v>3770.147808</v>
      </c>
      <c r="N2445" s="16" t="n">
        <f aca="false">J2445-K2445-L2445-M2445</f>
        <v>166026.145306</v>
      </c>
      <c r="O2445" s="16" t="n">
        <f aca="false">F2445*IF(A2445="2025",INDEX(Products!$D$2:$D$13,MATCH(D2445,Products!$A$2:$A$13,0)),INDEX(Products!$F$2:$F$13,MATCH(D2445,Products!$A$2:$A$13,0)))</f>
        <v>145793.41</v>
      </c>
      <c r="P2445" s="16" t="n">
        <f aca="false">N2445-O2445</f>
        <v>20232.735306</v>
      </c>
    </row>
    <row r="2446" customFormat="false" ht="15" hidden="false" customHeight="false" outlineLevel="0" collapsed="false">
      <c r="A2446" s="2" t="s">
        <v>119</v>
      </c>
      <c r="B2446" s="2" t="n">
        <v>9</v>
      </c>
      <c r="C2446" s="2" t="s">
        <v>98</v>
      </c>
      <c r="D2446" s="2" t="s">
        <v>38</v>
      </c>
      <c r="E2446" s="2" t="str">
        <f aca="false">INDEX(Products!$B$2:$B$13,MATCH(D2446,Products!$A$2:$A$13,0))</f>
        <v>FCC</v>
      </c>
      <c r="F2446" s="15" t="n">
        <v>39.9</v>
      </c>
      <c r="G2446" s="16" t="n">
        <f aca="false">IF(A2446="2025",INDEX(Products!$C$2:$C$13,MATCH(D2446,Products!$A$2:$A$13,0)),INDEX(Products!$E$2:$E$13,MATCH(D2446,Products!$A$2:$A$13,0)))</f>
        <v>4578</v>
      </c>
      <c r="H2446" s="13" t="n">
        <f aca="false">IF(A2446="2025",INDEX(Customers!$D$2:$D$41,MATCH(C2446,Customers!$A$2:$A$41,0)),INDEX(Customers!$F$2:$F$41,MATCH(C2446,Customers!$A$2:$A$41,0)))</f>
        <v>0.183</v>
      </c>
      <c r="I2446" s="16" t="n">
        <f aca="false">F2446*G2446</f>
        <v>182662.2</v>
      </c>
      <c r="J2446" s="16" t="n">
        <f aca="false">I2446*(1-H2446)</f>
        <v>149235.0174</v>
      </c>
      <c r="K2446" s="16" t="n">
        <f aca="false">J2446*INDEX(Customers!$G$2:$G$41,MATCH(C2446,Customers!$A$2:$A$41,0))</f>
        <v>1492.350174</v>
      </c>
      <c r="L2446" s="16" t="n">
        <f aca="false">F2446*INDEX(Customers!$H$2:$H$41,MATCH(C2446,Customers!$A$2:$A$41,0))</f>
        <v>15162</v>
      </c>
      <c r="M2446" s="16" t="n">
        <f aca="false">J2446*INDEX(Customers!$I$2:$I$41,MATCH(C2446,Customers!$A$2:$A$41,0))/365*Assumptions!$B$6</f>
        <v>2943.81404186301</v>
      </c>
      <c r="N2446" s="16" t="n">
        <f aca="false">J2446-K2446-L2446-M2446</f>
        <v>129636.853184137</v>
      </c>
      <c r="O2446" s="16" t="n">
        <f aca="false">F2446*IF(A2446="2025",INDEX(Products!$D$2:$D$13,MATCH(D2446,Products!$A$2:$A$13,0)),INDEX(Products!$F$2:$F$13,MATCH(D2446,Products!$A$2:$A$13,0)))</f>
        <v>113838.69</v>
      </c>
      <c r="P2446" s="16" t="n">
        <f aca="false">N2446-O2446</f>
        <v>15798.163184137</v>
      </c>
    </row>
    <row r="2447" customFormat="false" ht="15" hidden="false" customHeight="false" outlineLevel="0" collapsed="false">
      <c r="A2447" s="2" t="s">
        <v>119</v>
      </c>
      <c r="B2447" s="2" t="n">
        <v>10</v>
      </c>
      <c r="C2447" s="2" t="s">
        <v>98</v>
      </c>
      <c r="D2447" s="2" t="s">
        <v>38</v>
      </c>
      <c r="E2447" s="2" t="str">
        <f aca="false">INDEX(Products!$B$2:$B$13,MATCH(D2447,Products!$A$2:$A$13,0))</f>
        <v>FCC</v>
      </c>
      <c r="F2447" s="15" t="n">
        <v>55.1</v>
      </c>
      <c r="G2447" s="16" t="n">
        <f aca="false">IF(A2447="2025",INDEX(Products!$C$2:$C$13,MATCH(D2447,Products!$A$2:$A$13,0)),INDEX(Products!$E$2:$E$13,MATCH(D2447,Products!$A$2:$A$13,0)))</f>
        <v>4578</v>
      </c>
      <c r="H2447" s="13" t="n">
        <f aca="false">IF(A2447="2025",INDEX(Customers!$D$2:$D$41,MATCH(C2447,Customers!$A$2:$A$41,0)),INDEX(Customers!$F$2:$F$41,MATCH(C2447,Customers!$A$2:$A$41,0)))</f>
        <v>0.183</v>
      </c>
      <c r="I2447" s="16" t="n">
        <f aca="false">F2447*G2447</f>
        <v>252247.8</v>
      </c>
      <c r="J2447" s="16" t="n">
        <f aca="false">I2447*(1-H2447)</f>
        <v>206086.4526</v>
      </c>
      <c r="K2447" s="16" t="n">
        <f aca="false">J2447*INDEX(Customers!$G$2:$G$41,MATCH(C2447,Customers!$A$2:$A$41,0))</f>
        <v>2060.864526</v>
      </c>
      <c r="L2447" s="16" t="n">
        <f aca="false">F2447*INDEX(Customers!$H$2:$H$41,MATCH(C2447,Customers!$A$2:$A$41,0))</f>
        <v>20938</v>
      </c>
      <c r="M2447" s="16" t="n">
        <f aca="false">J2447*INDEX(Customers!$I$2:$I$41,MATCH(C2447,Customers!$A$2:$A$41,0))/365*Assumptions!$B$6</f>
        <v>4065.26701019178</v>
      </c>
      <c r="N2447" s="16" t="n">
        <f aca="false">J2447-K2447-L2447-M2447</f>
        <v>179022.321063808</v>
      </c>
      <c r="O2447" s="16" t="n">
        <f aca="false">F2447*IF(A2447="2025",INDEX(Products!$D$2:$D$13,MATCH(D2447,Products!$A$2:$A$13,0)),INDEX(Products!$F$2:$F$13,MATCH(D2447,Products!$A$2:$A$13,0)))</f>
        <v>157205.81</v>
      </c>
      <c r="P2447" s="16" t="n">
        <f aca="false">N2447-O2447</f>
        <v>21816.5110638082</v>
      </c>
    </row>
    <row r="2448" customFormat="false" ht="15" hidden="false" customHeight="false" outlineLevel="0" collapsed="false">
      <c r="A2448" s="2" t="s">
        <v>119</v>
      </c>
      <c r="B2448" s="2" t="n">
        <v>11</v>
      </c>
      <c r="C2448" s="2" t="s">
        <v>98</v>
      </c>
      <c r="D2448" s="2" t="s">
        <v>38</v>
      </c>
      <c r="E2448" s="2" t="str">
        <f aca="false">INDEX(Products!$B$2:$B$13,MATCH(D2448,Products!$A$2:$A$13,0))</f>
        <v>FCC</v>
      </c>
      <c r="F2448" s="15" t="n">
        <v>58.6</v>
      </c>
      <c r="G2448" s="16" t="n">
        <f aca="false">IF(A2448="2025",INDEX(Products!$C$2:$C$13,MATCH(D2448,Products!$A$2:$A$13,0)),INDEX(Products!$E$2:$E$13,MATCH(D2448,Products!$A$2:$A$13,0)))</f>
        <v>4578</v>
      </c>
      <c r="H2448" s="13" t="n">
        <f aca="false">IF(A2448="2025",INDEX(Customers!$D$2:$D$41,MATCH(C2448,Customers!$A$2:$A$41,0)),INDEX(Customers!$F$2:$F$41,MATCH(C2448,Customers!$A$2:$A$41,0)))</f>
        <v>0.183</v>
      </c>
      <c r="I2448" s="16" t="n">
        <f aca="false">F2448*G2448</f>
        <v>268270.8</v>
      </c>
      <c r="J2448" s="16" t="n">
        <f aca="false">I2448*(1-H2448)</f>
        <v>219177.2436</v>
      </c>
      <c r="K2448" s="16" t="n">
        <f aca="false">J2448*INDEX(Customers!$G$2:$G$41,MATCH(C2448,Customers!$A$2:$A$41,0))</f>
        <v>2191.772436</v>
      </c>
      <c r="L2448" s="16" t="n">
        <f aca="false">F2448*INDEX(Customers!$H$2:$H$41,MATCH(C2448,Customers!$A$2:$A$41,0))</f>
        <v>22268</v>
      </c>
      <c r="M2448" s="16" t="n">
        <f aca="false">J2448*INDEX(Customers!$I$2:$I$41,MATCH(C2448,Customers!$A$2:$A$41,0))/365*Assumptions!$B$6</f>
        <v>4323.49631210959</v>
      </c>
      <c r="N2448" s="16" t="n">
        <f aca="false">J2448-K2448-L2448-M2448</f>
        <v>190393.97485189</v>
      </c>
      <c r="O2448" s="16" t="n">
        <f aca="false">F2448*IF(A2448="2025",INDEX(Products!$D$2:$D$13,MATCH(D2448,Products!$A$2:$A$13,0)),INDEX(Products!$F$2:$F$13,MATCH(D2448,Products!$A$2:$A$13,0)))</f>
        <v>167191.66</v>
      </c>
      <c r="P2448" s="16" t="n">
        <f aca="false">N2448-O2448</f>
        <v>23202.3148518904</v>
      </c>
    </row>
    <row r="2449" customFormat="false" ht="15" hidden="false" customHeight="false" outlineLevel="0" collapsed="false">
      <c r="A2449" s="2" t="s">
        <v>119</v>
      </c>
      <c r="B2449" s="2" t="n">
        <v>12</v>
      </c>
      <c r="C2449" s="2" t="s">
        <v>98</v>
      </c>
      <c r="D2449" s="2" t="s">
        <v>38</v>
      </c>
      <c r="E2449" s="2" t="str">
        <f aca="false">INDEX(Products!$B$2:$B$13,MATCH(D2449,Products!$A$2:$A$13,0))</f>
        <v>FCC</v>
      </c>
      <c r="F2449" s="15" t="n">
        <v>39.4</v>
      </c>
      <c r="G2449" s="16" t="n">
        <f aca="false">IF(A2449="2025",INDEX(Products!$C$2:$C$13,MATCH(D2449,Products!$A$2:$A$13,0)),INDEX(Products!$E$2:$E$13,MATCH(D2449,Products!$A$2:$A$13,0)))</f>
        <v>4578</v>
      </c>
      <c r="H2449" s="13" t="n">
        <f aca="false">IF(A2449="2025",INDEX(Customers!$D$2:$D$41,MATCH(C2449,Customers!$A$2:$A$41,0)),INDEX(Customers!$F$2:$F$41,MATCH(C2449,Customers!$A$2:$A$41,0)))</f>
        <v>0.183</v>
      </c>
      <c r="I2449" s="16" t="n">
        <f aca="false">F2449*G2449</f>
        <v>180373.2</v>
      </c>
      <c r="J2449" s="16" t="n">
        <f aca="false">I2449*(1-H2449)</f>
        <v>147364.9044</v>
      </c>
      <c r="K2449" s="16" t="n">
        <f aca="false">J2449*INDEX(Customers!$G$2:$G$41,MATCH(C2449,Customers!$A$2:$A$41,0))</f>
        <v>1473.649044</v>
      </c>
      <c r="L2449" s="16" t="n">
        <f aca="false">F2449*INDEX(Customers!$H$2:$H$41,MATCH(C2449,Customers!$A$2:$A$41,0))</f>
        <v>14972</v>
      </c>
      <c r="M2449" s="16" t="n">
        <f aca="false">J2449*INDEX(Customers!$I$2:$I$41,MATCH(C2449,Customers!$A$2:$A$41,0))/365*Assumptions!$B$6</f>
        <v>2906.92414158904</v>
      </c>
      <c r="N2449" s="16" t="n">
        <f aca="false">J2449-K2449-L2449-M2449</f>
        <v>128012.331214411</v>
      </c>
      <c r="O2449" s="16" t="n">
        <f aca="false">F2449*IF(A2449="2025",INDEX(Products!$D$2:$D$13,MATCH(D2449,Products!$A$2:$A$13,0)),INDEX(Products!$F$2:$F$13,MATCH(D2449,Products!$A$2:$A$13,0)))</f>
        <v>112412.14</v>
      </c>
      <c r="P2449" s="16" t="n">
        <f aca="false">N2449-O2449</f>
        <v>15600.1912144109</v>
      </c>
    </row>
    <row r="2450" customFormat="false" ht="15" hidden="false" customHeight="false" outlineLevel="0" collapsed="false">
      <c r="A2450" s="2" t="s">
        <v>118</v>
      </c>
      <c r="B2450" s="2" t="n">
        <v>1</v>
      </c>
      <c r="C2450" s="2" t="s">
        <v>98</v>
      </c>
      <c r="D2450" s="2" t="s">
        <v>47</v>
      </c>
      <c r="E2450" s="2" t="str">
        <f aca="false">INDEX(Products!$B$2:$B$13,MATCH(D2450,Products!$A$2:$A$13,0))</f>
        <v>Specialty</v>
      </c>
      <c r="F2450" s="15" t="n">
        <v>15.3</v>
      </c>
      <c r="G2450" s="16" t="n">
        <f aca="false">IF(A2450="2025",INDEX(Products!$C$2:$C$13,MATCH(D2450,Products!$A$2:$A$13,0)),INDEX(Products!$E$2:$E$13,MATCH(D2450,Products!$A$2:$A$13,0)))</f>
        <v>30520</v>
      </c>
      <c r="H2450" s="13" t="n">
        <f aca="false">IF(A2450="2025",INDEX(Customers!$D$2:$D$41,MATCH(C2450,Customers!$A$2:$A$41,0)),INDEX(Customers!$F$2:$F$41,MATCH(C2450,Customers!$A$2:$A$41,0)))</f>
        <v>0.167</v>
      </c>
      <c r="I2450" s="16" t="n">
        <f aca="false">F2450*G2450</f>
        <v>466956</v>
      </c>
      <c r="J2450" s="16" t="n">
        <f aca="false">I2450*(1-H2450)</f>
        <v>388974.348</v>
      </c>
      <c r="K2450" s="16" t="n">
        <f aca="false">J2450*INDEX(Customers!$G$2:$G$41,MATCH(C2450,Customers!$A$2:$A$41,0))</f>
        <v>3889.74348</v>
      </c>
      <c r="L2450" s="16" t="n">
        <f aca="false">F2450*INDEX(Customers!$H$2:$H$41,MATCH(C2450,Customers!$A$2:$A$41,0))</f>
        <v>5814</v>
      </c>
      <c r="M2450" s="16" t="n">
        <f aca="false">J2450*INDEX(Customers!$I$2:$I$41,MATCH(C2450,Customers!$A$2:$A$41,0))/365*Assumptions!$B$6</f>
        <v>7672.91864547945</v>
      </c>
      <c r="N2450" s="16" t="n">
        <f aca="false">J2450-K2450-L2450-M2450</f>
        <v>371597.685874521</v>
      </c>
      <c r="O2450" s="16" t="n">
        <f aca="false">F2450*IF(A2450="2025",INDEX(Products!$D$2:$D$13,MATCH(D2450,Products!$A$2:$A$13,0)),INDEX(Products!$F$2:$F$13,MATCH(D2450,Products!$A$2:$A$13,0)))</f>
        <v>236232</v>
      </c>
      <c r="P2450" s="16" t="n">
        <f aca="false">N2450-O2450</f>
        <v>135365.685874521</v>
      </c>
    </row>
    <row r="2451" customFormat="false" ht="15" hidden="false" customHeight="false" outlineLevel="0" collapsed="false">
      <c r="A2451" s="2" t="s">
        <v>118</v>
      </c>
      <c r="B2451" s="2" t="n">
        <v>2</v>
      </c>
      <c r="C2451" s="2" t="s">
        <v>98</v>
      </c>
      <c r="D2451" s="2" t="s">
        <v>47</v>
      </c>
      <c r="E2451" s="2" t="str">
        <f aca="false">INDEX(Products!$B$2:$B$13,MATCH(D2451,Products!$A$2:$A$13,0))</f>
        <v>Specialty</v>
      </c>
      <c r="F2451" s="15" t="n">
        <v>17.4</v>
      </c>
      <c r="G2451" s="16" t="n">
        <f aca="false">IF(A2451="2025",INDEX(Products!$C$2:$C$13,MATCH(D2451,Products!$A$2:$A$13,0)),INDEX(Products!$E$2:$E$13,MATCH(D2451,Products!$A$2:$A$13,0)))</f>
        <v>30520</v>
      </c>
      <c r="H2451" s="13" t="n">
        <f aca="false">IF(A2451="2025",INDEX(Customers!$D$2:$D$41,MATCH(C2451,Customers!$A$2:$A$41,0)),INDEX(Customers!$F$2:$F$41,MATCH(C2451,Customers!$A$2:$A$41,0)))</f>
        <v>0.167</v>
      </c>
      <c r="I2451" s="16" t="n">
        <f aca="false">F2451*G2451</f>
        <v>531048</v>
      </c>
      <c r="J2451" s="16" t="n">
        <f aca="false">I2451*(1-H2451)</f>
        <v>442362.984</v>
      </c>
      <c r="K2451" s="16" t="n">
        <f aca="false">J2451*INDEX(Customers!$G$2:$G$41,MATCH(C2451,Customers!$A$2:$A$41,0))</f>
        <v>4423.62984</v>
      </c>
      <c r="L2451" s="16" t="n">
        <f aca="false">F2451*INDEX(Customers!$H$2:$H$41,MATCH(C2451,Customers!$A$2:$A$41,0))</f>
        <v>6612</v>
      </c>
      <c r="M2451" s="16" t="n">
        <f aca="false">J2451*INDEX(Customers!$I$2:$I$41,MATCH(C2451,Customers!$A$2:$A$41,0))/365*Assumptions!$B$6</f>
        <v>8726.06434191781</v>
      </c>
      <c r="N2451" s="16" t="n">
        <f aca="false">J2451-K2451-L2451-M2451</f>
        <v>422601.289818082</v>
      </c>
      <c r="O2451" s="16" t="n">
        <f aca="false">F2451*IF(A2451="2025",INDEX(Products!$D$2:$D$13,MATCH(D2451,Products!$A$2:$A$13,0)),INDEX(Products!$F$2:$F$13,MATCH(D2451,Products!$A$2:$A$13,0)))</f>
        <v>268656</v>
      </c>
      <c r="P2451" s="16" t="n">
        <f aca="false">N2451-O2451</f>
        <v>153945.289818082</v>
      </c>
    </row>
    <row r="2452" customFormat="false" ht="15" hidden="false" customHeight="false" outlineLevel="0" collapsed="false">
      <c r="A2452" s="2" t="s">
        <v>118</v>
      </c>
      <c r="B2452" s="2" t="n">
        <v>3</v>
      </c>
      <c r="C2452" s="2" t="s">
        <v>98</v>
      </c>
      <c r="D2452" s="2" t="s">
        <v>47</v>
      </c>
      <c r="E2452" s="2" t="str">
        <f aca="false">INDEX(Products!$B$2:$B$13,MATCH(D2452,Products!$A$2:$A$13,0))</f>
        <v>Specialty</v>
      </c>
      <c r="F2452" s="15" t="n">
        <v>15.2</v>
      </c>
      <c r="G2452" s="16" t="n">
        <f aca="false">IF(A2452="2025",INDEX(Products!$C$2:$C$13,MATCH(D2452,Products!$A$2:$A$13,0)),INDEX(Products!$E$2:$E$13,MATCH(D2452,Products!$A$2:$A$13,0)))</f>
        <v>30520</v>
      </c>
      <c r="H2452" s="13" t="n">
        <f aca="false">IF(A2452="2025",INDEX(Customers!$D$2:$D$41,MATCH(C2452,Customers!$A$2:$A$41,0)),INDEX(Customers!$F$2:$F$41,MATCH(C2452,Customers!$A$2:$A$41,0)))</f>
        <v>0.167</v>
      </c>
      <c r="I2452" s="16" t="n">
        <f aca="false">F2452*G2452</f>
        <v>463904</v>
      </c>
      <c r="J2452" s="16" t="n">
        <f aca="false">I2452*(1-H2452)</f>
        <v>386432.032</v>
      </c>
      <c r="K2452" s="16" t="n">
        <f aca="false">J2452*INDEX(Customers!$G$2:$G$41,MATCH(C2452,Customers!$A$2:$A$41,0))</f>
        <v>3864.32032</v>
      </c>
      <c r="L2452" s="16" t="n">
        <f aca="false">F2452*INDEX(Customers!$H$2:$H$41,MATCH(C2452,Customers!$A$2:$A$41,0))</f>
        <v>5776</v>
      </c>
      <c r="M2452" s="16" t="n">
        <f aca="false">J2452*INDEX(Customers!$I$2:$I$41,MATCH(C2452,Customers!$A$2:$A$41,0))/365*Assumptions!$B$6</f>
        <v>7622.76885041096</v>
      </c>
      <c r="N2452" s="16" t="n">
        <f aca="false">J2452-K2452-L2452-M2452</f>
        <v>369168.942829589</v>
      </c>
      <c r="O2452" s="16" t="n">
        <f aca="false">F2452*IF(A2452="2025",INDEX(Products!$D$2:$D$13,MATCH(D2452,Products!$A$2:$A$13,0)),INDEX(Products!$F$2:$F$13,MATCH(D2452,Products!$A$2:$A$13,0)))</f>
        <v>234688</v>
      </c>
      <c r="P2452" s="16" t="n">
        <f aca="false">N2452-O2452</f>
        <v>134480.942829589</v>
      </c>
    </row>
    <row r="2453" customFormat="false" ht="15" hidden="false" customHeight="false" outlineLevel="0" collapsed="false">
      <c r="A2453" s="2" t="s">
        <v>118</v>
      </c>
      <c r="B2453" s="2" t="n">
        <v>4</v>
      </c>
      <c r="C2453" s="2" t="s">
        <v>98</v>
      </c>
      <c r="D2453" s="2" t="s">
        <v>47</v>
      </c>
      <c r="E2453" s="2" t="str">
        <f aca="false">INDEX(Products!$B$2:$B$13,MATCH(D2453,Products!$A$2:$A$13,0))</f>
        <v>Specialty</v>
      </c>
      <c r="F2453" s="15" t="n">
        <v>20.7</v>
      </c>
      <c r="G2453" s="16" t="n">
        <f aca="false">IF(A2453="2025",INDEX(Products!$C$2:$C$13,MATCH(D2453,Products!$A$2:$A$13,0)),INDEX(Products!$E$2:$E$13,MATCH(D2453,Products!$A$2:$A$13,0)))</f>
        <v>30520</v>
      </c>
      <c r="H2453" s="13" t="n">
        <f aca="false">IF(A2453="2025",INDEX(Customers!$D$2:$D$41,MATCH(C2453,Customers!$A$2:$A$41,0)),INDEX(Customers!$F$2:$F$41,MATCH(C2453,Customers!$A$2:$A$41,0)))</f>
        <v>0.167</v>
      </c>
      <c r="I2453" s="16" t="n">
        <f aca="false">F2453*G2453</f>
        <v>631764</v>
      </c>
      <c r="J2453" s="16" t="n">
        <f aca="false">I2453*(1-H2453)</f>
        <v>526259.412</v>
      </c>
      <c r="K2453" s="16" t="n">
        <f aca="false">J2453*INDEX(Customers!$G$2:$G$41,MATCH(C2453,Customers!$A$2:$A$41,0))</f>
        <v>5262.59412</v>
      </c>
      <c r="L2453" s="16" t="n">
        <f aca="false">F2453*INDEX(Customers!$H$2:$H$41,MATCH(C2453,Customers!$A$2:$A$41,0))</f>
        <v>7866</v>
      </c>
      <c r="M2453" s="16" t="n">
        <f aca="false">J2453*INDEX(Customers!$I$2:$I$41,MATCH(C2453,Customers!$A$2:$A$41,0))/365*Assumptions!$B$6</f>
        <v>10381.0075791781</v>
      </c>
      <c r="N2453" s="16" t="n">
        <f aca="false">J2453-K2453-L2453-M2453</f>
        <v>502749.810300822</v>
      </c>
      <c r="O2453" s="16" t="n">
        <f aca="false">F2453*IF(A2453="2025",INDEX(Products!$D$2:$D$13,MATCH(D2453,Products!$A$2:$A$13,0)),INDEX(Products!$F$2:$F$13,MATCH(D2453,Products!$A$2:$A$13,0)))</f>
        <v>319608</v>
      </c>
      <c r="P2453" s="16" t="n">
        <f aca="false">N2453-O2453</f>
        <v>183141.810300822</v>
      </c>
    </row>
    <row r="2454" customFormat="false" ht="15" hidden="false" customHeight="false" outlineLevel="0" collapsed="false">
      <c r="A2454" s="2" t="s">
        <v>118</v>
      </c>
      <c r="B2454" s="2" t="n">
        <v>5</v>
      </c>
      <c r="C2454" s="2" t="s">
        <v>98</v>
      </c>
      <c r="D2454" s="2" t="s">
        <v>47</v>
      </c>
      <c r="E2454" s="2" t="str">
        <f aca="false">INDEX(Products!$B$2:$B$13,MATCH(D2454,Products!$A$2:$A$13,0))</f>
        <v>Specialty</v>
      </c>
      <c r="F2454" s="15" t="n">
        <v>21.9</v>
      </c>
      <c r="G2454" s="16" t="n">
        <f aca="false">IF(A2454="2025",INDEX(Products!$C$2:$C$13,MATCH(D2454,Products!$A$2:$A$13,0)),INDEX(Products!$E$2:$E$13,MATCH(D2454,Products!$A$2:$A$13,0)))</f>
        <v>30520</v>
      </c>
      <c r="H2454" s="13" t="n">
        <f aca="false">IF(A2454="2025",INDEX(Customers!$D$2:$D$41,MATCH(C2454,Customers!$A$2:$A$41,0)),INDEX(Customers!$F$2:$F$41,MATCH(C2454,Customers!$A$2:$A$41,0)))</f>
        <v>0.167</v>
      </c>
      <c r="I2454" s="16" t="n">
        <f aca="false">F2454*G2454</f>
        <v>668388</v>
      </c>
      <c r="J2454" s="16" t="n">
        <f aca="false">I2454*(1-H2454)</f>
        <v>556767.204</v>
      </c>
      <c r="K2454" s="16" t="n">
        <f aca="false">J2454*INDEX(Customers!$G$2:$G$41,MATCH(C2454,Customers!$A$2:$A$41,0))</f>
        <v>5567.67204</v>
      </c>
      <c r="L2454" s="16" t="n">
        <f aca="false">F2454*INDEX(Customers!$H$2:$H$41,MATCH(C2454,Customers!$A$2:$A$41,0))</f>
        <v>8322</v>
      </c>
      <c r="M2454" s="16" t="n">
        <f aca="false">J2454*INDEX(Customers!$I$2:$I$41,MATCH(C2454,Customers!$A$2:$A$41,0))/365*Assumptions!$B$6</f>
        <v>10982.80512</v>
      </c>
      <c r="N2454" s="16" t="n">
        <f aca="false">J2454-K2454-L2454-M2454</f>
        <v>531894.72684</v>
      </c>
      <c r="O2454" s="16" t="n">
        <f aca="false">F2454*IF(A2454="2025",INDEX(Products!$D$2:$D$13,MATCH(D2454,Products!$A$2:$A$13,0)),INDEX(Products!$F$2:$F$13,MATCH(D2454,Products!$A$2:$A$13,0)))</f>
        <v>338136</v>
      </c>
      <c r="P2454" s="16" t="n">
        <f aca="false">N2454-O2454</f>
        <v>193758.72684</v>
      </c>
    </row>
    <row r="2455" customFormat="false" ht="15" hidden="false" customHeight="false" outlineLevel="0" collapsed="false">
      <c r="A2455" s="2" t="s">
        <v>118</v>
      </c>
      <c r="B2455" s="2" t="n">
        <v>6</v>
      </c>
      <c r="C2455" s="2" t="s">
        <v>98</v>
      </c>
      <c r="D2455" s="2" t="s">
        <v>47</v>
      </c>
      <c r="E2455" s="2" t="str">
        <f aca="false">INDEX(Products!$B$2:$B$13,MATCH(D2455,Products!$A$2:$A$13,0))</f>
        <v>Specialty</v>
      </c>
      <c r="F2455" s="15" t="n">
        <v>16.6</v>
      </c>
      <c r="G2455" s="16" t="n">
        <f aca="false">IF(A2455="2025",INDEX(Products!$C$2:$C$13,MATCH(D2455,Products!$A$2:$A$13,0)),INDEX(Products!$E$2:$E$13,MATCH(D2455,Products!$A$2:$A$13,0)))</f>
        <v>30520</v>
      </c>
      <c r="H2455" s="13" t="n">
        <f aca="false">IF(A2455="2025",INDEX(Customers!$D$2:$D$41,MATCH(C2455,Customers!$A$2:$A$41,0)),INDEX(Customers!$F$2:$F$41,MATCH(C2455,Customers!$A$2:$A$41,0)))</f>
        <v>0.167</v>
      </c>
      <c r="I2455" s="16" t="n">
        <f aca="false">F2455*G2455</f>
        <v>506632</v>
      </c>
      <c r="J2455" s="16" t="n">
        <f aca="false">I2455*(1-H2455)</f>
        <v>422024.456</v>
      </c>
      <c r="K2455" s="16" t="n">
        <f aca="false">J2455*INDEX(Customers!$G$2:$G$41,MATCH(C2455,Customers!$A$2:$A$41,0))</f>
        <v>4220.24456</v>
      </c>
      <c r="L2455" s="16" t="n">
        <f aca="false">F2455*INDEX(Customers!$H$2:$H$41,MATCH(C2455,Customers!$A$2:$A$41,0))</f>
        <v>6308</v>
      </c>
      <c r="M2455" s="16" t="n">
        <f aca="false">J2455*INDEX(Customers!$I$2:$I$41,MATCH(C2455,Customers!$A$2:$A$41,0))/365*Assumptions!$B$6</f>
        <v>8324.86598136986</v>
      </c>
      <c r="N2455" s="16" t="n">
        <f aca="false">J2455-K2455-L2455-M2455</f>
        <v>403171.34545863</v>
      </c>
      <c r="O2455" s="16" t="n">
        <f aca="false">F2455*IF(A2455="2025",INDEX(Products!$D$2:$D$13,MATCH(D2455,Products!$A$2:$A$13,0)),INDEX(Products!$F$2:$F$13,MATCH(D2455,Products!$A$2:$A$13,0)))</f>
        <v>256304</v>
      </c>
      <c r="P2455" s="16" t="n">
        <f aca="false">N2455-O2455</f>
        <v>146867.34545863</v>
      </c>
    </row>
    <row r="2456" customFormat="false" ht="15" hidden="false" customHeight="false" outlineLevel="0" collapsed="false">
      <c r="A2456" s="2" t="s">
        <v>118</v>
      </c>
      <c r="B2456" s="2" t="n">
        <v>7</v>
      </c>
      <c r="C2456" s="2" t="s">
        <v>98</v>
      </c>
      <c r="D2456" s="2" t="s">
        <v>47</v>
      </c>
      <c r="E2456" s="2" t="str">
        <f aca="false">INDEX(Products!$B$2:$B$13,MATCH(D2456,Products!$A$2:$A$13,0))</f>
        <v>Specialty</v>
      </c>
      <c r="F2456" s="15" t="n">
        <v>18.8</v>
      </c>
      <c r="G2456" s="16" t="n">
        <f aca="false">IF(A2456="2025",INDEX(Products!$C$2:$C$13,MATCH(D2456,Products!$A$2:$A$13,0)),INDEX(Products!$E$2:$E$13,MATCH(D2456,Products!$A$2:$A$13,0)))</f>
        <v>30520</v>
      </c>
      <c r="H2456" s="13" t="n">
        <f aca="false">IF(A2456="2025",INDEX(Customers!$D$2:$D$41,MATCH(C2456,Customers!$A$2:$A$41,0)),INDEX(Customers!$F$2:$F$41,MATCH(C2456,Customers!$A$2:$A$41,0)))</f>
        <v>0.167</v>
      </c>
      <c r="I2456" s="16" t="n">
        <f aca="false">F2456*G2456</f>
        <v>573776</v>
      </c>
      <c r="J2456" s="16" t="n">
        <f aca="false">I2456*(1-H2456)</f>
        <v>477955.408</v>
      </c>
      <c r="K2456" s="16" t="n">
        <f aca="false">J2456*INDEX(Customers!$G$2:$G$41,MATCH(C2456,Customers!$A$2:$A$41,0))</f>
        <v>4779.55408</v>
      </c>
      <c r="L2456" s="16" t="n">
        <f aca="false">F2456*INDEX(Customers!$H$2:$H$41,MATCH(C2456,Customers!$A$2:$A$41,0))</f>
        <v>7144</v>
      </c>
      <c r="M2456" s="16" t="n">
        <f aca="false">J2456*INDEX(Customers!$I$2:$I$41,MATCH(C2456,Customers!$A$2:$A$41,0))/365*Assumptions!$B$6</f>
        <v>9428.16147287671</v>
      </c>
      <c r="N2456" s="16" t="n">
        <f aca="false">J2456-K2456-L2456-M2456</f>
        <v>456603.692447123</v>
      </c>
      <c r="O2456" s="16" t="n">
        <f aca="false">F2456*IF(A2456="2025",INDEX(Products!$D$2:$D$13,MATCH(D2456,Products!$A$2:$A$13,0)),INDEX(Products!$F$2:$F$13,MATCH(D2456,Products!$A$2:$A$13,0)))</f>
        <v>290272</v>
      </c>
      <c r="P2456" s="16" t="n">
        <f aca="false">N2456-O2456</f>
        <v>166331.692447123</v>
      </c>
    </row>
    <row r="2457" customFormat="false" ht="15" hidden="false" customHeight="false" outlineLevel="0" collapsed="false">
      <c r="A2457" s="2" t="s">
        <v>118</v>
      </c>
      <c r="B2457" s="2" t="n">
        <v>8</v>
      </c>
      <c r="C2457" s="2" t="s">
        <v>98</v>
      </c>
      <c r="D2457" s="2" t="s">
        <v>47</v>
      </c>
      <c r="E2457" s="2" t="str">
        <f aca="false">INDEX(Products!$B$2:$B$13,MATCH(D2457,Products!$A$2:$A$13,0))</f>
        <v>Specialty</v>
      </c>
      <c r="F2457" s="15" t="n">
        <v>12.4</v>
      </c>
      <c r="G2457" s="16" t="n">
        <f aca="false">IF(A2457="2025",INDEX(Products!$C$2:$C$13,MATCH(D2457,Products!$A$2:$A$13,0)),INDEX(Products!$E$2:$E$13,MATCH(D2457,Products!$A$2:$A$13,0)))</f>
        <v>30520</v>
      </c>
      <c r="H2457" s="13" t="n">
        <f aca="false">IF(A2457="2025",INDEX(Customers!$D$2:$D$41,MATCH(C2457,Customers!$A$2:$A$41,0)),INDEX(Customers!$F$2:$F$41,MATCH(C2457,Customers!$A$2:$A$41,0)))</f>
        <v>0.167</v>
      </c>
      <c r="I2457" s="16" t="n">
        <f aca="false">F2457*G2457</f>
        <v>378448</v>
      </c>
      <c r="J2457" s="16" t="n">
        <f aca="false">I2457*(1-H2457)</f>
        <v>315247.184</v>
      </c>
      <c r="K2457" s="16" t="n">
        <f aca="false">J2457*INDEX(Customers!$G$2:$G$41,MATCH(C2457,Customers!$A$2:$A$41,0))</f>
        <v>3152.47184</v>
      </c>
      <c r="L2457" s="16" t="n">
        <f aca="false">F2457*INDEX(Customers!$H$2:$H$41,MATCH(C2457,Customers!$A$2:$A$41,0))</f>
        <v>4712</v>
      </c>
      <c r="M2457" s="16" t="n">
        <f aca="false">J2457*INDEX(Customers!$I$2:$I$41,MATCH(C2457,Customers!$A$2:$A$41,0))/365*Assumptions!$B$6</f>
        <v>6218.57458849315</v>
      </c>
      <c r="N2457" s="16" t="n">
        <f aca="false">J2457-K2457-L2457-M2457</f>
        <v>301164.137571507</v>
      </c>
      <c r="O2457" s="16" t="n">
        <f aca="false">F2457*IF(A2457="2025",INDEX(Products!$D$2:$D$13,MATCH(D2457,Products!$A$2:$A$13,0)),INDEX(Products!$F$2:$F$13,MATCH(D2457,Products!$A$2:$A$13,0)))</f>
        <v>191456</v>
      </c>
      <c r="P2457" s="16" t="n">
        <f aca="false">N2457-O2457</f>
        <v>109708.137571507</v>
      </c>
    </row>
    <row r="2458" customFormat="false" ht="15" hidden="false" customHeight="false" outlineLevel="0" collapsed="false">
      <c r="A2458" s="2" t="s">
        <v>118</v>
      </c>
      <c r="B2458" s="2" t="n">
        <v>9</v>
      </c>
      <c r="C2458" s="2" t="s">
        <v>98</v>
      </c>
      <c r="D2458" s="2" t="s">
        <v>47</v>
      </c>
      <c r="E2458" s="2" t="str">
        <f aca="false">INDEX(Products!$B$2:$B$13,MATCH(D2458,Products!$A$2:$A$13,0))</f>
        <v>Specialty</v>
      </c>
      <c r="F2458" s="15" t="n">
        <v>18.8</v>
      </c>
      <c r="G2458" s="16" t="n">
        <f aca="false">IF(A2458="2025",INDEX(Products!$C$2:$C$13,MATCH(D2458,Products!$A$2:$A$13,0)),INDEX(Products!$E$2:$E$13,MATCH(D2458,Products!$A$2:$A$13,0)))</f>
        <v>30520</v>
      </c>
      <c r="H2458" s="13" t="n">
        <f aca="false">IF(A2458="2025",INDEX(Customers!$D$2:$D$41,MATCH(C2458,Customers!$A$2:$A$41,0)),INDEX(Customers!$F$2:$F$41,MATCH(C2458,Customers!$A$2:$A$41,0)))</f>
        <v>0.167</v>
      </c>
      <c r="I2458" s="16" t="n">
        <f aca="false">F2458*G2458</f>
        <v>573776</v>
      </c>
      <c r="J2458" s="16" t="n">
        <f aca="false">I2458*(1-H2458)</f>
        <v>477955.408</v>
      </c>
      <c r="K2458" s="16" t="n">
        <f aca="false">J2458*INDEX(Customers!$G$2:$G$41,MATCH(C2458,Customers!$A$2:$A$41,0))</f>
        <v>4779.55408</v>
      </c>
      <c r="L2458" s="16" t="n">
        <f aca="false">F2458*INDEX(Customers!$H$2:$H$41,MATCH(C2458,Customers!$A$2:$A$41,0))</f>
        <v>7144</v>
      </c>
      <c r="M2458" s="16" t="n">
        <f aca="false">J2458*INDEX(Customers!$I$2:$I$41,MATCH(C2458,Customers!$A$2:$A$41,0))/365*Assumptions!$B$6</f>
        <v>9428.16147287671</v>
      </c>
      <c r="N2458" s="16" t="n">
        <f aca="false">J2458-K2458-L2458-M2458</f>
        <v>456603.692447123</v>
      </c>
      <c r="O2458" s="16" t="n">
        <f aca="false">F2458*IF(A2458="2025",INDEX(Products!$D$2:$D$13,MATCH(D2458,Products!$A$2:$A$13,0)),INDEX(Products!$F$2:$F$13,MATCH(D2458,Products!$A$2:$A$13,0)))</f>
        <v>290272</v>
      </c>
      <c r="P2458" s="16" t="n">
        <f aca="false">N2458-O2458</f>
        <v>166331.692447123</v>
      </c>
    </row>
    <row r="2459" customFormat="false" ht="15" hidden="false" customHeight="false" outlineLevel="0" collapsed="false">
      <c r="A2459" s="2" t="s">
        <v>118</v>
      </c>
      <c r="B2459" s="2" t="n">
        <v>10</v>
      </c>
      <c r="C2459" s="2" t="s">
        <v>98</v>
      </c>
      <c r="D2459" s="2" t="s">
        <v>47</v>
      </c>
      <c r="E2459" s="2" t="str">
        <f aca="false">INDEX(Products!$B$2:$B$13,MATCH(D2459,Products!$A$2:$A$13,0))</f>
        <v>Specialty</v>
      </c>
      <c r="F2459" s="15" t="n">
        <v>13.7</v>
      </c>
      <c r="G2459" s="16" t="n">
        <f aca="false">IF(A2459="2025",INDEX(Products!$C$2:$C$13,MATCH(D2459,Products!$A$2:$A$13,0)),INDEX(Products!$E$2:$E$13,MATCH(D2459,Products!$A$2:$A$13,0)))</f>
        <v>30520</v>
      </c>
      <c r="H2459" s="13" t="n">
        <f aca="false">IF(A2459="2025",INDEX(Customers!$D$2:$D$41,MATCH(C2459,Customers!$A$2:$A$41,0)),INDEX(Customers!$F$2:$F$41,MATCH(C2459,Customers!$A$2:$A$41,0)))</f>
        <v>0.167</v>
      </c>
      <c r="I2459" s="16" t="n">
        <f aca="false">F2459*G2459</f>
        <v>418124</v>
      </c>
      <c r="J2459" s="16" t="n">
        <f aca="false">I2459*(1-H2459)</f>
        <v>348297.292</v>
      </c>
      <c r="K2459" s="16" t="n">
        <f aca="false">J2459*INDEX(Customers!$G$2:$G$41,MATCH(C2459,Customers!$A$2:$A$41,0))</f>
        <v>3482.97292</v>
      </c>
      <c r="L2459" s="16" t="n">
        <f aca="false">F2459*INDEX(Customers!$H$2:$H$41,MATCH(C2459,Customers!$A$2:$A$41,0))</f>
        <v>5206</v>
      </c>
      <c r="M2459" s="16" t="n">
        <f aca="false">J2459*INDEX(Customers!$I$2:$I$41,MATCH(C2459,Customers!$A$2:$A$41,0))/365*Assumptions!$B$6</f>
        <v>6870.52192438356</v>
      </c>
      <c r="N2459" s="16" t="n">
        <f aca="false">J2459-K2459-L2459-M2459</f>
        <v>332737.797155616</v>
      </c>
      <c r="O2459" s="16" t="n">
        <f aca="false">F2459*IF(A2459="2025",INDEX(Products!$D$2:$D$13,MATCH(D2459,Products!$A$2:$A$13,0)),INDEX(Products!$F$2:$F$13,MATCH(D2459,Products!$A$2:$A$13,0)))</f>
        <v>211528</v>
      </c>
      <c r="P2459" s="16" t="n">
        <f aca="false">N2459-O2459</f>
        <v>121209.797155616</v>
      </c>
    </row>
    <row r="2460" customFormat="false" ht="15" hidden="false" customHeight="false" outlineLevel="0" collapsed="false">
      <c r="A2460" s="2" t="s">
        <v>118</v>
      </c>
      <c r="B2460" s="2" t="n">
        <v>11</v>
      </c>
      <c r="C2460" s="2" t="s">
        <v>98</v>
      </c>
      <c r="D2460" s="2" t="s">
        <v>47</v>
      </c>
      <c r="E2460" s="2" t="str">
        <f aca="false">INDEX(Products!$B$2:$B$13,MATCH(D2460,Products!$A$2:$A$13,0))</f>
        <v>Specialty</v>
      </c>
      <c r="F2460" s="15" t="n">
        <v>16</v>
      </c>
      <c r="G2460" s="16" t="n">
        <f aca="false">IF(A2460="2025",INDEX(Products!$C$2:$C$13,MATCH(D2460,Products!$A$2:$A$13,0)),INDEX(Products!$E$2:$E$13,MATCH(D2460,Products!$A$2:$A$13,0)))</f>
        <v>30520</v>
      </c>
      <c r="H2460" s="13" t="n">
        <f aca="false">IF(A2460="2025",INDEX(Customers!$D$2:$D$41,MATCH(C2460,Customers!$A$2:$A$41,0)),INDEX(Customers!$F$2:$F$41,MATCH(C2460,Customers!$A$2:$A$41,0)))</f>
        <v>0.167</v>
      </c>
      <c r="I2460" s="16" t="n">
        <f aca="false">F2460*G2460</f>
        <v>488320</v>
      </c>
      <c r="J2460" s="16" t="n">
        <f aca="false">I2460*(1-H2460)</f>
        <v>406770.56</v>
      </c>
      <c r="K2460" s="16" t="n">
        <f aca="false">J2460*INDEX(Customers!$G$2:$G$41,MATCH(C2460,Customers!$A$2:$A$41,0))</f>
        <v>4067.7056</v>
      </c>
      <c r="L2460" s="16" t="n">
        <f aca="false">F2460*INDEX(Customers!$H$2:$H$41,MATCH(C2460,Customers!$A$2:$A$41,0))</f>
        <v>6080</v>
      </c>
      <c r="M2460" s="16" t="n">
        <f aca="false">J2460*INDEX(Customers!$I$2:$I$41,MATCH(C2460,Customers!$A$2:$A$41,0))/365*Assumptions!$B$6</f>
        <v>8023.9672109589</v>
      </c>
      <c r="N2460" s="16" t="n">
        <f aca="false">J2460-K2460-L2460-M2460</f>
        <v>388598.887189041</v>
      </c>
      <c r="O2460" s="16" t="n">
        <f aca="false">F2460*IF(A2460="2025",INDEX(Products!$D$2:$D$13,MATCH(D2460,Products!$A$2:$A$13,0)),INDEX(Products!$F$2:$F$13,MATCH(D2460,Products!$A$2:$A$13,0)))</f>
        <v>247040</v>
      </c>
      <c r="P2460" s="16" t="n">
        <f aca="false">N2460-O2460</f>
        <v>141558.887189041</v>
      </c>
    </row>
    <row r="2461" customFormat="false" ht="15" hidden="false" customHeight="false" outlineLevel="0" collapsed="false">
      <c r="A2461" s="2" t="s">
        <v>118</v>
      </c>
      <c r="B2461" s="2" t="n">
        <v>12</v>
      </c>
      <c r="C2461" s="2" t="s">
        <v>98</v>
      </c>
      <c r="D2461" s="2" t="s">
        <v>47</v>
      </c>
      <c r="E2461" s="2" t="str">
        <f aca="false">INDEX(Products!$B$2:$B$13,MATCH(D2461,Products!$A$2:$A$13,0))</f>
        <v>Specialty</v>
      </c>
      <c r="F2461" s="15" t="n">
        <v>22</v>
      </c>
      <c r="G2461" s="16" t="n">
        <f aca="false">IF(A2461="2025",INDEX(Products!$C$2:$C$13,MATCH(D2461,Products!$A$2:$A$13,0)),INDEX(Products!$E$2:$E$13,MATCH(D2461,Products!$A$2:$A$13,0)))</f>
        <v>30520</v>
      </c>
      <c r="H2461" s="13" t="n">
        <f aca="false">IF(A2461="2025",INDEX(Customers!$D$2:$D$41,MATCH(C2461,Customers!$A$2:$A$41,0)),INDEX(Customers!$F$2:$F$41,MATCH(C2461,Customers!$A$2:$A$41,0)))</f>
        <v>0.167</v>
      </c>
      <c r="I2461" s="16" t="n">
        <f aca="false">F2461*G2461</f>
        <v>671440</v>
      </c>
      <c r="J2461" s="16" t="n">
        <f aca="false">I2461*(1-H2461)</f>
        <v>559309.52</v>
      </c>
      <c r="K2461" s="16" t="n">
        <f aca="false">J2461*INDEX(Customers!$G$2:$G$41,MATCH(C2461,Customers!$A$2:$A$41,0))</f>
        <v>5593.0952</v>
      </c>
      <c r="L2461" s="16" t="n">
        <f aca="false">F2461*INDEX(Customers!$H$2:$H$41,MATCH(C2461,Customers!$A$2:$A$41,0))</f>
        <v>8360</v>
      </c>
      <c r="M2461" s="16" t="n">
        <f aca="false">J2461*INDEX(Customers!$I$2:$I$41,MATCH(C2461,Customers!$A$2:$A$41,0))/365*Assumptions!$B$6</f>
        <v>11032.9549150685</v>
      </c>
      <c r="N2461" s="16" t="n">
        <f aca="false">J2461-K2461-L2461-M2461</f>
        <v>534323.469884932</v>
      </c>
      <c r="O2461" s="16" t="n">
        <f aca="false">F2461*IF(A2461="2025",INDEX(Products!$D$2:$D$13,MATCH(D2461,Products!$A$2:$A$13,0)),INDEX(Products!$F$2:$F$13,MATCH(D2461,Products!$A$2:$A$13,0)))</f>
        <v>339680</v>
      </c>
      <c r="P2461" s="16" t="n">
        <f aca="false">N2461-O2461</f>
        <v>194643.469884932</v>
      </c>
    </row>
    <row r="2462" customFormat="false" ht="15" hidden="false" customHeight="false" outlineLevel="0" collapsed="false">
      <c r="A2462" s="2" t="s">
        <v>119</v>
      </c>
      <c r="B2462" s="2" t="n">
        <v>1</v>
      </c>
      <c r="C2462" s="2" t="s">
        <v>98</v>
      </c>
      <c r="D2462" s="2" t="s">
        <v>47</v>
      </c>
      <c r="E2462" s="2" t="str">
        <f aca="false">INDEX(Products!$B$2:$B$13,MATCH(D2462,Products!$A$2:$A$13,0))</f>
        <v>Specialty</v>
      </c>
      <c r="F2462" s="15" t="n">
        <v>13.5</v>
      </c>
      <c r="G2462" s="16" t="n">
        <f aca="false">IF(A2462="2025",INDEX(Products!$C$2:$C$13,MATCH(D2462,Products!$A$2:$A$13,0)),INDEX(Products!$E$2:$E$13,MATCH(D2462,Products!$A$2:$A$13,0)))</f>
        <v>32046</v>
      </c>
      <c r="H2462" s="13" t="n">
        <f aca="false">IF(A2462="2025",INDEX(Customers!$D$2:$D$41,MATCH(C2462,Customers!$A$2:$A$41,0)),INDEX(Customers!$F$2:$F$41,MATCH(C2462,Customers!$A$2:$A$41,0)))</f>
        <v>0.183</v>
      </c>
      <c r="I2462" s="16" t="n">
        <f aca="false">F2462*G2462</f>
        <v>432621</v>
      </c>
      <c r="J2462" s="16" t="n">
        <f aca="false">I2462*(1-H2462)</f>
        <v>353451.357</v>
      </c>
      <c r="K2462" s="16" t="n">
        <f aca="false">J2462*INDEX(Customers!$G$2:$G$41,MATCH(C2462,Customers!$A$2:$A$41,0))</f>
        <v>3534.51357</v>
      </c>
      <c r="L2462" s="16" t="n">
        <f aca="false">F2462*INDEX(Customers!$H$2:$H$41,MATCH(C2462,Customers!$A$2:$A$41,0))</f>
        <v>5130</v>
      </c>
      <c r="M2462" s="16" t="n">
        <f aca="false">J2462*INDEX(Customers!$I$2:$I$41,MATCH(C2462,Customers!$A$2:$A$41,0))/365*Assumptions!$B$6</f>
        <v>6972.19115178082</v>
      </c>
      <c r="N2462" s="16" t="n">
        <f aca="false">J2462-K2462-L2462-M2462</f>
        <v>337814.652278219</v>
      </c>
      <c r="O2462" s="16" t="n">
        <f aca="false">F2462*IF(A2462="2025",INDEX(Products!$D$2:$D$13,MATCH(D2462,Products!$A$2:$A$13,0)),INDEX(Products!$F$2:$F$13,MATCH(D2462,Products!$A$2:$A$13,0)))</f>
        <v>214693.2</v>
      </c>
      <c r="P2462" s="16" t="n">
        <f aca="false">N2462-O2462</f>
        <v>123121.452278219</v>
      </c>
    </row>
    <row r="2463" customFormat="false" ht="15" hidden="false" customHeight="false" outlineLevel="0" collapsed="false">
      <c r="A2463" s="2" t="s">
        <v>119</v>
      </c>
      <c r="B2463" s="2" t="n">
        <v>2</v>
      </c>
      <c r="C2463" s="2" t="s">
        <v>98</v>
      </c>
      <c r="D2463" s="2" t="s">
        <v>47</v>
      </c>
      <c r="E2463" s="2" t="str">
        <f aca="false">INDEX(Products!$B$2:$B$13,MATCH(D2463,Products!$A$2:$A$13,0))</f>
        <v>Specialty</v>
      </c>
      <c r="F2463" s="15" t="n">
        <v>19.7</v>
      </c>
      <c r="G2463" s="16" t="n">
        <f aca="false">IF(A2463="2025",INDEX(Products!$C$2:$C$13,MATCH(D2463,Products!$A$2:$A$13,0)),INDEX(Products!$E$2:$E$13,MATCH(D2463,Products!$A$2:$A$13,0)))</f>
        <v>32046</v>
      </c>
      <c r="H2463" s="13" t="n">
        <f aca="false">IF(A2463="2025",INDEX(Customers!$D$2:$D$41,MATCH(C2463,Customers!$A$2:$A$41,0)),INDEX(Customers!$F$2:$F$41,MATCH(C2463,Customers!$A$2:$A$41,0)))</f>
        <v>0.183</v>
      </c>
      <c r="I2463" s="16" t="n">
        <f aca="false">F2463*G2463</f>
        <v>631306.2</v>
      </c>
      <c r="J2463" s="16" t="n">
        <f aca="false">I2463*(1-H2463)</f>
        <v>515777.1654</v>
      </c>
      <c r="K2463" s="16" t="n">
        <f aca="false">J2463*INDEX(Customers!$G$2:$G$41,MATCH(C2463,Customers!$A$2:$A$41,0))</f>
        <v>5157.771654</v>
      </c>
      <c r="L2463" s="16" t="n">
        <f aca="false">F2463*INDEX(Customers!$H$2:$H$41,MATCH(C2463,Customers!$A$2:$A$41,0))</f>
        <v>7486</v>
      </c>
      <c r="M2463" s="16" t="n">
        <f aca="false">J2463*INDEX(Customers!$I$2:$I$41,MATCH(C2463,Customers!$A$2:$A$41,0))/365*Assumptions!$B$6</f>
        <v>10174.2344955616</v>
      </c>
      <c r="N2463" s="16" t="n">
        <f aca="false">J2463-K2463-L2463-M2463</f>
        <v>492959.159250438</v>
      </c>
      <c r="O2463" s="16" t="n">
        <f aca="false">F2463*IF(A2463="2025",INDEX(Products!$D$2:$D$13,MATCH(D2463,Products!$A$2:$A$13,0)),INDEX(Products!$F$2:$F$13,MATCH(D2463,Products!$A$2:$A$13,0)))</f>
        <v>313293.04</v>
      </c>
      <c r="P2463" s="16" t="n">
        <f aca="false">N2463-O2463</f>
        <v>179666.119250438</v>
      </c>
    </row>
    <row r="2464" customFormat="false" ht="15" hidden="false" customHeight="false" outlineLevel="0" collapsed="false">
      <c r="A2464" s="2" t="s">
        <v>119</v>
      </c>
      <c r="B2464" s="2" t="n">
        <v>3</v>
      </c>
      <c r="C2464" s="2" t="s">
        <v>98</v>
      </c>
      <c r="D2464" s="2" t="s">
        <v>47</v>
      </c>
      <c r="E2464" s="2" t="str">
        <f aca="false">INDEX(Products!$B$2:$B$13,MATCH(D2464,Products!$A$2:$A$13,0))</f>
        <v>Specialty</v>
      </c>
      <c r="F2464" s="15" t="n">
        <v>12.3</v>
      </c>
      <c r="G2464" s="16" t="n">
        <f aca="false">IF(A2464="2025",INDEX(Products!$C$2:$C$13,MATCH(D2464,Products!$A$2:$A$13,0)),INDEX(Products!$E$2:$E$13,MATCH(D2464,Products!$A$2:$A$13,0)))</f>
        <v>32046</v>
      </c>
      <c r="H2464" s="13" t="n">
        <f aca="false">IF(A2464="2025",INDEX(Customers!$D$2:$D$41,MATCH(C2464,Customers!$A$2:$A$41,0)),INDEX(Customers!$F$2:$F$41,MATCH(C2464,Customers!$A$2:$A$41,0)))</f>
        <v>0.183</v>
      </c>
      <c r="I2464" s="16" t="n">
        <f aca="false">F2464*G2464</f>
        <v>394165.8</v>
      </c>
      <c r="J2464" s="16" t="n">
        <f aca="false">I2464*(1-H2464)</f>
        <v>322033.4586</v>
      </c>
      <c r="K2464" s="16" t="n">
        <f aca="false">J2464*INDEX(Customers!$G$2:$G$41,MATCH(C2464,Customers!$A$2:$A$41,0))</f>
        <v>3220.334586</v>
      </c>
      <c r="L2464" s="16" t="n">
        <f aca="false">F2464*INDEX(Customers!$H$2:$H$41,MATCH(C2464,Customers!$A$2:$A$41,0))</f>
        <v>4674</v>
      </c>
      <c r="M2464" s="16" t="n">
        <f aca="false">J2464*INDEX(Customers!$I$2:$I$41,MATCH(C2464,Customers!$A$2:$A$41,0))/365*Assumptions!$B$6</f>
        <v>6352.44082717808</v>
      </c>
      <c r="N2464" s="16" t="n">
        <f aca="false">J2464-K2464-L2464-M2464</f>
        <v>307786.683186822</v>
      </c>
      <c r="O2464" s="16" t="n">
        <f aca="false">F2464*IF(A2464="2025",INDEX(Products!$D$2:$D$13,MATCH(D2464,Products!$A$2:$A$13,0)),INDEX(Products!$F$2:$F$13,MATCH(D2464,Products!$A$2:$A$13,0)))</f>
        <v>195609.36</v>
      </c>
      <c r="P2464" s="16" t="n">
        <f aca="false">N2464-O2464</f>
        <v>112177.323186822</v>
      </c>
    </row>
    <row r="2465" customFormat="false" ht="15" hidden="false" customHeight="false" outlineLevel="0" collapsed="false">
      <c r="A2465" s="2" t="s">
        <v>119</v>
      </c>
      <c r="B2465" s="2" t="n">
        <v>4</v>
      </c>
      <c r="C2465" s="2" t="s">
        <v>98</v>
      </c>
      <c r="D2465" s="2" t="s">
        <v>47</v>
      </c>
      <c r="E2465" s="2" t="str">
        <f aca="false">INDEX(Products!$B$2:$B$13,MATCH(D2465,Products!$A$2:$A$13,0))</f>
        <v>Specialty</v>
      </c>
      <c r="F2465" s="15" t="n">
        <v>20</v>
      </c>
      <c r="G2465" s="16" t="n">
        <f aca="false">IF(A2465="2025",INDEX(Products!$C$2:$C$13,MATCH(D2465,Products!$A$2:$A$13,0)),INDEX(Products!$E$2:$E$13,MATCH(D2465,Products!$A$2:$A$13,0)))</f>
        <v>32046</v>
      </c>
      <c r="H2465" s="13" t="n">
        <f aca="false">IF(A2465="2025",INDEX(Customers!$D$2:$D$41,MATCH(C2465,Customers!$A$2:$A$41,0)),INDEX(Customers!$F$2:$F$41,MATCH(C2465,Customers!$A$2:$A$41,0)))</f>
        <v>0.183</v>
      </c>
      <c r="I2465" s="16" t="n">
        <f aca="false">F2465*G2465</f>
        <v>640920</v>
      </c>
      <c r="J2465" s="16" t="n">
        <f aca="false">I2465*(1-H2465)</f>
        <v>523631.64</v>
      </c>
      <c r="K2465" s="16" t="n">
        <f aca="false">J2465*INDEX(Customers!$G$2:$G$41,MATCH(C2465,Customers!$A$2:$A$41,0))</f>
        <v>5236.3164</v>
      </c>
      <c r="L2465" s="16" t="n">
        <f aca="false">F2465*INDEX(Customers!$H$2:$H$41,MATCH(C2465,Customers!$A$2:$A$41,0))</f>
        <v>7600</v>
      </c>
      <c r="M2465" s="16" t="n">
        <f aca="false">J2465*INDEX(Customers!$I$2:$I$41,MATCH(C2465,Customers!$A$2:$A$41,0))/365*Assumptions!$B$6</f>
        <v>10329.1720767123</v>
      </c>
      <c r="N2465" s="16" t="n">
        <f aca="false">J2465-K2465-L2465-M2465</f>
        <v>500466.151523288</v>
      </c>
      <c r="O2465" s="16" t="n">
        <f aca="false">F2465*IF(A2465="2025",INDEX(Products!$D$2:$D$13,MATCH(D2465,Products!$A$2:$A$13,0)),INDEX(Products!$F$2:$F$13,MATCH(D2465,Products!$A$2:$A$13,0)))</f>
        <v>318064</v>
      </c>
      <c r="P2465" s="16" t="n">
        <f aca="false">N2465-O2465</f>
        <v>182402.151523288</v>
      </c>
    </row>
    <row r="2466" customFormat="false" ht="15" hidden="false" customHeight="false" outlineLevel="0" collapsed="false">
      <c r="A2466" s="2" t="s">
        <v>119</v>
      </c>
      <c r="B2466" s="2" t="n">
        <v>5</v>
      </c>
      <c r="C2466" s="2" t="s">
        <v>98</v>
      </c>
      <c r="D2466" s="2" t="s">
        <v>47</v>
      </c>
      <c r="E2466" s="2" t="str">
        <f aca="false">INDEX(Products!$B$2:$B$13,MATCH(D2466,Products!$A$2:$A$13,0))</f>
        <v>Specialty</v>
      </c>
      <c r="F2466" s="15" t="n">
        <v>12.5</v>
      </c>
      <c r="G2466" s="16" t="n">
        <f aca="false">IF(A2466="2025",INDEX(Products!$C$2:$C$13,MATCH(D2466,Products!$A$2:$A$13,0)),INDEX(Products!$E$2:$E$13,MATCH(D2466,Products!$A$2:$A$13,0)))</f>
        <v>32046</v>
      </c>
      <c r="H2466" s="13" t="n">
        <f aca="false">IF(A2466="2025",INDEX(Customers!$D$2:$D$41,MATCH(C2466,Customers!$A$2:$A$41,0)),INDEX(Customers!$F$2:$F$41,MATCH(C2466,Customers!$A$2:$A$41,0)))</f>
        <v>0.183</v>
      </c>
      <c r="I2466" s="16" t="n">
        <f aca="false">F2466*G2466</f>
        <v>400575</v>
      </c>
      <c r="J2466" s="16" t="n">
        <f aca="false">I2466*(1-H2466)</f>
        <v>327269.775</v>
      </c>
      <c r="K2466" s="16" t="n">
        <f aca="false">J2466*INDEX(Customers!$G$2:$G$41,MATCH(C2466,Customers!$A$2:$A$41,0))</f>
        <v>3272.69775</v>
      </c>
      <c r="L2466" s="16" t="n">
        <f aca="false">F2466*INDEX(Customers!$H$2:$H$41,MATCH(C2466,Customers!$A$2:$A$41,0))</f>
        <v>4750</v>
      </c>
      <c r="M2466" s="16" t="n">
        <f aca="false">J2466*INDEX(Customers!$I$2:$I$41,MATCH(C2466,Customers!$A$2:$A$41,0))/365*Assumptions!$B$6</f>
        <v>6455.73254794521</v>
      </c>
      <c r="N2466" s="16" t="n">
        <f aca="false">J2466-K2466-L2466-M2466</f>
        <v>312791.344702055</v>
      </c>
      <c r="O2466" s="16" t="n">
        <f aca="false">F2466*IF(A2466="2025",INDEX(Products!$D$2:$D$13,MATCH(D2466,Products!$A$2:$A$13,0)),INDEX(Products!$F$2:$F$13,MATCH(D2466,Products!$A$2:$A$13,0)))</f>
        <v>198790</v>
      </c>
      <c r="P2466" s="16" t="n">
        <f aca="false">N2466-O2466</f>
        <v>114001.344702055</v>
      </c>
    </row>
    <row r="2467" customFormat="false" ht="15" hidden="false" customHeight="false" outlineLevel="0" collapsed="false">
      <c r="A2467" s="2" t="s">
        <v>119</v>
      </c>
      <c r="B2467" s="2" t="n">
        <v>6</v>
      </c>
      <c r="C2467" s="2" t="s">
        <v>98</v>
      </c>
      <c r="D2467" s="2" t="s">
        <v>47</v>
      </c>
      <c r="E2467" s="2" t="str">
        <f aca="false">INDEX(Products!$B$2:$B$13,MATCH(D2467,Products!$A$2:$A$13,0))</f>
        <v>Specialty</v>
      </c>
      <c r="F2467" s="15" t="n">
        <v>11.7</v>
      </c>
      <c r="G2467" s="16" t="n">
        <f aca="false">IF(A2467="2025",INDEX(Products!$C$2:$C$13,MATCH(D2467,Products!$A$2:$A$13,0)),INDEX(Products!$E$2:$E$13,MATCH(D2467,Products!$A$2:$A$13,0)))</f>
        <v>32046</v>
      </c>
      <c r="H2467" s="13" t="n">
        <f aca="false">IF(A2467="2025",INDEX(Customers!$D$2:$D$41,MATCH(C2467,Customers!$A$2:$A$41,0)),INDEX(Customers!$F$2:$F$41,MATCH(C2467,Customers!$A$2:$A$41,0)))</f>
        <v>0.183</v>
      </c>
      <c r="I2467" s="16" t="n">
        <f aca="false">F2467*G2467</f>
        <v>374938.2</v>
      </c>
      <c r="J2467" s="16" t="n">
        <f aca="false">I2467*(1-H2467)</f>
        <v>306324.5094</v>
      </c>
      <c r="K2467" s="16" t="n">
        <f aca="false">J2467*INDEX(Customers!$G$2:$G$41,MATCH(C2467,Customers!$A$2:$A$41,0))</f>
        <v>3063.245094</v>
      </c>
      <c r="L2467" s="16" t="n">
        <f aca="false">F2467*INDEX(Customers!$H$2:$H$41,MATCH(C2467,Customers!$A$2:$A$41,0))</f>
        <v>4446</v>
      </c>
      <c r="M2467" s="16" t="n">
        <f aca="false">J2467*INDEX(Customers!$I$2:$I$41,MATCH(C2467,Customers!$A$2:$A$41,0))/365*Assumptions!$B$6</f>
        <v>6042.56566487671</v>
      </c>
      <c r="N2467" s="16" t="n">
        <f aca="false">J2467-K2467-L2467-M2467</f>
        <v>292772.698641123</v>
      </c>
      <c r="O2467" s="16" t="n">
        <f aca="false">F2467*IF(A2467="2025",INDEX(Products!$D$2:$D$13,MATCH(D2467,Products!$A$2:$A$13,0)),INDEX(Products!$F$2:$F$13,MATCH(D2467,Products!$A$2:$A$13,0)))</f>
        <v>186067.44</v>
      </c>
      <c r="P2467" s="16" t="n">
        <f aca="false">N2467-O2467</f>
        <v>106705.258641123</v>
      </c>
    </row>
    <row r="2468" customFormat="false" ht="15" hidden="false" customHeight="false" outlineLevel="0" collapsed="false">
      <c r="A2468" s="2" t="s">
        <v>119</v>
      </c>
      <c r="B2468" s="2" t="n">
        <v>7</v>
      </c>
      <c r="C2468" s="2" t="s">
        <v>98</v>
      </c>
      <c r="D2468" s="2" t="s">
        <v>47</v>
      </c>
      <c r="E2468" s="2" t="str">
        <f aca="false">INDEX(Products!$B$2:$B$13,MATCH(D2468,Products!$A$2:$A$13,0))</f>
        <v>Specialty</v>
      </c>
      <c r="F2468" s="15" t="n">
        <v>12.5</v>
      </c>
      <c r="G2468" s="16" t="n">
        <f aca="false">IF(A2468="2025",INDEX(Products!$C$2:$C$13,MATCH(D2468,Products!$A$2:$A$13,0)),INDEX(Products!$E$2:$E$13,MATCH(D2468,Products!$A$2:$A$13,0)))</f>
        <v>32046</v>
      </c>
      <c r="H2468" s="13" t="n">
        <f aca="false">IF(A2468="2025",INDEX(Customers!$D$2:$D$41,MATCH(C2468,Customers!$A$2:$A$41,0)),INDEX(Customers!$F$2:$F$41,MATCH(C2468,Customers!$A$2:$A$41,0)))</f>
        <v>0.183</v>
      </c>
      <c r="I2468" s="16" t="n">
        <f aca="false">F2468*G2468</f>
        <v>400575</v>
      </c>
      <c r="J2468" s="16" t="n">
        <f aca="false">I2468*(1-H2468)</f>
        <v>327269.775</v>
      </c>
      <c r="K2468" s="16" t="n">
        <f aca="false">J2468*INDEX(Customers!$G$2:$G$41,MATCH(C2468,Customers!$A$2:$A$41,0))</f>
        <v>3272.69775</v>
      </c>
      <c r="L2468" s="16" t="n">
        <f aca="false">F2468*INDEX(Customers!$H$2:$H$41,MATCH(C2468,Customers!$A$2:$A$41,0))</f>
        <v>4750</v>
      </c>
      <c r="M2468" s="16" t="n">
        <f aca="false">J2468*INDEX(Customers!$I$2:$I$41,MATCH(C2468,Customers!$A$2:$A$41,0))/365*Assumptions!$B$6</f>
        <v>6455.73254794521</v>
      </c>
      <c r="N2468" s="16" t="n">
        <f aca="false">J2468-K2468-L2468-M2468</f>
        <v>312791.344702055</v>
      </c>
      <c r="O2468" s="16" t="n">
        <f aca="false">F2468*IF(A2468="2025",INDEX(Products!$D$2:$D$13,MATCH(D2468,Products!$A$2:$A$13,0)),INDEX(Products!$F$2:$F$13,MATCH(D2468,Products!$A$2:$A$13,0)))</f>
        <v>198790</v>
      </c>
      <c r="P2468" s="16" t="n">
        <f aca="false">N2468-O2468</f>
        <v>114001.344702055</v>
      </c>
    </row>
    <row r="2469" customFormat="false" ht="15" hidden="false" customHeight="false" outlineLevel="0" collapsed="false">
      <c r="A2469" s="2" t="s">
        <v>119</v>
      </c>
      <c r="B2469" s="2" t="n">
        <v>8</v>
      </c>
      <c r="C2469" s="2" t="s">
        <v>98</v>
      </c>
      <c r="D2469" s="2" t="s">
        <v>47</v>
      </c>
      <c r="E2469" s="2" t="str">
        <f aca="false">INDEX(Products!$B$2:$B$13,MATCH(D2469,Products!$A$2:$A$13,0))</f>
        <v>Specialty</v>
      </c>
      <c r="F2469" s="15" t="n">
        <v>18.7</v>
      </c>
      <c r="G2469" s="16" t="n">
        <f aca="false">IF(A2469="2025",INDEX(Products!$C$2:$C$13,MATCH(D2469,Products!$A$2:$A$13,0)),INDEX(Products!$E$2:$E$13,MATCH(D2469,Products!$A$2:$A$13,0)))</f>
        <v>32046</v>
      </c>
      <c r="H2469" s="13" t="n">
        <f aca="false">IF(A2469="2025",INDEX(Customers!$D$2:$D$41,MATCH(C2469,Customers!$A$2:$A$41,0)),INDEX(Customers!$F$2:$F$41,MATCH(C2469,Customers!$A$2:$A$41,0)))</f>
        <v>0.183</v>
      </c>
      <c r="I2469" s="16" t="n">
        <f aca="false">F2469*G2469</f>
        <v>599260.2</v>
      </c>
      <c r="J2469" s="16" t="n">
        <f aca="false">I2469*(1-H2469)</f>
        <v>489595.5834</v>
      </c>
      <c r="K2469" s="16" t="n">
        <f aca="false">J2469*INDEX(Customers!$G$2:$G$41,MATCH(C2469,Customers!$A$2:$A$41,0))</f>
        <v>4895.955834</v>
      </c>
      <c r="L2469" s="16" t="n">
        <f aca="false">F2469*INDEX(Customers!$H$2:$H$41,MATCH(C2469,Customers!$A$2:$A$41,0))</f>
        <v>7106</v>
      </c>
      <c r="M2469" s="16" t="n">
        <f aca="false">J2469*INDEX(Customers!$I$2:$I$41,MATCH(C2469,Customers!$A$2:$A$41,0))/365*Assumptions!$B$6</f>
        <v>9657.77589172603</v>
      </c>
      <c r="N2469" s="16" t="n">
        <f aca="false">J2469-K2469-L2469-M2469</f>
        <v>467935.851674274</v>
      </c>
      <c r="O2469" s="16" t="n">
        <f aca="false">F2469*IF(A2469="2025",INDEX(Products!$D$2:$D$13,MATCH(D2469,Products!$A$2:$A$13,0)),INDEX(Products!$F$2:$F$13,MATCH(D2469,Products!$A$2:$A$13,0)))</f>
        <v>297389.84</v>
      </c>
      <c r="P2469" s="16" t="n">
        <f aca="false">N2469-O2469</f>
        <v>170546.011674274</v>
      </c>
    </row>
    <row r="2470" customFormat="false" ht="15" hidden="false" customHeight="false" outlineLevel="0" collapsed="false">
      <c r="A2470" s="2" t="s">
        <v>119</v>
      </c>
      <c r="B2470" s="2" t="n">
        <v>9</v>
      </c>
      <c r="C2470" s="2" t="s">
        <v>98</v>
      </c>
      <c r="D2470" s="2" t="s">
        <v>47</v>
      </c>
      <c r="E2470" s="2" t="str">
        <f aca="false">INDEX(Products!$B$2:$B$13,MATCH(D2470,Products!$A$2:$A$13,0))</f>
        <v>Specialty</v>
      </c>
      <c r="F2470" s="15" t="n">
        <v>15.1</v>
      </c>
      <c r="G2470" s="16" t="n">
        <f aca="false">IF(A2470="2025",INDEX(Products!$C$2:$C$13,MATCH(D2470,Products!$A$2:$A$13,0)),INDEX(Products!$E$2:$E$13,MATCH(D2470,Products!$A$2:$A$13,0)))</f>
        <v>32046</v>
      </c>
      <c r="H2470" s="13" t="n">
        <f aca="false">IF(A2470="2025",INDEX(Customers!$D$2:$D$41,MATCH(C2470,Customers!$A$2:$A$41,0)),INDEX(Customers!$F$2:$F$41,MATCH(C2470,Customers!$A$2:$A$41,0)))</f>
        <v>0.183</v>
      </c>
      <c r="I2470" s="16" t="n">
        <f aca="false">F2470*G2470</f>
        <v>483894.6</v>
      </c>
      <c r="J2470" s="16" t="n">
        <f aca="false">I2470*(1-H2470)</f>
        <v>395341.8882</v>
      </c>
      <c r="K2470" s="16" t="n">
        <f aca="false">J2470*INDEX(Customers!$G$2:$G$41,MATCH(C2470,Customers!$A$2:$A$41,0))</f>
        <v>3953.418882</v>
      </c>
      <c r="L2470" s="16" t="n">
        <f aca="false">F2470*INDEX(Customers!$H$2:$H$41,MATCH(C2470,Customers!$A$2:$A$41,0))</f>
        <v>5738</v>
      </c>
      <c r="M2470" s="16" t="n">
        <f aca="false">J2470*INDEX(Customers!$I$2:$I$41,MATCH(C2470,Customers!$A$2:$A$41,0))/365*Assumptions!$B$6</f>
        <v>7798.52491791781</v>
      </c>
      <c r="N2470" s="16" t="n">
        <f aca="false">J2470-K2470-L2470-M2470</f>
        <v>377851.944400082</v>
      </c>
      <c r="O2470" s="16" t="n">
        <f aca="false">F2470*IF(A2470="2025",INDEX(Products!$D$2:$D$13,MATCH(D2470,Products!$A$2:$A$13,0)),INDEX(Products!$F$2:$F$13,MATCH(D2470,Products!$A$2:$A$13,0)))</f>
        <v>240138.32</v>
      </c>
      <c r="P2470" s="16" t="n">
        <f aca="false">N2470-O2470</f>
        <v>137713.624400082</v>
      </c>
    </row>
    <row r="2471" customFormat="false" ht="15" hidden="false" customHeight="false" outlineLevel="0" collapsed="false">
      <c r="A2471" s="2" t="s">
        <v>119</v>
      </c>
      <c r="B2471" s="2" t="n">
        <v>10</v>
      </c>
      <c r="C2471" s="2" t="s">
        <v>98</v>
      </c>
      <c r="D2471" s="2" t="s">
        <v>47</v>
      </c>
      <c r="E2471" s="2" t="str">
        <f aca="false">INDEX(Products!$B$2:$B$13,MATCH(D2471,Products!$A$2:$A$13,0))</f>
        <v>Specialty</v>
      </c>
      <c r="F2471" s="15" t="n">
        <v>13.1</v>
      </c>
      <c r="G2471" s="16" t="n">
        <f aca="false">IF(A2471="2025",INDEX(Products!$C$2:$C$13,MATCH(D2471,Products!$A$2:$A$13,0)),INDEX(Products!$E$2:$E$13,MATCH(D2471,Products!$A$2:$A$13,0)))</f>
        <v>32046</v>
      </c>
      <c r="H2471" s="13" t="n">
        <f aca="false">IF(A2471="2025",INDEX(Customers!$D$2:$D$41,MATCH(C2471,Customers!$A$2:$A$41,0)),INDEX(Customers!$F$2:$F$41,MATCH(C2471,Customers!$A$2:$A$41,0)))</f>
        <v>0.183</v>
      </c>
      <c r="I2471" s="16" t="n">
        <f aca="false">F2471*G2471</f>
        <v>419802.6</v>
      </c>
      <c r="J2471" s="16" t="n">
        <f aca="false">I2471*(1-H2471)</f>
        <v>342978.7242</v>
      </c>
      <c r="K2471" s="16" t="n">
        <f aca="false">J2471*INDEX(Customers!$G$2:$G$41,MATCH(C2471,Customers!$A$2:$A$41,0))</f>
        <v>3429.787242</v>
      </c>
      <c r="L2471" s="16" t="n">
        <f aca="false">F2471*INDEX(Customers!$H$2:$H$41,MATCH(C2471,Customers!$A$2:$A$41,0))</f>
        <v>4978</v>
      </c>
      <c r="M2471" s="16" t="n">
        <f aca="false">J2471*INDEX(Customers!$I$2:$I$41,MATCH(C2471,Customers!$A$2:$A$41,0))/365*Assumptions!$B$6</f>
        <v>6765.60771024657</v>
      </c>
      <c r="N2471" s="16" t="n">
        <f aca="false">J2471-K2471-L2471-M2471</f>
        <v>327805.329247753</v>
      </c>
      <c r="O2471" s="16" t="n">
        <f aca="false">F2471*IF(A2471="2025",INDEX(Products!$D$2:$D$13,MATCH(D2471,Products!$A$2:$A$13,0)),INDEX(Products!$F$2:$F$13,MATCH(D2471,Products!$A$2:$A$13,0)))</f>
        <v>208331.92</v>
      </c>
      <c r="P2471" s="16" t="n">
        <f aca="false">N2471-O2471</f>
        <v>119473.409247753</v>
      </c>
    </row>
    <row r="2472" customFormat="false" ht="15" hidden="false" customHeight="false" outlineLevel="0" collapsed="false">
      <c r="A2472" s="2" t="s">
        <v>119</v>
      </c>
      <c r="B2472" s="2" t="n">
        <v>11</v>
      </c>
      <c r="C2472" s="2" t="s">
        <v>98</v>
      </c>
      <c r="D2472" s="2" t="s">
        <v>47</v>
      </c>
      <c r="E2472" s="2" t="str">
        <f aca="false">INDEX(Products!$B$2:$B$13,MATCH(D2472,Products!$A$2:$A$13,0))</f>
        <v>Specialty</v>
      </c>
      <c r="F2472" s="15" t="n">
        <v>19</v>
      </c>
      <c r="G2472" s="16" t="n">
        <f aca="false">IF(A2472="2025",INDEX(Products!$C$2:$C$13,MATCH(D2472,Products!$A$2:$A$13,0)),INDEX(Products!$E$2:$E$13,MATCH(D2472,Products!$A$2:$A$13,0)))</f>
        <v>32046</v>
      </c>
      <c r="H2472" s="13" t="n">
        <f aca="false">IF(A2472="2025",INDEX(Customers!$D$2:$D$41,MATCH(C2472,Customers!$A$2:$A$41,0)),INDEX(Customers!$F$2:$F$41,MATCH(C2472,Customers!$A$2:$A$41,0)))</f>
        <v>0.183</v>
      </c>
      <c r="I2472" s="16" t="n">
        <f aca="false">F2472*G2472</f>
        <v>608874</v>
      </c>
      <c r="J2472" s="16" t="n">
        <f aca="false">I2472*(1-H2472)</f>
        <v>497450.058</v>
      </c>
      <c r="K2472" s="16" t="n">
        <f aca="false">J2472*INDEX(Customers!$G$2:$G$41,MATCH(C2472,Customers!$A$2:$A$41,0))</f>
        <v>4974.50058</v>
      </c>
      <c r="L2472" s="16" t="n">
        <f aca="false">F2472*INDEX(Customers!$H$2:$H$41,MATCH(C2472,Customers!$A$2:$A$41,0))</f>
        <v>7220</v>
      </c>
      <c r="M2472" s="16" t="n">
        <f aca="false">J2472*INDEX(Customers!$I$2:$I$41,MATCH(C2472,Customers!$A$2:$A$41,0))/365*Assumptions!$B$6</f>
        <v>9812.71347287671</v>
      </c>
      <c r="N2472" s="16" t="n">
        <f aca="false">J2472-K2472-L2472-M2472</f>
        <v>475442.843947123</v>
      </c>
      <c r="O2472" s="16" t="n">
        <f aca="false">F2472*IF(A2472="2025",INDEX(Products!$D$2:$D$13,MATCH(D2472,Products!$A$2:$A$13,0)),INDEX(Products!$F$2:$F$13,MATCH(D2472,Products!$A$2:$A$13,0)))</f>
        <v>302160.8</v>
      </c>
      <c r="P2472" s="16" t="n">
        <f aca="false">N2472-O2472</f>
        <v>173282.043947123</v>
      </c>
    </row>
    <row r="2473" customFormat="false" ht="15" hidden="false" customHeight="false" outlineLevel="0" collapsed="false">
      <c r="A2473" s="2" t="s">
        <v>119</v>
      </c>
      <c r="B2473" s="2" t="n">
        <v>12</v>
      </c>
      <c r="C2473" s="2" t="s">
        <v>98</v>
      </c>
      <c r="D2473" s="2" t="s">
        <v>47</v>
      </c>
      <c r="E2473" s="2" t="str">
        <f aca="false">INDEX(Products!$B$2:$B$13,MATCH(D2473,Products!$A$2:$A$13,0))</f>
        <v>Specialty</v>
      </c>
      <c r="F2473" s="15" t="n">
        <v>18.1</v>
      </c>
      <c r="G2473" s="16" t="n">
        <f aca="false">IF(A2473="2025",INDEX(Products!$C$2:$C$13,MATCH(D2473,Products!$A$2:$A$13,0)),INDEX(Products!$E$2:$E$13,MATCH(D2473,Products!$A$2:$A$13,0)))</f>
        <v>32046</v>
      </c>
      <c r="H2473" s="13" t="n">
        <f aca="false">IF(A2473="2025",INDEX(Customers!$D$2:$D$41,MATCH(C2473,Customers!$A$2:$A$41,0)),INDEX(Customers!$F$2:$F$41,MATCH(C2473,Customers!$A$2:$A$41,0)))</f>
        <v>0.183</v>
      </c>
      <c r="I2473" s="16" t="n">
        <f aca="false">F2473*G2473</f>
        <v>580032.6</v>
      </c>
      <c r="J2473" s="16" t="n">
        <f aca="false">I2473*(1-H2473)</f>
        <v>473886.6342</v>
      </c>
      <c r="K2473" s="16" t="n">
        <f aca="false">J2473*INDEX(Customers!$G$2:$G$41,MATCH(C2473,Customers!$A$2:$A$41,0))</f>
        <v>4738.866342</v>
      </c>
      <c r="L2473" s="16" t="n">
        <f aca="false">F2473*INDEX(Customers!$H$2:$H$41,MATCH(C2473,Customers!$A$2:$A$41,0))</f>
        <v>6878</v>
      </c>
      <c r="M2473" s="16" t="n">
        <f aca="false">J2473*INDEX(Customers!$I$2:$I$41,MATCH(C2473,Customers!$A$2:$A$41,0))/365*Assumptions!$B$6</f>
        <v>9347.90072942466</v>
      </c>
      <c r="N2473" s="16" t="n">
        <f aca="false">J2473-K2473-L2473-M2473</f>
        <v>452921.867128575</v>
      </c>
      <c r="O2473" s="16" t="n">
        <f aca="false">F2473*IF(A2473="2025",INDEX(Products!$D$2:$D$13,MATCH(D2473,Products!$A$2:$A$13,0)),INDEX(Products!$F$2:$F$13,MATCH(D2473,Products!$A$2:$A$13,0)))</f>
        <v>287847.92</v>
      </c>
      <c r="P2473" s="16" t="n">
        <f aca="false">N2473-O2473</f>
        <v>165073.947128575</v>
      </c>
    </row>
    <row r="2474" customFormat="false" ht="15" hidden="false" customHeight="false" outlineLevel="0" collapsed="false">
      <c r="A2474" s="2" t="s">
        <v>118</v>
      </c>
      <c r="B2474" s="2" t="n">
        <v>1</v>
      </c>
      <c r="C2474" s="2" t="s">
        <v>98</v>
      </c>
      <c r="D2474" s="2" t="s">
        <v>42</v>
      </c>
      <c r="E2474" s="2" t="str">
        <f aca="false">INDEX(Products!$B$2:$B$13,MATCH(D2474,Products!$A$2:$A$13,0))</f>
        <v>Hydroprocessing</v>
      </c>
      <c r="F2474" s="15" t="n">
        <v>21.9</v>
      </c>
      <c r="G2474" s="16" t="n">
        <f aca="false">IF(A2474="2025",INDEX(Products!$C$2:$C$13,MATCH(D2474,Products!$A$2:$A$13,0)),INDEX(Products!$E$2:$E$13,MATCH(D2474,Products!$A$2:$A$13,0)))</f>
        <v>12450</v>
      </c>
      <c r="H2474" s="13" t="n">
        <f aca="false">IF(A2474="2025",INDEX(Customers!$D$2:$D$41,MATCH(C2474,Customers!$A$2:$A$41,0)),INDEX(Customers!$F$2:$F$41,MATCH(C2474,Customers!$A$2:$A$41,0)))</f>
        <v>0.167</v>
      </c>
      <c r="I2474" s="16" t="n">
        <f aca="false">F2474*G2474</f>
        <v>272655</v>
      </c>
      <c r="J2474" s="16" t="n">
        <f aca="false">I2474*(1-H2474)</f>
        <v>227121.615</v>
      </c>
      <c r="K2474" s="16" t="n">
        <f aca="false">J2474*INDEX(Customers!$G$2:$G$41,MATCH(C2474,Customers!$A$2:$A$41,0))</f>
        <v>2271.21615</v>
      </c>
      <c r="L2474" s="16" t="n">
        <f aca="false">F2474*INDEX(Customers!$H$2:$H$41,MATCH(C2474,Customers!$A$2:$A$41,0))</f>
        <v>8322</v>
      </c>
      <c r="M2474" s="16" t="n">
        <f aca="false">J2474*INDEX(Customers!$I$2:$I$41,MATCH(C2474,Customers!$A$2:$A$41,0))/365*Assumptions!$B$6</f>
        <v>4480.2072</v>
      </c>
      <c r="N2474" s="16" t="n">
        <f aca="false">J2474-K2474-L2474-M2474</f>
        <v>212048.19165</v>
      </c>
      <c r="O2474" s="16" t="n">
        <f aca="false">F2474*IF(A2474="2025",INDEX(Products!$D$2:$D$13,MATCH(D2474,Products!$A$2:$A$13,0)),INDEX(Products!$F$2:$F$13,MATCH(D2474,Products!$A$2:$A$13,0)))</f>
        <v>170382</v>
      </c>
      <c r="P2474" s="16" t="n">
        <f aca="false">N2474-O2474</f>
        <v>41666.19165</v>
      </c>
    </row>
    <row r="2475" customFormat="false" ht="15" hidden="false" customHeight="false" outlineLevel="0" collapsed="false">
      <c r="A2475" s="2" t="s">
        <v>118</v>
      </c>
      <c r="B2475" s="2" t="n">
        <v>2</v>
      </c>
      <c r="C2475" s="2" t="s">
        <v>98</v>
      </c>
      <c r="D2475" s="2" t="s">
        <v>42</v>
      </c>
      <c r="E2475" s="2" t="str">
        <f aca="false">INDEX(Products!$B$2:$B$13,MATCH(D2475,Products!$A$2:$A$13,0))</f>
        <v>Hydroprocessing</v>
      </c>
      <c r="F2475" s="15" t="n">
        <v>30.3</v>
      </c>
      <c r="G2475" s="16" t="n">
        <f aca="false">IF(A2475="2025",INDEX(Products!$C$2:$C$13,MATCH(D2475,Products!$A$2:$A$13,0)),INDEX(Products!$E$2:$E$13,MATCH(D2475,Products!$A$2:$A$13,0)))</f>
        <v>12450</v>
      </c>
      <c r="H2475" s="13" t="n">
        <f aca="false">IF(A2475="2025",INDEX(Customers!$D$2:$D$41,MATCH(C2475,Customers!$A$2:$A$41,0)),INDEX(Customers!$F$2:$F$41,MATCH(C2475,Customers!$A$2:$A$41,0)))</f>
        <v>0.167</v>
      </c>
      <c r="I2475" s="16" t="n">
        <f aca="false">F2475*G2475</f>
        <v>377235</v>
      </c>
      <c r="J2475" s="16" t="n">
        <f aca="false">I2475*(1-H2475)</f>
        <v>314236.755</v>
      </c>
      <c r="K2475" s="16" t="n">
        <f aca="false">J2475*INDEX(Customers!$G$2:$G$41,MATCH(C2475,Customers!$A$2:$A$41,0))</f>
        <v>3142.36755</v>
      </c>
      <c r="L2475" s="16" t="n">
        <f aca="false">F2475*INDEX(Customers!$H$2:$H$41,MATCH(C2475,Customers!$A$2:$A$41,0))</f>
        <v>11514</v>
      </c>
      <c r="M2475" s="16" t="n">
        <f aca="false">J2475*INDEX(Customers!$I$2:$I$41,MATCH(C2475,Customers!$A$2:$A$41,0))/365*Assumptions!$B$6</f>
        <v>6198.64283835616</v>
      </c>
      <c r="N2475" s="16" t="n">
        <f aca="false">J2475-K2475-L2475-M2475</f>
        <v>293381.744611644</v>
      </c>
      <c r="O2475" s="16" t="n">
        <f aca="false">F2475*IF(A2475="2025",INDEX(Products!$D$2:$D$13,MATCH(D2475,Products!$A$2:$A$13,0)),INDEX(Products!$F$2:$F$13,MATCH(D2475,Products!$A$2:$A$13,0)))</f>
        <v>235734</v>
      </c>
      <c r="P2475" s="16" t="n">
        <f aca="false">N2475-O2475</f>
        <v>57647.7446116438</v>
      </c>
    </row>
    <row r="2476" customFormat="false" ht="15" hidden="false" customHeight="false" outlineLevel="0" collapsed="false">
      <c r="A2476" s="2" t="s">
        <v>118</v>
      </c>
      <c r="B2476" s="2" t="n">
        <v>3</v>
      </c>
      <c r="C2476" s="2" t="s">
        <v>98</v>
      </c>
      <c r="D2476" s="2" t="s">
        <v>42</v>
      </c>
      <c r="E2476" s="2" t="str">
        <f aca="false">INDEX(Products!$B$2:$B$13,MATCH(D2476,Products!$A$2:$A$13,0))</f>
        <v>Hydroprocessing</v>
      </c>
      <c r="F2476" s="15" t="n">
        <v>28.4</v>
      </c>
      <c r="G2476" s="16" t="n">
        <f aca="false">IF(A2476="2025",INDEX(Products!$C$2:$C$13,MATCH(D2476,Products!$A$2:$A$13,0)),INDEX(Products!$E$2:$E$13,MATCH(D2476,Products!$A$2:$A$13,0)))</f>
        <v>12450</v>
      </c>
      <c r="H2476" s="13" t="n">
        <f aca="false">IF(A2476="2025",INDEX(Customers!$D$2:$D$41,MATCH(C2476,Customers!$A$2:$A$41,0)),INDEX(Customers!$F$2:$F$41,MATCH(C2476,Customers!$A$2:$A$41,0)))</f>
        <v>0.167</v>
      </c>
      <c r="I2476" s="16" t="n">
        <f aca="false">F2476*G2476</f>
        <v>353580</v>
      </c>
      <c r="J2476" s="16" t="n">
        <f aca="false">I2476*(1-H2476)</f>
        <v>294532.14</v>
      </c>
      <c r="K2476" s="16" t="n">
        <f aca="false">J2476*INDEX(Customers!$G$2:$G$41,MATCH(C2476,Customers!$A$2:$A$41,0))</f>
        <v>2945.3214</v>
      </c>
      <c r="L2476" s="16" t="n">
        <f aca="false">F2476*INDEX(Customers!$H$2:$H$41,MATCH(C2476,Customers!$A$2:$A$41,0))</f>
        <v>10792</v>
      </c>
      <c r="M2476" s="16" t="n">
        <f aca="false">J2476*INDEX(Customers!$I$2:$I$41,MATCH(C2476,Customers!$A$2:$A$41,0))/365*Assumptions!$B$6</f>
        <v>5809.9490630137</v>
      </c>
      <c r="N2476" s="16" t="n">
        <f aca="false">J2476-K2476-L2476-M2476</f>
        <v>274984.869536986</v>
      </c>
      <c r="O2476" s="16" t="n">
        <f aca="false">F2476*IF(A2476="2025",INDEX(Products!$D$2:$D$13,MATCH(D2476,Products!$A$2:$A$13,0)),INDEX(Products!$F$2:$F$13,MATCH(D2476,Products!$A$2:$A$13,0)))</f>
        <v>220952</v>
      </c>
      <c r="P2476" s="16" t="n">
        <f aca="false">N2476-O2476</f>
        <v>54032.8695369863</v>
      </c>
    </row>
    <row r="2477" customFormat="false" ht="15" hidden="false" customHeight="false" outlineLevel="0" collapsed="false">
      <c r="A2477" s="2" t="s">
        <v>118</v>
      </c>
      <c r="B2477" s="2" t="n">
        <v>4</v>
      </c>
      <c r="C2477" s="2" t="s">
        <v>98</v>
      </c>
      <c r="D2477" s="2" t="s">
        <v>42</v>
      </c>
      <c r="E2477" s="2" t="str">
        <f aca="false">INDEX(Products!$B$2:$B$13,MATCH(D2477,Products!$A$2:$A$13,0))</f>
        <v>Hydroprocessing</v>
      </c>
      <c r="F2477" s="15" t="n">
        <v>35.6</v>
      </c>
      <c r="G2477" s="16" t="n">
        <f aca="false">IF(A2477="2025",INDEX(Products!$C$2:$C$13,MATCH(D2477,Products!$A$2:$A$13,0)),INDEX(Products!$E$2:$E$13,MATCH(D2477,Products!$A$2:$A$13,0)))</f>
        <v>12450</v>
      </c>
      <c r="H2477" s="13" t="n">
        <f aca="false">IF(A2477="2025",INDEX(Customers!$D$2:$D$41,MATCH(C2477,Customers!$A$2:$A$41,0)),INDEX(Customers!$F$2:$F$41,MATCH(C2477,Customers!$A$2:$A$41,0)))</f>
        <v>0.167</v>
      </c>
      <c r="I2477" s="16" t="n">
        <f aca="false">F2477*G2477</f>
        <v>443220</v>
      </c>
      <c r="J2477" s="16" t="n">
        <f aca="false">I2477*(1-H2477)</f>
        <v>369202.26</v>
      </c>
      <c r="K2477" s="16" t="n">
        <f aca="false">J2477*INDEX(Customers!$G$2:$G$41,MATCH(C2477,Customers!$A$2:$A$41,0))</f>
        <v>3692.0226</v>
      </c>
      <c r="L2477" s="16" t="n">
        <f aca="false">F2477*INDEX(Customers!$H$2:$H$41,MATCH(C2477,Customers!$A$2:$A$41,0))</f>
        <v>13528</v>
      </c>
      <c r="M2477" s="16" t="n">
        <f aca="false">J2477*INDEX(Customers!$I$2:$I$41,MATCH(C2477,Customers!$A$2:$A$41,0))/365*Assumptions!$B$6</f>
        <v>7282.89389589041</v>
      </c>
      <c r="N2477" s="16" t="n">
        <f aca="false">J2477-K2477-L2477-M2477</f>
        <v>344699.34350411</v>
      </c>
      <c r="O2477" s="16" t="n">
        <f aca="false">F2477*IF(A2477="2025",INDEX(Products!$D$2:$D$13,MATCH(D2477,Products!$A$2:$A$13,0)),INDEX(Products!$F$2:$F$13,MATCH(D2477,Products!$A$2:$A$13,0)))</f>
        <v>276968</v>
      </c>
      <c r="P2477" s="16" t="n">
        <f aca="false">N2477-O2477</f>
        <v>67731.3435041096</v>
      </c>
    </row>
    <row r="2478" customFormat="false" ht="15" hidden="false" customHeight="false" outlineLevel="0" collapsed="false">
      <c r="A2478" s="2" t="s">
        <v>118</v>
      </c>
      <c r="B2478" s="2" t="n">
        <v>5</v>
      </c>
      <c r="C2478" s="2" t="s">
        <v>98</v>
      </c>
      <c r="D2478" s="2" t="s">
        <v>42</v>
      </c>
      <c r="E2478" s="2" t="str">
        <f aca="false">INDEX(Products!$B$2:$B$13,MATCH(D2478,Products!$A$2:$A$13,0))</f>
        <v>Hydroprocessing</v>
      </c>
      <c r="F2478" s="15" t="n">
        <v>35.4</v>
      </c>
      <c r="G2478" s="16" t="n">
        <f aca="false">IF(A2478="2025",INDEX(Products!$C$2:$C$13,MATCH(D2478,Products!$A$2:$A$13,0)),INDEX(Products!$E$2:$E$13,MATCH(D2478,Products!$A$2:$A$13,0)))</f>
        <v>12450</v>
      </c>
      <c r="H2478" s="13" t="n">
        <f aca="false">IF(A2478="2025",INDEX(Customers!$D$2:$D$41,MATCH(C2478,Customers!$A$2:$A$41,0)),INDEX(Customers!$F$2:$F$41,MATCH(C2478,Customers!$A$2:$A$41,0)))</f>
        <v>0.167</v>
      </c>
      <c r="I2478" s="16" t="n">
        <f aca="false">F2478*G2478</f>
        <v>440730</v>
      </c>
      <c r="J2478" s="16" t="n">
        <f aca="false">I2478*(1-H2478)</f>
        <v>367128.09</v>
      </c>
      <c r="K2478" s="16" t="n">
        <f aca="false">J2478*INDEX(Customers!$G$2:$G$41,MATCH(C2478,Customers!$A$2:$A$41,0))</f>
        <v>3671.2809</v>
      </c>
      <c r="L2478" s="16" t="n">
        <f aca="false">F2478*INDEX(Customers!$H$2:$H$41,MATCH(C2478,Customers!$A$2:$A$41,0))</f>
        <v>13452</v>
      </c>
      <c r="M2478" s="16" t="n">
        <f aca="false">J2478*INDEX(Customers!$I$2:$I$41,MATCH(C2478,Customers!$A$2:$A$41,0))/365*Assumptions!$B$6</f>
        <v>7241.97876164384</v>
      </c>
      <c r="N2478" s="16" t="n">
        <f aca="false">J2478-K2478-L2478-M2478</f>
        <v>342762.830338356</v>
      </c>
      <c r="O2478" s="16" t="n">
        <f aca="false">F2478*IF(A2478="2025",INDEX(Products!$D$2:$D$13,MATCH(D2478,Products!$A$2:$A$13,0)),INDEX(Products!$F$2:$F$13,MATCH(D2478,Products!$A$2:$A$13,0)))</f>
        <v>275412</v>
      </c>
      <c r="P2478" s="16" t="n">
        <f aca="false">N2478-O2478</f>
        <v>67350.8303383561</v>
      </c>
    </row>
    <row r="2479" customFormat="false" ht="15" hidden="false" customHeight="false" outlineLevel="0" collapsed="false">
      <c r="A2479" s="2" t="s">
        <v>118</v>
      </c>
      <c r="B2479" s="2" t="n">
        <v>6</v>
      </c>
      <c r="C2479" s="2" t="s">
        <v>98</v>
      </c>
      <c r="D2479" s="2" t="s">
        <v>42</v>
      </c>
      <c r="E2479" s="2" t="str">
        <f aca="false">INDEX(Products!$B$2:$B$13,MATCH(D2479,Products!$A$2:$A$13,0))</f>
        <v>Hydroprocessing</v>
      </c>
      <c r="F2479" s="15" t="n">
        <v>27.7</v>
      </c>
      <c r="G2479" s="16" t="n">
        <f aca="false">IF(A2479="2025",INDEX(Products!$C$2:$C$13,MATCH(D2479,Products!$A$2:$A$13,0)),INDEX(Products!$E$2:$E$13,MATCH(D2479,Products!$A$2:$A$13,0)))</f>
        <v>12450</v>
      </c>
      <c r="H2479" s="13" t="n">
        <f aca="false">IF(A2479="2025",INDEX(Customers!$D$2:$D$41,MATCH(C2479,Customers!$A$2:$A$41,0)),INDEX(Customers!$F$2:$F$41,MATCH(C2479,Customers!$A$2:$A$41,0)))</f>
        <v>0.167</v>
      </c>
      <c r="I2479" s="16" t="n">
        <f aca="false">F2479*G2479</f>
        <v>344865</v>
      </c>
      <c r="J2479" s="16" t="n">
        <f aca="false">I2479*(1-H2479)</f>
        <v>287272.545</v>
      </c>
      <c r="K2479" s="16" t="n">
        <f aca="false">J2479*INDEX(Customers!$G$2:$G$41,MATCH(C2479,Customers!$A$2:$A$41,0))</f>
        <v>2872.72545</v>
      </c>
      <c r="L2479" s="16" t="n">
        <f aca="false">F2479*INDEX(Customers!$H$2:$H$41,MATCH(C2479,Customers!$A$2:$A$41,0))</f>
        <v>10526</v>
      </c>
      <c r="M2479" s="16" t="n">
        <f aca="false">J2479*INDEX(Customers!$I$2:$I$41,MATCH(C2479,Customers!$A$2:$A$41,0))/365*Assumptions!$B$6</f>
        <v>5666.74609315069</v>
      </c>
      <c r="N2479" s="16" t="n">
        <f aca="false">J2479-K2479-L2479-M2479</f>
        <v>268207.073456849</v>
      </c>
      <c r="O2479" s="16" t="n">
        <f aca="false">F2479*IF(A2479="2025",INDEX(Products!$D$2:$D$13,MATCH(D2479,Products!$A$2:$A$13,0)),INDEX(Products!$F$2:$F$13,MATCH(D2479,Products!$A$2:$A$13,0)))</f>
        <v>215506</v>
      </c>
      <c r="P2479" s="16" t="n">
        <f aca="false">N2479-O2479</f>
        <v>52701.0734568493</v>
      </c>
    </row>
    <row r="2480" customFormat="false" ht="15" hidden="false" customHeight="false" outlineLevel="0" collapsed="false">
      <c r="A2480" s="2" t="s">
        <v>118</v>
      </c>
      <c r="B2480" s="2" t="n">
        <v>7</v>
      </c>
      <c r="C2480" s="2" t="s">
        <v>98</v>
      </c>
      <c r="D2480" s="2" t="s">
        <v>42</v>
      </c>
      <c r="E2480" s="2" t="str">
        <f aca="false">INDEX(Products!$B$2:$B$13,MATCH(D2480,Products!$A$2:$A$13,0))</f>
        <v>Hydroprocessing</v>
      </c>
      <c r="F2480" s="15" t="n">
        <v>29.9</v>
      </c>
      <c r="G2480" s="16" t="n">
        <f aca="false">IF(A2480="2025",INDEX(Products!$C$2:$C$13,MATCH(D2480,Products!$A$2:$A$13,0)),INDEX(Products!$E$2:$E$13,MATCH(D2480,Products!$A$2:$A$13,0)))</f>
        <v>12450</v>
      </c>
      <c r="H2480" s="13" t="n">
        <f aca="false">IF(A2480="2025",INDEX(Customers!$D$2:$D$41,MATCH(C2480,Customers!$A$2:$A$41,0)),INDEX(Customers!$F$2:$F$41,MATCH(C2480,Customers!$A$2:$A$41,0)))</f>
        <v>0.167</v>
      </c>
      <c r="I2480" s="16" t="n">
        <f aca="false">F2480*G2480</f>
        <v>372255</v>
      </c>
      <c r="J2480" s="16" t="n">
        <f aca="false">I2480*(1-H2480)</f>
        <v>310088.415</v>
      </c>
      <c r="K2480" s="16" t="n">
        <f aca="false">J2480*INDEX(Customers!$G$2:$G$41,MATCH(C2480,Customers!$A$2:$A$41,0))</f>
        <v>3100.88415</v>
      </c>
      <c r="L2480" s="16" t="n">
        <f aca="false">F2480*INDEX(Customers!$H$2:$H$41,MATCH(C2480,Customers!$A$2:$A$41,0))</f>
        <v>11362</v>
      </c>
      <c r="M2480" s="16" t="n">
        <f aca="false">J2480*INDEX(Customers!$I$2:$I$41,MATCH(C2480,Customers!$A$2:$A$41,0))/365*Assumptions!$B$6</f>
        <v>6116.81256986301</v>
      </c>
      <c r="N2480" s="16" t="n">
        <f aca="false">J2480-K2480-L2480-M2480</f>
        <v>289508.718280137</v>
      </c>
      <c r="O2480" s="16" t="n">
        <f aca="false">F2480*IF(A2480="2025",INDEX(Products!$D$2:$D$13,MATCH(D2480,Products!$A$2:$A$13,0)),INDEX(Products!$F$2:$F$13,MATCH(D2480,Products!$A$2:$A$13,0)))</f>
        <v>232622</v>
      </c>
      <c r="P2480" s="16" t="n">
        <f aca="false">N2480-O2480</f>
        <v>56886.718280137</v>
      </c>
    </row>
    <row r="2481" customFormat="false" ht="15" hidden="false" customHeight="false" outlineLevel="0" collapsed="false">
      <c r="A2481" s="2" t="s">
        <v>118</v>
      </c>
      <c r="B2481" s="2" t="n">
        <v>8</v>
      </c>
      <c r="C2481" s="2" t="s">
        <v>98</v>
      </c>
      <c r="D2481" s="2" t="s">
        <v>42</v>
      </c>
      <c r="E2481" s="2" t="str">
        <f aca="false">INDEX(Products!$B$2:$B$13,MATCH(D2481,Products!$A$2:$A$13,0))</f>
        <v>Hydroprocessing</v>
      </c>
      <c r="F2481" s="15" t="n">
        <v>27.2</v>
      </c>
      <c r="G2481" s="16" t="n">
        <f aca="false">IF(A2481="2025",INDEX(Products!$C$2:$C$13,MATCH(D2481,Products!$A$2:$A$13,0)),INDEX(Products!$E$2:$E$13,MATCH(D2481,Products!$A$2:$A$13,0)))</f>
        <v>12450</v>
      </c>
      <c r="H2481" s="13" t="n">
        <f aca="false">IF(A2481="2025",INDEX(Customers!$D$2:$D$41,MATCH(C2481,Customers!$A$2:$A$41,0)),INDEX(Customers!$F$2:$F$41,MATCH(C2481,Customers!$A$2:$A$41,0)))</f>
        <v>0.167</v>
      </c>
      <c r="I2481" s="16" t="n">
        <f aca="false">F2481*G2481</f>
        <v>338640</v>
      </c>
      <c r="J2481" s="16" t="n">
        <f aca="false">I2481*(1-H2481)</f>
        <v>282087.12</v>
      </c>
      <c r="K2481" s="16" t="n">
        <f aca="false">J2481*INDEX(Customers!$G$2:$G$41,MATCH(C2481,Customers!$A$2:$A$41,0))</f>
        <v>2820.8712</v>
      </c>
      <c r="L2481" s="16" t="n">
        <f aca="false">F2481*INDEX(Customers!$H$2:$H$41,MATCH(C2481,Customers!$A$2:$A$41,0))</f>
        <v>10336</v>
      </c>
      <c r="M2481" s="16" t="n">
        <f aca="false">J2481*INDEX(Customers!$I$2:$I$41,MATCH(C2481,Customers!$A$2:$A$41,0))/365*Assumptions!$B$6</f>
        <v>5564.45825753425</v>
      </c>
      <c r="N2481" s="16" t="n">
        <f aca="false">J2481-K2481-L2481-M2481</f>
        <v>263365.790542466</v>
      </c>
      <c r="O2481" s="16" t="n">
        <f aca="false">F2481*IF(A2481="2025",INDEX(Products!$D$2:$D$13,MATCH(D2481,Products!$A$2:$A$13,0)),INDEX(Products!$F$2:$F$13,MATCH(D2481,Products!$A$2:$A$13,0)))</f>
        <v>211616</v>
      </c>
      <c r="P2481" s="16" t="n">
        <f aca="false">N2481-O2481</f>
        <v>51749.7905424658</v>
      </c>
    </row>
    <row r="2482" customFormat="false" ht="15" hidden="false" customHeight="false" outlineLevel="0" collapsed="false">
      <c r="A2482" s="2" t="s">
        <v>118</v>
      </c>
      <c r="B2482" s="2" t="n">
        <v>9</v>
      </c>
      <c r="C2482" s="2" t="s">
        <v>98</v>
      </c>
      <c r="D2482" s="2" t="s">
        <v>42</v>
      </c>
      <c r="E2482" s="2" t="str">
        <f aca="false">INDEX(Products!$B$2:$B$13,MATCH(D2482,Products!$A$2:$A$13,0))</f>
        <v>Hydroprocessing</v>
      </c>
      <c r="F2482" s="15" t="n">
        <v>24</v>
      </c>
      <c r="G2482" s="16" t="n">
        <f aca="false">IF(A2482="2025",INDEX(Products!$C$2:$C$13,MATCH(D2482,Products!$A$2:$A$13,0)),INDEX(Products!$E$2:$E$13,MATCH(D2482,Products!$A$2:$A$13,0)))</f>
        <v>12450</v>
      </c>
      <c r="H2482" s="13" t="n">
        <f aca="false">IF(A2482="2025",INDEX(Customers!$D$2:$D$41,MATCH(C2482,Customers!$A$2:$A$41,0)),INDEX(Customers!$F$2:$F$41,MATCH(C2482,Customers!$A$2:$A$41,0)))</f>
        <v>0.167</v>
      </c>
      <c r="I2482" s="16" t="n">
        <f aca="false">F2482*G2482</f>
        <v>298800</v>
      </c>
      <c r="J2482" s="16" t="n">
        <f aca="false">I2482*(1-H2482)</f>
        <v>248900.4</v>
      </c>
      <c r="K2482" s="16" t="n">
        <f aca="false">J2482*INDEX(Customers!$G$2:$G$41,MATCH(C2482,Customers!$A$2:$A$41,0))</f>
        <v>2489.004</v>
      </c>
      <c r="L2482" s="16" t="n">
        <f aca="false">F2482*INDEX(Customers!$H$2:$H$41,MATCH(C2482,Customers!$A$2:$A$41,0))</f>
        <v>9120</v>
      </c>
      <c r="M2482" s="16" t="n">
        <f aca="false">J2482*INDEX(Customers!$I$2:$I$41,MATCH(C2482,Customers!$A$2:$A$41,0))/365*Assumptions!$B$6</f>
        <v>4909.81610958904</v>
      </c>
      <c r="N2482" s="16" t="n">
        <f aca="false">J2482-K2482-L2482-M2482</f>
        <v>232381.579890411</v>
      </c>
      <c r="O2482" s="16" t="n">
        <f aca="false">F2482*IF(A2482="2025",INDEX(Products!$D$2:$D$13,MATCH(D2482,Products!$A$2:$A$13,0)),INDEX(Products!$F$2:$F$13,MATCH(D2482,Products!$A$2:$A$13,0)))</f>
        <v>186720</v>
      </c>
      <c r="P2482" s="16" t="n">
        <f aca="false">N2482-O2482</f>
        <v>45661.579890411</v>
      </c>
    </row>
    <row r="2483" customFormat="false" ht="15" hidden="false" customHeight="false" outlineLevel="0" collapsed="false">
      <c r="A2483" s="2" t="s">
        <v>118</v>
      </c>
      <c r="B2483" s="2" t="n">
        <v>10</v>
      </c>
      <c r="C2483" s="2" t="s">
        <v>98</v>
      </c>
      <c r="D2483" s="2" t="s">
        <v>42</v>
      </c>
      <c r="E2483" s="2" t="str">
        <f aca="false">INDEX(Products!$B$2:$B$13,MATCH(D2483,Products!$A$2:$A$13,0))</f>
        <v>Hydroprocessing</v>
      </c>
      <c r="F2483" s="15" t="n">
        <v>32.7</v>
      </c>
      <c r="G2483" s="16" t="n">
        <f aca="false">IF(A2483="2025",INDEX(Products!$C$2:$C$13,MATCH(D2483,Products!$A$2:$A$13,0)),INDEX(Products!$E$2:$E$13,MATCH(D2483,Products!$A$2:$A$13,0)))</f>
        <v>12450</v>
      </c>
      <c r="H2483" s="13" t="n">
        <f aca="false">IF(A2483="2025",INDEX(Customers!$D$2:$D$41,MATCH(C2483,Customers!$A$2:$A$41,0)),INDEX(Customers!$F$2:$F$41,MATCH(C2483,Customers!$A$2:$A$41,0)))</f>
        <v>0.167</v>
      </c>
      <c r="I2483" s="16" t="n">
        <f aca="false">F2483*G2483</f>
        <v>407115</v>
      </c>
      <c r="J2483" s="16" t="n">
        <f aca="false">I2483*(1-H2483)</f>
        <v>339126.795</v>
      </c>
      <c r="K2483" s="16" t="n">
        <f aca="false">J2483*INDEX(Customers!$G$2:$G$41,MATCH(C2483,Customers!$A$2:$A$41,0))</f>
        <v>3391.26795</v>
      </c>
      <c r="L2483" s="16" t="n">
        <f aca="false">F2483*INDEX(Customers!$H$2:$H$41,MATCH(C2483,Customers!$A$2:$A$41,0))</f>
        <v>12426</v>
      </c>
      <c r="M2483" s="16" t="n">
        <f aca="false">J2483*INDEX(Customers!$I$2:$I$41,MATCH(C2483,Customers!$A$2:$A$41,0))/365*Assumptions!$B$6</f>
        <v>6689.62444931507</v>
      </c>
      <c r="N2483" s="16" t="n">
        <f aca="false">J2483-K2483-L2483-M2483</f>
        <v>316619.902600685</v>
      </c>
      <c r="O2483" s="16" t="n">
        <f aca="false">F2483*IF(A2483="2025",INDEX(Products!$D$2:$D$13,MATCH(D2483,Products!$A$2:$A$13,0)),INDEX(Products!$F$2:$F$13,MATCH(D2483,Products!$A$2:$A$13,0)))</f>
        <v>254406</v>
      </c>
      <c r="P2483" s="16" t="n">
        <f aca="false">N2483-O2483</f>
        <v>62213.9026006849</v>
      </c>
    </row>
    <row r="2484" customFormat="false" ht="15" hidden="false" customHeight="false" outlineLevel="0" collapsed="false">
      <c r="A2484" s="2" t="s">
        <v>118</v>
      </c>
      <c r="B2484" s="2" t="n">
        <v>11</v>
      </c>
      <c r="C2484" s="2" t="s">
        <v>98</v>
      </c>
      <c r="D2484" s="2" t="s">
        <v>42</v>
      </c>
      <c r="E2484" s="2" t="str">
        <f aca="false">INDEX(Products!$B$2:$B$13,MATCH(D2484,Products!$A$2:$A$13,0))</f>
        <v>Hydroprocessing</v>
      </c>
      <c r="F2484" s="15" t="n">
        <v>32.1</v>
      </c>
      <c r="G2484" s="16" t="n">
        <f aca="false">IF(A2484="2025",INDEX(Products!$C$2:$C$13,MATCH(D2484,Products!$A$2:$A$13,0)),INDEX(Products!$E$2:$E$13,MATCH(D2484,Products!$A$2:$A$13,0)))</f>
        <v>12450</v>
      </c>
      <c r="H2484" s="13" t="n">
        <f aca="false">IF(A2484="2025",INDEX(Customers!$D$2:$D$41,MATCH(C2484,Customers!$A$2:$A$41,0)),INDEX(Customers!$F$2:$F$41,MATCH(C2484,Customers!$A$2:$A$41,0)))</f>
        <v>0.167</v>
      </c>
      <c r="I2484" s="16" t="n">
        <f aca="false">F2484*G2484</f>
        <v>399645</v>
      </c>
      <c r="J2484" s="16" t="n">
        <f aca="false">I2484*(1-H2484)</f>
        <v>332904.285</v>
      </c>
      <c r="K2484" s="16" t="n">
        <f aca="false">J2484*INDEX(Customers!$G$2:$G$41,MATCH(C2484,Customers!$A$2:$A$41,0))</f>
        <v>3329.04285</v>
      </c>
      <c r="L2484" s="16" t="n">
        <f aca="false">F2484*INDEX(Customers!$H$2:$H$41,MATCH(C2484,Customers!$A$2:$A$41,0))</f>
        <v>12198</v>
      </c>
      <c r="M2484" s="16" t="n">
        <f aca="false">J2484*INDEX(Customers!$I$2:$I$41,MATCH(C2484,Customers!$A$2:$A$41,0))/365*Assumptions!$B$6</f>
        <v>6566.87904657534</v>
      </c>
      <c r="N2484" s="16" t="n">
        <f aca="false">J2484-K2484-L2484-M2484</f>
        <v>310810.363103425</v>
      </c>
      <c r="O2484" s="16" t="n">
        <f aca="false">F2484*IF(A2484="2025",INDEX(Products!$D$2:$D$13,MATCH(D2484,Products!$A$2:$A$13,0)),INDEX(Products!$F$2:$F$13,MATCH(D2484,Products!$A$2:$A$13,0)))</f>
        <v>249738</v>
      </c>
      <c r="P2484" s="16" t="n">
        <f aca="false">N2484-O2484</f>
        <v>61072.3631034246</v>
      </c>
    </row>
    <row r="2485" customFormat="false" ht="15" hidden="false" customHeight="false" outlineLevel="0" collapsed="false">
      <c r="A2485" s="2" t="s">
        <v>118</v>
      </c>
      <c r="B2485" s="2" t="n">
        <v>12</v>
      </c>
      <c r="C2485" s="2" t="s">
        <v>98</v>
      </c>
      <c r="D2485" s="2" t="s">
        <v>42</v>
      </c>
      <c r="E2485" s="2" t="str">
        <f aca="false">INDEX(Products!$B$2:$B$13,MATCH(D2485,Products!$A$2:$A$13,0))</f>
        <v>Hydroprocessing</v>
      </c>
      <c r="F2485" s="15" t="n">
        <v>21.8</v>
      </c>
      <c r="G2485" s="16" t="n">
        <f aca="false">IF(A2485="2025",INDEX(Products!$C$2:$C$13,MATCH(D2485,Products!$A$2:$A$13,0)),INDEX(Products!$E$2:$E$13,MATCH(D2485,Products!$A$2:$A$13,0)))</f>
        <v>12450</v>
      </c>
      <c r="H2485" s="13" t="n">
        <f aca="false">IF(A2485="2025",INDEX(Customers!$D$2:$D$41,MATCH(C2485,Customers!$A$2:$A$41,0)),INDEX(Customers!$F$2:$F$41,MATCH(C2485,Customers!$A$2:$A$41,0)))</f>
        <v>0.167</v>
      </c>
      <c r="I2485" s="16" t="n">
        <f aca="false">F2485*G2485</f>
        <v>271410</v>
      </c>
      <c r="J2485" s="16" t="n">
        <f aca="false">I2485*(1-H2485)</f>
        <v>226084.53</v>
      </c>
      <c r="K2485" s="16" t="n">
        <f aca="false">J2485*INDEX(Customers!$G$2:$G$41,MATCH(C2485,Customers!$A$2:$A$41,0))</f>
        <v>2260.8453</v>
      </c>
      <c r="L2485" s="16" t="n">
        <f aca="false">F2485*INDEX(Customers!$H$2:$H$41,MATCH(C2485,Customers!$A$2:$A$41,0))</f>
        <v>8284</v>
      </c>
      <c r="M2485" s="16" t="n">
        <f aca="false">J2485*INDEX(Customers!$I$2:$I$41,MATCH(C2485,Customers!$A$2:$A$41,0))/365*Assumptions!$B$6</f>
        <v>4459.74963287671</v>
      </c>
      <c r="N2485" s="16" t="n">
        <f aca="false">J2485-K2485-L2485-M2485</f>
        <v>211079.935067123</v>
      </c>
      <c r="O2485" s="16" t="n">
        <f aca="false">F2485*IF(A2485="2025",INDEX(Products!$D$2:$D$13,MATCH(D2485,Products!$A$2:$A$13,0)),INDEX(Products!$F$2:$F$13,MATCH(D2485,Products!$A$2:$A$13,0)))</f>
        <v>169604</v>
      </c>
      <c r="P2485" s="16" t="n">
        <f aca="false">N2485-O2485</f>
        <v>41475.9350671233</v>
      </c>
    </row>
    <row r="2486" customFormat="false" ht="15" hidden="false" customHeight="false" outlineLevel="0" collapsed="false">
      <c r="A2486" s="2" t="s">
        <v>119</v>
      </c>
      <c r="B2486" s="2" t="n">
        <v>1</v>
      </c>
      <c r="C2486" s="2" t="s">
        <v>98</v>
      </c>
      <c r="D2486" s="2" t="s">
        <v>42</v>
      </c>
      <c r="E2486" s="2" t="str">
        <f aca="false">INDEX(Products!$B$2:$B$13,MATCH(D2486,Products!$A$2:$A$13,0))</f>
        <v>Hydroprocessing</v>
      </c>
      <c r="F2486" s="15" t="n">
        <v>29.2</v>
      </c>
      <c r="G2486" s="16" t="n">
        <f aca="false">IF(A2486="2025",INDEX(Products!$C$2:$C$13,MATCH(D2486,Products!$A$2:$A$13,0)),INDEX(Products!$E$2:$E$13,MATCH(D2486,Products!$A$2:$A$13,0)))</f>
        <v>13072.5</v>
      </c>
      <c r="H2486" s="13" t="n">
        <f aca="false">IF(A2486="2025",INDEX(Customers!$D$2:$D$41,MATCH(C2486,Customers!$A$2:$A$41,0)),INDEX(Customers!$F$2:$F$41,MATCH(C2486,Customers!$A$2:$A$41,0)))</f>
        <v>0.183</v>
      </c>
      <c r="I2486" s="16" t="n">
        <f aca="false">F2486*G2486</f>
        <v>381717</v>
      </c>
      <c r="J2486" s="16" t="n">
        <f aca="false">I2486*(1-H2486)</f>
        <v>311862.789</v>
      </c>
      <c r="K2486" s="16" t="n">
        <f aca="false">J2486*INDEX(Customers!$G$2:$G$41,MATCH(C2486,Customers!$A$2:$A$41,0))</f>
        <v>3118.62789</v>
      </c>
      <c r="L2486" s="16" t="n">
        <f aca="false">F2486*INDEX(Customers!$H$2:$H$41,MATCH(C2486,Customers!$A$2:$A$41,0))</f>
        <v>11096</v>
      </c>
      <c r="M2486" s="16" t="n">
        <f aca="false">J2486*INDEX(Customers!$I$2:$I$41,MATCH(C2486,Customers!$A$2:$A$41,0))/365*Assumptions!$B$6</f>
        <v>6151.81392</v>
      </c>
      <c r="N2486" s="16" t="n">
        <f aca="false">J2486-K2486-L2486-M2486</f>
        <v>291496.34719</v>
      </c>
      <c r="O2486" s="16" t="n">
        <f aca="false">F2486*IF(A2486="2025",INDEX(Products!$D$2:$D$13,MATCH(D2486,Products!$A$2:$A$13,0)),INDEX(Products!$F$2:$F$13,MATCH(D2486,Products!$A$2:$A$13,0)))</f>
        <v>233991.28</v>
      </c>
      <c r="P2486" s="16" t="n">
        <f aca="false">N2486-O2486</f>
        <v>57505.06719</v>
      </c>
    </row>
    <row r="2487" customFormat="false" ht="15" hidden="false" customHeight="false" outlineLevel="0" collapsed="false">
      <c r="A2487" s="2" t="s">
        <v>119</v>
      </c>
      <c r="B2487" s="2" t="n">
        <v>2</v>
      </c>
      <c r="C2487" s="2" t="s">
        <v>98</v>
      </c>
      <c r="D2487" s="2" t="s">
        <v>42</v>
      </c>
      <c r="E2487" s="2" t="str">
        <f aca="false">INDEX(Products!$B$2:$B$13,MATCH(D2487,Products!$A$2:$A$13,0))</f>
        <v>Hydroprocessing</v>
      </c>
      <c r="F2487" s="15" t="n">
        <v>30.7</v>
      </c>
      <c r="G2487" s="16" t="n">
        <f aca="false">IF(A2487="2025",INDEX(Products!$C$2:$C$13,MATCH(D2487,Products!$A$2:$A$13,0)),INDEX(Products!$E$2:$E$13,MATCH(D2487,Products!$A$2:$A$13,0)))</f>
        <v>13072.5</v>
      </c>
      <c r="H2487" s="13" t="n">
        <f aca="false">IF(A2487="2025",INDEX(Customers!$D$2:$D$41,MATCH(C2487,Customers!$A$2:$A$41,0)),INDEX(Customers!$F$2:$F$41,MATCH(C2487,Customers!$A$2:$A$41,0)))</f>
        <v>0.183</v>
      </c>
      <c r="I2487" s="16" t="n">
        <f aca="false">F2487*G2487</f>
        <v>401325.75</v>
      </c>
      <c r="J2487" s="16" t="n">
        <f aca="false">I2487*(1-H2487)</f>
        <v>327883.13775</v>
      </c>
      <c r="K2487" s="16" t="n">
        <f aca="false">J2487*INDEX(Customers!$G$2:$G$41,MATCH(C2487,Customers!$A$2:$A$41,0))</f>
        <v>3278.8313775</v>
      </c>
      <c r="L2487" s="16" t="n">
        <f aca="false">F2487*INDEX(Customers!$H$2:$H$41,MATCH(C2487,Customers!$A$2:$A$41,0))</f>
        <v>11666</v>
      </c>
      <c r="M2487" s="16" t="n">
        <f aca="false">J2487*INDEX(Customers!$I$2:$I$41,MATCH(C2487,Customers!$A$2:$A$41,0))/365*Assumptions!$B$6</f>
        <v>6467.83175835617</v>
      </c>
      <c r="N2487" s="16" t="n">
        <f aca="false">J2487-K2487-L2487-M2487</f>
        <v>306470.474614144</v>
      </c>
      <c r="O2487" s="16" t="n">
        <f aca="false">F2487*IF(A2487="2025",INDEX(Products!$D$2:$D$13,MATCH(D2487,Products!$A$2:$A$13,0)),INDEX(Products!$F$2:$F$13,MATCH(D2487,Products!$A$2:$A$13,0)))</f>
        <v>246011.38</v>
      </c>
      <c r="P2487" s="16" t="n">
        <f aca="false">N2487-O2487</f>
        <v>60459.0946141438</v>
      </c>
    </row>
    <row r="2488" customFormat="false" ht="15" hidden="false" customHeight="false" outlineLevel="0" collapsed="false">
      <c r="A2488" s="2" t="s">
        <v>119</v>
      </c>
      <c r="B2488" s="2" t="n">
        <v>3</v>
      </c>
      <c r="C2488" s="2" t="s">
        <v>98</v>
      </c>
      <c r="D2488" s="2" t="s">
        <v>42</v>
      </c>
      <c r="E2488" s="2" t="str">
        <f aca="false">INDEX(Products!$B$2:$B$13,MATCH(D2488,Products!$A$2:$A$13,0))</f>
        <v>Hydroprocessing</v>
      </c>
      <c r="F2488" s="15" t="n">
        <v>23.3</v>
      </c>
      <c r="G2488" s="16" t="n">
        <f aca="false">IF(A2488="2025",INDEX(Products!$C$2:$C$13,MATCH(D2488,Products!$A$2:$A$13,0)),INDEX(Products!$E$2:$E$13,MATCH(D2488,Products!$A$2:$A$13,0)))</f>
        <v>13072.5</v>
      </c>
      <c r="H2488" s="13" t="n">
        <f aca="false">IF(A2488="2025",INDEX(Customers!$D$2:$D$41,MATCH(C2488,Customers!$A$2:$A$41,0)),INDEX(Customers!$F$2:$F$41,MATCH(C2488,Customers!$A$2:$A$41,0)))</f>
        <v>0.183</v>
      </c>
      <c r="I2488" s="16" t="n">
        <f aca="false">F2488*G2488</f>
        <v>304589.25</v>
      </c>
      <c r="J2488" s="16" t="n">
        <f aca="false">I2488*(1-H2488)</f>
        <v>248849.41725</v>
      </c>
      <c r="K2488" s="16" t="n">
        <f aca="false">J2488*INDEX(Customers!$G$2:$G$41,MATCH(C2488,Customers!$A$2:$A$41,0))</f>
        <v>2488.4941725</v>
      </c>
      <c r="L2488" s="16" t="n">
        <f aca="false">F2488*INDEX(Customers!$H$2:$H$41,MATCH(C2488,Customers!$A$2:$A$41,0))</f>
        <v>8854</v>
      </c>
      <c r="M2488" s="16" t="n">
        <f aca="false">J2488*INDEX(Customers!$I$2:$I$41,MATCH(C2488,Customers!$A$2:$A$41,0))/365*Assumptions!$B$6</f>
        <v>4908.81042246575</v>
      </c>
      <c r="N2488" s="16" t="n">
        <f aca="false">J2488-K2488-L2488-M2488</f>
        <v>232598.112655034</v>
      </c>
      <c r="O2488" s="16" t="n">
        <f aca="false">F2488*IF(A2488="2025",INDEX(Products!$D$2:$D$13,MATCH(D2488,Products!$A$2:$A$13,0)),INDEX(Products!$F$2:$F$13,MATCH(D2488,Products!$A$2:$A$13,0)))</f>
        <v>186712.22</v>
      </c>
      <c r="P2488" s="16" t="n">
        <f aca="false">N2488-O2488</f>
        <v>45885.8926550342</v>
      </c>
    </row>
    <row r="2489" customFormat="false" ht="15" hidden="false" customHeight="false" outlineLevel="0" collapsed="false">
      <c r="A2489" s="2" t="s">
        <v>119</v>
      </c>
      <c r="B2489" s="2" t="n">
        <v>4</v>
      </c>
      <c r="C2489" s="2" t="s">
        <v>98</v>
      </c>
      <c r="D2489" s="2" t="s">
        <v>42</v>
      </c>
      <c r="E2489" s="2" t="str">
        <f aca="false">INDEX(Products!$B$2:$B$13,MATCH(D2489,Products!$A$2:$A$13,0))</f>
        <v>Hydroprocessing</v>
      </c>
      <c r="F2489" s="15" t="n">
        <v>21.9</v>
      </c>
      <c r="G2489" s="16" t="n">
        <f aca="false">IF(A2489="2025",INDEX(Products!$C$2:$C$13,MATCH(D2489,Products!$A$2:$A$13,0)),INDEX(Products!$E$2:$E$13,MATCH(D2489,Products!$A$2:$A$13,0)))</f>
        <v>13072.5</v>
      </c>
      <c r="H2489" s="13" t="n">
        <f aca="false">IF(A2489="2025",INDEX(Customers!$D$2:$D$41,MATCH(C2489,Customers!$A$2:$A$41,0)),INDEX(Customers!$F$2:$F$41,MATCH(C2489,Customers!$A$2:$A$41,0)))</f>
        <v>0.183</v>
      </c>
      <c r="I2489" s="16" t="n">
        <f aca="false">F2489*G2489</f>
        <v>286287.75</v>
      </c>
      <c r="J2489" s="16" t="n">
        <f aca="false">I2489*(1-H2489)</f>
        <v>233897.09175</v>
      </c>
      <c r="K2489" s="16" t="n">
        <f aca="false">J2489*INDEX(Customers!$G$2:$G$41,MATCH(C2489,Customers!$A$2:$A$41,0))</f>
        <v>2338.9709175</v>
      </c>
      <c r="L2489" s="16" t="n">
        <f aca="false">F2489*INDEX(Customers!$H$2:$H$41,MATCH(C2489,Customers!$A$2:$A$41,0))</f>
        <v>8322</v>
      </c>
      <c r="M2489" s="16" t="n">
        <f aca="false">J2489*INDEX(Customers!$I$2:$I$41,MATCH(C2489,Customers!$A$2:$A$41,0))/365*Assumptions!$B$6</f>
        <v>4613.86044</v>
      </c>
      <c r="N2489" s="16" t="n">
        <f aca="false">J2489-K2489-L2489-M2489</f>
        <v>218622.2603925</v>
      </c>
      <c r="O2489" s="16" t="n">
        <f aca="false">F2489*IF(A2489="2025",INDEX(Products!$D$2:$D$13,MATCH(D2489,Products!$A$2:$A$13,0)),INDEX(Products!$F$2:$F$13,MATCH(D2489,Products!$A$2:$A$13,0)))</f>
        <v>175493.46</v>
      </c>
      <c r="P2489" s="16" t="n">
        <f aca="false">N2489-O2489</f>
        <v>43128.8003925</v>
      </c>
    </row>
    <row r="2490" customFormat="false" ht="15" hidden="false" customHeight="false" outlineLevel="0" collapsed="false">
      <c r="A2490" s="2" t="s">
        <v>119</v>
      </c>
      <c r="B2490" s="2" t="n">
        <v>5</v>
      </c>
      <c r="C2490" s="2" t="s">
        <v>98</v>
      </c>
      <c r="D2490" s="2" t="s">
        <v>42</v>
      </c>
      <c r="E2490" s="2" t="str">
        <f aca="false">INDEX(Products!$B$2:$B$13,MATCH(D2490,Products!$A$2:$A$13,0))</f>
        <v>Hydroprocessing</v>
      </c>
      <c r="F2490" s="15" t="n">
        <v>20.4</v>
      </c>
      <c r="G2490" s="16" t="n">
        <f aca="false">IF(A2490="2025",INDEX(Products!$C$2:$C$13,MATCH(D2490,Products!$A$2:$A$13,0)),INDEX(Products!$E$2:$E$13,MATCH(D2490,Products!$A$2:$A$13,0)))</f>
        <v>13072.5</v>
      </c>
      <c r="H2490" s="13" t="n">
        <f aca="false">IF(A2490="2025",INDEX(Customers!$D$2:$D$41,MATCH(C2490,Customers!$A$2:$A$41,0)),INDEX(Customers!$F$2:$F$41,MATCH(C2490,Customers!$A$2:$A$41,0)))</f>
        <v>0.183</v>
      </c>
      <c r="I2490" s="16" t="n">
        <f aca="false">F2490*G2490</f>
        <v>266679</v>
      </c>
      <c r="J2490" s="16" t="n">
        <f aca="false">I2490*(1-H2490)</f>
        <v>217876.743</v>
      </c>
      <c r="K2490" s="16" t="n">
        <f aca="false">J2490*INDEX(Customers!$G$2:$G$41,MATCH(C2490,Customers!$A$2:$A$41,0))</f>
        <v>2178.76743</v>
      </c>
      <c r="L2490" s="16" t="n">
        <f aca="false">F2490*INDEX(Customers!$H$2:$H$41,MATCH(C2490,Customers!$A$2:$A$41,0))</f>
        <v>7752</v>
      </c>
      <c r="M2490" s="16" t="n">
        <f aca="false">J2490*INDEX(Customers!$I$2:$I$41,MATCH(C2490,Customers!$A$2:$A$41,0))/365*Assumptions!$B$6</f>
        <v>4297.84260164384</v>
      </c>
      <c r="N2490" s="16" t="n">
        <f aca="false">J2490-K2490-L2490-M2490</f>
        <v>203648.132968356</v>
      </c>
      <c r="O2490" s="16" t="n">
        <f aca="false">F2490*IF(A2490="2025",INDEX(Products!$D$2:$D$13,MATCH(D2490,Products!$A$2:$A$13,0)),INDEX(Products!$F$2:$F$13,MATCH(D2490,Products!$A$2:$A$13,0)))</f>
        <v>163473.36</v>
      </c>
      <c r="P2490" s="16" t="n">
        <f aca="false">N2490-O2490</f>
        <v>40174.7729683562</v>
      </c>
    </row>
    <row r="2491" customFormat="false" ht="15" hidden="false" customHeight="false" outlineLevel="0" collapsed="false">
      <c r="A2491" s="2" t="s">
        <v>119</v>
      </c>
      <c r="B2491" s="2" t="n">
        <v>6</v>
      </c>
      <c r="C2491" s="2" t="s">
        <v>98</v>
      </c>
      <c r="D2491" s="2" t="s">
        <v>42</v>
      </c>
      <c r="E2491" s="2" t="str">
        <f aca="false">INDEX(Products!$B$2:$B$13,MATCH(D2491,Products!$A$2:$A$13,0))</f>
        <v>Hydroprocessing</v>
      </c>
      <c r="F2491" s="15" t="n">
        <v>28.8</v>
      </c>
      <c r="G2491" s="16" t="n">
        <f aca="false">IF(A2491="2025",INDEX(Products!$C$2:$C$13,MATCH(D2491,Products!$A$2:$A$13,0)),INDEX(Products!$E$2:$E$13,MATCH(D2491,Products!$A$2:$A$13,0)))</f>
        <v>13072.5</v>
      </c>
      <c r="H2491" s="13" t="n">
        <f aca="false">IF(A2491="2025",INDEX(Customers!$D$2:$D$41,MATCH(C2491,Customers!$A$2:$A$41,0)),INDEX(Customers!$F$2:$F$41,MATCH(C2491,Customers!$A$2:$A$41,0)))</f>
        <v>0.183</v>
      </c>
      <c r="I2491" s="16" t="n">
        <f aca="false">F2491*G2491</f>
        <v>376488</v>
      </c>
      <c r="J2491" s="16" t="n">
        <f aca="false">I2491*(1-H2491)</f>
        <v>307590.696</v>
      </c>
      <c r="K2491" s="16" t="n">
        <f aca="false">J2491*INDEX(Customers!$G$2:$G$41,MATCH(C2491,Customers!$A$2:$A$41,0))</f>
        <v>3075.90696</v>
      </c>
      <c r="L2491" s="16" t="n">
        <f aca="false">F2491*INDEX(Customers!$H$2:$H$41,MATCH(C2491,Customers!$A$2:$A$41,0))</f>
        <v>10944</v>
      </c>
      <c r="M2491" s="16" t="n">
        <f aca="false">J2491*INDEX(Customers!$I$2:$I$41,MATCH(C2491,Customers!$A$2:$A$41,0))/365*Assumptions!$B$6</f>
        <v>6067.54249643836</v>
      </c>
      <c r="N2491" s="16" t="n">
        <f aca="false">J2491-K2491-L2491-M2491</f>
        <v>287503.246543562</v>
      </c>
      <c r="O2491" s="16" t="n">
        <f aca="false">F2491*IF(A2491="2025",INDEX(Products!$D$2:$D$13,MATCH(D2491,Products!$A$2:$A$13,0)),INDEX(Products!$F$2:$F$13,MATCH(D2491,Products!$A$2:$A$13,0)))</f>
        <v>230785.92</v>
      </c>
      <c r="P2491" s="16" t="n">
        <f aca="false">N2491-O2491</f>
        <v>56717.3265435616</v>
      </c>
    </row>
    <row r="2492" customFormat="false" ht="15" hidden="false" customHeight="false" outlineLevel="0" collapsed="false">
      <c r="A2492" s="2" t="s">
        <v>119</v>
      </c>
      <c r="B2492" s="2" t="n">
        <v>7</v>
      </c>
      <c r="C2492" s="2" t="s">
        <v>98</v>
      </c>
      <c r="D2492" s="2" t="s">
        <v>42</v>
      </c>
      <c r="E2492" s="2" t="str">
        <f aca="false">INDEX(Products!$B$2:$B$13,MATCH(D2492,Products!$A$2:$A$13,0))</f>
        <v>Hydroprocessing</v>
      </c>
      <c r="F2492" s="15" t="n">
        <v>20.1</v>
      </c>
      <c r="G2492" s="16" t="n">
        <f aca="false">IF(A2492="2025",INDEX(Products!$C$2:$C$13,MATCH(D2492,Products!$A$2:$A$13,0)),INDEX(Products!$E$2:$E$13,MATCH(D2492,Products!$A$2:$A$13,0)))</f>
        <v>13072.5</v>
      </c>
      <c r="H2492" s="13" t="n">
        <f aca="false">IF(A2492="2025",INDEX(Customers!$D$2:$D$41,MATCH(C2492,Customers!$A$2:$A$41,0)),INDEX(Customers!$F$2:$F$41,MATCH(C2492,Customers!$A$2:$A$41,0)))</f>
        <v>0.183</v>
      </c>
      <c r="I2492" s="16" t="n">
        <f aca="false">F2492*G2492</f>
        <v>262757.25</v>
      </c>
      <c r="J2492" s="16" t="n">
        <f aca="false">I2492*(1-H2492)</f>
        <v>214672.67325</v>
      </c>
      <c r="K2492" s="16" t="n">
        <f aca="false">J2492*INDEX(Customers!$G$2:$G$41,MATCH(C2492,Customers!$A$2:$A$41,0))</f>
        <v>2146.7267325</v>
      </c>
      <c r="L2492" s="16" t="n">
        <f aca="false">F2492*INDEX(Customers!$H$2:$H$41,MATCH(C2492,Customers!$A$2:$A$41,0))</f>
        <v>7638</v>
      </c>
      <c r="M2492" s="16" t="n">
        <f aca="false">J2492*INDEX(Customers!$I$2:$I$41,MATCH(C2492,Customers!$A$2:$A$41,0))/365*Assumptions!$B$6</f>
        <v>4234.6390339726</v>
      </c>
      <c r="N2492" s="16" t="n">
        <f aca="false">J2492-K2492-L2492-M2492</f>
        <v>200653.307483527</v>
      </c>
      <c r="O2492" s="16" t="n">
        <f aca="false">F2492*IF(A2492="2025",INDEX(Products!$D$2:$D$13,MATCH(D2492,Products!$A$2:$A$13,0)),INDEX(Products!$F$2:$F$13,MATCH(D2492,Products!$A$2:$A$13,0)))</f>
        <v>161069.34</v>
      </c>
      <c r="P2492" s="16" t="n">
        <f aca="false">N2492-O2492</f>
        <v>39583.9674835274</v>
      </c>
    </row>
    <row r="2493" customFormat="false" ht="15" hidden="false" customHeight="false" outlineLevel="0" collapsed="false">
      <c r="A2493" s="2" t="s">
        <v>119</v>
      </c>
      <c r="B2493" s="2" t="n">
        <v>8</v>
      </c>
      <c r="C2493" s="2" t="s">
        <v>98</v>
      </c>
      <c r="D2493" s="2" t="s">
        <v>42</v>
      </c>
      <c r="E2493" s="2" t="str">
        <f aca="false">INDEX(Products!$B$2:$B$13,MATCH(D2493,Products!$A$2:$A$13,0))</f>
        <v>Hydroprocessing</v>
      </c>
      <c r="F2493" s="15" t="n">
        <v>29.8</v>
      </c>
      <c r="G2493" s="16" t="n">
        <f aca="false">IF(A2493="2025",INDEX(Products!$C$2:$C$13,MATCH(D2493,Products!$A$2:$A$13,0)),INDEX(Products!$E$2:$E$13,MATCH(D2493,Products!$A$2:$A$13,0)))</f>
        <v>13072.5</v>
      </c>
      <c r="H2493" s="13" t="n">
        <f aca="false">IF(A2493="2025",INDEX(Customers!$D$2:$D$41,MATCH(C2493,Customers!$A$2:$A$41,0)),INDEX(Customers!$F$2:$F$41,MATCH(C2493,Customers!$A$2:$A$41,0)))</f>
        <v>0.183</v>
      </c>
      <c r="I2493" s="16" t="n">
        <f aca="false">F2493*G2493</f>
        <v>389560.5</v>
      </c>
      <c r="J2493" s="16" t="n">
        <f aca="false">I2493*(1-H2493)</f>
        <v>318270.9285</v>
      </c>
      <c r="K2493" s="16" t="n">
        <f aca="false">J2493*INDEX(Customers!$G$2:$G$41,MATCH(C2493,Customers!$A$2:$A$41,0))</f>
        <v>3182.709285</v>
      </c>
      <c r="L2493" s="16" t="n">
        <f aca="false">F2493*INDEX(Customers!$H$2:$H$41,MATCH(C2493,Customers!$A$2:$A$41,0))</f>
        <v>11324</v>
      </c>
      <c r="M2493" s="16" t="n">
        <f aca="false">J2493*INDEX(Customers!$I$2:$I$41,MATCH(C2493,Customers!$A$2:$A$41,0))/365*Assumptions!$B$6</f>
        <v>6278.22105534247</v>
      </c>
      <c r="N2493" s="16" t="n">
        <f aca="false">J2493-K2493-L2493-M2493</f>
        <v>297485.998159658</v>
      </c>
      <c r="O2493" s="16" t="n">
        <f aca="false">F2493*IF(A2493="2025",INDEX(Products!$D$2:$D$13,MATCH(D2493,Products!$A$2:$A$13,0)),INDEX(Products!$F$2:$F$13,MATCH(D2493,Products!$A$2:$A$13,0)))</f>
        <v>238799.32</v>
      </c>
      <c r="P2493" s="16" t="n">
        <f aca="false">N2493-O2493</f>
        <v>58686.6781596575</v>
      </c>
    </row>
    <row r="2494" customFormat="false" ht="15" hidden="false" customHeight="false" outlineLevel="0" collapsed="false">
      <c r="A2494" s="2" t="s">
        <v>119</v>
      </c>
      <c r="B2494" s="2" t="n">
        <v>9</v>
      </c>
      <c r="C2494" s="2" t="s">
        <v>98</v>
      </c>
      <c r="D2494" s="2" t="s">
        <v>42</v>
      </c>
      <c r="E2494" s="2" t="str">
        <f aca="false">INDEX(Products!$B$2:$B$13,MATCH(D2494,Products!$A$2:$A$13,0))</f>
        <v>Hydroprocessing</v>
      </c>
      <c r="F2494" s="15" t="n">
        <v>22.2</v>
      </c>
      <c r="G2494" s="16" t="n">
        <f aca="false">IF(A2494="2025",INDEX(Products!$C$2:$C$13,MATCH(D2494,Products!$A$2:$A$13,0)),INDEX(Products!$E$2:$E$13,MATCH(D2494,Products!$A$2:$A$13,0)))</f>
        <v>13072.5</v>
      </c>
      <c r="H2494" s="13" t="n">
        <f aca="false">IF(A2494="2025",INDEX(Customers!$D$2:$D$41,MATCH(C2494,Customers!$A$2:$A$41,0)),INDEX(Customers!$F$2:$F$41,MATCH(C2494,Customers!$A$2:$A$41,0)))</f>
        <v>0.183</v>
      </c>
      <c r="I2494" s="16" t="n">
        <f aca="false">F2494*G2494</f>
        <v>290209.5</v>
      </c>
      <c r="J2494" s="16" t="n">
        <f aca="false">I2494*(1-H2494)</f>
        <v>237101.1615</v>
      </c>
      <c r="K2494" s="16" t="n">
        <f aca="false">J2494*INDEX(Customers!$G$2:$G$41,MATCH(C2494,Customers!$A$2:$A$41,0))</f>
        <v>2371.011615</v>
      </c>
      <c r="L2494" s="16" t="n">
        <f aca="false">F2494*INDEX(Customers!$H$2:$H$41,MATCH(C2494,Customers!$A$2:$A$41,0))</f>
        <v>8436</v>
      </c>
      <c r="M2494" s="16" t="n">
        <f aca="false">J2494*INDEX(Customers!$I$2:$I$41,MATCH(C2494,Customers!$A$2:$A$41,0))/365*Assumptions!$B$6</f>
        <v>4677.06400767123</v>
      </c>
      <c r="N2494" s="16" t="n">
        <f aca="false">J2494-K2494-L2494-M2494</f>
        <v>221617.085877329</v>
      </c>
      <c r="O2494" s="16" t="n">
        <f aca="false">F2494*IF(A2494="2025",INDEX(Products!$D$2:$D$13,MATCH(D2494,Products!$A$2:$A$13,0)),INDEX(Products!$F$2:$F$13,MATCH(D2494,Products!$A$2:$A$13,0)))</f>
        <v>177897.48</v>
      </c>
      <c r="P2494" s="16" t="n">
        <f aca="false">N2494-O2494</f>
        <v>43719.6058773288</v>
      </c>
    </row>
    <row r="2495" customFormat="false" ht="15" hidden="false" customHeight="false" outlineLevel="0" collapsed="false">
      <c r="A2495" s="2" t="s">
        <v>119</v>
      </c>
      <c r="B2495" s="2" t="n">
        <v>10</v>
      </c>
      <c r="C2495" s="2" t="s">
        <v>98</v>
      </c>
      <c r="D2495" s="2" t="s">
        <v>42</v>
      </c>
      <c r="E2495" s="2" t="str">
        <f aca="false">INDEX(Products!$B$2:$B$13,MATCH(D2495,Products!$A$2:$A$13,0))</f>
        <v>Hydroprocessing</v>
      </c>
      <c r="F2495" s="15" t="n">
        <v>20.1</v>
      </c>
      <c r="G2495" s="16" t="n">
        <f aca="false">IF(A2495="2025",INDEX(Products!$C$2:$C$13,MATCH(D2495,Products!$A$2:$A$13,0)),INDEX(Products!$E$2:$E$13,MATCH(D2495,Products!$A$2:$A$13,0)))</f>
        <v>13072.5</v>
      </c>
      <c r="H2495" s="13" t="n">
        <f aca="false">IF(A2495="2025",INDEX(Customers!$D$2:$D$41,MATCH(C2495,Customers!$A$2:$A$41,0)),INDEX(Customers!$F$2:$F$41,MATCH(C2495,Customers!$A$2:$A$41,0)))</f>
        <v>0.183</v>
      </c>
      <c r="I2495" s="16" t="n">
        <f aca="false">F2495*G2495</f>
        <v>262757.25</v>
      </c>
      <c r="J2495" s="16" t="n">
        <f aca="false">I2495*(1-H2495)</f>
        <v>214672.67325</v>
      </c>
      <c r="K2495" s="16" t="n">
        <f aca="false">J2495*INDEX(Customers!$G$2:$G$41,MATCH(C2495,Customers!$A$2:$A$41,0))</f>
        <v>2146.7267325</v>
      </c>
      <c r="L2495" s="16" t="n">
        <f aca="false">F2495*INDEX(Customers!$H$2:$H$41,MATCH(C2495,Customers!$A$2:$A$41,0))</f>
        <v>7638</v>
      </c>
      <c r="M2495" s="16" t="n">
        <f aca="false">J2495*INDEX(Customers!$I$2:$I$41,MATCH(C2495,Customers!$A$2:$A$41,0))/365*Assumptions!$B$6</f>
        <v>4234.6390339726</v>
      </c>
      <c r="N2495" s="16" t="n">
        <f aca="false">J2495-K2495-L2495-M2495</f>
        <v>200653.307483527</v>
      </c>
      <c r="O2495" s="16" t="n">
        <f aca="false">F2495*IF(A2495="2025",INDEX(Products!$D$2:$D$13,MATCH(D2495,Products!$A$2:$A$13,0)),INDEX(Products!$F$2:$F$13,MATCH(D2495,Products!$A$2:$A$13,0)))</f>
        <v>161069.34</v>
      </c>
      <c r="P2495" s="16" t="n">
        <f aca="false">N2495-O2495</f>
        <v>39583.9674835274</v>
      </c>
    </row>
    <row r="2496" customFormat="false" ht="15" hidden="false" customHeight="false" outlineLevel="0" collapsed="false">
      <c r="A2496" s="2" t="s">
        <v>119</v>
      </c>
      <c r="B2496" s="2" t="n">
        <v>11</v>
      </c>
      <c r="C2496" s="2" t="s">
        <v>98</v>
      </c>
      <c r="D2496" s="2" t="s">
        <v>42</v>
      </c>
      <c r="E2496" s="2" t="str">
        <f aca="false">INDEX(Products!$B$2:$B$13,MATCH(D2496,Products!$A$2:$A$13,0))</f>
        <v>Hydroprocessing</v>
      </c>
      <c r="F2496" s="15" t="n">
        <v>31.9</v>
      </c>
      <c r="G2496" s="16" t="n">
        <f aca="false">IF(A2496="2025",INDEX(Products!$C$2:$C$13,MATCH(D2496,Products!$A$2:$A$13,0)),INDEX(Products!$E$2:$E$13,MATCH(D2496,Products!$A$2:$A$13,0)))</f>
        <v>13072.5</v>
      </c>
      <c r="H2496" s="13" t="n">
        <f aca="false">IF(A2496="2025",INDEX(Customers!$D$2:$D$41,MATCH(C2496,Customers!$A$2:$A$41,0)),INDEX(Customers!$F$2:$F$41,MATCH(C2496,Customers!$A$2:$A$41,0)))</f>
        <v>0.183</v>
      </c>
      <c r="I2496" s="16" t="n">
        <f aca="false">F2496*G2496</f>
        <v>417012.75</v>
      </c>
      <c r="J2496" s="16" t="n">
        <f aca="false">I2496*(1-H2496)</f>
        <v>340699.41675</v>
      </c>
      <c r="K2496" s="16" t="n">
        <f aca="false">J2496*INDEX(Customers!$G$2:$G$41,MATCH(C2496,Customers!$A$2:$A$41,0))</f>
        <v>3406.9941675</v>
      </c>
      <c r="L2496" s="16" t="n">
        <f aca="false">F2496*INDEX(Customers!$H$2:$H$41,MATCH(C2496,Customers!$A$2:$A$41,0))</f>
        <v>12122</v>
      </c>
      <c r="M2496" s="16" t="n">
        <f aca="false">J2496*INDEX(Customers!$I$2:$I$41,MATCH(C2496,Customers!$A$2:$A$41,0))/365*Assumptions!$B$6</f>
        <v>6720.6460290411</v>
      </c>
      <c r="N2496" s="16" t="n">
        <f aca="false">J2496-K2496-L2496-M2496</f>
        <v>318449.776553459</v>
      </c>
      <c r="O2496" s="16" t="n">
        <f aca="false">F2496*IF(A2496="2025",INDEX(Products!$D$2:$D$13,MATCH(D2496,Products!$A$2:$A$13,0)),INDEX(Products!$F$2:$F$13,MATCH(D2496,Products!$A$2:$A$13,0)))</f>
        <v>255627.46</v>
      </c>
      <c r="P2496" s="16" t="n">
        <f aca="false">N2496-O2496</f>
        <v>62822.3165534589</v>
      </c>
    </row>
    <row r="2497" customFormat="false" ht="15" hidden="false" customHeight="false" outlineLevel="0" collapsed="false">
      <c r="A2497" s="2" t="s">
        <v>119</v>
      </c>
      <c r="B2497" s="2" t="n">
        <v>12</v>
      </c>
      <c r="C2497" s="2" t="s">
        <v>98</v>
      </c>
      <c r="D2497" s="2" t="s">
        <v>42</v>
      </c>
      <c r="E2497" s="2" t="str">
        <f aca="false">INDEX(Products!$B$2:$B$13,MATCH(D2497,Products!$A$2:$A$13,0))</f>
        <v>Hydroprocessing</v>
      </c>
      <c r="F2497" s="15" t="n">
        <v>29.8</v>
      </c>
      <c r="G2497" s="16" t="n">
        <f aca="false">IF(A2497="2025",INDEX(Products!$C$2:$C$13,MATCH(D2497,Products!$A$2:$A$13,0)),INDEX(Products!$E$2:$E$13,MATCH(D2497,Products!$A$2:$A$13,0)))</f>
        <v>13072.5</v>
      </c>
      <c r="H2497" s="13" t="n">
        <f aca="false">IF(A2497="2025",INDEX(Customers!$D$2:$D$41,MATCH(C2497,Customers!$A$2:$A$41,0)),INDEX(Customers!$F$2:$F$41,MATCH(C2497,Customers!$A$2:$A$41,0)))</f>
        <v>0.183</v>
      </c>
      <c r="I2497" s="16" t="n">
        <f aca="false">F2497*G2497</f>
        <v>389560.5</v>
      </c>
      <c r="J2497" s="16" t="n">
        <f aca="false">I2497*(1-H2497)</f>
        <v>318270.9285</v>
      </c>
      <c r="K2497" s="16" t="n">
        <f aca="false">J2497*INDEX(Customers!$G$2:$G$41,MATCH(C2497,Customers!$A$2:$A$41,0))</f>
        <v>3182.709285</v>
      </c>
      <c r="L2497" s="16" t="n">
        <f aca="false">F2497*INDEX(Customers!$H$2:$H$41,MATCH(C2497,Customers!$A$2:$A$41,0))</f>
        <v>11324</v>
      </c>
      <c r="M2497" s="16" t="n">
        <f aca="false">J2497*INDEX(Customers!$I$2:$I$41,MATCH(C2497,Customers!$A$2:$A$41,0))/365*Assumptions!$B$6</f>
        <v>6278.22105534247</v>
      </c>
      <c r="N2497" s="16" t="n">
        <f aca="false">J2497-K2497-L2497-M2497</f>
        <v>297485.998159658</v>
      </c>
      <c r="O2497" s="16" t="n">
        <f aca="false">F2497*IF(A2497="2025",INDEX(Products!$D$2:$D$13,MATCH(D2497,Products!$A$2:$A$13,0)),INDEX(Products!$F$2:$F$13,MATCH(D2497,Products!$A$2:$A$13,0)))</f>
        <v>238799.32</v>
      </c>
      <c r="P2497" s="16" t="n">
        <f aca="false">N2497-O2497</f>
        <v>58686.6781596575</v>
      </c>
    </row>
    <row r="2498" customFormat="false" ht="15" hidden="false" customHeight="false" outlineLevel="0" collapsed="false">
      <c r="A2498" s="2" t="s">
        <v>118</v>
      </c>
      <c r="B2498" s="2" t="n">
        <v>1</v>
      </c>
      <c r="C2498" s="2" t="s">
        <v>99</v>
      </c>
      <c r="D2498" s="2" t="s">
        <v>48</v>
      </c>
      <c r="E2498" s="2" t="str">
        <f aca="false">INDEX(Products!$B$2:$B$13,MATCH(D2498,Products!$A$2:$A$13,0))</f>
        <v>Specialty</v>
      </c>
      <c r="F2498" s="15" t="n">
        <v>1.7</v>
      </c>
      <c r="G2498" s="16" t="n">
        <f aca="false">IF(A2498="2025",INDEX(Products!$C$2:$C$13,MATCH(D2498,Products!$A$2:$A$13,0)),INDEX(Products!$E$2:$E$13,MATCH(D2498,Products!$A$2:$A$13,0)))</f>
        <v>33260</v>
      </c>
      <c r="H2498" s="13" t="n">
        <f aca="false">IF(A2498="2025",INDEX(Customers!$D$2:$D$41,MATCH(C2498,Customers!$A$2:$A$41,0)),INDEX(Customers!$F$2:$F$41,MATCH(C2498,Customers!$A$2:$A$41,0)))</f>
        <v>0.061</v>
      </c>
      <c r="I2498" s="16" t="n">
        <f aca="false">F2498*G2498</f>
        <v>56542</v>
      </c>
      <c r="J2498" s="16" t="n">
        <f aca="false">I2498*(1-H2498)</f>
        <v>53092.938</v>
      </c>
      <c r="K2498" s="16" t="n">
        <f aca="false">J2498*INDEX(Customers!$G$2:$G$41,MATCH(C2498,Customers!$A$2:$A$41,0))</f>
        <v>530.92938</v>
      </c>
      <c r="L2498" s="16" t="n">
        <f aca="false">F2498*INDEX(Customers!$H$2:$H$41,MATCH(C2498,Customers!$A$2:$A$41,0))</f>
        <v>544</v>
      </c>
      <c r="M2498" s="16" t="n">
        <f aca="false">J2498*INDEX(Customers!$I$2:$I$41,MATCH(C2498,Customers!$A$2:$A$41,0))/365*Assumptions!$B$6</f>
        <v>698.208499726028</v>
      </c>
      <c r="N2498" s="16" t="n">
        <f aca="false">J2498-K2498-L2498-M2498</f>
        <v>51319.800120274</v>
      </c>
      <c r="O2498" s="16" t="n">
        <f aca="false">F2498*IF(A2498="2025",INDEX(Products!$D$2:$D$13,MATCH(D2498,Products!$A$2:$A$13,0)),INDEX(Products!$F$2:$F$13,MATCH(D2498,Products!$A$2:$A$13,0)))</f>
        <v>25534</v>
      </c>
      <c r="P2498" s="16" t="n">
        <f aca="false">N2498-O2498</f>
        <v>25785.800120274</v>
      </c>
    </row>
    <row r="2499" customFormat="false" ht="15" hidden="false" customHeight="false" outlineLevel="0" collapsed="false">
      <c r="A2499" s="2" t="s">
        <v>118</v>
      </c>
      <c r="B2499" s="2" t="n">
        <v>2</v>
      </c>
      <c r="C2499" s="2" t="s">
        <v>99</v>
      </c>
      <c r="D2499" s="2" t="s">
        <v>48</v>
      </c>
      <c r="E2499" s="2" t="str">
        <f aca="false">INDEX(Products!$B$2:$B$13,MATCH(D2499,Products!$A$2:$A$13,0))</f>
        <v>Specialty</v>
      </c>
      <c r="F2499" s="15" t="n">
        <v>1.6</v>
      </c>
      <c r="G2499" s="16" t="n">
        <f aca="false">IF(A2499="2025",INDEX(Products!$C$2:$C$13,MATCH(D2499,Products!$A$2:$A$13,0)),INDEX(Products!$E$2:$E$13,MATCH(D2499,Products!$A$2:$A$13,0)))</f>
        <v>33260</v>
      </c>
      <c r="H2499" s="13" t="n">
        <f aca="false">IF(A2499="2025",INDEX(Customers!$D$2:$D$41,MATCH(C2499,Customers!$A$2:$A$41,0)),INDEX(Customers!$F$2:$F$41,MATCH(C2499,Customers!$A$2:$A$41,0)))</f>
        <v>0.061</v>
      </c>
      <c r="I2499" s="16" t="n">
        <f aca="false">F2499*G2499</f>
        <v>53216</v>
      </c>
      <c r="J2499" s="16" t="n">
        <f aca="false">I2499*(1-H2499)</f>
        <v>49969.824</v>
      </c>
      <c r="K2499" s="16" t="n">
        <f aca="false">J2499*INDEX(Customers!$G$2:$G$41,MATCH(C2499,Customers!$A$2:$A$41,0))</f>
        <v>499.69824</v>
      </c>
      <c r="L2499" s="16" t="n">
        <f aca="false">F2499*INDEX(Customers!$H$2:$H$41,MATCH(C2499,Customers!$A$2:$A$41,0))</f>
        <v>512</v>
      </c>
      <c r="M2499" s="16" t="n">
        <f aca="false">J2499*INDEX(Customers!$I$2:$I$41,MATCH(C2499,Customers!$A$2:$A$41,0))/365*Assumptions!$B$6</f>
        <v>657.137411506849</v>
      </c>
      <c r="N2499" s="16" t="n">
        <f aca="false">J2499-K2499-L2499-M2499</f>
        <v>48300.9883484932</v>
      </c>
      <c r="O2499" s="16" t="n">
        <f aca="false">F2499*IF(A2499="2025",INDEX(Products!$D$2:$D$13,MATCH(D2499,Products!$A$2:$A$13,0)),INDEX(Products!$F$2:$F$13,MATCH(D2499,Products!$A$2:$A$13,0)))</f>
        <v>24032</v>
      </c>
      <c r="P2499" s="16" t="n">
        <f aca="false">N2499-O2499</f>
        <v>24268.9883484932</v>
      </c>
    </row>
    <row r="2500" customFormat="false" ht="15" hidden="false" customHeight="false" outlineLevel="0" collapsed="false">
      <c r="A2500" s="2" t="s">
        <v>118</v>
      </c>
      <c r="B2500" s="2" t="n">
        <v>3</v>
      </c>
      <c r="C2500" s="2" t="s">
        <v>99</v>
      </c>
      <c r="D2500" s="2" t="s">
        <v>48</v>
      </c>
      <c r="E2500" s="2" t="str">
        <f aca="false">INDEX(Products!$B$2:$B$13,MATCH(D2500,Products!$A$2:$A$13,0))</f>
        <v>Specialty</v>
      </c>
      <c r="F2500" s="15" t="n">
        <v>1.8</v>
      </c>
      <c r="G2500" s="16" t="n">
        <f aca="false">IF(A2500="2025",INDEX(Products!$C$2:$C$13,MATCH(D2500,Products!$A$2:$A$13,0)),INDEX(Products!$E$2:$E$13,MATCH(D2500,Products!$A$2:$A$13,0)))</f>
        <v>33260</v>
      </c>
      <c r="H2500" s="13" t="n">
        <f aca="false">IF(A2500="2025",INDEX(Customers!$D$2:$D$41,MATCH(C2500,Customers!$A$2:$A$41,0)),INDEX(Customers!$F$2:$F$41,MATCH(C2500,Customers!$A$2:$A$41,0)))</f>
        <v>0.061</v>
      </c>
      <c r="I2500" s="16" t="n">
        <f aca="false">F2500*G2500</f>
        <v>59868</v>
      </c>
      <c r="J2500" s="16" t="n">
        <f aca="false">I2500*(1-H2500)</f>
        <v>56216.052</v>
      </c>
      <c r="K2500" s="16" t="n">
        <f aca="false">J2500*INDEX(Customers!$G$2:$G$41,MATCH(C2500,Customers!$A$2:$A$41,0))</f>
        <v>562.16052</v>
      </c>
      <c r="L2500" s="16" t="n">
        <f aca="false">F2500*INDEX(Customers!$H$2:$H$41,MATCH(C2500,Customers!$A$2:$A$41,0))</f>
        <v>576</v>
      </c>
      <c r="M2500" s="16" t="n">
        <f aca="false">J2500*INDEX(Customers!$I$2:$I$41,MATCH(C2500,Customers!$A$2:$A$41,0))/365*Assumptions!$B$6</f>
        <v>739.279587945206</v>
      </c>
      <c r="N2500" s="16" t="n">
        <f aca="false">J2500-K2500-L2500-M2500</f>
        <v>54338.6118920548</v>
      </c>
      <c r="O2500" s="16" t="n">
        <f aca="false">F2500*IF(A2500="2025",INDEX(Products!$D$2:$D$13,MATCH(D2500,Products!$A$2:$A$13,0)),INDEX(Products!$F$2:$F$13,MATCH(D2500,Products!$A$2:$A$13,0)))</f>
        <v>27036</v>
      </c>
      <c r="P2500" s="16" t="n">
        <f aca="false">N2500-O2500</f>
        <v>27302.6118920548</v>
      </c>
    </row>
    <row r="2501" customFormat="false" ht="15" hidden="false" customHeight="false" outlineLevel="0" collapsed="false">
      <c r="A2501" s="2" t="s">
        <v>118</v>
      </c>
      <c r="B2501" s="2" t="n">
        <v>4</v>
      </c>
      <c r="C2501" s="2" t="s">
        <v>99</v>
      </c>
      <c r="D2501" s="2" t="s">
        <v>48</v>
      </c>
      <c r="E2501" s="2" t="str">
        <f aca="false">INDEX(Products!$B$2:$B$13,MATCH(D2501,Products!$A$2:$A$13,0))</f>
        <v>Specialty</v>
      </c>
      <c r="F2501" s="15" t="n">
        <v>1.6</v>
      </c>
      <c r="G2501" s="16" t="n">
        <f aca="false">IF(A2501="2025",INDEX(Products!$C$2:$C$13,MATCH(D2501,Products!$A$2:$A$13,0)),INDEX(Products!$E$2:$E$13,MATCH(D2501,Products!$A$2:$A$13,0)))</f>
        <v>33260</v>
      </c>
      <c r="H2501" s="13" t="n">
        <f aca="false">IF(A2501="2025",INDEX(Customers!$D$2:$D$41,MATCH(C2501,Customers!$A$2:$A$41,0)),INDEX(Customers!$F$2:$F$41,MATCH(C2501,Customers!$A$2:$A$41,0)))</f>
        <v>0.061</v>
      </c>
      <c r="I2501" s="16" t="n">
        <f aca="false">F2501*G2501</f>
        <v>53216</v>
      </c>
      <c r="J2501" s="16" t="n">
        <f aca="false">I2501*(1-H2501)</f>
        <v>49969.824</v>
      </c>
      <c r="K2501" s="16" t="n">
        <f aca="false">J2501*INDEX(Customers!$G$2:$G$41,MATCH(C2501,Customers!$A$2:$A$41,0))</f>
        <v>499.69824</v>
      </c>
      <c r="L2501" s="16" t="n">
        <f aca="false">F2501*INDEX(Customers!$H$2:$H$41,MATCH(C2501,Customers!$A$2:$A$41,0))</f>
        <v>512</v>
      </c>
      <c r="M2501" s="16" t="n">
        <f aca="false">J2501*INDEX(Customers!$I$2:$I$41,MATCH(C2501,Customers!$A$2:$A$41,0))/365*Assumptions!$B$6</f>
        <v>657.137411506849</v>
      </c>
      <c r="N2501" s="16" t="n">
        <f aca="false">J2501-K2501-L2501-M2501</f>
        <v>48300.9883484932</v>
      </c>
      <c r="O2501" s="16" t="n">
        <f aca="false">F2501*IF(A2501="2025",INDEX(Products!$D$2:$D$13,MATCH(D2501,Products!$A$2:$A$13,0)),INDEX(Products!$F$2:$F$13,MATCH(D2501,Products!$A$2:$A$13,0)))</f>
        <v>24032</v>
      </c>
      <c r="P2501" s="16" t="n">
        <f aca="false">N2501-O2501</f>
        <v>24268.9883484932</v>
      </c>
    </row>
    <row r="2502" customFormat="false" ht="15" hidden="false" customHeight="false" outlineLevel="0" collapsed="false">
      <c r="A2502" s="2" t="s">
        <v>118</v>
      </c>
      <c r="B2502" s="2" t="n">
        <v>5</v>
      </c>
      <c r="C2502" s="2" t="s">
        <v>99</v>
      </c>
      <c r="D2502" s="2" t="s">
        <v>48</v>
      </c>
      <c r="E2502" s="2" t="str">
        <f aca="false">INDEX(Products!$B$2:$B$13,MATCH(D2502,Products!$A$2:$A$13,0))</f>
        <v>Specialty</v>
      </c>
      <c r="F2502" s="15" t="n">
        <v>1.4</v>
      </c>
      <c r="G2502" s="16" t="n">
        <f aca="false">IF(A2502="2025",INDEX(Products!$C$2:$C$13,MATCH(D2502,Products!$A$2:$A$13,0)),INDEX(Products!$E$2:$E$13,MATCH(D2502,Products!$A$2:$A$13,0)))</f>
        <v>33260</v>
      </c>
      <c r="H2502" s="13" t="n">
        <f aca="false">IF(A2502="2025",INDEX(Customers!$D$2:$D$41,MATCH(C2502,Customers!$A$2:$A$41,0)),INDEX(Customers!$F$2:$F$41,MATCH(C2502,Customers!$A$2:$A$41,0)))</f>
        <v>0.061</v>
      </c>
      <c r="I2502" s="16" t="n">
        <f aca="false">F2502*G2502</f>
        <v>46564</v>
      </c>
      <c r="J2502" s="16" t="n">
        <f aca="false">I2502*(1-H2502)</f>
        <v>43723.596</v>
      </c>
      <c r="K2502" s="16" t="n">
        <f aca="false">J2502*INDEX(Customers!$G$2:$G$41,MATCH(C2502,Customers!$A$2:$A$41,0))</f>
        <v>437.23596</v>
      </c>
      <c r="L2502" s="16" t="n">
        <f aca="false">F2502*INDEX(Customers!$H$2:$H$41,MATCH(C2502,Customers!$A$2:$A$41,0))</f>
        <v>448</v>
      </c>
      <c r="M2502" s="16" t="n">
        <f aca="false">J2502*INDEX(Customers!$I$2:$I$41,MATCH(C2502,Customers!$A$2:$A$41,0))/365*Assumptions!$B$6</f>
        <v>574.995235068493</v>
      </c>
      <c r="N2502" s="16" t="n">
        <f aca="false">J2502-K2502-L2502-M2502</f>
        <v>42263.3648049315</v>
      </c>
      <c r="O2502" s="16" t="n">
        <f aca="false">F2502*IF(A2502="2025",INDEX(Products!$D$2:$D$13,MATCH(D2502,Products!$A$2:$A$13,0)),INDEX(Products!$F$2:$F$13,MATCH(D2502,Products!$A$2:$A$13,0)))</f>
        <v>21028</v>
      </c>
      <c r="P2502" s="16" t="n">
        <f aca="false">N2502-O2502</f>
        <v>21235.3648049315</v>
      </c>
    </row>
    <row r="2503" customFormat="false" ht="15" hidden="false" customHeight="false" outlineLevel="0" collapsed="false">
      <c r="A2503" s="2" t="s">
        <v>118</v>
      </c>
      <c r="B2503" s="2" t="n">
        <v>6</v>
      </c>
      <c r="C2503" s="2" t="s">
        <v>99</v>
      </c>
      <c r="D2503" s="2" t="s">
        <v>48</v>
      </c>
      <c r="E2503" s="2" t="str">
        <f aca="false">INDEX(Products!$B$2:$B$13,MATCH(D2503,Products!$A$2:$A$13,0))</f>
        <v>Specialty</v>
      </c>
      <c r="F2503" s="15" t="n">
        <v>1.5</v>
      </c>
      <c r="G2503" s="16" t="n">
        <f aca="false">IF(A2503="2025",INDEX(Products!$C$2:$C$13,MATCH(D2503,Products!$A$2:$A$13,0)),INDEX(Products!$E$2:$E$13,MATCH(D2503,Products!$A$2:$A$13,0)))</f>
        <v>33260</v>
      </c>
      <c r="H2503" s="13" t="n">
        <f aca="false">IF(A2503="2025",INDEX(Customers!$D$2:$D$41,MATCH(C2503,Customers!$A$2:$A$41,0)),INDEX(Customers!$F$2:$F$41,MATCH(C2503,Customers!$A$2:$A$41,0)))</f>
        <v>0.061</v>
      </c>
      <c r="I2503" s="16" t="n">
        <f aca="false">F2503*G2503</f>
        <v>49890</v>
      </c>
      <c r="J2503" s="16" t="n">
        <f aca="false">I2503*(1-H2503)</f>
        <v>46846.71</v>
      </c>
      <c r="K2503" s="16" t="n">
        <f aca="false">J2503*INDEX(Customers!$G$2:$G$41,MATCH(C2503,Customers!$A$2:$A$41,0))</f>
        <v>468.4671</v>
      </c>
      <c r="L2503" s="16" t="n">
        <f aca="false">F2503*INDEX(Customers!$H$2:$H$41,MATCH(C2503,Customers!$A$2:$A$41,0))</f>
        <v>480</v>
      </c>
      <c r="M2503" s="16" t="n">
        <f aca="false">J2503*INDEX(Customers!$I$2:$I$41,MATCH(C2503,Customers!$A$2:$A$41,0))/365*Assumptions!$B$6</f>
        <v>616.066323287671</v>
      </c>
      <c r="N2503" s="16" t="n">
        <f aca="false">J2503-K2503-L2503-M2503</f>
        <v>45282.1765767123</v>
      </c>
      <c r="O2503" s="16" t="n">
        <f aca="false">F2503*IF(A2503="2025",INDEX(Products!$D$2:$D$13,MATCH(D2503,Products!$A$2:$A$13,0)),INDEX(Products!$F$2:$F$13,MATCH(D2503,Products!$A$2:$A$13,0)))</f>
        <v>22530</v>
      </c>
      <c r="P2503" s="16" t="n">
        <f aca="false">N2503-O2503</f>
        <v>22752.1765767123</v>
      </c>
    </row>
    <row r="2504" customFormat="false" ht="15" hidden="false" customHeight="false" outlineLevel="0" collapsed="false">
      <c r="A2504" s="2" t="s">
        <v>118</v>
      </c>
      <c r="B2504" s="2" t="n">
        <v>7</v>
      </c>
      <c r="C2504" s="2" t="s">
        <v>99</v>
      </c>
      <c r="D2504" s="2" t="s">
        <v>48</v>
      </c>
      <c r="E2504" s="2" t="str">
        <f aca="false">INDEX(Products!$B$2:$B$13,MATCH(D2504,Products!$A$2:$A$13,0))</f>
        <v>Specialty</v>
      </c>
      <c r="F2504" s="15" t="n">
        <v>1.4</v>
      </c>
      <c r="G2504" s="16" t="n">
        <f aca="false">IF(A2504="2025",INDEX(Products!$C$2:$C$13,MATCH(D2504,Products!$A$2:$A$13,0)),INDEX(Products!$E$2:$E$13,MATCH(D2504,Products!$A$2:$A$13,0)))</f>
        <v>33260</v>
      </c>
      <c r="H2504" s="13" t="n">
        <f aca="false">IF(A2504="2025",INDEX(Customers!$D$2:$D$41,MATCH(C2504,Customers!$A$2:$A$41,0)),INDEX(Customers!$F$2:$F$41,MATCH(C2504,Customers!$A$2:$A$41,0)))</f>
        <v>0.061</v>
      </c>
      <c r="I2504" s="16" t="n">
        <f aca="false">F2504*G2504</f>
        <v>46564</v>
      </c>
      <c r="J2504" s="16" t="n">
        <f aca="false">I2504*(1-H2504)</f>
        <v>43723.596</v>
      </c>
      <c r="K2504" s="16" t="n">
        <f aca="false">J2504*INDEX(Customers!$G$2:$G$41,MATCH(C2504,Customers!$A$2:$A$41,0))</f>
        <v>437.23596</v>
      </c>
      <c r="L2504" s="16" t="n">
        <f aca="false">F2504*INDEX(Customers!$H$2:$H$41,MATCH(C2504,Customers!$A$2:$A$41,0))</f>
        <v>448</v>
      </c>
      <c r="M2504" s="16" t="n">
        <f aca="false">J2504*INDEX(Customers!$I$2:$I$41,MATCH(C2504,Customers!$A$2:$A$41,0))/365*Assumptions!$B$6</f>
        <v>574.995235068493</v>
      </c>
      <c r="N2504" s="16" t="n">
        <f aca="false">J2504-K2504-L2504-M2504</f>
        <v>42263.3648049315</v>
      </c>
      <c r="O2504" s="16" t="n">
        <f aca="false">F2504*IF(A2504="2025",INDEX(Products!$D$2:$D$13,MATCH(D2504,Products!$A$2:$A$13,0)),INDEX(Products!$F$2:$F$13,MATCH(D2504,Products!$A$2:$A$13,0)))</f>
        <v>21028</v>
      </c>
      <c r="P2504" s="16" t="n">
        <f aca="false">N2504-O2504</f>
        <v>21235.3648049315</v>
      </c>
    </row>
    <row r="2505" customFormat="false" ht="15" hidden="false" customHeight="false" outlineLevel="0" collapsed="false">
      <c r="A2505" s="2" t="s">
        <v>118</v>
      </c>
      <c r="B2505" s="2" t="n">
        <v>8</v>
      </c>
      <c r="C2505" s="2" t="s">
        <v>99</v>
      </c>
      <c r="D2505" s="2" t="s">
        <v>48</v>
      </c>
      <c r="E2505" s="2" t="str">
        <f aca="false">INDEX(Products!$B$2:$B$13,MATCH(D2505,Products!$A$2:$A$13,0))</f>
        <v>Specialty</v>
      </c>
      <c r="F2505" s="15" t="n">
        <v>1.3</v>
      </c>
      <c r="G2505" s="16" t="n">
        <f aca="false">IF(A2505="2025",INDEX(Products!$C$2:$C$13,MATCH(D2505,Products!$A$2:$A$13,0)),INDEX(Products!$E$2:$E$13,MATCH(D2505,Products!$A$2:$A$13,0)))</f>
        <v>33260</v>
      </c>
      <c r="H2505" s="13" t="n">
        <f aca="false">IF(A2505="2025",INDEX(Customers!$D$2:$D$41,MATCH(C2505,Customers!$A$2:$A$41,0)),INDEX(Customers!$F$2:$F$41,MATCH(C2505,Customers!$A$2:$A$41,0)))</f>
        <v>0.061</v>
      </c>
      <c r="I2505" s="16" t="n">
        <f aca="false">F2505*G2505</f>
        <v>43238</v>
      </c>
      <c r="J2505" s="16" t="n">
        <f aca="false">I2505*(1-H2505)</f>
        <v>40600.482</v>
      </c>
      <c r="K2505" s="16" t="n">
        <f aca="false">J2505*INDEX(Customers!$G$2:$G$41,MATCH(C2505,Customers!$A$2:$A$41,0))</f>
        <v>406.00482</v>
      </c>
      <c r="L2505" s="16" t="n">
        <f aca="false">F2505*INDEX(Customers!$H$2:$H$41,MATCH(C2505,Customers!$A$2:$A$41,0))</f>
        <v>416</v>
      </c>
      <c r="M2505" s="16" t="n">
        <f aca="false">J2505*INDEX(Customers!$I$2:$I$41,MATCH(C2505,Customers!$A$2:$A$41,0))/365*Assumptions!$B$6</f>
        <v>533.924146849315</v>
      </c>
      <c r="N2505" s="16" t="n">
        <f aca="false">J2505-K2505-L2505-M2505</f>
        <v>39244.5530331507</v>
      </c>
      <c r="O2505" s="16" t="n">
        <f aca="false">F2505*IF(A2505="2025",INDEX(Products!$D$2:$D$13,MATCH(D2505,Products!$A$2:$A$13,0)),INDEX(Products!$F$2:$F$13,MATCH(D2505,Products!$A$2:$A$13,0)))</f>
        <v>19526</v>
      </c>
      <c r="P2505" s="16" t="n">
        <f aca="false">N2505-O2505</f>
        <v>19718.5530331507</v>
      </c>
    </row>
    <row r="2506" customFormat="false" ht="15" hidden="false" customHeight="false" outlineLevel="0" collapsed="false">
      <c r="A2506" s="2" t="s">
        <v>118</v>
      </c>
      <c r="B2506" s="2" t="n">
        <v>9</v>
      </c>
      <c r="C2506" s="2" t="s">
        <v>99</v>
      </c>
      <c r="D2506" s="2" t="s">
        <v>48</v>
      </c>
      <c r="E2506" s="2" t="str">
        <f aca="false">INDEX(Products!$B$2:$B$13,MATCH(D2506,Products!$A$2:$A$13,0))</f>
        <v>Specialty</v>
      </c>
      <c r="F2506" s="15" t="n">
        <v>1.4</v>
      </c>
      <c r="G2506" s="16" t="n">
        <f aca="false">IF(A2506="2025",INDEX(Products!$C$2:$C$13,MATCH(D2506,Products!$A$2:$A$13,0)),INDEX(Products!$E$2:$E$13,MATCH(D2506,Products!$A$2:$A$13,0)))</f>
        <v>33260</v>
      </c>
      <c r="H2506" s="13" t="n">
        <f aca="false">IF(A2506="2025",INDEX(Customers!$D$2:$D$41,MATCH(C2506,Customers!$A$2:$A$41,0)),INDEX(Customers!$F$2:$F$41,MATCH(C2506,Customers!$A$2:$A$41,0)))</f>
        <v>0.061</v>
      </c>
      <c r="I2506" s="16" t="n">
        <f aca="false">F2506*G2506</f>
        <v>46564</v>
      </c>
      <c r="J2506" s="16" t="n">
        <f aca="false">I2506*(1-H2506)</f>
        <v>43723.596</v>
      </c>
      <c r="K2506" s="16" t="n">
        <f aca="false">J2506*INDEX(Customers!$G$2:$G$41,MATCH(C2506,Customers!$A$2:$A$41,0))</f>
        <v>437.23596</v>
      </c>
      <c r="L2506" s="16" t="n">
        <f aca="false">F2506*INDEX(Customers!$H$2:$H$41,MATCH(C2506,Customers!$A$2:$A$41,0))</f>
        <v>448</v>
      </c>
      <c r="M2506" s="16" t="n">
        <f aca="false">J2506*INDEX(Customers!$I$2:$I$41,MATCH(C2506,Customers!$A$2:$A$41,0))/365*Assumptions!$B$6</f>
        <v>574.995235068493</v>
      </c>
      <c r="N2506" s="16" t="n">
        <f aca="false">J2506-K2506-L2506-M2506</f>
        <v>42263.3648049315</v>
      </c>
      <c r="O2506" s="16" t="n">
        <f aca="false">F2506*IF(A2506="2025",INDEX(Products!$D$2:$D$13,MATCH(D2506,Products!$A$2:$A$13,0)),INDEX(Products!$F$2:$F$13,MATCH(D2506,Products!$A$2:$A$13,0)))</f>
        <v>21028</v>
      </c>
      <c r="P2506" s="16" t="n">
        <f aca="false">N2506-O2506</f>
        <v>21235.3648049315</v>
      </c>
    </row>
    <row r="2507" customFormat="false" ht="15" hidden="false" customHeight="false" outlineLevel="0" collapsed="false">
      <c r="A2507" s="2" t="s">
        <v>118</v>
      </c>
      <c r="B2507" s="2" t="n">
        <v>10</v>
      </c>
      <c r="C2507" s="2" t="s">
        <v>99</v>
      </c>
      <c r="D2507" s="2" t="s">
        <v>48</v>
      </c>
      <c r="E2507" s="2" t="str">
        <f aca="false">INDEX(Products!$B$2:$B$13,MATCH(D2507,Products!$A$2:$A$13,0))</f>
        <v>Specialty</v>
      </c>
      <c r="F2507" s="15" t="n">
        <v>1.7</v>
      </c>
      <c r="G2507" s="16" t="n">
        <f aca="false">IF(A2507="2025",INDEX(Products!$C$2:$C$13,MATCH(D2507,Products!$A$2:$A$13,0)),INDEX(Products!$E$2:$E$13,MATCH(D2507,Products!$A$2:$A$13,0)))</f>
        <v>33260</v>
      </c>
      <c r="H2507" s="13" t="n">
        <f aca="false">IF(A2507="2025",INDEX(Customers!$D$2:$D$41,MATCH(C2507,Customers!$A$2:$A$41,0)),INDEX(Customers!$F$2:$F$41,MATCH(C2507,Customers!$A$2:$A$41,0)))</f>
        <v>0.061</v>
      </c>
      <c r="I2507" s="16" t="n">
        <f aca="false">F2507*G2507</f>
        <v>56542</v>
      </c>
      <c r="J2507" s="16" t="n">
        <f aca="false">I2507*(1-H2507)</f>
        <v>53092.938</v>
      </c>
      <c r="K2507" s="16" t="n">
        <f aca="false">J2507*INDEX(Customers!$G$2:$G$41,MATCH(C2507,Customers!$A$2:$A$41,0))</f>
        <v>530.92938</v>
      </c>
      <c r="L2507" s="16" t="n">
        <f aca="false">F2507*INDEX(Customers!$H$2:$H$41,MATCH(C2507,Customers!$A$2:$A$41,0))</f>
        <v>544</v>
      </c>
      <c r="M2507" s="16" t="n">
        <f aca="false">J2507*INDEX(Customers!$I$2:$I$41,MATCH(C2507,Customers!$A$2:$A$41,0))/365*Assumptions!$B$6</f>
        <v>698.208499726028</v>
      </c>
      <c r="N2507" s="16" t="n">
        <f aca="false">J2507-K2507-L2507-M2507</f>
        <v>51319.800120274</v>
      </c>
      <c r="O2507" s="16" t="n">
        <f aca="false">F2507*IF(A2507="2025",INDEX(Products!$D$2:$D$13,MATCH(D2507,Products!$A$2:$A$13,0)),INDEX(Products!$F$2:$F$13,MATCH(D2507,Products!$A$2:$A$13,0)))</f>
        <v>25534</v>
      </c>
      <c r="P2507" s="16" t="n">
        <f aca="false">N2507-O2507</f>
        <v>25785.800120274</v>
      </c>
    </row>
    <row r="2508" customFormat="false" ht="15" hidden="false" customHeight="false" outlineLevel="0" collapsed="false">
      <c r="A2508" s="2" t="s">
        <v>118</v>
      </c>
      <c r="B2508" s="2" t="n">
        <v>11</v>
      </c>
      <c r="C2508" s="2" t="s">
        <v>99</v>
      </c>
      <c r="D2508" s="2" t="s">
        <v>48</v>
      </c>
      <c r="E2508" s="2" t="str">
        <f aca="false">INDEX(Products!$B$2:$B$13,MATCH(D2508,Products!$A$2:$A$13,0))</f>
        <v>Specialty</v>
      </c>
      <c r="F2508" s="15" t="n">
        <v>2</v>
      </c>
      <c r="G2508" s="16" t="n">
        <f aca="false">IF(A2508="2025",INDEX(Products!$C$2:$C$13,MATCH(D2508,Products!$A$2:$A$13,0)),INDEX(Products!$E$2:$E$13,MATCH(D2508,Products!$A$2:$A$13,0)))</f>
        <v>33260</v>
      </c>
      <c r="H2508" s="13" t="n">
        <f aca="false">IF(A2508="2025",INDEX(Customers!$D$2:$D$41,MATCH(C2508,Customers!$A$2:$A$41,0)),INDEX(Customers!$F$2:$F$41,MATCH(C2508,Customers!$A$2:$A$41,0)))</f>
        <v>0.061</v>
      </c>
      <c r="I2508" s="16" t="n">
        <f aca="false">F2508*G2508</f>
        <v>66520</v>
      </c>
      <c r="J2508" s="16" t="n">
        <f aca="false">I2508*(1-H2508)</f>
        <v>62462.28</v>
      </c>
      <c r="K2508" s="16" t="n">
        <f aca="false">J2508*INDEX(Customers!$G$2:$G$41,MATCH(C2508,Customers!$A$2:$A$41,0))</f>
        <v>624.6228</v>
      </c>
      <c r="L2508" s="16" t="n">
        <f aca="false">F2508*INDEX(Customers!$H$2:$H$41,MATCH(C2508,Customers!$A$2:$A$41,0))</f>
        <v>640</v>
      </c>
      <c r="M2508" s="16" t="n">
        <f aca="false">J2508*INDEX(Customers!$I$2:$I$41,MATCH(C2508,Customers!$A$2:$A$41,0))/365*Assumptions!$B$6</f>
        <v>821.421764383562</v>
      </c>
      <c r="N2508" s="16" t="n">
        <f aca="false">J2508-K2508-L2508-M2508</f>
        <v>60376.2354356165</v>
      </c>
      <c r="O2508" s="16" t="n">
        <f aca="false">F2508*IF(A2508="2025",INDEX(Products!$D$2:$D$13,MATCH(D2508,Products!$A$2:$A$13,0)),INDEX(Products!$F$2:$F$13,MATCH(D2508,Products!$A$2:$A$13,0)))</f>
        <v>30040</v>
      </c>
      <c r="P2508" s="16" t="n">
        <f aca="false">N2508-O2508</f>
        <v>30336.2354356165</v>
      </c>
    </row>
    <row r="2509" customFormat="false" ht="15" hidden="false" customHeight="false" outlineLevel="0" collapsed="false">
      <c r="A2509" s="2" t="s">
        <v>118</v>
      </c>
      <c r="B2509" s="2" t="n">
        <v>12</v>
      </c>
      <c r="C2509" s="2" t="s">
        <v>99</v>
      </c>
      <c r="D2509" s="2" t="s">
        <v>48</v>
      </c>
      <c r="E2509" s="2" t="str">
        <f aca="false">INDEX(Products!$B$2:$B$13,MATCH(D2509,Products!$A$2:$A$13,0))</f>
        <v>Specialty</v>
      </c>
      <c r="F2509" s="15" t="n">
        <v>1.9</v>
      </c>
      <c r="G2509" s="16" t="n">
        <f aca="false">IF(A2509="2025",INDEX(Products!$C$2:$C$13,MATCH(D2509,Products!$A$2:$A$13,0)),INDEX(Products!$E$2:$E$13,MATCH(D2509,Products!$A$2:$A$13,0)))</f>
        <v>33260</v>
      </c>
      <c r="H2509" s="13" t="n">
        <f aca="false">IF(A2509="2025",INDEX(Customers!$D$2:$D$41,MATCH(C2509,Customers!$A$2:$A$41,0)),INDEX(Customers!$F$2:$F$41,MATCH(C2509,Customers!$A$2:$A$41,0)))</f>
        <v>0.061</v>
      </c>
      <c r="I2509" s="16" t="n">
        <f aca="false">F2509*G2509</f>
        <v>63194</v>
      </c>
      <c r="J2509" s="16" t="n">
        <f aca="false">I2509*(1-H2509)</f>
        <v>59339.166</v>
      </c>
      <c r="K2509" s="16" t="n">
        <f aca="false">J2509*INDEX(Customers!$G$2:$G$41,MATCH(C2509,Customers!$A$2:$A$41,0))</f>
        <v>593.39166</v>
      </c>
      <c r="L2509" s="16" t="n">
        <f aca="false">F2509*INDEX(Customers!$H$2:$H$41,MATCH(C2509,Customers!$A$2:$A$41,0))</f>
        <v>608</v>
      </c>
      <c r="M2509" s="16" t="n">
        <f aca="false">J2509*INDEX(Customers!$I$2:$I$41,MATCH(C2509,Customers!$A$2:$A$41,0))/365*Assumptions!$B$6</f>
        <v>780.350676164384</v>
      </c>
      <c r="N2509" s="16" t="n">
        <f aca="false">J2509-K2509-L2509-M2509</f>
        <v>57357.4236638356</v>
      </c>
      <c r="O2509" s="16" t="n">
        <f aca="false">F2509*IF(A2509="2025",INDEX(Products!$D$2:$D$13,MATCH(D2509,Products!$A$2:$A$13,0)),INDEX(Products!$F$2:$F$13,MATCH(D2509,Products!$A$2:$A$13,0)))</f>
        <v>28538</v>
      </c>
      <c r="P2509" s="16" t="n">
        <f aca="false">N2509-O2509</f>
        <v>28819.4236638356</v>
      </c>
    </row>
    <row r="2510" customFormat="false" ht="15" hidden="false" customHeight="false" outlineLevel="0" collapsed="false">
      <c r="A2510" s="2" t="s">
        <v>119</v>
      </c>
      <c r="B2510" s="2" t="n">
        <v>1</v>
      </c>
      <c r="C2510" s="2" t="s">
        <v>99</v>
      </c>
      <c r="D2510" s="2" t="s">
        <v>48</v>
      </c>
      <c r="E2510" s="2" t="str">
        <f aca="false">INDEX(Products!$B$2:$B$13,MATCH(D2510,Products!$A$2:$A$13,0))</f>
        <v>Specialty</v>
      </c>
      <c r="F2510" s="15" t="n">
        <v>1.4</v>
      </c>
      <c r="G2510" s="16" t="n">
        <f aca="false">IF(A2510="2025",INDEX(Products!$C$2:$C$13,MATCH(D2510,Products!$A$2:$A$13,0)),INDEX(Products!$E$2:$E$13,MATCH(D2510,Products!$A$2:$A$13,0)))</f>
        <v>34923</v>
      </c>
      <c r="H2510" s="13" t="n">
        <f aca="false">IF(A2510="2025",INDEX(Customers!$D$2:$D$41,MATCH(C2510,Customers!$A$2:$A$41,0)),INDEX(Customers!$F$2:$F$41,MATCH(C2510,Customers!$A$2:$A$41,0)))</f>
        <v>0.061</v>
      </c>
      <c r="I2510" s="16" t="n">
        <f aca="false">F2510*G2510</f>
        <v>48892.2</v>
      </c>
      <c r="J2510" s="16" t="n">
        <f aca="false">I2510*(1-H2510)</f>
        <v>45909.7758</v>
      </c>
      <c r="K2510" s="16" t="n">
        <f aca="false">J2510*INDEX(Customers!$G$2:$G$41,MATCH(C2510,Customers!$A$2:$A$41,0))</f>
        <v>459.097758</v>
      </c>
      <c r="L2510" s="16" t="n">
        <f aca="false">F2510*INDEX(Customers!$H$2:$H$41,MATCH(C2510,Customers!$A$2:$A$41,0))</f>
        <v>448</v>
      </c>
      <c r="M2510" s="16" t="n">
        <f aca="false">J2510*INDEX(Customers!$I$2:$I$41,MATCH(C2510,Customers!$A$2:$A$41,0))/365*Assumptions!$B$6</f>
        <v>603.744996821918</v>
      </c>
      <c r="N2510" s="16" t="n">
        <f aca="false">J2510-K2510-L2510-M2510</f>
        <v>44398.9330451781</v>
      </c>
      <c r="O2510" s="16" t="n">
        <f aca="false">F2510*IF(A2510="2025",INDEX(Products!$D$2:$D$13,MATCH(D2510,Products!$A$2:$A$13,0)),INDEX(Products!$F$2:$F$13,MATCH(D2510,Products!$A$2:$A$13,0)))</f>
        <v>21658.84</v>
      </c>
      <c r="P2510" s="16" t="n">
        <f aca="false">N2510-O2510</f>
        <v>22740.0930451781</v>
      </c>
    </row>
    <row r="2511" customFormat="false" ht="15" hidden="false" customHeight="false" outlineLevel="0" collapsed="false">
      <c r="A2511" s="2" t="s">
        <v>119</v>
      </c>
      <c r="B2511" s="2" t="n">
        <v>2</v>
      </c>
      <c r="C2511" s="2" t="s">
        <v>99</v>
      </c>
      <c r="D2511" s="2" t="s">
        <v>48</v>
      </c>
      <c r="E2511" s="2" t="str">
        <f aca="false">INDEX(Products!$B$2:$B$13,MATCH(D2511,Products!$A$2:$A$13,0))</f>
        <v>Specialty</v>
      </c>
      <c r="F2511" s="15" t="n">
        <v>1.9</v>
      </c>
      <c r="G2511" s="16" t="n">
        <f aca="false">IF(A2511="2025",INDEX(Products!$C$2:$C$13,MATCH(D2511,Products!$A$2:$A$13,0)),INDEX(Products!$E$2:$E$13,MATCH(D2511,Products!$A$2:$A$13,0)))</f>
        <v>34923</v>
      </c>
      <c r="H2511" s="13" t="n">
        <f aca="false">IF(A2511="2025",INDEX(Customers!$D$2:$D$41,MATCH(C2511,Customers!$A$2:$A$41,0)),INDEX(Customers!$F$2:$F$41,MATCH(C2511,Customers!$A$2:$A$41,0)))</f>
        <v>0.061</v>
      </c>
      <c r="I2511" s="16" t="n">
        <f aca="false">F2511*G2511</f>
        <v>66353.7</v>
      </c>
      <c r="J2511" s="16" t="n">
        <f aca="false">I2511*(1-H2511)</f>
        <v>62306.1243</v>
      </c>
      <c r="K2511" s="16" t="n">
        <f aca="false">J2511*INDEX(Customers!$G$2:$G$41,MATCH(C2511,Customers!$A$2:$A$41,0))</f>
        <v>623.061243</v>
      </c>
      <c r="L2511" s="16" t="n">
        <f aca="false">F2511*INDEX(Customers!$H$2:$H$41,MATCH(C2511,Customers!$A$2:$A$41,0))</f>
        <v>608</v>
      </c>
      <c r="M2511" s="16" t="n">
        <f aca="false">J2511*INDEX(Customers!$I$2:$I$41,MATCH(C2511,Customers!$A$2:$A$41,0))/365*Assumptions!$B$6</f>
        <v>819.368209972603</v>
      </c>
      <c r="N2511" s="16" t="n">
        <f aca="false">J2511-K2511-L2511-M2511</f>
        <v>60255.6948470274</v>
      </c>
      <c r="O2511" s="16" t="n">
        <f aca="false">F2511*IF(A2511="2025",INDEX(Products!$D$2:$D$13,MATCH(D2511,Products!$A$2:$A$13,0)),INDEX(Products!$F$2:$F$13,MATCH(D2511,Products!$A$2:$A$13,0)))</f>
        <v>29394.14</v>
      </c>
      <c r="P2511" s="16" t="n">
        <f aca="false">N2511-O2511</f>
        <v>30861.5548470274</v>
      </c>
    </row>
    <row r="2512" customFormat="false" ht="15" hidden="false" customHeight="false" outlineLevel="0" collapsed="false">
      <c r="A2512" s="2" t="s">
        <v>119</v>
      </c>
      <c r="B2512" s="2" t="n">
        <v>3</v>
      </c>
      <c r="C2512" s="2" t="s">
        <v>99</v>
      </c>
      <c r="D2512" s="2" t="s">
        <v>48</v>
      </c>
      <c r="E2512" s="2" t="str">
        <f aca="false">INDEX(Products!$B$2:$B$13,MATCH(D2512,Products!$A$2:$A$13,0))</f>
        <v>Specialty</v>
      </c>
      <c r="F2512" s="15" t="n">
        <v>1.3</v>
      </c>
      <c r="G2512" s="16" t="n">
        <f aca="false">IF(A2512="2025",INDEX(Products!$C$2:$C$13,MATCH(D2512,Products!$A$2:$A$13,0)),INDEX(Products!$E$2:$E$13,MATCH(D2512,Products!$A$2:$A$13,0)))</f>
        <v>34923</v>
      </c>
      <c r="H2512" s="13" t="n">
        <f aca="false">IF(A2512="2025",INDEX(Customers!$D$2:$D$41,MATCH(C2512,Customers!$A$2:$A$41,0)),INDEX(Customers!$F$2:$F$41,MATCH(C2512,Customers!$A$2:$A$41,0)))</f>
        <v>0.061</v>
      </c>
      <c r="I2512" s="16" t="n">
        <f aca="false">F2512*G2512</f>
        <v>45399.9</v>
      </c>
      <c r="J2512" s="16" t="n">
        <f aca="false">I2512*(1-H2512)</f>
        <v>42630.5061</v>
      </c>
      <c r="K2512" s="16" t="n">
        <f aca="false">J2512*INDEX(Customers!$G$2:$G$41,MATCH(C2512,Customers!$A$2:$A$41,0))</f>
        <v>426.305061</v>
      </c>
      <c r="L2512" s="16" t="n">
        <f aca="false">F2512*INDEX(Customers!$H$2:$H$41,MATCH(C2512,Customers!$A$2:$A$41,0))</f>
        <v>416</v>
      </c>
      <c r="M2512" s="16" t="n">
        <f aca="false">J2512*INDEX(Customers!$I$2:$I$41,MATCH(C2512,Customers!$A$2:$A$41,0))/365*Assumptions!$B$6</f>
        <v>560.620354191781</v>
      </c>
      <c r="N2512" s="16" t="n">
        <f aca="false">J2512-K2512-L2512-M2512</f>
        <v>41227.5806848082</v>
      </c>
      <c r="O2512" s="16" t="n">
        <f aca="false">F2512*IF(A2512="2025",INDEX(Products!$D$2:$D$13,MATCH(D2512,Products!$A$2:$A$13,0)),INDEX(Products!$F$2:$F$13,MATCH(D2512,Products!$A$2:$A$13,0)))</f>
        <v>20111.78</v>
      </c>
      <c r="P2512" s="16" t="n">
        <f aca="false">N2512-O2512</f>
        <v>21115.8006848082</v>
      </c>
    </row>
    <row r="2513" customFormat="false" ht="15" hidden="false" customHeight="false" outlineLevel="0" collapsed="false">
      <c r="A2513" s="2" t="s">
        <v>119</v>
      </c>
      <c r="B2513" s="2" t="n">
        <v>4</v>
      </c>
      <c r="C2513" s="2" t="s">
        <v>99</v>
      </c>
      <c r="D2513" s="2" t="s">
        <v>48</v>
      </c>
      <c r="E2513" s="2" t="str">
        <f aca="false">INDEX(Products!$B$2:$B$13,MATCH(D2513,Products!$A$2:$A$13,0))</f>
        <v>Specialty</v>
      </c>
      <c r="F2513" s="15" t="n">
        <v>2</v>
      </c>
      <c r="G2513" s="16" t="n">
        <f aca="false">IF(A2513="2025",INDEX(Products!$C$2:$C$13,MATCH(D2513,Products!$A$2:$A$13,0)),INDEX(Products!$E$2:$E$13,MATCH(D2513,Products!$A$2:$A$13,0)))</f>
        <v>34923</v>
      </c>
      <c r="H2513" s="13" t="n">
        <f aca="false">IF(A2513="2025",INDEX(Customers!$D$2:$D$41,MATCH(C2513,Customers!$A$2:$A$41,0)),INDEX(Customers!$F$2:$F$41,MATCH(C2513,Customers!$A$2:$A$41,0)))</f>
        <v>0.061</v>
      </c>
      <c r="I2513" s="16" t="n">
        <f aca="false">F2513*G2513</f>
        <v>69846</v>
      </c>
      <c r="J2513" s="16" t="n">
        <f aca="false">I2513*(1-H2513)</f>
        <v>65585.394</v>
      </c>
      <c r="K2513" s="16" t="n">
        <f aca="false">J2513*INDEX(Customers!$G$2:$G$41,MATCH(C2513,Customers!$A$2:$A$41,0))</f>
        <v>655.85394</v>
      </c>
      <c r="L2513" s="16" t="n">
        <f aca="false">F2513*INDEX(Customers!$H$2:$H$41,MATCH(C2513,Customers!$A$2:$A$41,0))</f>
        <v>640</v>
      </c>
      <c r="M2513" s="16" t="n">
        <f aca="false">J2513*INDEX(Customers!$I$2:$I$41,MATCH(C2513,Customers!$A$2:$A$41,0))/365*Assumptions!$B$6</f>
        <v>862.49285260274</v>
      </c>
      <c r="N2513" s="16" t="n">
        <f aca="false">J2513-K2513-L2513-M2513</f>
        <v>63427.0472073973</v>
      </c>
      <c r="O2513" s="16" t="n">
        <f aca="false">F2513*IF(A2513="2025",INDEX(Products!$D$2:$D$13,MATCH(D2513,Products!$A$2:$A$13,0)),INDEX(Products!$F$2:$F$13,MATCH(D2513,Products!$A$2:$A$13,0)))</f>
        <v>30941.2</v>
      </c>
      <c r="P2513" s="16" t="n">
        <f aca="false">N2513-O2513</f>
        <v>32485.8472073973</v>
      </c>
    </row>
    <row r="2514" customFormat="false" ht="15" hidden="false" customHeight="false" outlineLevel="0" collapsed="false">
      <c r="A2514" s="2" t="s">
        <v>119</v>
      </c>
      <c r="B2514" s="2" t="n">
        <v>5</v>
      </c>
      <c r="C2514" s="2" t="s">
        <v>99</v>
      </c>
      <c r="D2514" s="2" t="s">
        <v>48</v>
      </c>
      <c r="E2514" s="2" t="str">
        <f aca="false">INDEX(Products!$B$2:$B$13,MATCH(D2514,Products!$A$2:$A$13,0))</f>
        <v>Specialty</v>
      </c>
      <c r="F2514" s="15" t="n">
        <v>1.4</v>
      </c>
      <c r="G2514" s="16" t="n">
        <f aca="false">IF(A2514="2025",INDEX(Products!$C$2:$C$13,MATCH(D2514,Products!$A$2:$A$13,0)),INDEX(Products!$E$2:$E$13,MATCH(D2514,Products!$A$2:$A$13,0)))</f>
        <v>34923</v>
      </c>
      <c r="H2514" s="13" t="n">
        <f aca="false">IF(A2514="2025",INDEX(Customers!$D$2:$D$41,MATCH(C2514,Customers!$A$2:$A$41,0)),INDEX(Customers!$F$2:$F$41,MATCH(C2514,Customers!$A$2:$A$41,0)))</f>
        <v>0.061</v>
      </c>
      <c r="I2514" s="16" t="n">
        <f aca="false">F2514*G2514</f>
        <v>48892.2</v>
      </c>
      <c r="J2514" s="16" t="n">
        <f aca="false">I2514*(1-H2514)</f>
        <v>45909.7758</v>
      </c>
      <c r="K2514" s="16" t="n">
        <f aca="false">J2514*INDEX(Customers!$G$2:$G$41,MATCH(C2514,Customers!$A$2:$A$41,0))</f>
        <v>459.097758</v>
      </c>
      <c r="L2514" s="16" t="n">
        <f aca="false">F2514*INDEX(Customers!$H$2:$H$41,MATCH(C2514,Customers!$A$2:$A$41,0))</f>
        <v>448</v>
      </c>
      <c r="M2514" s="16" t="n">
        <f aca="false">J2514*INDEX(Customers!$I$2:$I$41,MATCH(C2514,Customers!$A$2:$A$41,0))/365*Assumptions!$B$6</f>
        <v>603.744996821918</v>
      </c>
      <c r="N2514" s="16" t="n">
        <f aca="false">J2514-K2514-L2514-M2514</f>
        <v>44398.9330451781</v>
      </c>
      <c r="O2514" s="16" t="n">
        <f aca="false">F2514*IF(A2514="2025",INDEX(Products!$D$2:$D$13,MATCH(D2514,Products!$A$2:$A$13,0)),INDEX(Products!$F$2:$F$13,MATCH(D2514,Products!$A$2:$A$13,0)))</f>
        <v>21658.84</v>
      </c>
      <c r="P2514" s="16" t="n">
        <f aca="false">N2514-O2514</f>
        <v>22740.0930451781</v>
      </c>
    </row>
    <row r="2515" customFormat="false" ht="15" hidden="false" customHeight="false" outlineLevel="0" collapsed="false">
      <c r="A2515" s="2" t="s">
        <v>119</v>
      </c>
      <c r="B2515" s="2" t="n">
        <v>6</v>
      </c>
      <c r="C2515" s="2" t="s">
        <v>99</v>
      </c>
      <c r="D2515" s="2" t="s">
        <v>48</v>
      </c>
      <c r="E2515" s="2" t="str">
        <f aca="false">INDEX(Products!$B$2:$B$13,MATCH(D2515,Products!$A$2:$A$13,0))</f>
        <v>Specialty</v>
      </c>
      <c r="F2515" s="15" t="n">
        <v>1.6</v>
      </c>
      <c r="G2515" s="16" t="n">
        <f aca="false">IF(A2515="2025",INDEX(Products!$C$2:$C$13,MATCH(D2515,Products!$A$2:$A$13,0)),INDEX(Products!$E$2:$E$13,MATCH(D2515,Products!$A$2:$A$13,0)))</f>
        <v>34923</v>
      </c>
      <c r="H2515" s="13" t="n">
        <f aca="false">IF(A2515="2025",INDEX(Customers!$D$2:$D$41,MATCH(C2515,Customers!$A$2:$A$41,0)),INDEX(Customers!$F$2:$F$41,MATCH(C2515,Customers!$A$2:$A$41,0)))</f>
        <v>0.061</v>
      </c>
      <c r="I2515" s="16" t="n">
        <f aca="false">F2515*G2515</f>
        <v>55876.8</v>
      </c>
      <c r="J2515" s="16" t="n">
        <f aca="false">I2515*(1-H2515)</f>
        <v>52468.3152</v>
      </c>
      <c r="K2515" s="16" t="n">
        <f aca="false">J2515*INDEX(Customers!$G$2:$G$41,MATCH(C2515,Customers!$A$2:$A$41,0))</f>
        <v>524.683152</v>
      </c>
      <c r="L2515" s="16" t="n">
        <f aca="false">F2515*INDEX(Customers!$H$2:$H$41,MATCH(C2515,Customers!$A$2:$A$41,0))</f>
        <v>512</v>
      </c>
      <c r="M2515" s="16" t="n">
        <f aca="false">J2515*INDEX(Customers!$I$2:$I$41,MATCH(C2515,Customers!$A$2:$A$41,0))/365*Assumptions!$B$6</f>
        <v>689.994282082192</v>
      </c>
      <c r="N2515" s="16" t="n">
        <f aca="false">J2515-K2515-L2515-M2515</f>
        <v>50741.6377659178</v>
      </c>
      <c r="O2515" s="16" t="n">
        <f aca="false">F2515*IF(A2515="2025",INDEX(Products!$D$2:$D$13,MATCH(D2515,Products!$A$2:$A$13,0)),INDEX(Products!$F$2:$F$13,MATCH(D2515,Products!$A$2:$A$13,0)))</f>
        <v>24752.96</v>
      </c>
      <c r="P2515" s="16" t="n">
        <f aca="false">N2515-O2515</f>
        <v>25988.6777659178</v>
      </c>
    </row>
    <row r="2516" customFormat="false" ht="15" hidden="false" customHeight="false" outlineLevel="0" collapsed="false">
      <c r="A2516" s="2" t="s">
        <v>119</v>
      </c>
      <c r="B2516" s="2" t="n">
        <v>7</v>
      </c>
      <c r="C2516" s="2" t="s">
        <v>99</v>
      </c>
      <c r="D2516" s="2" t="s">
        <v>48</v>
      </c>
      <c r="E2516" s="2" t="str">
        <f aca="false">INDEX(Products!$B$2:$B$13,MATCH(D2516,Products!$A$2:$A$13,0))</f>
        <v>Specialty</v>
      </c>
      <c r="F2516" s="15" t="n">
        <v>1.3</v>
      </c>
      <c r="G2516" s="16" t="n">
        <f aca="false">IF(A2516="2025",INDEX(Products!$C$2:$C$13,MATCH(D2516,Products!$A$2:$A$13,0)),INDEX(Products!$E$2:$E$13,MATCH(D2516,Products!$A$2:$A$13,0)))</f>
        <v>34923</v>
      </c>
      <c r="H2516" s="13" t="n">
        <f aca="false">IF(A2516="2025",INDEX(Customers!$D$2:$D$41,MATCH(C2516,Customers!$A$2:$A$41,0)),INDEX(Customers!$F$2:$F$41,MATCH(C2516,Customers!$A$2:$A$41,0)))</f>
        <v>0.061</v>
      </c>
      <c r="I2516" s="16" t="n">
        <f aca="false">F2516*G2516</f>
        <v>45399.9</v>
      </c>
      <c r="J2516" s="16" t="n">
        <f aca="false">I2516*(1-H2516)</f>
        <v>42630.5061</v>
      </c>
      <c r="K2516" s="16" t="n">
        <f aca="false">J2516*INDEX(Customers!$G$2:$G$41,MATCH(C2516,Customers!$A$2:$A$41,0))</f>
        <v>426.305061</v>
      </c>
      <c r="L2516" s="16" t="n">
        <f aca="false">F2516*INDEX(Customers!$H$2:$H$41,MATCH(C2516,Customers!$A$2:$A$41,0))</f>
        <v>416</v>
      </c>
      <c r="M2516" s="16" t="n">
        <f aca="false">J2516*INDEX(Customers!$I$2:$I$41,MATCH(C2516,Customers!$A$2:$A$41,0))/365*Assumptions!$B$6</f>
        <v>560.620354191781</v>
      </c>
      <c r="N2516" s="16" t="n">
        <f aca="false">J2516-K2516-L2516-M2516</f>
        <v>41227.5806848082</v>
      </c>
      <c r="O2516" s="16" t="n">
        <f aca="false">F2516*IF(A2516="2025",INDEX(Products!$D$2:$D$13,MATCH(D2516,Products!$A$2:$A$13,0)),INDEX(Products!$F$2:$F$13,MATCH(D2516,Products!$A$2:$A$13,0)))</f>
        <v>20111.78</v>
      </c>
      <c r="P2516" s="16" t="n">
        <f aca="false">N2516-O2516</f>
        <v>21115.8006848082</v>
      </c>
    </row>
    <row r="2517" customFormat="false" ht="15" hidden="false" customHeight="false" outlineLevel="0" collapsed="false">
      <c r="A2517" s="2" t="s">
        <v>119</v>
      </c>
      <c r="B2517" s="2" t="n">
        <v>8</v>
      </c>
      <c r="C2517" s="2" t="s">
        <v>99</v>
      </c>
      <c r="D2517" s="2" t="s">
        <v>48</v>
      </c>
      <c r="E2517" s="2" t="str">
        <f aca="false">INDEX(Products!$B$2:$B$13,MATCH(D2517,Products!$A$2:$A$13,0))</f>
        <v>Specialty</v>
      </c>
      <c r="F2517" s="15" t="n">
        <v>1.7</v>
      </c>
      <c r="G2517" s="16" t="n">
        <f aca="false">IF(A2517="2025",INDEX(Products!$C$2:$C$13,MATCH(D2517,Products!$A$2:$A$13,0)),INDEX(Products!$E$2:$E$13,MATCH(D2517,Products!$A$2:$A$13,0)))</f>
        <v>34923</v>
      </c>
      <c r="H2517" s="13" t="n">
        <f aca="false">IF(A2517="2025",INDEX(Customers!$D$2:$D$41,MATCH(C2517,Customers!$A$2:$A$41,0)),INDEX(Customers!$F$2:$F$41,MATCH(C2517,Customers!$A$2:$A$41,0)))</f>
        <v>0.061</v>
      </c>
      <c r="I2517" s="16" t="n">
        <f aca="false">F2517*G2517</f>
        <v>59369.1</v>
      </c>
      <c r="J2517" s="16" t="n">
        <f aca="false">I2517*(1-H2517)</f>
        <v>55747.5849</v>
      </c>
      <c r="K2517" s="16" t="n">
        <f aca="false">J2517*INDEX(Customers!$G$2:$G$41,MATCH(C2517,Customers!$A$2:$A$41,0))</f>
        <v>557.475849</v>
      </c>
      <c r="L2517" s="16" t="n">
        <f aca="false">F2517*INDEX(Customers!$H$2:$H$41,MATCH(C2517,Customers!$A$2:$A$41,0))</f>
        <v>544</v>
      </c>
      <c r="M2517" s="16" t="n">
        <f aca="false">J2517*INDEX(Customers!$I$2:$I$41,MATCH(C2517,Customers!$A$2:$A$41,0))/365*Assumptions!$B$6</f>
        <v>733.118924712329</v>
      </c>
      <c r="N2517" s="16" t="n">
        <f aca="false">J2517-K2517-L2517-M2517</f>
        <v>53912.9901262877</v>
      </c>
      <c r="O2517" s="16" t="n">
        <f aca="false">F2517*IF(A2517="2025",INDEX(Products!$D$2:$D$13,MATCH(D2517,Products!$A$2:$A$13,0)),INDEX(Products!$F$2:$F$13,MATCH(D2517,Products!$A$2:$A$13,0)))</f>
        <v>26300.02</v>
      </c>
      <c r="P2517" s="16" t="n">
        <f aca="false">N2517-O2517</f>
        <v>27612.9701262877</v>
      </c>
    </row>
    <row r="2518" customFormat="false" ht="15" hidden="false" customHeight="false" outlineLevel="0" collapsed="false">
      <c r="A2518" s="2" t="s">
        <v>119</v>
      </c>
      <c r="B2518" s="2" t="n">
        <v>9</v>
      </c>
      <c r="C2518" s="2" t="s">
        <v>99</v>
      </c>
      <c r="D2518" s="2" t="s">
        <v>48</v>
      </c>
      <c r="E2518" s="2" t="str">
        <f aca="false">INDEX(Products!$B$2:$B$13,MATCH(D2518,Products!$A$2:$A$13,0))</f>
        <v>Specialty</v>
      </c>
      <c r="F2518" s="15" t="n">
        <v>2.1</v>
      </c>
      <c r="G2518" s="16" t="n">
        <f aca="false">IF(A2518="2025",INDEX(Products!$C$2:$C$13,MATCH(D2518,Products!$A$2:$A$13,0)),INDEX(Products!$E$2:$E$13,MATCH(D2518,Products!$A$2:$A$13,0)))</f>
        <v>34923</v>
      </c>
      <c r="H2518" s="13" t="n">
        <f aca="false">IF(A2518="2025",INDEX(Customers!$D$2:$D$41,MATCH(C2518,Customers!$A$2:$A$41,0)),INDEX(Customers!$F$2:$F$41,MATCH(C2518,Customers!$A$2:$A$41,0)))</f>
        <v>0.061</v>
      </c>
      <c r="I2518" s="16" t="n">
        <f aca="false">F2518*G2518</f>
        <v>73338.3</v>
      </c>
      <c r="J2518" s="16" t="n">
        <f aca="false">I2518*(1-H2518)</f>
        <v>68864.6637</v>
      </c>
      <c r="K2518" s="16" t="n">
        <f aca="false">J2518*INDEX(Customers!$G$2:$G$41,MATCH(C2518,Customers!$A$2:$A$41,0))</f>
        <v>688.646637</v>
      </c>
      <c r="L2518" s="16" t="n">
        <f aca="false">F2518*INDEX(Customers!$H$2:$H$41,MATCH(C2518,Customers!$A$2:$A$41,0))</f>
        <v>672</v>
      </c>
      <c r="M2518" s="16" t="n">
        <f aca="false">J2518*INDEX(Customers!$I$2:$I$41,MATCH(C2518,Customers!$A$2:$A$41,0))/365*Assumptions!$B$6</f>
        <v>905.617495232877</v>
      </c>
      <c r="N2518" s="16" t="n">
        <f aca="false">J2518-K2518-L2518-M2518</f>
        <v>66598.3995677671</v>
      </c>
      <c r="O2518" s="16" t="n">
        <f aca="false">F2518*IF(A2518="2025",INDEX(Products!$D$2:$D$13,MATCH(D2518,Products!$A$2:$A$13,0)),INDEX(Products!$F$2:$F$13,MATCH(D2518,Products!$A$2:$A$13,0)))</f>
        <v>32488.26</v>
      </c>
      <c r="P2518" s="16" t="n">
        <f aca="false">N2518-O2518</f>
        <v>34110.1395677671</v>
      </c>
    </row>
    <row r="2519" customFormat="false" ht="15" hidden="false" customHeight="false" outlineLevel="0" collapsed="false">
      <c r="A2519" s="2" t="s">
        <v>119</v>
      </c>
      <c r="B2519" s="2" t="n">
        <v>10</v>
      </c>
      <c r="C2519" s="2" t="s">
        <v>99</v>
      </c>
      <c r="D2519" s="2" t="s">
        <v>48</v>
      </c>
      <c r="E2519" s="2" t="str">
        <f aca="false">INDEX(Products!$B$2:$B$13,MATCH(D2519,Products!$A$2:$A$13,0))</f>
        <v>Specialty</v>
      </c>
      <c r="F2519" s="15" t="n">
        <v>2</v>
      </c>
      <c r="G2519" s="16" t="n">
        <f aca="false">IF(A2519="2025",INDEX(Products!$C$2:$C$13,MATCH(D2519,Products!$A$2:$A$13,0)),INDEX(Products!$E$2:$E$13,MATCH(D2519,Products!$A$2:$A$13,0)))</f>
        <v>34923</v>
      </c>
      <c r="H2519" s="13" t="n">
        <f aca="false">IF(A2519="2025",INDEX(Customers!$D$2:$D$41,MATCH(C2519,Customers!$A$2:$A$41,0)),INDEX(Customers!$F$2:$F$41,MATCH(C2519,Customers!$A$2:$A$41,0)))</f>
        <v>0.061</v>
      </c>
      <c r="I2519" s="16" t="n">
        <f aca="false">F2519*G2519</f>
        <v>69846</v>
      </c>
      <c r="J2519" s="16" t="n">
        <f aca="false">I2519*(1-H2519)</f>
        <v>65585.394</v>
      </c>
      <c r="K2519" s="16" t="n">
        <f aca="false">J2519*INDEX(Customers!$G$2:$G$41,MATCH(C2519,Customers!$A$2:$A$41,0))</f>
        <v>655.85394</v>
      </c>
      <c r="L2519" s="16" t="n">
        <f aca="false">F2519*INDEX(Customers!$H$2:$H$41,MATCH(C2519,Customers!$A$2:$A$41,0))</f>
        <v>640</v>
      </c>
      <c r="M2519" s="16" t="n">
        <f aca="false">J2519*INDEX(Customers!$I$2:$I$41,MATCH(C2519,Customers!$A$2:$A$41,0))/365*Assumptions!$B$6</f>
        <v>862.49285260274</v>
      </c>
      <c r="N2519" s="16" t="n">
        <f aca="false">J2519-K2519-L2519-M2519</f>
        <v>63427.0472073973</v>
      </c>
      <c r="O2519" s="16" t="n">
        <f aca="false">F2519*IF(A2519="2025",INDEX(Products!$D$2:$D$13,MATCH(D2519,Products!$A$2:$A$13,0)),INDEX(Products!$F$2:$F$13,MATCH(D2519,Products!$A$2:$A$13,0)))</f>
        <v>30941.2</v>
      </c>
      <c r="P2519" s="16" t="n">
        <f aca="false">N2519-O2519</f>
        <v>32485.8472073973</v>
      </c>
    </row>
    <row r="2520" customFormat="false" ht="15" hidden="false" customHeight="false" outlineLevel="0" collapsed="false">
      <c r="A2520" s="2" t="s">
        <v>119</v>
      </c>
      <c r="B2520" s="2" t="n">
        <v>11</v>
      </c>
      <c r="C2520" s="2" t="s">
        <v>99</v>
      </c>
      <c r="D2520" s="2" t="s">
        <v>48</v>
      </c>
      <c r="E2520" s="2" t="str">
        <f aca="false">INDEX(Products!$B$2:$B$13,MATCH(D2520,Products!$A$2:$A$13,0))</f>
        <v>Specialty</v>
      </c>
      <c r="F2520" s="15" t="n">
        <v>1.5</v>
      </c>
      <c r="G2520" s="16" t="n">
        <f aca="false">IF(A2520="2025",INDEX(Products!$C$2:$C$13,MATCH(D2520,Products!$A$2:$A$13,0)),INDEX(Products!$E$2:$E$13,MATCH(D2520,Products!$A$2:$A$13,0)))</f>
        <v>34923</v>
      </c>
      <c r="H2520" s="13" t="n">
        <f aca="false">IF(A2520="2025",INDEX(Customers!$D$2:$D$41,MATCH(C2520,Customers!$A$2:$A$41,0)),INDEX(Customers!$F$2:$F$41,MATCH(C2520,Customers!$A$2:$A$41,0)))</f>
        <v>0.061</v>
      </c>
      <c r="I2520" s="16" t="n">
        <f aca="false">F2520*G2520</f>
        <v>52384.5</v>
      </c>
      <c r="J2520" s="16" t="n">
        <f aca="false">I2520*(1-H2520)</f>
        <v>49189.0455</v>
      </c>
      <c r="K2520" s="16" t="n">
        <f aca="false">J2520*INDEX(Customers!$G$2:$G$41,MATCH(C2520,Customers!$A$2:$A$41,0))</f>
        <v>491.890455</v>
      </c>
      <c r="L2520" s="16" t="n">
        <f aca="false">F2520*INDEX(Customers!$H$2:$H$41,MATCH(C2520,Customers!$A$2:$A$41,0))</f>
        <v>480</v>
      </c>
      <c r="M2520" s="16" t="n">
        <f aca="false">J2520*INDEX(Customers!$I$2:$I$41,MATCH(C2520,Customers!$A$2:$A$41,0))/365*Assumptions!$B$6</f>
        <v>646.869639452055</v>
      </c>
      <c r="N2520" s="16" t="n">
        <f aca="false">J2520-K2520-L2520-M2520</f>
        <v>47570.285405548</v>
      </c>
      <c r="O2520" s="16" t="n">
        <f aca="false">F2520*IF(A2520="2025",INDEX(Products!$D$2:$D$13,MATCH(D2520,Products!$A$2:$A$13,0)),INDEX(Products!$F$2:$F$13,MATCH(D2520,Products!$A$2:$A$13,0)))</f>
        <v>23205.9</v>
      </c>
      <c r="P2520" s="16" t="n">
        <f aca="false">N2520-O2520</f>
        <v>24364.3854055479</v>
      </c>
    </row>
    <row r="2521" customFormat="false" ht="15" hidden="false" customHeight="false" outlineLevel="0" collapsed="false">
      <c r="A2521" s="2" t="s">
        <v>119</v>
      </c>
      <c r="B2521" s="2" t="n">
        <v>12</v>
      </c>
      <c r="C2521" s="2" t="s">
        <v>99</v>
      </c>
      <c r="D2521" s="2" t="s">
        <v>48</v>
      </c>
      <c r="E2521" s="2" t="str">
        <f aca="false">INDEX(Products!$B$2:$B$13,MATCH(D2521,Products!$A$2:$A$13,0))</f>
        <v>Specialty</v>
      </c>
      <c r="F2521" s="15" t="n">
        <v>1.3</v>
      </c>
      <c r="G2521" s="16" t="n">
        <f aca="false">IF(A2521="2025",INDEX(Products!$C$2:$C$13,MATCH(D2521,Products!$A$2:$A$13,0)),INDEX(Products!$E$2:$E$13,MATCH(D2521,Products!$A$2:$A$13,0)))</f>
        <v>34923</v>
      </c>
      <c r="H2521" s="13" t="n">
        <f aca="false">IF(A2521="2025",INDEX(Customers!$D$2:$D$41,MATCH(C2521,Customers!$A$2:$A$41,0)),INDEX(Customers!$F$2:$F$41,MATCH(C2521,Customers!$A$2:$A$41,0)))</f>
        <v>0.061</v>
      </c>
      <c r="I2521" s="16" t="n">
        <f aca="false">F2521*G2521</f>
        <v>45399.9</v>
      </c>
      <c r="J2521" s="16" t="n">
        <f aca="false">I2521*(1-H2521)</f>
        <v>42630.5061</v>
      </c>
      <c r="K2521" s="16" t="n">
        <f aca="false">J2521*INDEX(Customers!$G$2:$G$41,MATCH(C2521,Customers!$A$2:$A$41,0))</f>
        <v>426.305061</v>
      </c>
      <c r="L2521" s="16" t="n">
        <f aca="false">F2521*INDEX(Customers!$H$2:$H$41,MATCH(C2521,Customers!$A$2:$A$41,0))</f>
        <v>416</v>
      </c>
      <c r="M2521" s="16" t="n">
        <f aca="false">J2521*INDEX(Customers!$I$2:$I$41,MATCH(C2521,Customers!$A$2:$A$41,0))/365*Assumptions!$B$6</f>
        <v>560.620354191781</v>
      </c>
      <c r="N2521" s="16" t="n">
        <f aca="false">J2521-K2521-L2521-M2521</f>
        <v>41227.5806848082</v>
      </c>
      <c r="O2521" s="16" t="n">
        <f aca="false">F2521*IF(A2521="2025",INDEX(Products!$D$2:$D$13,MATCH(D2521,Products!$A$2:$A$13,0)),INDEX(Products!$F$2:$F$13,MATCH(D2521,Products!$A$2:$A$13,0)))</f>
        <v>20111.78</v>
      </c>
      <c r="P2521" s="16" t="n">
        <f aca="false">N2521-O2521</f>
        <v>21115.8006848082</v>
      </c>
    </row>
    <row r="2522" customFormat="false" ht="15" hidden="false" customHeight="false" outlineLevel="0" collapsed="false">
      <c r="A2522" s="2" t="s">
        <v>118</v>
      </c>
      <c r="B2522" s="2" t="n">
        <v>1</v>
      </c>
      <c r="C2522" s="2" t="s">
        <v>99</v>
      </c>
      <c r="D2522" s="2" t="s">
        <v>38</v>
      </c>
      <c r="E2522" s="2" t="str">
        <f aca="false">INDEX(Products!$B$2:$B$13,MATCH(D2522,Products!$A$2:$A$13,0))</f>
        <v>FCC</v>
      </c>
      <c r="F2522" s="15" t="n">
        <v>5.5</v>
      </c>
      <c r="G2522" s="16" t="n">
        <f aca="false">IF(A2522="2025",INDEX(Products!$C$2:$C$13,MATCH(D2522,Products!$A$2:$A$13,0)),INDEX(Products!$E$2:$E$13,MATCH(D2522,Products!$A$2:$A$13,0)))</f>
        <v>4360</v>
      </c>
      <c r="H2522" s="13" t="n">
        <f aca="false">IF(A2522="2025",INDEX(Customers!$D$2:$D$41,MATCH(C2522,Customers!$A$2:$A$41,0)),INDEX(Customers!$F$2:$F$41,MATCH(C2522,Customers!$A$2:$A$41,0)))</f>
        <v>0.061</v>
      </c>
      <c r="I2522" s="16" t="n">
        <f aca="false">F2522*G2522</f>
        <v>23980</v>
      </c>
      <c r="J2522" s="16" t="n">
        <f aca="false">I2522*(1-H2522)</f>
        <v>22517.22</v>
      </c>
      <c r="K2522" s="16" t="n">
        <f aca="false">J2522*INDEX(Customers!$G$2:$G$41,MATCH(C2522,Customers!$A$2:$A$41,0))</f>
        <v>225.1722</v>
      </c>
      <c r="L2522" s="16" t="n">
        <f aca="false">F2522*INDEX(Customers!$H$2:$H$41,MATCH(C2522,Customers!$A$2:$A$41,0))</f>
        <v>1760</v>
      </c>
      <c r="M2522" s="16" t="n">
        <f aca="false">J2522*INDEX(Customers!$I$2:$I$41,MATCH(C2522,Customers!$A$2:$A$41,0))/365*Assumptions!$B$6</f>
        <v>296.116865753425</v>
      </c>
      <c r="N2522" s="16" t="n">
        <f aca="false">J2522-K2522-L2522-M2522</f>
        <v>20235.9309342466</v>
      </c>
      <c r="O2522" s="16" t="n">
        <f aca="false">F2522*IF(A2522="2025",INDEX(Products!$D$2:$D$13,MATCH(D2522,Products!$A$2:$A$13,0)),INDEX(Products!$F$2:$F$13,MATCH(D2522,Products!$A$2:$A$13,0)))</f>
        <v>15235</v>
      </c>
      <c r="P2522" s="16" t="n">
        <f aca="false">N2522-O2522</f>
        <v>5000.93093424658</v>
      </c>
    </row>
    <row r="2523" customFormat="false" ht="15" hidden="false" customHeight="false" outlineLevel="0" collapsed="false">
      <c r="A2523" s="2" t="s">
        <v>118</v>
      </c>
      <c r="B2523" s="2" t="n">
        <v>2</v>
      </c>
      <c r="C2523" s="2" t="s">
        <v>99</v>
      </c>
      <c r="D2523" s="2" t="s">
        <v>38</v>
      </c>
      <c r="E2523" s="2" t="str">
        <f aca="false">INDEX(Products!$B$2:$B$13,MATCH(D2523,Products!$A$2:$A$13,0))</f>
        <v>FCC</v>
      </c>
      <c r="F2523" s="15" t="n">
        <v>5.9</v>
      </c>
      <c r="G2523" s="16" t="n">
        <f aca="false">IF(A2523="2025",INDEX(Products!$C$2:$C$13,MATCH(D2523,Products!$A$2:$A$13,0)),INDEX(Products!$E$2:$E$13,MATCH(D2523,Products!$A$2:$A$13,0)))</f>
        <v>4360</v>
      </c>
      <c r="H2523" s="13" t="n">
        <f aca="false">IF(A2523="2025",INDEX(Customers!$D$2:$D$41,MATCH(C2523,Customers!$A$2:$A$41,0)),INDEX(Customers!$F$2:$F$41,MATCH(C2523,Customers!$A$2:$A$41,0)))</f>
        <v>0.061</v>
      </c>
      <c r="I2523" s="16" t="n">
        <f aca="false">F2523*G2523</f>
        <v>25724</v>
      </c>
      <c r="J2523" s="16" t="n">
        <f aca="false">I2523*(1-H2523)</f>
        <v>24154.836</v>
      </c>
      <c r="K2523" s="16" t="n">
        <f aca="false">J2523*INDEX(Customers!$G$2:$G$41,MATCH(C2523,Customers!$A$2:$A$41,0))</f>
        <v>241.54836</v>
      </c>
      <c r="L2523" s="16" t="n">
        <f aca="false">F2523*INDEX(Customers!$H$2:$H$41,MATCH(C2523,Customers!$A$2:$A$41,0))</f>
        <v>1888</v>
      </c>
      <c r="M2523" s="16" t="n">
        <f aca="false">J2523*INDEX(Customers!$I$2:$I$41,MATCH(C2523,Customers!$A$2:$A$41,0))/365*Assumptions!$B$6</f>
        <v>317.652637808219</v>
      </c>
      <c r="N2523" s="16" t="n">
        <f aca="false">J2523-K2523-L2523-M2523</f>
        <v>21707.6350021918</v>
      </c>
      <c r="O2523" s="16" t="n">
        <f aca="false">F2523*IF(A2523="2025",INDEX(Products!$D$2:$D$13,MATCH(D2523,Products!$A$2:$A$13,0)),INDEX(Products!$F$2:$F$13,MATCH(D2523,Products!$A$2:$A$13,0)))</f>
        <v>16343</v>
      </c>
      <c r="P2523" s="16" t="n">
        <f aca="false">N2523-O2523</f>
        <v>5364.63500219178</v>
      </c>
    </row>
    <row r="2524" customFormat="false" ht="15" hidden="false" customHeight="false" outlineLevel="0" collapsed="false">
      <c r="A2524" s="2" t="s">
        <v>118</v>
      </c>
      <c r="B2524" s="2" t="n">
        <v>3</v>
      </c>
      <c r="C2524" s="2" t="s">
        <v>99</v>
      </c>
      <c r="D2524" s="2" t="s">
        <v>38</v>
      </c>
      <c r="E2524" s="2" t="str">
        <f aca="false">INDEX(Products!$B$2:$B$13,MATCH(D2524,Products!$A$2:$A$13,0))</f>
        <v>FCC</v>
      </c>
      <c r="F2524" s="15" t="n">
        <v>6.4</v>
      </c>
      <c r="G2524" s="16" t="n">
        <f aca="false">IF(A2524="2025",INDEX(Products!$C$2:$C$13,MATCH(D2524,Products!$A$2:$A$13,0)),INDEX(Products!$E$2:$E$13,MATCH(D2524,Products!$A$2:$A$13,0)))</f>
        <v>4360</v>
      </c>
      <c r="H2524" s="13" t="n">
        <f aca="false">IF(A2524="2025",INDEX(Customers!$D$2:$D$41,MATCH(C2524,Customers!$A$2:$A$41,0)),INDEX(Customers!$F$2:$F$41,MATCH(C2524,Customers!$A$2:$A$41,0)))</f>
        <v>0.061</v>
      </c>
      <c r="I2524" s="16" t="n">
        <f aca="false">F2524*G2524</f>
        <v>27904</v>
      </c>
      <c r="J2524" s="16" t="n">
        <f aca="false">I2524*(1-H2524)</f>
        <v>26201.856</v>
      </c>
      <c r="K2524" s="16" t="n">
        <f aca="false">J2524*INDEX(Customers!$G$2:$G$41,MATCH(C2524,Customers!$A$2:$A$41,0))</f>
        <v>262.01856</v>
      </c>
      <c r="L2524" s="16" t="n">
        <f aca="false">F2524*INDEX(Customers!$H$2:$H$41,MATCH(C2524,Customers!$A$2:$A$41,0))</f>
        <v>2048</v>
      </c>
      <c r="M2524" s="16" t="n">
        <f aca="false">J2524*INDEX(Customers!$I$2:$I$41,MATCH(C2524,Customers!$A$2:$A$41,0))/365*Assumptions!$B$6</f>
        <v>344.572352876712</v>
      </c>
      <c r="N2524" s="16" t="n">
        <f aca="false">J2524-K2524-L2524-M2524</f>
        <v>23547.2650871233</v>
      </c>
      <c r="O2524" s="16" t="n">
        <f aca="false">F2524*IF(A2524="2025",INDEX(Products!$D$2:$D$13,MATCH(D2524,Products!$A$2:$A$13,0)),INDEX(Products!$F$2:$F$13,MATCH(D2524,Products!$A$2:$A$13,0)))</f>
        <v>17728</v>
      </c>
      <c r="P2524" s="16" t="n">
        <f aca="false">N2524-O2524</f>
        <v>5819.26508712329</v>
      </c>
    </row>
    <row r="2525" customFormat="false" ht="15" hidden="false" customHeight="false" outlineLevel="0" collapsed="false">
      <c r="A2525" s="2" t="s">
        <v>118</v>
      </c>
      <c r="B2525" s="2" t="n">
        <v>4</v>
      </c>
      <c r="C2525" s="2" t="s">
        <v>99</v>
      </c>
      <c r="D2525" s="2" t="s">
        <v>38</v>
      </c>
      <c r="E2525" s="2" t="str">
        <f aca="false">INDEX(Products!$B$2:$B$13,MATCH(D2525,Products!$A$2:$A$13,0))</f>
        <v>FCC</v>
      </c>
      <c r="F2525" s="15" t="n">
        <v>6</v>
      </c>
      <c r="G2525" s="16" t="n">
        <f aca="false">IF(A2525="2025",INDEX(Products!$C$2:$C$13,MATCH(D2525,Products!$A$2:$A$13,0)),INDEX(Products!$E$2:$E$13,MATCH(D2525,Products!$A$2:$A$13,0)))</f>
        <v>4360</v>
      </c>
      <c r="H2525" s="13" t="n">
        <f aca="false">IF(A2525="2025",INDEX(Customers!$D$2:$D$41,MATCH(C2525,Customers!$A$2:$A$41,0)),INDEX(Customers!$F$2:$F$41,MATCH(C2525,Customers!$A$2:$A$41,0)))</f>
        <v>0.061</v>
      </c>
      <c r="I2525" s="16" t="n">
        <f aca="false">F2525*G2525</f>
        <v>26160</v>
      </c>
      <c r="J2525" s="16" t="n">
        <f aca="false">I2525*(1-H2525)</f>
        <v>24564.24</v>
      </c>
      <c r="K2525" s="16" t="n">
        <f aca="false">J2525*INDEX(Customers!$G$2:$G$41,MATCH(C2525,Customers!$A$2:$A$41,0))</f>
        <v>245.6424</v>
      </c>
      <c r="L2525" s="16" t="n">
        <f aca="false">F2525*INDEX(Customers!$H$2:$H$41,MATCH(C2525,Customers!$A$2:$A$41,0))</f>
        <v>1920</v>
      </c>
      <c r="M2525" s="16" t="n">
        <f aca="false">J2525*INDEX(Customers!$I$2:$I$41,MATCH(C2525,Customers!$A$2:$A$41,0))/365*Assumptions!$B$6</f>
        <v>323.036580821918</v>
      </c>
      <c r="N2525" s="16" t="n">
        <f aca="false">J2525-K2525-L2525-M2525</f>
        <v>22075.5610191781</v>
      </c>
      <c r="O2525" s="16" t="n">
        <f aca="false">F2525*IF(A2525="2025",INDEX(Products!$D$2:$D$13,MATCH(D2525,Products!$A$2:$A$13,0)),INDEX(Products!$F$2:$F$13,MATCH(D2525,Products!$A$2:$A$13,0)))</f>
        <v>16620</v>
      </c>
      <c r="P2525" s="16" t="n">
        <f aca="false">N2525-O2525</f>
        <v>5455.56101917808</v>
      </c>
    </row>
    <row r="2526" customFormat="false" ht="15" hidden="false" customHeight="false" outlineLevel="0" collapsed="false">
      <c r="A2526" s="2" t="s">
        <v>118</v>
      </c>
      <c r="B2526" s="2" t="n">
        <v>5</v>
      </c>
      <c r="C2526" s="2" t="s">
        <v>99</v>
      </c>
      <c r="D2526" s="2" t="s">
        <v>38</v>
      </c>
      <c r="E2526" s="2" t="str">
        <f aca="false">INDEX(Products!$B$2:$B$13,MATCH(D2526,Products!$A$2:$A$13,0))</f>
        <v>FCC</v>
      </c>
      <c r="F2526" s="15" t="n">
        <v>6.4</v>
      </c>
      <c r="G2526" s="16" t="n">
        <f aca="false">IF(A2526="2025",INDEX(Products!$C$2:$C$13,MATCH(D2526,Products!$A$2:$A$13,0)),INDEX(Products!$E$2:$E$13,MATCH(D2526,Products!$A$2:$A$13,0)))</f>
        <v>4360</v>
      </c>
      <c r="H2526" s="13" t="n">
        <f aca="false">IF(A2526="2025",INDEX(Customers!$D$2:$D$41,MATCH(C2526,Customers!$A$2:$A$41,0)),INDEX(Customers!$F$2:$F$41,MATCH(C2526,Customers!$A$2:$A$41,0)))</f>
        <v>0.061</v>
      </c>
      <c r="I2526" s="16" t="n">
        <f aca="false">F2526*G2526</f>
        <v>27904</v>
      </c>
      <c r="J2526" s="16" t="n">
        <f aca="false">I2526*(1-H2526)</f>
        <v>26201.856</v>
      </c>
      <c r="K2526" s="16" t="n">
        <f aca="false">J2526*INDEX(Customers!$G$2:$G$41,MATCH(C2526,Customers!$A$2:$A$41,0))</f>
        <v>262.01856</v>
      </c>
      <c r="L2526" s="16" t="n">
        <f aca="false">F2526*INDEX(Customers!$H$2:$H$41,MATCH(C2526,Customers!$A$2:$A$41,0))</f>
        <v>2048</v>
      </c>
      <c r="M2526" s="16" t="n">
        <f aca="false">J2526*INDEX(Customers!$I$2:$I$41,MATCH(C2526,Customers!$A$2:$A$41,0))/365*Assumptions!$B$6</f>
        <v>344.572352876712</v>
      </c>
      <c r="N2526" s="16" t="n">
        <f aca="false">J2526-K2526-L2526-M2526</f>
        <v>23547.2650871233</v>
      </c>
      <c r="O2526" s="16" t="n">
        <f aca="false">F2526*IF(A2526="2025",INDEX(Products!$D$2:$D$13,MATCH(D2526,Products!$A$2:$A$13,0)),INDEX(Products!$F$2:$F$13,MATCH(D2526,Products!$A$2:$A$13,0)))</f>
        <v>17728</v>
      </c>
      <c r="P2526" s="16" t="n">
        <f aca="false">N2526-O2526</f>
        <v>5819.26508712329</v>
      </c>
    </row>
    <row r="2527" customFormat="false" ht="15" hidden="false" customHeight="false" outlineLevel="0" collapsed="false">
      <c r="A2527" s="2" t="s">
        <v>118</v>
      </c>
      <c r="B2527" s="2" t="n">
        <v>6</v>
      </c>
      <c r="C2527" s="2" t="s">
        <v>99</v>
      </c>
      <c r="D2527" s="2" t="s">
        <v>38</v>
      </c>
      <c r="E2527" s="2" t="str">
        <f aca="false">INDEX(Products!$B$2:$B$13,MATCH(D2527,Products!$A$2:$A$13,0))</f>
        <v>FCC</v>
      </c>
      <c r="F2527" s="15" t="n">
        <v>5.9</v>
      </c>
      <c r="G2527" s="16" t="n">
        <f aca="false">IF(A2527="2025",INDEX(Products!$C$2:$C$13,MATCH(D2527,Products!$A$2:$A$13,0)),INDEX(Products!$E$2:$E$13,MATCH(D2527,Products!$A$2:$A$13,0)))</f>
        <v>4360</v>
      </c>
      <c r="H2527" s="13" t="n">
        <f aca="false">IF(A2527="2025",INDEX(Customers!$D$2:$D$41,MATCH(C2527,Customers!$A$2:$A$41,0)),INDEX(Customers!$F$2:$F$41,MATCH(C2527,Customers!$A$2:$A$41,0)))</f>
        <v>0.061</v>
      </c>
      <c r="I2527" s="16" t="n">
        <f aca="false">F2527*G2527</f>
        <v>25724</v>
      </c>
      <c r="J2527" s="16" t="n">
        <f aca="false">I2527*(1-H2527)</f>
        <v>24154.836</v>
      </c>
      <c r="K2527" s="16" t="n">
        <f aca="false">J2527*INDEX(Customers!$G$2:$G$41,MATCH(C2527,Customers!$A$2:$A$41,0))</f>
        <v>241.54836</v>
      </c>
      <c r="L2527" s="16" t="n">
        <f aca="false">F2527*INDEX(Customers!$H$2:$H$41,MATCH(C2527,Customers!$A$2:$A$41,0))</f>
        <v>1888</v>
      </c>
      <c r="M2527" s="16" t="n">
        <f aca="false">J2527*INDEX(Customers!$I$2:$I$41,MATCH(C2527,Customers!$A$2:$A$41,0))/365*Assumptions!$B$6</f>
        <v>317.652637808219</v>
      </c>
      <c r="N2527" s="16" t="n">
        <f aca="false">J2527-K2527-L2527-M2527</f>
        <v>21707.6350021918</v>
      </c>
      <c r="O2527" s="16" t="n">
        <f aca="false">F2527*IF(A2527="2025",INDEX(Products!$D$2:$D$13,MATCH(D2527,Products!$A$2:$A$13,0)),INDEX(Products!$F$2:$F$13,MATCH(D2527,Products!$A$2:$A$13,0)))</f>
        <v>16343</v>
      </c>
      <c r="P2527" s="16" t="n">
        <f aca="false">N2527-O2527</f>
        <v>5364.63500219178</v>
      </c>
    </row>
    <row r="2528" customFormat="false" ht="15" hidden="false" customHeight="false" outlineLevel="0" collapsed="false">
      <c r="A2528" s="2" t="s">
        <v>118</v>
      </c>
      <c r="B2528" s="2" t="n">
        <v>7</v>
      </c>
      <c r="C2528" s="2" t="s">
        <v>99</v>
      </c>
      <c r="D2528" s="2" t="s">
        <v>38</v>
      </c>
      <c r="E2528" s="2" t="str">
        <f aca="false">INDEX(Products!$B$2:$B$13,MATCH(D2528,Products!$A$2:$A$13,0))</f>
        <v>FCC</v>
      </c>
      <c r="F2528" s="15" t="n">
        <v>4.8</v>
      </c>
      <c r="G2528" s="16" t="n">
        <f aca="false">IF(A2528="2025",INDEX(Products!$C$2:$C$13,MATCH(D2528,Products!$A$2:$A$13,0)),INDEX(Products!$E$2:$E$13,MATCH(D2528,Products!$A$2:$A$13,0)))</f>
        <v>4360</v>
      </c>
      <c r="H2528" s="13" t="n">
        <f aca="false">IF(A2528="2025",INDEX(Customers!$D$2:$D$41,MATCH(C2528,Customers!$A$2:$A$41,0)),INDEX(Customers!$F$2:$F$41,MATCH(C2528,Customers!$A$2:$A$41,0)))</f>
        <v>0.061</v>
      </c>
      <c r="I2528" s="16" t="n">
        <f aca="false">F2528*G2528</f>
        <v>20928</v>
      </c>
      <c r="J2528" s="16" t="n">
        <f aca="false">I2528*(1-H2528)</f>
        <v>19651.392</v>
      </c>
      <c r="K2528" s="16" t="n">
        <f aca="false">J2528*INDEX(Customers!$G$2:$G$41,MATCH(C2528,Customers!$A$2:$A$41,0))</f>
        <v>196.51392</v>
      </c>
      <c r="L2528" s="16" t="n">
        <f aca="false">F2528*INDEX(Customers!$H$2:$H$41,MATCH(C2528,Customers!$A$2:$A$41,0))</f>
        <v>1536</v>
      </c>
      <c r="M2528" s="16" t="n">
        <f aca="false">J2528*INDEX(Customers!$I$2:$I$41,MATCH(C2528,Customers!$A$2:$A$41,0))/365*Assumptions!$B$6</f>
        <v>258.429264657534</v>
      </c>
      <c r="N2528" s="16" t="n">
        <f aca="false">J2528-K2528-L2528-M2528</f>
        <v>17660.4488153425</v>
      </c>
      <c r="O2528" s="16" t="n">
        <f aca="false">F2528*IF(A2528="2025",INDEX(Products!$D$2:$D$13,MATCH(D2528,Products!$A$2:$A$13,0)),INDEX(Products!$F$2:$F$13,MATCH(D2528,Products!$A$2:$A$13,0)))</f>
        <v>13296</v>
      </c>
      <c r="P2528" s="16" t="n">
        <f aca="false">N2528-O2528</f>
        <v>4364.44881534246</v>
      </c>
    </row>
    <row r="2529" customFormat="false" ht="15" hidden="false" customHeight="false" outlineLevel="0" collapsed="false">
      <c r="A2529" s="2" t="s">
        <v>118</v>
      </c>
      <c r="B2529" s="2" t="n">
        <v>8</v>
      </c>
      <c r="C2529" s="2" t="s">
        <v>99</v>
      </c>
      <c r="D2529" s="2" t="s">
        <v>38</v>
      </c>
      <c r="E2529" s="2" t="str">
        <f aca="false">INDEX(Products!$B$2:$B$13,MATCH(D2529,Products!$A$2:$A$13,0))</f>
        <v>FCC</v>
      </c>
      <c r="F2529" s="15" t="n">
        <v>6.7</v>
      </c>
      <c r="G2529" s="16" t="n">
        <f aca="false">IF(A2529="2025",INDEX(Products!$C$2:$C$13,MATCH(D2529,Products!$A$2:$A$13,0)),INDEX(Products!$E$2:$E$13,MATCH(D2529,Products!$A$2:$A$13,0)))</f>
        <v>4360</v>
      </c>
      <c r="H2529" s="13" t="n">
        <f aca="false">IF(A2529="2025",INDEX(Customers!$D$2:$D$41,MATCH(C2529,Customers!$A$2:$A$41,0)),INDEX(Customers!$F$2:$F$41,MATCH(C2529,Customers!$A$2:$A$41,0)))</f>
        <v>0.061</v>
      </c>
      <c r="I2529" s="16" t="n">
        <f aca="false">F2529*G2529</f>
        <v>29212</v>
      </c>
      <c r="J2529" s="16" t="n">
        <f aca="false">I2529*(1-H2529)</f>
        <v>27430.068</v>
      </c>
      <c r="K2529" s="16" t="n">
        <f aca="false">J2529*INDEX(Customers!$G$2:$G$41,MATCH(C2529,Customers!$A$2:$A$41,0))</f>
        <v>274.30068</v>
      </c>
      <c r="L2529" s="16" t="n">
        <f aca="false">F2529*INDEX(Customers!$H$2:$H$41,MATCH(C2529,Customers!$A$2:$A$41,0))</f>
        <v>2144</v>
      </c>
      <c r="M2529" s="16" t="n">
        <f aca="false">J2529*INDEX(Customers!$I$2:$I$41,MATCH(C2529,Customers!$A$2:$A$41,0))/365*Assumptions!$B$6</f>
        <v>360.724181917808</v>
      </c>
      <c r="N2529" s="16" t="n">
        <f aca="false">J2529-K2529-L2529-M2529</f>
        <v>24651.0431380822</v>
      </c>
      <c r="O2529" s="16" t="n">
        <f aca="false">F2529*IF(A2529="2025",INDEX(Products!$D$2:$D$13,MATCH(D2529,Products!$A$2:$A$13,0)),INDEX(Products!$F$2:$F$13,MATCH(D2529,Products!$A$2:$A$13,0)))</f>
        <v>18559</v>
      </c>
      <c r="P2529" s="16" t="n">
        <f aca="false">N2529-O2529</f>
        <v>6092.04313808219</v>
      </c>
    </row>
    <row r="2530" customFormat="false" ht="15" hidden="false" customHeight="false" outlineLevel="0" collapsed="false">
      <c r="A2530" s="2" t="s">
        <v>118</v>
      </c>
      <c r="B2530" s="2" t="n">
        <v>9</v>
      </c>
      <c r="C2530" s="2" t="s">
        <v>99</v>
      </c>
      <c r="D2530" s="2" t="s">
        <v>38</v>
      </c>
      <c r="E2530" s="2" t="str">
        <f aca="false">INDEX(Products!$B$2:$B$13,MATCH(D2530,Products!$A$2:$A$13,0))</f>
        <v>FCC</v>
      </c>
      <c r="F2530" s="15" t="n">
        <v>4.5</v>
      </c>
      <c r="G2530" s="16" t="n">
        <f aca="false">IF(A2530="2025",INDEX(Products!$C$2:$C$13,MATCH(D2530,Products!$A$2:$A$13,0)),INDEX(Products!$E$2:$E$13,MATCH(D2530,Products!$A$2:$A$13,0)))</f>
        <v>4360</v>
      </c>
      <c r="H2530" s="13" t="n">
        <f aca="false">IF(A2530="2025",INDEX(Customers!$D$2:$D$41,MATCH(C2530,Customers!$A$2:$A$41,0)),INDEX(Customers!$F$2:$F$41,MATCH(C2530,Customers!$A$2:$A$41,0)))</f>
        <v>0.061</v>
      </c>
      <c r="I2530" s="16" t="n">
        <f aca="false">F2530*G2530</f>
        <v>19620</v>
      </c>
      <c r="J2530" s="16" t="n">
        <f aca="false">I2530*(1-H2530)</f>
        <v>18423.18</v>
      </c>
      <c r="K2530" s="16" t="n">
        <f aca="false">J2530*INDEX(Customers!$G$2:$G$41,MATCH(C2530,Customers!$A$2:$A$41,0))</f>
        <v>184.2318</v>
      </c>
      <c r="L2530" s="16" t="n">
        <f aca="false">F2530*INDEX(Customers!$H$2:$H$41,MATCH(C2530,Customers!$A$2:$A$41,0))</f>
        <v>1440</v>
      </c>
      <c r="M2530" s="16" t="n">
        <f aca="false">J2530*INDEX(Customers!$I$2:$I$41,MATCH(C2530,Customers!$A$2:$A$41,0))/365*Assumptions!$B$6</f>
        <v>242.277435616438</v>
      </c>
      <c r="N2530" s="16" t="n">
        <f aca="false">J2530-K2530-L2530-M2530</f>
        <v>16556.6707643836</v>
      </c>
      <c r="O2530" s="16" t="n">
        <f aca="false">F2530*IF(A2530="2025",INDEX(Products!$D$2:$D$13,MATCH(D2530,Products!$A$2:$A$13,0)),INDEX(Products!$F$2:$F$13,MATCH(D2530,Products!$A$2:$A$13,0)))</f>
        <v>12465</v>
      </c>
      <c r="P2530" s="16" t="n">
        <f aca="false">N2530-O2530</f>
        <v>4091.67076438356</v>
      </c>
    </row>
    <row r="2531" customFormat="false" ht="15" hidden="false" customHeight="false" outlineLevel="0" collapsed="false">
      <c r="A2531" s="2" t="s">
        <v>118</v>
      </c>
      <c r="B2531" s="2" t="n">
        <v>10</v>
      </c>
      <c r="C2531" s="2" t="s">
        <v>99</v>
      </c>
      <c r="D2531" s="2" t="s">
        <v>38</v>
      </c>
      <c r="E2531" s="2" t="str">
        <f aca="false">INDEX(Products!$B$2:$B$13,MATCH(D2531,Products!$A$2:$A$13,0))</f>
        <v>FCC</v>
      </c>
      <c r="F2531" s="15" t="n">
        <v>5.1</v>
      </c>
      <c r="G2531" s="16" t="n">
        <f aca="false">IF(A2531="2025",INDEX(Products!$C$2:$C$13,MATCH(D2531,Products!$A$2:$A$13,0)),INDEX(Products!$E$2:$E$13,MATCH(D2531,Products!$A$2:$A$13,0)))</f>
        <v>4360</v>
      </c>
      <c r="H2531" s="13" t="n">
        <f aca="false">IF(A2531="2025",INDEX(Customers!$D$2:$D$41,MATCH(C2531,Customers!$A$2:$A$41,0)),INDEX(Customers!$F$2:$F$41,MATCH(C2531,Customers!$A$2:$A$41,0)))</f>
        <v>0.061</v>
      </c>
      <c r="I2531" s="16" t="n">
        <f aca="false">F2531*G2531</f>
        <v>22236</v>
      </c>
      <c r="J2531" s="16" t="n">
        <f aca="false">I2531*(1-H2531)</f>
        <v>20879.604</v>
      </c>
      <c r="K2531" s="16" t="n">
        <f aca="false">J2531*INDEX(Customers!$G$2:$G$41,MATCH(C2531,Customers!$A$2:$A$41,0))</f>
        <v>208.79604</v>
      </c>
      <c r="L2531" s="16" t="n">
        <f aca="false">F2531*INDEX(Customers!$H$2:$H$41,MATCH(C2531,Customers!$A$2:$A$41,0))</f>
        <v>1632</v>
      </c>
      <c r="M2531" s="16" t="n">
        <f aca="false">J2531*INDEX(Customers!$I$2:$I$41,MATCH(C2531,Customers!$A$2:$A$41,0))/365*Assumptions!$B$6</f>
        <v>274.58109369863</v>
      </c>
      <c r="N2531" s="16" t="n">
        <f aca="false">J2531-K2531-L2531-M2531</f>
        <v>18764.2268663014</v>
      </c>
      <c r="O2531" s="16" t="n">
        <f aca="false">F2531*IF(A2531="2025",INDEX(Products!$D$2:$D$13,MATCH(D2531,Products!$A$2:$A$13,0)),INDEX(Products!$F$2:$F$13,MATCH(D2531,Products!$A$2:$A$13,0)))</f>
        <v>14127</v>
      </c>
      <c r="P2531" s="16" t="n">
        <f aca="false">N2531-O2531</f>
        <v>4637.22686630137</v>
      </c>
    </row>
    <row r="2532" customFormat="false" ht="15" hidden="false" customHeight="false" outlineLevel="0" collapsed="false">
      <c r="A2532" s="2" t="s">
        <v>118</v>
      </c>
      <c r="B2532" s="2" t="n">
        <v>11</v>
      </c>
      <c r="C2532" s="2" t="s">
        <v>99</v>
      </c>
      <c r="D2532" s="2" t="s">
        <v>38</v>
      </c>
      <c r="E2532" s="2" t="str">
        <f aca="false">INDEX(Products!$B$2:$B$13,MATCH(D2532,Products!$A$2:$A$13,0))</f>
        <v>FCC</v>
      </c>
      <c r="F2532" s="15" t="n">
        <v>5.6</v>
      </c>
      <c r="G2532" s="16" t="n">
        <f aca="false">IF(A2532="2025",INDEX(Products!$C$2:$C$13,MATCH(D2532,Products!$A$2:$A$13,0)),INDEX(Products!$E$2:$E$13,MATCH(D2532,Products!$A$2:$A$13,0)))</f>
        <v>4360</v>
      </c>
      <c r="H2532" s="13" t="n">
        <f aca="false">IF(A2532="2025",INDEX(Customers!$D$2:$D$41,MATCH(C2532,Customers!$A$2:$A$41,0)),INDEX(Customers!$F$2:$F$41,MATCH(C2532,Customers!$A$2:$A$41,0)))</f>
        <v>0.061</v>
      </c>
      <c r="I2532" s="16" t="n">
        <f aca="false">F2532*G2532</f>
        <v>24416</v>
      </c>
      <c r="J2532" s="16" t="n">
        <f aca="false">I2532*(1-H2532)</f>
        <v>22926.624</v>
      </c>
      <c r="K2532" s="16" t="n">
        <f aca="false">J2532*INDEX(Customers!$G$2:$G$41,MATCH(C2532,Customers!$A$2:$A$41,0))</f>
        <v>229.26624</v>
      </c>
      <c r="L2532" s="16" t="n">
        <f aca="false">F2532*INDEX(Customers!$H$2:$H$41,MATCH(C2532,Customers!$A$2:$A$41,0))</f>
        <v>1792</v>
      </c>
      <c r="M2532" s="16" t="n">
        <f aca="false">J2532*INDEX(Customers!$I$2:$I$41,MATCH(C2532,Customers!$A$2:$A$41,0))/365*Assumptions!$B$6</f>
        <v>301.500808767123</v>
      </c>
      <c r="N2532" s="16" t="n">
        <f aca="false">J2532-K2532-L2532-M2532</f>
        <v>20603.8569512329</v>
      </c>
      <c r="O2532" s="16" t="n">
        <f aca="false">F2532*IF(A2532="2025",INDEX(Products!$D$2:$D$13,MATCH(D2532,Products!$A$2:$A$13,0)),INDEX(Products!$F$2:$F$13,MATCH(D2532,Products!$A$2:$A$13,0)))</f>
        <v>15512</v>
      </c>
      <c r="P2532" s="16" t="n">
        <f aca="false">N2532-O2532</f>
        <v>5091.85695123288</v>
      </c>
    </row>
    <row r="2533" customFormat="false" ht="15" hidden="false" customHeight="false" outlineLevel="0" collapsed="false">
      <c r="A2533" s="2" t="s">
        <v>118</v>
      </c>
      <c r="B2533" s="2" t="n">
        <v>12</v>
      </c>
      <c r="C2533" s="2" t="s">
        <v>99</v>
      </c>
      <c r="D2533" s="2" t="s">
        <v>38</v>
      </c>
      <c r="E2533" s="2" t="str">
        <f aca="false">INDEX(Products!$B$2:$B$13,MATCH(D2533,Products!$A$2:$A$13,0))</f>
        <v>FCC</v>
      </c>
      <c r="F2533" s="15" t="n">
        <v>5.5</v>
      </c>
      <c r="G2533" s="16" t="n">
        <f aca="false">IF(A2533="2025",INDEX(Products!$C$2:$C$13,MATCH(D2533,Products!$A$2:$A$13,0)),INDEX(Products!$E$2:$E$13,MATCH(D2533,Products!$A$2:$A$13,0)))</f>
        <v>4360</v>
      </c>
      <c r="H2533" s="13" t="n">
        <f aca="false">IF(A2533="2025",INDEX(Customers!$D$2:$D$41,MATCH(C2533,Customers!$A$2:$A$41,0)),INDEX(Customers!$F$2:$F$41,MATCH(C2533,Customers!$A$2:$A$41,0)))</f>
        <v>0.061</v>
      </c>
      <c r="I2533" s="16" t="n">
        <f aca="false">F2533*G2533</f>
        <v>23980</v>
      </c>
      <c r="J2533" s="16" t="n">
        <f aca="false">I2533*(1-H2533)</f>
        <v>22517.22</v>
      </c>
      <c r="K2533" s="16" t="n">
        <f aca="false">J2533*INDEX(Customers!$G$2:$G$41,MATCH(C2533,Customers!$A$2:$A$41,0))</f>
        <v>225.1722</v>
      </c>
      <c r="L2533" s="16" t="n">
        <f aca="false">F2533*INDEX(Customers!$H$2:$H$41,MATCH(C2533,Customers!$A$2:$A$41,0))</f>
        <v>1760</v>
      </c>
      <c r="M2533" s="16" t="n">
        <f aca="false">J2533*INDEX(Customers!$I$2:$I$41,MATCH(C2533,Customers!$A$2:$A$41,0))/365*Assumptions!$B$6</f>
        <v>296.116865753425</v>
      </c>
      <c r="N2533" s="16" t="n">
        <f aca="false">J2533-K2533-L2533-M2533</f>
        <v>20235.9309342466</v>
      </c>
      <c r="O2533" s="16" t="n">
        <f aca="false">F2533*IF(A2533="2025",INDEX(Products!$D$2:$D$13,MATCH(D2533,Products!$A$2:$A$13,0)),INDEX(Products!$F$2:$F$13,MATCH(D2533,Products!$A$2:$A$13,0)))</f>
        <v>15235</v>
      </c>
      <c r="P2533" s="16" t="n">
        <f aca="false">N2533-O2533</f>
        <v>5000.93093424658</v>
      </c>
    </row>
    <row r="2534" customFormat="false" ht="15" hidden="false" customHeight="false" outlineLevel="0" collapsed="false">
      <c r="A2534" s="2" t="s">
        <v>119</v>
      </c>
      <c r="B2534" s="2" t="n">
        <v>1</v>
      </c>
      <c r="C2534" s="2" t="s">
        <v>99</v>
      </c>
      <c r="D2534" s="2" t="s">
        <v>38</v>
      </c>
      <c r="E2534" s="2" t="str">
        <f aca="false">INDEX(Products!$B$2:$B$13,MATCH(D2534,Products!$A$2:$A$13,0))</f>
        <v>FCC</v>
      </c>
      <c r="F2534" s="15" t="n">
        <v>5.4</v>
      </c>
      <c r="G2534" s="16" t="n">
        <f aca="false">IF(A2534="2025",INDEX(Products!$C$2:$C$13,MATCH(D2534,Products!$A$2:$A$13,0)),INDEX(Products!$E$2:$E$13,MATCH(D2534,Products!$A$2:$A$13,0)))</f>
        <v>4578</v>
      </c>
      <c r="H2534" s="13" t="n">
        <f aca="false">IF(A2534="2025",INDEX(Customers!$D$2:$D$41,MATCH(C2534,Customers!$A$2:$A$41,0)),INDEX(Customers!$F$2:$F$41,MATCH(C2534,Customers!$A$2:$A$41,0)))</f>
        <v>0.061</v>
      </c>
      <c r="I2534" s="16" t="n">
        <f aca="false">F2534*G2534</f>
        <v>24721.2</v>
      </c>
      <c r="J2534" s="16" t="n">
        <f aca="false">I2534*(1-H2534)</f>
        <v>23213.2068</v>
      </c>
      <c r="K2534" s="16" t="n">
        <f aca="false">J2534*INDEX(Customers!$G$2:$G$41,MATCH(C2534,Customers!$A$2:$A$41,0))</f>
        <v>232.132068</v>
      </c>
      <c r="L2534" s="16" t="n">
        <f aca="false">F2534*INDEX(Customers!$H$2:$H$41,MATCH(C2534,Customers!$A$2:$A$41,0))</f>
        <v>1728</v>
      </c>
      <c r="M2534" s="16" t="n">
        <f aca="false">J2534*INDEX(Customers!$I$2:$I$41,MATCH(C2534,Customers!$A$2:$A$41,0))/365*Assumptions!$B$6</f>
        <v>305.269568876712</v>
      </c>
      <c r="N2534" s="16" t="n">
        <f aca="false">J2534-K2534-L2534-M2534</f>
        <v>20947.8051631233</v>
      </c>
      <c r="O2534" s="16" t="n">
        <f aca="false">F2534*IF(A2534="2025",INDEX(Products!$D$2:$D$13,MATCH(D2534,Products!$A$2:$A$13,0)),INDEX(Products!$F$2:$F$13,MATCH(D2534,Products!$A$2:$A$13,0)))</f>
        <v>15406.74</v>
      </c>
      <c r="P2534" s="16" t="n">
        <f aca="false">N2534-O2534</f>
        <v>5541.06516312329</v>
      </c>
    </row>
    <row r="2535" customFormat="false" ht="15" hidden="false" customHeight="false" outlineLevel="0" collapsed="false">
      <c r="A2535" s="2" t="s">
        <v>119</v>
      </c>
      <c r="B2535" s="2" t="n">
        <v>2</v>
      </c>
      <c r="C2535" s="2" t="s">
        <v>99</v>
      </c>
      <c r="D2535" s="2" t="s">
        <v>38</v>
      </c>
      <c r="E2535" s="2" t="str">
        <f aca="false">INDEX(Products!$B$2:$B$13,MATCH(D2535,Products!$A$2:$A$13,0))</f>
        <v>FCC</v>
      </c>
      <c r="F2535" s="15" t="n">
        <v>5.1</v>
      </c>
      <c r="G2535" s="16" t="n">
        <f aca="false">IF(A2535="2025",INDEX(Products!$C$2:$C$13,MATCH(D2535,Products!$A$2:$A$13,0)),INDEX(Products!$E$2:$E$13,MATCH(D2535,Products!$A$2:$A$13,0)))</f>
        <v>4578</v>
      </c>
      <c r="H2535" s="13" t="n">
        <f aca="false">IF(A2535="2025",INDEX(Customers!$D$2:$D$41,MATCH(C2535,Customers!$A$2:$A$41,0)),INDEX(Customers!$F$2:$F$41,MATCH(C2535,Customers!$A$2:$A$41,0)))</f>
        <v>0.061</v>
      </c>
      <c r="I2535" s="16" t="n">
        <f aca="false">F2535*G2535</f>
        <v>23347.8</v>
      </c>
      <c r="J2535" s="16" t="n">
        <f aca="false">I2535*(1-H2535)</f>
        <v>21923.5842</v>
      </c>
      <c r="K2535" s="16" t="n">
        <f aca="false">J2535*INDEX(Customers!$G$2:$G$41,MATCH(C2535,Customers!$A$2:$A$41,0))</f>
        <v>219.235842</v>
      </c>
      <c r="L2535" s="16" t="n">
        <f aca="false">F2535*INDEX(Customers!$H$2:$H$41,MATCH(C2535,Customers!$A$2:$A$41,0))</f>
        <v>1632</v>
      </c>
      <c r="M2535" s="16" t="n">
        <f aca="false">J2535*INDEX(Customers!$I$2:$I$41,MATCH(C2535,Customers!$A$2:$A$41,0))/365*Assumptions!$B$6</f>
        <v>288.310148383562</v>
      </c>
      <c r="N2535" s="16" t="n">
        <f aca="false">J2535-K2535-L2535-M2535</f>
        <v>19784.0382096164</v>
      </c>
      <c r="O2535" s="16" t="n">
        <f aca="false">F2535*IF(A2535="2025",INDEX(Products!$D$2:$D$13,MATCH(D2535,Products!$A$2:$A$13,0)),INDEX(Products!$F$2:$F$13,MATCH(D2535,Products!$A$2:$A$13,0)))</f>
        <v>14550.81</v>
      </c>
      <c r="P2535" s="16" t="n">
        <f aca="false">N2535-O2535</f>
        <v>5233.22820961644</v>
      </c>
    </row>
    <row r="2536" customFormat="false" ht="15" hidden="false" customHeight="false" outlineLevel="0" collapsed="false">
      <c r="A2536" s="2" t="s">
        <v>119</v>
      </c>
      <c r="B2536" s="2" t="n">
        <v>3</v>
      </c>
      <c r="C2536" s="2" t="s">
        <v>99</v>
      </c>
      <c r="D2536" s="2" t="s">
        <v>38</v>
      </c>
      <c r="E2536" s="2" t="str">
        <f aca="false">INDEX(Products!$B$2:$B$13,MATCH(D2536,Products!$A$2:$A$13,0))</f>
        <v>FCC</v>
      </c>
      <c r="F2536" s="15" t="n">
        <v>3.8</v>
      </c>
      <c r="G2536" s="16" t="n">
        <f aca="false">IF(A2536="2025",INDEX(Products!$C$2:$C$13,MATCH(D2536,Products!$A$2:$A$13,0)),INDEX(Products!$E$2:$E$13,MATCH(D2536,Products!$A$2:$A$13,0)))</f>
        <v>4578</v>
      </c>
      <c r="H2536" s="13" t="n">
        <f aca="false">IF(A2536="2025",INDEX(Customers!$D$2:$D$41,MATCH(C2536,Customers!$A$2:$A$41,0)),INDEX(Customers!$F$2:$F$41,MATCH(C2536,Customers!$A$2:$A$41,0)))</f>
        <v>0.061</v>
      </c>
      <c r="I2536" s="16" t="n">
        <f aca="false">F2536*G2536</f>
        <v>17396.4</v>
      </c>
      <c r="J2536" s="16" t="n">
        <f aca="false">I2536*(1-H2536)</f>
        <v>16335.2196</v>
      </c>
      <c r="K2536" s="16" t="n">
        <f aca="false">J2536*INDEX(Customers!$G$2:$G$41,MATCH(C2536,Customers!$A$2:$A$41,0))</f>
        <v>163.352196</v>
      </c>
      <c r="L2536" s="16" t="n">
        <f aca="false">F2536*INDEX(Customers!$H$2:$H$41,MATCH(C2536,Customers!$A$2:$A$41,0))</f>
        <v>1216</v>
      </c>
      <c r="M2536" s="16" t="n">
        <f aca="false">J2536*INDEX(Customers!$I$2:$I$41,MATCH(C2536,Customers!$A$2:$A$41,0))/365*Assumptions!$B$6</f>
        <v>214.819326246575</v>
      </c>
      <c r="N2536" s="16" t="n">
        <f aca="false">J2536-K2536-L2536-M2536</f>
        <v>14741.0480777534</v>
      </c>
      <c r="O2536" s="16" t="n">
        <f aca="false">F2536*IF(A2536="2025",INDEX(Products!$D$2:$D$13,MATCH(D2536,Products!$A$2:$A$13,0)),INDEX(Products!$F$2:$F$13,MATCH(D2536,Products!$A$2:$A$13,0)))</f>
        <v>10841.78</v>
      </c>
      <c r="P2536" s="16" t="n">
        <f aca="false">N2536-O2536</f>
        <v>3899.26807775342</v>
      </c>
    </row>
    <row r="2537" customFormat="false" ht="15" hidden="false" customHeight="false" outlineLevel="0" collapsed="false">
      <c r="A2537" s="2" t="s">
        <v>119</v>
      </c>
      <c r="B2537" s="2" t="n">
        <v>4</v>
      </c>
      <c r="C2537" s="2" t="s">
        <v>99</v>
      </c>
      <c r="D2537" s="2" t="s">
        <v>38</v>
      </c>
      <c r="E2537" s="2" t="str">
        <f aca="false">INDEX(Products!$B$2:$B$13,MATCH(D2537,Products!$A$2:$A$13,0))</f>
        <v>FCC</v>
      </c>
      <c r="F2537" s="15" t="n">
        <v>5.8</v>
      </c>
      <c r="G2537" s="16" t="n">
        <f aca="false">IF(A2537="2025",INDEX(Products!$C$2:$C$13,MATCH(D2537,Products!$A$2:$A$13,0)),INDEX(Products!$E$2:$E$13,MATCH(D2537,Products!$A$2:$A$13,0)))</f>
        <v>4578</v>
      </c>
      <c r="H2537" s="13" t="n">
        <f aca="false">IF(A2537="2025",INDEX(Customers!$D$2:$D$41,MATCH(C2537,Customers!$A$2:$A$41,0)),INDEX(Customers!$F$2:$F$41,MATCH(C2537,Customers!$A$2:$A$41,0)))</f>
        <v>0.061</v>
      </c>
      <c r="I2537" s="16" t="n">
        <f aca="false">F2537*G2537</f>
        <v>26552.4</v>
      </c>
      <c r="J2537" s="16" t="n">
        <f aca="false">I2537*(1-H2537)</f>
        <v>24932.7036</v>
      </c>
      <c r="K2537" s="16" t="n">
        <f aca="false">J2537*INDEX(Customers!$G$2:$G$41,MATCH(C2537,Customers!$A$2:$A$41,0))</f>
        <v>249.327036</v>
      </c>
      <c r="L2537" s="16" t="n">
        <f aca="false">F2537*INDEX(Customers!$H$2:$H$41,MATCH(C2537,Customers!$A$2:$A$41,0))</f>
        <v>1856</v>
      </c>
      <c r="M2537" s="16" t="n">
        <f aca="false">J2537*INDEX(Customers!$I$2:$I$41,MATCH(C2537,Customers!$A$2:$A$41,0))/365*Assumptions!$B$6</f>
        <v>327.882129534247</v>
      </c>
      <c r="N2537" s="16" t="n">
        <f aca="false">J2537-K2537-L2537-M2537</f>
        <v>22499.4944344658</v>
      </c>
      <c r="O2537" s="16" t="n">
        <f aca="false">F2537*IF(A2537="2025",INDEX(Products!$D$2:$D$13,MATCH(D2537,Products!$A$2:$A$13,0)),INDEX(Products!$F$2:$F$13,MATCH(D2537,Products!$A$2:$A$13,0)))</f>
        <v>16547.98</v>
      </c>
      <c r="P2537" s="16" t="n">
        <f aca="false">N2537-O2537</f>
        <v>5951.51443446576</v>
      </c>
    </row>
    <row r="2538" customFormat="false" ht="15" hidden="false" customHeight="false" outlineLevel="0" collapsed="false">
      <c r="A2538" s="2" t="s">
        <v>119</v>
      </c>
      <c r="B2538" s="2" t="n">
        <v>5</v>
      </c>
      <c r="C2538" s="2" t="s">
        <v>99</v>
      </c>
      <c r="D2538" s="2" t="s">
        <v>38</v>
      </c>
      <c r="E2538" s="2" t="str">
        <f aca="false">INDEX(Products!$B$2:$B$13,MATCH(D2538,Products!$A$2:$A$13,0))</f>
        <v>FCC</v>
      </c>
      <c r="F2538" s="15" t="n">
        <v>5.4</v>
      </c>
      <c r="G2538" s="16" t="n">
        <f aca="false">IF(A2538="2025",INDEX(Products!$C$2:$C$13,MATCH(D2538,Products!$A$2:$A$13,0)),INDEX(Products!$E$2:$E$13,MATCH(D2538,Products!$A$2:$A$13,0)))</f>
        <v>4578</v>
      </c>
      <c r="H2538" s="13" t="n">
        <f aca="false">IF(A2538="2025",INDEX(Customers!$D$2:$D$41,MATCH(C2538,Customers!$A$2:$A$41,0)),INDEX(Customers!$F$2:$F$41,MATCH(C2538,Customers!$A$2:$A$41,0)))</f>
        <v>0.061</v>
      </c>
      <c r="I2538" s="16" t="n">
        <f aca="false">F2538*G2538</f>
        <v>24721.2</v>
      </c>
      <c r="J2538" s="16" t="n">
        <f aca="false">I2538*(1-H2538)</f>
        <v>23213.2068</v>
      </c>
      <c r="K2538" s="16" t="n">
        <f aca="false">J2538*INDEX(Customers!$G$2:$G$41,MATCH(C2538,Customers!$A$2:$A$41,0))</f>
        <v>232.132068</v>
      </c>
      <c r="L2538" s="16" t="n">
        <f aca="false">F2538*INDEX(Customers!$H$2:$H$41,MATCH(C2538,Customers!$A$2:$A$41,0))</f>
        <v>1728</v>
      </c>
      <c r="M2538" s="16" t="n">
        <f aca="false">J2538*INDEX(Customers!$I$2:$I$41,MATCH(C2538,Customers!$A$2:$A$41,0))/365*Assumptions!$B$6</f>
        <v>305.269568876712</v>
      </c>
      <c r="N2538" s="16" t="n">
        <f aca="false">J2538-K2538-L2538-M2538</f>
        <v>20947.8051631233</v>
      </c>
      <c r="O2538" s="16" t="n">
        <f aca="false">F2538*IF(A2538="2025",INDEX(Products!$D$2:$D$13,MATCH(D2538,Products!$A$2:$A$13,0)),INDEX(Products!$F$2:$F$13,MATCH(D2538,Products!$A$2:$A$13,0)))</f>
        <v>15406.74</v>
      </c>
      <c r="P2538" s="16" t="n">
        <f aca="false">N2538-O2538</f>
        <v>5541.06516312329</v>
      </c>
    </row>
    <row r="2539" customFormat="false" ht="15" hidden="false" customHeight="false" outlineLevel="0" collapsed="false">
      <c r="A2539" s="2" t="s">
        <v>119</v>
      </c>
      <c r="B2539" s="2" t="n">
        <v>6</v>
      </c>
      <c r="C2539" s="2" t="s">
        <v>99</v>
      </c>
      <c r="D2539" s="2" t="s">
        <v>38</v>
      </c>
      <c r="E2539" s="2" t="str">
        <f aca="false">INDEX(Products!$B$2:$B$13,MATCH(D2539,Products!$A$2:$A$13,0))</f>
        <v>FCC</v>
      </c>
      <c r="F2539" s="15" t="n">
        <v>3.8</v>
      </c>
      <c r="G2539" s="16" t="n">
        <f aca="false">IF(A2539="2025",INDEX(Products!$C$2:$C$13,MATCH(D2539,Products!$A$2:$A$13,0)),INDEX(Products!$E$2:$E$13,MATCH(D2539,Products!$A$2:$A$13,0)))</f>
        <v>4578</v>
      </c>
      <c r="H2539" s="13" t="n">
        <f aca="false">IF(A2539="2025",INDEX(Customers!$D$2:$D$41,MATCH(C2539,Customers!$A$2:$A$41,0)),INDEX(Customers!$F$2:$F$41,MATCH(C2539,Customers!$A$2:$A$41,0)))</f>
        <v>0.061</v>
      </c>
      <c r="I2539" s="16" t="n">
        <f aca="false">F2539*G2539</f>
        <v>17396.4</v>
      </c>
      <c r="J2539" s="16" t="n">
        <f aca="false">I2539*(1-H2539)</f>
        <v>16335.2196</v>
      </c>
      <c r="K2539" s="16" t="n">
        <f aca="false">J2539*INDEX(Customers!$G$2:$G$41,MATCH(C2539,Customers!$A$2:$A$41,0))</f>
        <v>163.352196</v>
      </c>
      <c r="L2539" s="16" t="n">
        <f aca="false">F2539*INDEX(Customers!$H$2:$H$41,MATCH(C2539,Customers!$A$2:$A$41,0))</f>
        <v>1216</v>
      </c>
      <c r="M2539" s="16" t="n">
        <f aca="false">J2539*INDEX(Customers!$I$2:$I$41,MATCH(C2539,Customers!$A$2:$A$41,0))/365*Assumptions!$B$6</f>
        <v>214.819326246575</v>
      </c>
      <c r="N2539" s="16" t="n">
        <f aca="false">J2539-K2539-L2539-M2539</f>
        <v>14741.0480777534</v>
      </c>
      <c r="O2539" s="16" t="n">
        <f aca="false">F2539*IF(A2539="2025",INDEX(Products!$D$2:$D$13,MATCH(D2539,Products!$A$2:$A$13,0)),INDEX(Products!$F$2:$F$13,MATCH(D2539,Products!$A$2:$A$13,0)))</f>
        <v>10841.78</v>
      </c>
      <c r="P2539" s="16" t="n">
        <f aca="false">N2539-O2539</f>
        <v>3899.26807775342</v>
      </c>
    </row>
    <row r="2540" customFormat="false" ht="15" hidden="false" customHeight="false" outlineLevel="0" collapsed="false">
      <c r="A2540" s="2" t="s">
        <v>119</v>
      </c>
      <c r="B2540" s="2" t="n">
        <v>7</v>
      </c>
      <c r="C2540" s="2" t="s">
        <v>99</v>
      </c>
      <c r="D2540" s="2" t="s">
        <v>38</v>
      </c>
      <c r="E2540" s="2" t="str">
        <f aca="false">INDEX(Products!$B$2:$B$13,MATCH(D2540,Products!$A$2:$A$13,0))</f>
        <v>FCC</v>
      </c>
      <c r="F2540" s="15" t="n">
        <v>5.3</v>
      </c>
      <c r="G2540" s="16" t="n">
        <f aca="false">IF(A2540="2025",INDEX(Products!$C$2:$C$13,MATCH(D2540,Products!$A$2:$A$13,0)),INDEX(Products!$E$2:$E$13,MATCH(D2540,Products!$A$2:$A$13,0)))</f>
        <v>4578</v>
      </c>
      <c r="H2540" s="13" t="n">
        <f aca="false">IF(A2540="2025",INDEX(Customers!$D$2:$D$41,MATCH(C2540,Customers!$A$2:$A$41,0)),INDEX(Customers!$F$2:$F$41,MATCH(C2540,Customers!$A$2:$A$41,0)))</f>
        <v>0.061</v>
      </c>
      <c r="I2540" s="16" t="n">
        <f aca="false">F2540*G2540</f>
        <v>24263.4</v>
      </c>
      <c r="J2540" s="16" t="n">
        <f aca="false">I2540*(1-H2540)</f>
        <v>22783.3326</v>
      </c>
      <c r="K2540" s="16" t="n">
        <f aca="false">J2540*INDEX(Customers!$G$2:$G$41,MATCH(C2540,Customers!$A$2:$A$41,0))</f>
        <v>227.833326</v>
      </c>
      <c r="L2540" s="16" t="n">
        <f aca="false">F2540*INDEX(Customers!$H$2:$H$41,MATCH(C2540,Customers!$A$2:$A$41,0))</f>
        <v>1696</v>
      </c>
      <c r="M2540" s="16" t="n">
        <f aca="false">J2540*INDEX(Customers!$I$2:$I$41,MATCH(C2540,Customers!$A$2:$A$41,0))/365*Assumptions!$B$6</f>
        <v>299.616428712329</v>
      </c>
      <c r="N2540" s="16" t="n">
        <f aca="false">J2540-K2540-L2540-M2540</f>
        <v>20559.8828452877</v>
      </c>
      <c r="O2540" s="16" t="n">
        <f aca="false">F2540*IF(A2540="2025",INDEX(Products!$D$2:$D$13,MATCH(D2540,Products!$A$2:$A$13,0)),INDEX(Products!$F$2:$F$13,MATCH(D2540,Products!$A$2:$A$13,0)))</f>
        <v>15121.43</v>
      </c>
      <c r="P2540" s="16" t="n">
        <f aca="false">N2540-O2540</f>
        <v>5438.45284528767</v>
      </c>
    </row>
    <row r="2541" customFormat="false" ht="15" hidden="false" customHeight="false" outlineLevel="0" collapsed="false">
      <c r="A2541" s="2" t="s">
        <v>119</v>
      </c>
      <c r="B2541" s="2" t="n">
        <v>8</v>
      </c>
      <c r="C2541" s="2" t="s">
        <v>99</v>
      </c>
      <c r="D2541" s="2" t="s">
        <v>38</v>
      </c>
      <c r="E2541" s="2" t="str">
        <f aca="false">INDEX(Products!$B$2:$B$13,MATCH(D2541,Products!$A$2:$A$13,0))</f>
        <v>FCC</v>
      </c>
      <c r="F2541" s="15" t="n">
        <v>4.1</v>
      </c>
      <c r="G2541" s="16" t="n">
        <f aca="false">IF(A2541="2025",INDEX(Products!$C$2:$C$13,MATCH(D2541,Products!$A$2:$A$13,0)),INDEX(Products!$E$2:$E$13,MATCH(D2541,Products!$A$2:$A$13,0)))</f>
        <v>4578</v>
      </c>
      <c r="H2541" s="13" t="n">
        <f aca="false">IF(A2541="2025",INDEX(Customers!$D$2:$D$41,MATCH(C2541,Customers!$A$2:$A$41,0)),INDEX(Customers!$F$2:$F$41,MATCH(C2541,Customers!$A$2:$A$41,0)))</f>
        <v>0.061</v>
      </c>
      <c r="I2541" s="16" t="n">
        <f aca="false">F2541*G2541</f>
        <v>18769.8</v>
      </c>
      <c r="J2541" s="16" t="n">
        <f aca="false">I2541*(1-H2541)</f>
        <v>17624.8422</v>
      </c>
      <c r="K2541" s="16" t="n">
        <f aca="false">J2541*INDEX(Customers!$G$2:$G$41,MATCH(C2541,Customers!$A$2:$A$41,0))</f>
        <v>176.248422</v>
      </c>
      <c r="L2541" s="16" t="n">
        <f aca="false">F2541*INDEX(Customers!$H$2:$H$41,MATCH(C2541,Customers!$A$2:$A$41,0))</f>
        <v>1312</v>
      </c>
      <c r="M2541" s="16" t="n">
        <f aca="false">J2541*INDEX(Customers!$I$2:$I$41,MATCH(C2541,Customers!$A$2:$A$41,0))/365*Assumptions!$B$6</f>
        <v>231.778746739726</v>
      </c>
      <c r="N2541" s="16" t="n">
        <f aca="false">J2541-K2541-L2541-M2541</f>
        <v>15904.8150312603</v>
      </c>
      <c r="O2541" s="16" t="n">
        <f aca="false">F2541*IF(A2541="2025",INDEX(Products!$D$2:$D$13,MATCH(D2541,Products!$A$2:$A$13,0)),INDEX(Products!$F$2:$F$13,MATCH(D2541,Products!$A$2:$A$13,0)))</f>
        <v>11697.71</v>
      </c>
      <c r="P2541" s="16" t="n">
        <f aca="false">N2541-O2541</f>
        <v>4207.10503126027</v>
      </c>
    </row>
    <row r="2542" customFormat="false" ht="15" hidden="false" customHeight="false" outlineLevel="0" collapsed="false">
      <c r="A2542" s="2" t="s">
        <v>119</v>
      </c>
      <c r="B2542" s="2" t="n">
        <v>9</v>
      </c>
      <c r="C2542" s="2" t="s">
        <v>99</v>
      </c>
      <c r="D2542" s="2" t="s">
        <v>38</v>
      </c>
      <c r="E2542" s="2" t="str">
        <f aca="false">INDEX(Products!$B$2:$B$13,MATCH(D2542,Products!$A$2:$A$13,0))</f>
        <v>FCC</v>
      </c>
      <c r="F2542" s="15" t="n">
        <v>4.9</v>
      </c>
      <c r="G2542" s="16" t="n">
        <f aca="false">IF(A2542="2025",INDEX(Products!$C$2:$C$13,MATCH(D2542,Products!$A$2:$A$13,0)),INDEX(Products!$E$2:$E$13,MATCH(D2542,Products!$A$2:$A$13,0)))</f>
        <v>4578</v>
      </c>
      <c r="H2542" s="13" t="n">
        <f aca="false">IF(A2542="2025",INDEX(Customers!$D$2:$D$41,MATCH(C2542,Customers!$A$2:$A$41,0)),INDEX(Customers!$F$2:$F$41,MATCH(C2542,Customers!$A$2:$A$41,0)))</f>
        <v>0.061</v>
      </c>
      <c r="I2542" s="16" t="n">
        <f aca="false">F2542*G2542</f>
        <v>22432.2</v>
      </c>
      <c r="J2542" s="16" t="n">
        <f aca="false">I2542*(1-H2542)</f>
        <v>21063.8358</v>
      </c>
      <c r="K2542" s="16" t="n">
        <f aca="false">J2542*INDEX(Customers!$G$2:$G$41,MATCH(C2542,Customers!$A$2:$A$41,0))</f>
        <v>210.638358</v>
      </c>
      <c r="L2542" s="16" t="n">
        <f aca="false">F2542*INDEX(Customers!$H$2:$H$41,MATCH(C2542,Customers!$A$2:$A$41,0))</f>
        <v>1568</v>
      </c>
      <c r="M2542" s="16" t="n">
        <f aca="false">J2542*INDEX(Customers!$I$2:$I$41,MATCH(C2542,Customers!$A$2:$A$41,0))/365*Assumptions!$B$6</f>
        <v>277.003868054795</v>
      </c>
      <c r="N2542" s="16" t="n">
        <f aca="false">J2542-K2542-L2542-M2542</f>
        <v>19008.1935739452</v>
      </c>
      <c r="O2542" s="16" t="n">
        <f aca="false">F2542*IF(A2542="2025",INDEX(Products!$D$2:$D$13,MATCH(D2542,Products!$A$2:$A$13,0)),INDEX(Products!$F$2:$F$13,MATCH(D2542,Products!$A$2:$A$13,0)))</f>
        <v>13980.19</v>
      </c>
      <c r="P2542" s="16" t="n">
        <f aca="false">N2542-O2542</f>
        <v>5028.00357394521</v>
      </c>
    </row>
    <row r="2543" customFormat="false" ht="15" hidden="false" customHeight="false" outlineLevel="0" collapsed="false">
      <c r="A2543" s="2" t="s">
        <v>119</v>
      </c>
      <c r="B2543" s="2" t="n">
        <v>10</v>
      </c>
      <c r="C2543" s="2" t="s">
        <v>99</v>
      </c>
      <c r="D2543" s="2" t="s">
        <v>38</v>
      </c>
      <c r="E2543" s="2" t="str">
        <f aca="false">INDEX(Products!$B$2:$B$13,MATCH(D2543,Products!$A$2:$A$13,0))</f>
        <v>FCC</v>
      </c>
      <c r="F2543" s="15" t="n">
        <v>4.7</v>
      </c>
      <c r="G2543" s="16" t="n">
        <f aca="false">IF(A2543="2025",INDEX(Products!$C$2:$C$13,MATCH(D2543,Products!$A$2:$A$13,0)),INDEX(Products!$E$2:$E$13,MATCH(D2543,Products!$A$2:$A$13,0)))</f>
        <v>4578</v>
      </c>
      <c r="H2543" s="13" t="n">
        <f aca="false">IF(A2543="2025",INDEX(Customers!$D$2:$D$41,MATCH(C2543,Customers!$A$2:$A$41,0)),INDEX(Customers!$F$2:$F$41,MATCH(C2543,Customers!$A$2:$A$41,0)))</f>
        <v>0.061</v>
      </c>
      <c r="I2543" s="16" t="n">
        <f aca="false">F2543*G2543</f>
        <v>21516.6</v>
      </c>
      <c r="J2543" s="16" t="n">
        <f aca="false">I2543*(1-H2543)</f>
        <v>20204.0874</v>
      </c>
      <c r="K2543" s="16" t="n">
        <f aca="false">J2543*INDEX(Customers!$G$2:$G$41,MATCH(C2543,Customers!$A$2:$A$41,0))</f>
        <v>202.040874</v>
      </c>
      <c r="L2543" s="16" t="n">
        <f aca="false">F2543*INDEX(Customers!$H$2:$H$41,MATCH(C2543,Customers!$A$2:$A$41,0))</f>
        <v>1504</v>
      </c>
      <c r="M2543" s="16" t="n">
        <f aca="false">J2543*INDEX(Customers!$I$2:$I$41,MATCH(C2543,Customers!$A$2:$A$41,0))/365*Assumptions!$B$6</f>
        <v>265.697587726027</v>
      </c>
      <c r="N2543" s="16" t="n">
        <f aca="false">J2543-K2543-L2543-M2543</f>
        <v>18232.348938274</v>
      </c>
      <c r="O2543" s="16" t="n">
        <f aca="false">F2543*IF(A2543="2025",INDEX(Products!$D$2:$D$13,MATCH(D2543,Products!$A$2:$A$13,0)),INDEX(Products!$F$2:$F$13,MATCH(D2543,Products!$A$2:$A$13,0)))</f>
        <v>13409.57</v>
      </c>
      <c r="P2543" s="16" t="n">
        <f aca="false">N2543-O2543</f>
        <v>4822.77893827398</v>
      </c>
    </row>
    <row r="2544" customFormat="false" ht="15" hidden="false" customHeight="false" outlineLevel="0" collapsed="false">
      <c r="A2544" s="2" t="s">
        <v>119</v>
      </c>
      <c r="B2544" s="2" t="n">
        <v>11</v>
      </c>
      <c r="C2544" s="2" t="s">
        <v>99</v>
      </c>
      <c r="D2544" s="2" t="s">
        <v>38</v>
      </c>
      <c r="E2544" s="2" t="str">
        <f aca="false">INDEX(Products!$B$2:$B$13,MATCH(D2544,Products!$A$2:$A$13,0))</f>
        <v>FCC</v>
      </c>
      <c r="F2544" s="15" t="n">
        <v>3.9</v>
      </c>
      <c r="G2544" s="16" t="n">
        <f aca="false">IF(A2544="2025",INDEX(Products!$C$2:$C$13,MATCH(D2544,Products!$A$2:$A$13,0)),INDEX(Products!$E$2:$E$13,MATCH(D2544,Products!$A$2:$A$13,0)))</f>
        <v>4578</v>
      </c>
      <c r="H2544" s="13" t="n">
        <f aca="false">IF(A2544="2025",INDEX(Customers!$D$2:$D$41,MATCH(C2544,Customers!$A$2:$A$41,0)),INDEX(Customers!$F$2:$F$41,MATCH(C2544,Customers!$A$2:$A$41,0)))</f>
        <v>0.061</v>
      </c>
      <c r="I2544" s="16" t="n">
        <f aca="false">F2544*G2544</f>
        <v>17854.2</v>
      </c>
      <c r="J2544" s="16" t="n">
        <f aca="false">I2544*(1-H2544)</f>
        <v>16765.0938</v>
      </c>
      <c r="K2544" s="16" t="n">
        <f aca="false">J2544*INDEX(Customers!$G$2:$G$41,MATCH(C2544,Customers!$A$2:$A$41,0))</f>
        <v>167.650938</v>
      </c>
      <c r="L2544" s="16" t="n">
        <f aca="false">F2544*INDEX(Customers!$H$2:$H$41,MATCH(C2544,Customers!$A$2:$A$41,0))</f>
        <v>1248</v>
      </c>
      <c r="M2544" s="16" t="n">
        <f aca="false">J2544*INDEX(Customers!$I$2:$I$41,MATCH(C2544,Customers!$A$2:$A$41,0))/365*Assumptions!$B$6</f>
        <v>220.472466410959</v>
      </c>
      <c r="N2544" s="16" t="n">
        <f aca="false">J2544-K2544-L2544-M2544</f>
        <v>15128.970395589</v>
      </c>
      <c r="O2544" s="16" t="n">
        <f aca="false">F2544*IF(A2544="2025",INDEX(Products!$D$2:$D$13,MATCH(D2544,Products!$A$2:$A$13,0)),INDEX(Products!$F$2:$F$13,MATCH(D2544,Products!$A$2:$A$13,0)))</f>
        <v>11127.09</v>
      </c>
      <c r="P2544" s="16" t="n">
        <f aca="false">N2544-O2544</f>
        <v>4001.88039558905</v>
      </c>
    </row>
    <row r="2545" customFormat="false" ht="15" hidden="false" customHeight="false" outlineLevel="0" collapsed="false">
      <c r="A2545" s="2" t="s">
        <v>119</v>
      </c>
      <c r="B2545" s="2" t="n">
        <v>12</v>
      </c>
      <c r="C2545" s="2" t="s">
        <v>99</v>
      </c>
      <c r="D2545" s="2" t="s">
        <v>38</v>
      </c>
      <c r="E2545" s="2" t="str">
        <f aca="false">INDEX(Products!$B$2:$B$13,MATCH(D2545,Products!$A$2:$A$13,0))</f>
        <v>FCC</v>
      </c>
      <c r="F2545" s="15" t="n">
        <v>4.6</v>
      </c>
      <c r="G2545" s="16" t="n">
        <f aca="false">IF(A2545="2025",INDEX(Products!$C$2:$C$13,MATCH(D2545,Products!$A$2:$A$13,0)),INDEX(Products!$E$2:$E$13,MATCH(D2545,Products!$A$2:$A$13,0)))</f>
        <v>4578</v>
      </c>
      <c r="H2545" s="13" t="n">
        <f aca="false">IF(A2545="2025",INDEX(Customers!$D$2:$D$41,MATCH(C2545,Customers!$A$2:$A$41,0)),INDEX(Customers!$F$2:$F$41,MATCH(C2545,Customers!$A$2:$A$41,0)))</f>
        <v>0.061</v>
      </c>
      <c r="I2545" s="16" t="n">
        <f aca="false">F2545*G2545</f>
        <v>21058.8</v>
      </c>
      <c r="J2545" s="16" t="n">
        <f aca="false">I2545*(1-H2545)</f>
        <v>19774.2132</v>
      </c>
      <c r="K2545" s="16" t="n">
        <f aca="false">J2545*INDEX(Customers!$G$2:$G$41,MATCH(C2545,Customers!$A$2:$A$41,0))</f>
        <v>197.742132</v>
      </c>
      <c r="L2545" s="16" t="n">
        <f aca="false">F2545*INDEX(Customers!$H$2:$H$41,MATCH(C2545,Customers!$A$2:$A$41,0))</f>
        <v>1472</v>
      </c>
      <c r="M2545" s="16" t="n">
        <f aca="false">J2545*INDEX(Customers!$I$2:$I$41,MATCH(C2545,Customers!$A$2:$A$41,0))/365*Assumptions!$B$6</f>
        <v>260.044447561644</v>
      </c>
      <c r="N2545" s="16" t="n">
        <f aca="false">J2545-K2545-L2545-M2545</f>
        <v>17844.4266204384</v>
      </c>
      <c r="O2545" s="16" t="n">
        <f aca="false">F2545*IF(A2545="2025",INDEX(Products!$D$2:$D$13,MATCH(D2545,Products!$A$2:$A$13,0)),INDEX(Products!$F$2:$F$13,MATCH(D2545,Products!$A$2:$A$13,0)))</f>
        <v>13124.26</v>
      </c>
      <c r="P2545" s="16" t="n">
        <f aca="false">N2545-O2545</f>
        <v>4720.16662043836</v>
      </c>
    </row>
    <row r="2546" customFormat="false" ht="15" hidden="false" customHeight="false" outlineLevel="0" collapsed="false">
      <c r="A2546" s="2" t="s">
        <v>118</v>
      </c>
      <c r="B2546" s="2" t="n">
        <v>1</v>
      </c>
      <c r="C2546" s="2" t="s">
        <v>100</v>
      </c>
      <c r="D2546" s="2" t="s">
        <v>41</v>
      </c>
      <c r="E2546" s="2" t="str">
        <f aca="false">INDEX(Products!$B$2:$B$13,MATCH(D2546,Products!$A$2:$A$13,0))</f>
        <v>Hydroprocessing</v>
      </c>
      <c r="F2546" s="15" t="n">
        <v>4.3</v>
      </c>
      <c r="G2546" s="16" t="n">
        <f aca="false">IF(A2546="2025",INDEX(Products!$C$2:$C$13,MATCH(D2546,Products!$A$2:$A$13,0)),INDEX(Products!$E$2:$E$13,MATCH(D2546,Products!$A$2:$A$13,0)))</f>
        <v>14770</v>
      </c>
      <c r="H2546" s="13" t="n">
        <f aca="false">IF(A2546="2025",INDEX(Customers!$D$2:$D$41,MATCH(C2546,Customers!$A$2:$A$41,0)),INDEX(Customers!$F$2:$F$41,MATCH(C2546,Customers!$A$2:$A$41,0)))</f>
        <v>0.035</v>
      </c>
      <c r="I2546" s="16" t="n">
        <f aca="false">F2546*G2546</f>
        <v>63511</v>
      </c>
      <c r="J2546" s="16" t="n">
        <f aca="false">I2546*(1-H2546)</f>
        <v>61288.115</v>
      </c>
      <c r="K2546" s="16" t="n">
        <f aca="false">J2546*INDEX(Customers!$G$2:$G$41,MATCH(C2546,Customers!$A$2:$A$41,0))</f>
        <v>1838.64345</v>
      </c>
      <c r="L2546" s="16" t="n">
        <f aca="false">F2546*INDEX(Customers!$H$2:$H$41,MATCH(C2546,Customers!$A$2:$A$41,0))</f>
        <v>946</v>
      </c>
      <c r="M2546" s="16" t="n">
        <f aca="false">J2546*INDEX(Customers!$I$2:$I$41,MATCH(C2546,Customers!$A$2:$A$41,0))/365*Assumptions!$B$6</f>
        <v>805.980690410959</v>
      </c>
      <c r="N2546" s="16" t="n">
        <f aca="false">J2546-K2546-L2546-M2546</f>
        <v>57697.490859589</v>
      </c>
      <c r="O2546" s="16" t="n">
        <f aca="false">F2546*IF(A2546="2025",INDEX(Products!$D$2:$D$13,MATCH(D2546,Products!$A$2:$A$13,0)),INDEX(Products!$F$2:$F$13,MATCH(D2546,Products!$A$2:$A$13,0)))</f>
        <v>40764</v>
      </c>
      <c r="P2546" s="16" t="n">
        <f aca="false">N2546-O2546</f>
        <v>16933.490859589</v>
      </c>
    </row>
    <row r="2547" customFormat="false" ht="15" hidden="false" customHeight="false" outlineLevel="0" collapsed="false">
      <c r="A2547" s="2" t="s">
        <v>118</v>
      </c>
      <c r="B2547" s="2" t="n">
        <v>2</v>
      </c>
      <c r="C2547" s="2" t="s">
        <v>100</v>
      </c>
      <c r="D2547" s="2" t="s">
        <v>41</v>
      </c>
      <c r="E2547" s="2" t="str">
        <f aca="false">INDEX(Products!$B$2:$B$13,MATCH(D2547,Products!$A$2:$A$13,0))</f>
        <v>Hydroprocessing</v>
      </c>
      <c r="F2547" s="15" t="n">
        <v>5.3</v>
      </c>
      <c r="G2547" s="16" t="n">
        <f aca="false">IF(A2547="2025",INDEX(Products!$C$2:$C$13,MATCH(D2547,Products!$A$2:$A$13,0)),INDEX(Products!$E$2:$E$13,MATCH(D2547,Products!$A$2:$A$13,0)))</f>
        <v>14770</v>
      </c>
      <c r="H2547" s="13" t="n">
        <f aca="false">IF(A2547="2025",INDEX(Customers!$D$2:$D$41,MATCH(C2547,Customers!$A$2:$A$41,0)),INDEX(Customers!$F$2:$F$41,MATCH(C2547,Customers!$A$2:$A$41,0)))</f>
        <v>0.035</v>
      </c>
      <c r="I2547" s="16" t="n">
        <f aca="false">F2547*G2547</f>
        <v>78281</v>
      </c>
      <c r="J2547" s="16" t="n">
        <f aca="false">I2547*(1-H2547)</f>
        <v>75541.165</v>
      </c>
      <c r="K2547" s="16" t="n">
        <f aca="false">J2547*INDEX(Customers!$G$2:$G$41,MATCH(C2547,Customers!$A$2:$A$41,0))</f>
        <v>2266.23495</v>
      </c>
      <c r="L2547" s="16" t="n">
        <f aca="false">F2547*INDEX(Customers!$H$2:$H$41,MATCH(C2547,Customers!$A$2:$A$41,0))</f>
        <v>1166</v>
      </c>
      <c r="M2547" s="16" t="n">
        <f aca="false">J2547*INDEX(Customers!$I$2:$I$41,MATCH(C2547,Customers!$A$2:$A$41,0))/365*Assumptions!$B$6</f>
        <v>993.418060273973</v>
      </c>
      <c r="N2547" s="16" t="n">
        <f aca="false">J2547-K2547-L2547-M2547</f>
        <v>71115.511989726</v>
      </c>
      <c r="O2547" s="16" t="n">
        <f aca="false">F2547*IF(A2547="2025",INDEX(Products!$D$2:$D$13,MATCH(D2547,Products!$A$2:$A$13,0)),INDEX(Products!$F$2:$F$13,MATCH(D2547,Products!$A$2:$A$13,0)))</f>
        <v>50244</v>
      </c>
      <c r="P2547" s="16" t="n">
        <f aca="false">N2547-O2547</f>
        <v>20871.511989726</v>
      </c>
    </row>
    <row r="2548" customFormat="false" ht="15" hidden="false" customHeight="false" outlineLevel="0" collapsed="false">
      <c r="A2548" s="2" t="s">
        <v>118</v>
      </c>
      <c r="B2548" s="2" t="n">
        <v>3</v>
      </c>
      <c r="C2548" s="2" t="s">
        <v>100</v>
      </c>
      <c r="D2548" s="2" t="s">
        <v>41</v>
      </c>
      <c r="E2548" s="2" t="str">
        <f aca="false">INDEX(Products!$B$2:$B$13,MATCH(D2548,Products!$A$2:$A$13,0))</f>
        <v>Hydroprocessing</v>
      </c>
      <c r="F2548" s="15" t="n">
        <v>4.3</v>
      </c>
      <c r="G2548" s="16" t="n">
        <f aca="false">IF(A2548="2025",INDEX(Products!$C$2:$C$13,MATCH(D2548,Products!$A$2:$A$13,0)),INDEX(Products!$E$2:$E$13,MATCH(D2548,Products!$A$2:$A$13,0)))</f>
        <v>14770</v>
      </c>
      <c r="H2548" s="13" t="n">
        <f aca="false">IF(A2548="2025",INDEX(Customers!$D$2:$D$41,MATCH(C2548,Customers!$A$2:$A$41,0)),INDEX(Customers!$F$2:$F$41,MATCH(C2548,Customers!$A$2:$A$41,0)))</f>
        <v>0.035</v>
      </c>
      <c r="I2548" s="16" t="n">
        <f aca="false">F2548*G2548</f>
        <v>63511</v>
      </c>
      <c r="J2548" s="16" t="n">
        <f aca="false">I2548*(1-H2548)</f>
        <v>61288.115</v>
      </c>
      <c r="K2548" s="16" t="n">
        <f aca="false">J2548*INDEX(Customers!$G$2:$G$41,MATCH(C2548,Customers!$A$2:$A$41,0))</f>
        <v>1838.64345</v>
      </c>
      <c r="L2548" s="16" t="n">
        <f aca="false">F2548*INDEX(Customers!$H$2:$H$41,MATCH(C2548,Customers!$A$2:$A$41,0))</f>
        <v>946</v>
      </c>
      <c r="M2548" s="16" t="n">
        <f aca="false">J2548*INDEX(Customers!$I$2:$I$41,MATCH(C2548,Customers!$A$2:$A$41,0))/365*Assumptions!$B$6</f>
        <v>805.980690410959</v>
      </c>
      <c r="N2548" s="16" t="n">
        <f aca="false">J2548-K2548-L2548-M2548</f>
        <v>57697.490859589</v>
      </c>
      <c r="O2548" s="16" t="n">
        <f aca="false">F2548*IF(A2548="2025",INDEX(Products!$D$2:$D$13,MATCH(D2548,Products!$A$2:$A$13,0)),INDEX(Products!$F$2:$F$13,MATCH(D2548,Products!$A$2:$A$13,0)))</f>
        <v>40764</v>
      </c>
      <c r="P2548" s="16" t="n">
        <f aca="false">N2548-O2548</f>
        <v>16933.490859589</v>
      </c>
    </row>
    <row r="2549" customFormat="false" ht="15" hidden="false" customHeight="false" outlineLevel="0" collapsed="false">
      <c r="A2549" s="2" t="s">
        <v>118</v>
      </c>
      <c r="B2549" s="2" t="n">
        <v>4</v>
      </c>
      <c r="C2549" s="2" t="s">
        <v>100</v>
      </c>
      <c r="D2549" s="2" t="s">
        <v>41</v>
      </c>
      <c r="E2549" s="2" t="str">
        <f aca="false">INDEX(Products!$B$2:$B$13,MATCH(D2549,Products!$A$2:$A$13,0))</f>
        <v>Hydroprocessing</v>
      </c>
      <c r="F2549" s="15" t="n">
        <v>6.4</v>
      </c>
      <c r="G2549" s="16" t="n">
        <f aca="false">IF(A2549="2025",INDEX(Products!$C$2:$C$13,MATCH(D2549,Products!$A$2:$A$13,0)),INDEX(Products!$E$2:$E$13,MATCH(D2549,Products!$A$2:$A$13,0)))</f>
        <v>14770</v>
      </c>
      <c r="H2549" s="13" t="n">
        <f aca="false">IF(A2549="2025",INDEX(Customers!$D$2:$D$41,MATCH(C2549,Customers!$A$2:$A$41,0)),INDEX(Customers!$F$2:$F$41,MATCH(C2549,Customers!$A$2:$A$41,0)))</f>
        <v>0.035</v>
      </c>
      <c r="I2549" s="16" t="n">
        <f aca="false">F2549*G2549</f>
        <v>94528</v>
      </c>
      <c r="J2549" s="16" t="n">
        <f aca="false">I2549*(1-H2549)</f>
        <v>91219.52</v>
      </c>
      <c r="K2549" s="16" t="n">
        <f aca="false">J2549*INDEX(Customers!$G$2:$G$41,MATCH(C2549,Customers!$A$2:$A$41,0))</f>
        <v>2736.5856</v>
      </c>
      <c r="L2549" s="16" t="n">
        <f aca="false">F2549*INDEX(Customers!$H$2:$H$41,MATCH(C2549,Customers!$A$2:$A$41,0))</f>
        <v>1408</v>
      </c>
      <c r="M2549" s="16" t="n">
        <f aca="false">J2549*INDEX(Customers!$I$2:$I$41,MATCH(C2549,Customers!$A$2:$A$41,0))/365*Assumptions!$B$6</f>
        <v>1199.59916712329</v>
      </c>
      <c r="N2549" s="16" t="n">
        <f aca="false">J2549-K2549-L2549-M2549</f>
        <v>85875.3352328767</v>
      </c>
      <c r="O2549" s="16" t="n">
        <f aca="false">F2549*IF(A2549="2025",INDEX(Products!$D$2:$D$13,MATCH(D2549,Products!$A$2:$A$13,0)),INDEX(Products!$F$2:$F$13,MATCH(D2549,Products!$A$2:$A$13,0)))</f>
        <v>60672</v>
      </c>
      <c r="P2549" s="16" t="n">
        <f aca="false">N2549-O2549</f>
        <v>25203.3352328767</v>
      </c>
    </row>
    <row r="2550" customFormat="false" ht="15" hidden="false" customHeight="false" outlineLevel="0" collapsed="false">
      <c r="A2550" s="2" t="s">
        <v>118</v>
      </c>
      <c r="B2550" s="2" t="n">
        <v>5</v>
      </c>
      <c r="C2550" s="2" t="s">
        <v>100</v>
      </c>
      <c r="D2550" s="2" t="s">
        <v>41</v>
      </c>
      <c r="E2550" s="2" t="str">
        <f aca="false">INDEX(Products!$B$2:$B$13,MATCH(D2550,Products!$A$2:$A$13,0))</f>
        <v>Hydroprocessing</v>
      </c>
      <c r="F2550" s="15" t="n">
        <v>7.4</v>
      </c>
      <c r="G2550" s="16" t="n">
        <f aca="false">IF(A2550="2025",INDEX(Products!$C$2:$C$13,MATCH(D2550,Products!$A$2:$A$13,0)),INDEX(Products!$E$2:$E$13,MATCH(D2550,Products!$A$2:$A$13,0)))</f>
        <v>14770</v>
      </c>
      <c r="H2550" s="13" t="n">
        <f aca="false">IF(A2550="2025",INDEX(Customers!$D$2:$D$41,MATCH(C2550,Customers!$A$2:$A$41,0)),INDEX(Customers!$F$2:$F$41,MATCH(C2550,Customers!$A$2:$A$41,0)))</f>
        <v>0.035</v>
      </c>
      <c r="I2550" s="16" t="n">
        <f aca="false">F2550*G2550</f>
        <v>109298</v>
      </c>
      <c r="J2550" s="16" t="n">
        <f aca="false">I2550*(1-H2550)</f>
        <v>105472.57</v>
      </c>
      <c r="K2550" s="16" t="n">
        <f aca="false">J2550*INDEX(Customers!$G$2:$G$41,MATCH(C2550,Customers!$A$2:$A$41,0))</f>
        <v>3164.1771</v>
      </c>
      <c r="L2550" s="16" t="n">
        <f aca="false">F2550*INDEX(Customers!$H$2:$H$41,MATCH(C2550,Customers!$A$2:$A$41,0))</f>
        <v>1628</v>
      </c>
      <c r="M2550" s="16" t="n">
        <f aca="false">J2550*INDEX(Customers!$I$2:$I$41,MATCH(C2550,Customers!$A$2:$A$41,0))/365*Assumptions!$B$6</f>
        <v>1387.0365369863</v>
      </c>
      <c r="N2550" s="16" t="n">
        <f aca="false">J2550-K2550-L2550-M2550</f>
        <v>99293.3563630137</v>
      </c>
      <c r="O2550" s="16" t="n">
        <f aca="false">F2550*IF(A2550="2025",INDEX(Products!$D$2:$D$13,MATCH(D2550,Products!$A$2:$A$13,0)),INDEX(Products!$F$2:$F$13,MATCH(D2550,Products!$A$2:$A$13,0)))</f>
        <v>70152</v>
      </c>
      <c r="P2550" s="16" t="n">
        <f aca="false">N2550-O2550</f>
        <v>29141.3563630137</v>
      </c>
    </row>
    <row r="2551" customFormat="false" ht="15" hidden="false" customHeight="false" outlineLevel="0" collapsed="false">
      <c r="A2551" s="2" t="s">
        <v>118</v>
      </c>
      <c r="B2551" s="2" t="n">
        <v>6</v>
      </c>
      <c r="C2551" s="2" t="s">
        <v>100</v>
      </c>
      <c r="D2551" s="2" t="s">
        <v>41</v>
      </c>
      <c r="E2551" s="2" t="str">
        <f aca="false">INDEX(Products!$B$2:$B$13,MATCH(D2551,Products!$A$2:$A$13,0))</f>
        <v>Hydroprocessing</v>
      </c>
      <c r="F2551" s="15" t="n">
        <v>6.1</v>
      </c>
      <c r="G2551" s="16" t="n">
        <f aca="false">IF(A2551="2025",INDEX(Products!$C$2:$C$13,MATCH(D2551,Products!$A$2:$A$13,0)),INDEX(Products!$E$2:$E$13,MATCH(D2551,Products!$A$2:$A$13,0)))</f>
        <v>14770</v>
      </c>
      <c r="H2551" s="13" t="n">
        <f aca="false">IF(A2551="2025",INDEX(Customers!$D$2:$D$41,MATCH(C2551,Customers!$A$2:$A$41,0)),INDEX(Customers!$F$2:$F$41,MATCH(C2551,Customers!$A$2:$A$41,0)))</f>
        <v>0.035</v>
      </c>
      <c r="I2551" s="16" t="n">
        <f aca="false">F2551*G2551</f>
        <v>90097</v>
      </c>
      <c r="J2551" s="16" t="n">
        <f aca="false">I2551*(1-H2551)</f>
        <v>86943.605</v>
      </c>
      <c r="K2551" s="16" t="n">
        <f aca="false">J2551*INDEX(Customers!$G$2:$G$41,MATCH(C2551,Customers!$A$2:$A$41,0))</f>
        <v>2608.30815</v>
      </c>
      <c r="L2551" s="16" t="n">
        <f aca="false">F2551*INDEX(Customers!$H$2:$H$41,MATCH(C2551,Customers!$A$2:$A$41,0))</f>
        <v>1342</v>
      </c>
      <c r="M2551" s="16" t="n">
        <f aca="false">J2551*INDEX(Customers!$I$2:$I$41,MATCH(C2551,Customers!$A$2:$A$41,0))/365*Assumptions!$B$6</f>
        <v>1143.36795616438</v>
      </c>
      <c r="N2551" s="16" t="n">
        <f aca="false">J2551-K2551-L2551-M2551</f>
        <v>81849.9288938356</v>
      </c>
      <c r="O2551" s="16" t="n">
        <f aca="false">F2551*IF(A2551="2025",INDEX(Products!$D$2:$D$13,MATCH(D2551,Products!$A$2:$A$13,0)),INDEX(Products!$F$2:$F$13,MATCH(D2551,Products!$A$2:$A$13,0)))</f>
        <v>57828</v>
      </c>
      <c r="P2551" s="16" t="n">
        <f aca="false">N2551-O2551</f>
        <v>24021.9288938356</v>
      </c>
    </row>
    <row r="2552" customFormat="false" ht="15" hidden="false" customHeight="false" outlineLevel="0" collapsed="false">
      <c r="A2552" s="2" t="s">
        <v>118</v>
      </c>
      <c r="B2552" s="2" t="n">
        <v>7</v>
      </c>
      <c r="C2552" s="2" t="s">
        <v>100</v>
      </c>
      <c r="D2552" s="2" t="s">
        <v>41</v>
      </c>
      <c r="E2552" s="2" t="str">
        <f aca="false">INDEX(Products!$B$2:$B$13,MATCH(D2552,Products!$A$2:$A$13,0))</f>
        <v>Hydroprocessing</v>
      </c>
      <c r="F2552" s="15" t="n">
        <v>7.5</v>
      </c>
      <c r="G2552" s="16" t="n">
        <f aca="false">IF(A2552="2025",INDEX(Products!$C$2:$C$13,MATCH(D2552,Products!$A$2:$A$13,0)),INDEX(Products!$E$2:$E$13,MATCH(D2552,Products!$A$2:$A$13,0)))</f>
        <v>14770</v>
      </c>
      <c r="H2552" s="13" t="n">
        <f aca="false">IF(A2552="2025",INDEX(Customers!$D$2:$D$41,MATCH(C2552,Customers!$A$2:$A$41,0)),INDEX(Customers!$F$2:$F$41,MATCH(C2552,Customers!$A$2:$A$41,0)))</f>
        <v>0.035</v>
      </c>
      <c r="I2552" s="16" t="n">
        <f aca="false">F2552*G2552</f>
        <v>110775</v>
      </c>
      <c r="J2552" s="16" t="n">
        <f aca="false">I2552*(1-H2552)</f>
        <v>106897.875</v>
      </c>
      <c r="K2552" s="16" t="n">
        <f aca="false">J2552*INDEX(Customers!$G$2:$G$41,MATCH(C2552,Customers!$A$2:$A$41,0))</f>
        <v>3206.93625</v>
      </c>
      <c r="L2552" s="16" t="n">
        <f aca="false">F2552*INDEX(Customers!$H$2:$H$41,MATCH(C2552,Customers!$A$2:$A$41,0))</f>
        <v>1650</v>
      </c>
      <c r="M2552" s="16" t="n">
        <f aca="false">J2552*INDEX(Customers!$I$2:$I$41,MATCH(C2552,Customers!$A$2:$A$41,0))/365*Assumptions!$B$6</f>
        <v>1405.7802739726</v>
      </c>
      <c r="N2552" s="16" t="n">
        <f aca="false">J2552-K2552-L2552-M2552</f>
        <v>100635.158476027</v>
      </c>
      <c r="O2552" s="16" t="n">
        <f aca="false">F2552*IF(A2552="2025",INDEX(Products!$D$2:$D$13,MATCH(D2552,Products!$A$2:$A$13,0)),INDEX(Products!$F$2:$F$13,MATCH(D2552,Products!$A$2:$A$13,0)))</f>
        <v>71100</v>
      </c>
      <c r="P2552" s="16" t="n">
        <f aca="false">N2552-O2552</f>
        <v>29535.1584760274</v>
      </c>
    </row>
    <row r="2553" customFormat="false" ht="15" hidden="false" customHeight="false" outlineLevel="0" collapsed="false">
      <c r="A2553" s="2" t="s">
        <v>118</v>
      </c>
      <c r="B2553" s="2" t="n">
        <v>8</v>
      </c>
      <c r="C2553" s="2" t="s">
        <v>100</v>
      </c>
      <c r="D2553" s="2" t="s">
        <v>41</v>
      </c>
      <c r="E2553" s="2" t="str">
        <f aca="false">INDEX(Products!$B$2:$B$13,MATCH(D2553,Products!$A$2:$A$13,0))</f>
        <v>Hydroprocessing</v>
      </c>
      <c r="F2553" s="15" t="n">
        <v>6.3</v>
      </c>
      <c r="G2553" s="16" t="n">
        <f aca="false">IF(A2553="2025",INDEX(Products!$C$2:$C$13,MATCH(D2553,Products!$A$2:$A$13,0)),INDEX(Products!$E$2:$E$13,MATCH(D2553,Products!$A$2:$A$13,0)))</f>
        <v>14770</v>
      </c>
      <c r="H2553" s="13" t="n">
        <f aca="false">IF(A2553="2025",INDEX(Customers!$D$2:$D$41,MATCH(C2553,Customers!$A$2:$A$41,0)),INDEX(Customers!$F$2:$F$41,MATCH(C2553,Customers!$A$2:$A$41,0)))</f>
        <v>0.035</v>
      </c>
      <c r="I2553" s="16" t="n">
        <f aca="false">F2553*G2553</f>
        <v>93051</v>
      </c>
      <c r="J2553" s="16" t="n">
        <f aca="false">I2553*(1-H2553)</f>
        <v>89794.215</v>
      </c>
      <c r="K2553" s="16" t="n">
        <f aca="false">J2553*INDEX(Customers!$G$2:$G$41,MATCH(C2553,Customers!$A$2:$A$41,0))</f>
        <v>2693.82645</v>
      </c>
      <c r="L2553" s="16" t="n">
        <f aca="false">F2553*INDEX(Customers!$H$2:$H$41,MATCH(C2553,Customers!$A$2:$A$41,0))</f>
        <v>1386</v>
      </c>
      <c r="M2553" s="16" t="n">
        <f aca="false">J2553*INDEX(Customers!$I$2:$I$41,MATCH(C2553,Customers!$A$2:$A$41,0))/365*Assumptions!$B$6</f>
        <v>1180.85543013699</v>
      </c>
      <c r="N2553" s="16" t="n">
        <f aca="false">J2553-K2553-L2553-M2553</f>
        <v>84533.533119863</v>
      </c>
      <c r="O2553" s="16" t="n">
        <f aca="false">F2553*IF(A2553="2025",INDEX(Products!$D$2:$D$13,MATCH(D2553,Products!$A$2:$A$13,0)),INDEX(Products!$F$2:$F$13,MATCH(D2553,Products!$A$2:$A$13,0)))</f>
        <v>59724</v>
      </c>
      <c r="P2553" s="16" t="n">
        <f aca="false">N2553-O2553</f>
        <v>24809.533119863</v>
      </c>
    </row>
    <row r="2554" customFormat="false" ht="15" hidden="false" customHeight="false" outlineLevel="0" collapsed="false">
      <c r="A2554" s="2" t="s">
        <v>118</v>
      </c>
      <c r="B2554" s="2" t="n">
        <v>9</v>
      </c>
      <c r="C2554" s="2" t="s">
        <v>100</v>
      </c>
      <c r="D2554" s="2" t="s">
        <v>41</v>
      </c>
      <c r="E2554" s="2" t="str">
        <f aca="false">INDEX(Products!$B$2:$B$13,MATCH(D2554,Products!$A$2:$A$13,0))</f>
        <v>Hydroprocessing</v>
      </c>
      <c r="F2554" s="15" t="n">
        <v>7.1</v>
      </c>
      <c r="G2554" s="16" t="n">
        <f aca="false">IF(A2554="2025",INDEX(Products!$C$2:$C$13,MATCH(D2554,Products!$A$2:$A$13,0)),INDEX(Products!$E$2:$E$13,MATCH(D2554,Products!$A$2:$A$13,0)))</f>
        <v>14770</v>
      </c>
      <c r="H2554" s="13" t="n">
        <f aca="false">IF(A2554="2025",INDEX(Customers!$D$2:$D$41,MATCH(C2554,Customers!$A$2:$A$41,0)),INDEX(Customers!$F$2:$F$41,MATCH(C2554,Customers!$A$2:$A$41,0)))</f>
        <v>0.035</v>
      </c>
      <c r="I2554" s="16" t="n">
        <f aca="false">F2554*G2554</f>
        <v>104867</v>
      </c>
      <c r="J2554" s="16" t="n">
        <f aca="false">I2554*(1-H2554)</f>
        <v>101196.655</v>
      </c>
      <c r="K2554" s="16" t="n">
        <f aca="false">J2554*INDEX(Customers!$G$2:$G$41,MATCH(C2554,Customers!$A$2:$A$41,0))</f>
        <v>3035.89965</v>
      </c>
      <c r="L2554" s="16" t="n">
        <f aca="false">F2554*INDEX(Customers!$H$2:$H$41,MATCH(C2554,Customers!$A$2:$A$41,0))</f>
        <v>1562</v>
      </c>
      <c r="M2554" s="16" t="n">
        <f aca="false">J2554*INDEX(Customers!$I$2:$I$41,MATCH(C2554,Customers!$A$2:$A$41,0))/365*Assumptions!$B$6</f>
        <v>1330.8053260274</v>
      </c>
      <c r="N2554" s="16" t="n">
        <f aca="false">J2554-K2554-L2554-M2554</f>
        <v>95267.9500239726</v>
      </c>
      <c r="O2554" s="16" t="n">
        <f aca="false">F2554*IF(A2554="2025",INDEX(Products!$D$2:$D$13,MATCH(D2554,Products!$A$2:$A$13,0)),INDEX(Products!$F$2:$F$13,MATCH(D2554,Products!$A$2:$A$13,0)))</f>
        <v>67308</v>
      </c>
      <c r="P2554" s="16" t="n">
        <f aca="false">N2554-O2554</f>
        <v>27959.9500239726</v>
      </c>
    </row>
    <row r="2555" customFormat="false" ht="15" hidden="false" customHeight="false" outlineLevel="0" collapsed="false">
      <c r="A2555" s="2" t="s">
        <v>118</v>
      </c>
      <c r="B2555" s="2" t="n">
        <v>10</v>
      </c>
      <c r="C2555" s="2" t="s">
        <v>100</v>
      </c>
      <c r="D2555" s="2" t="s">
        <v>41</v>
      </c>
      <c r="E2555" s="2" t="str">
        <f aca="false">INDEX(Products!$B$2:$B$13,MATCH(D2555,Products!$A$2:$A$13,0))</f>
        <v>Hydroprocessing</v>
      </c>
      <c r="F2555" s="15" t="n">
        <v>5.9</v>
      </c>
      <c r="G2555" s="16" t="n">
        <f aca="false">IF(A2555="2025",INDEX(Products!$C$2:$C$13,MATCH(D2555,Products!$A$2:$A$13,0)),INDEX(Products!$E$2:$E$13,MATCH(D2555,Products!$A$2:$A$13,0)))</f>
        <v>14770</v>
      </c>
      <c r="H2555" s="13" t="n">
        <f aca="false">IF(A2555="2025",INDEX(Customers!$D$2:$D$41,MATCH(C2555,Customers!$A$2:$A$41,0)),INDEX(Customers!$F$2:$F$41,MATCH(C2555,Customers!$A$2:$A$41,0)))</f>
        <v>0.035</v>
      </c>
      <c r="I2555" s="16" t="n">
        <f aca="false">F2555*G2555</f>
        <v>87143</v>
      </c>
      <c r="J2555" s="16" t="n">
        <f aca="false">I2555*(1-H2555)</f>
        <v>84092.995</v>
      </c>
      <c r="K2555" s="16" t="n">
        <f aca="false">J2555*INDEX(Customers!$G$2:$G$41,MATCH(C2555,Customers!$A$2:$A$41,0))</f>
        <v>2522.78985</v>
      </c>
      <c r="L2555" s="16" t="n">
        <f aca="false">F2555*INDEX(Customers!$H$2:$H$41,MATCH(C2555,Customers!$A$2:$A$41,0))</f>
        <v>1298</v>
      </c>
      <c r="M2555" s="16" t="n">
        <f aca="false">J2555*INDEX(Customers!$I$2:$I$41,MATCH(C2555,Customers!$A$2:$A$41,0))/365*Assumptions!$B$6</f>
        <v>1105.88048219178</v>
      </c>
      <c r="N2555" s="16" t="n">
        <f aca="false">J2555-K2555-L2555-M2555</f>
        <v>79166.3246678082</v>
      </c>
      <c r="O2555" s="16" t="n">
        <f aca="false">F2555*IF(A2555="2025",INDEX(Products!$D$2:$D$13,MATCH(D2555,Products!$A$2:$A$13,0)),INDEX(Products!$F$2:$F$13,MATCH(D2555,Products!$A$2:$A$13,0)))</f>
        <v>55932</v>
      </c>
      <c r="P2555" s="16" t="n">
        <f aca="false">N2555-O2555</f>
        <v>23234.3246678082</v>
      </c>
    </row>
    <row r="2556" customFormat="false" ht="15" hidden="false" customHeight="false" outlineLevel="0" collapsed="false">
      <c r="A2556" s="2" t="s">
        <v>118</v>
      </c>
      <c r="B2556" s="2" t="n">
        <v>11</v>
      </c>
      <c r="C2556" s="2" t="s">
        <v>100</v>
      </c>
      <c r="D2556" s="2" t="s">
        <v>41</v>
      </c>
      <c r="E2556" s="2" t="str">
        <f aca="false">INDEX(Products!$B$2:$B$13,MATCH(D2556,Products!$A$2:$A$13,0))</f>
        <v>Hydroprocessing</v>
      </c>
      <c r="F2556" s="15" t="n">
        <v>7.2</v>
      </c>
      <c r="G2556" s="16" t="n">
        <f aca="false">IF(A2556="2025",INDEX(Products!$C$2:$C$13,MATCH(D2556,Products!$A$2:$A$13,0)),INDEX(Products!$E$2:$E$13,MATCH(D2556,Products!$A$2:$A$13,0)))</f>
        <v>14770</v>
      </c>
      <c r="H2556" s="13" t="n">
        <f aca="false">IF(A2556="2025",INDEX(Customers!$D$2:$D$41,MATCH(C2556,Customers!$A$2:$A$41,0)),INDEX(Customers!$F$2:$F$41,MATCH(C2556,Customers!$A$2:$A$41,0)))</f>
        <v>0.035</v>
      </c>
      <c r="I2556" s="16" t="n">
        <f aca="false">F2556*G2556</f>
        <v>106344</v>
      </c>
      <c r="J2556" s="16" t="n">
        <f aca="false">I2556*(1-H2556)</f>
        <v>102621.96</v>
      </c>
      <c r="K2556" s="16" t="n">
        <f aca="false">J2556*INDEX(Customers!$G$2:$G$41,MATCH(C2556,Customers!$A$2:$A$41,0))</f>
        <v>3078.6588</v>
      </c>
      <c r="L2556" s="16" t="n">
        <f aca="false">F2556*INDEX(Customers!$H$2:$H$41,MATCH(C2556,Customers!$A$2:$A$41,0))</f>
        <v>1584</v>
      </c>
      <c r="M2556" s="16" t="n">
        <f aca="false">J2556*INDEX(Customers!$I$2:$I$41,MATCH(C2556,Customers!$A$2:$A$41,0))/365*Assumptions!$B$6</f>
        <v>1349.5490630137</v>
      </c>
      <c r="N2556" s="16" t="n">
        <f aca="false">J2556-K2556-L2556-M2556</f>
        <v>96609.7521369863</v>
      </c>
      <c r="O2556" s="16" t="n">
        <f aca="false">F2556*IF(A2556="2025",INDEX(Products!$D$2:$D$13,MATCH(D2556,Products!$A$2:$A$13,0)),INDEX(Products!$F$2:$F$13,MATCH(D2556,Products!$A$2:$A$13,0)))</f>
        <v>68256</v>
      </c>
      <c r="P2556" s="16" t="n">
        <f aca="false">N2556-O2556</f>
        <v>28353.7521369863</v>
      </c>
    </row>
    <row r="2557" customFormat="false" ht="15" hidden="false" customHeight="false" outlineLevel="0" collapsed="false">
      <c r="A2557" s="2" t="s">
        <v>118</v>
      </c>
      <c r="B2557" s="2" t="n">
        <v>12</v>
      </c>
      <c r="C2557" s="2" t="s">
        <v>100</v>
      </c>
      <c r="D2557" s="2" t="s">
        <v>41</v>
      </c>
      <c r="E2557" s="2" t="str">
        <f aca="false">INDEX(Products!$B$2:$B$13,MATCH(D2557,Products!$A$2:$A$13,0))</f>
        <v>Hydroprocessing</v>
      </c>
      <c r="F2557" s="15" t="n">
        <v>4.5</v>
      </c>
      <c r="G2557" s="16" t="n">
        <f aca="false">IF(A2557="2025",INDEX(Products!$C$2:$C$13,MATCH(D2557,Products!$A$2:$A$13,0)),INDEX(Products!$E$2:$E$13,MATCH(D2557,Products!$A$2:$A$13,0)))</f>
        <v>14770</v>
      </c>
      <c r="H2557" s="13" t="n">
        <f aca="false">IF(A2557="2025",INDEX(Customers!$D$2:$D$41,MATCH(C2557,Customers!$A$2:$A$41,0)),INDEX(Customers!$F$2:$F$41,MATCH(C2557,Customers!$A$2:$A$41,0)))</f>
        <v>0.035</v>
      </c>
      <c r="I2557" s="16" t="n">
        <f aca="false">F2557*G2557</f>
        <v>66465</v>
      </c>
      <c r="J2557" s="16" t="n">
        <f aca="false">I2557*(1-H2557)</f>
        <v>64138.725</v>
      </c>
      <c r="K2557" s="16" t="n">
        <f aca="false">J2557*INDEX(Customers!$G$2:$G$41,MATCH(C2557,Customers!$A$2:$A$41,0))</f>
        <v>1924.16175</v>
      </c>
      <c r="L2557" s="16" t="n">
        <f aca="false">F2557*INDEX(Customers!$H$2:$H$41,MATCH(C2557,Customers!$A$2:$A$41,0))</f>
        <v>990</v>
      </c>
      <c r="M2557" s="16" t="n">
        <f aca="false">J2557*INDEX(Customers!$I$2:$I$41,MATCH(C2557,Customers!$A$2:$A$41,0))/365*Assumptions!$B$6</f>
        <v>843.468164383562</v>
      </c>
      <c r="N2557" s="16" t="n">
        <f aca="false">J2557-K2557-L2557-M2557</f>
        <v>60381.0950856164</v>
      </c>
      <c r="O2557" s="16" t="n">
        <f aca="false">F2557*IF(A2557="2025",INDEX(Products!$D$2:$D$13,MATCH(D2557,Products!$A$2:$A$13,0)),INDEX(Products!$F$2:$F$13,MATCH(D2557,Products!$A$2:$A$13,0)))</f>
        <v>42660</v>
      </c>
      <c r="P2557" s="16" t="n">
        <f aca="false">N2557-O2557</f>
        <v>17721.0950856164</v>
      </c>
    </row>
    <row r="2558" customFormat="false" ht="15" hidden="false" customHeight="false" outlineLevel="0" collapsed="false">
      <c r="A2558" s="2" t="s">
        <v>119</v>
      </c>
      <c r="B2558" s="2" t="n">
        <v>1</v>
      </c>
      <c r="C2558" s="2" t="s">
        <v>100</v>
      </c>
      <c r="D2558" s="2" t="s">
        <v>41</v>
      </c>
      <c r="E2558" s="2" t="str">
        <f aca="false">INDEX(Products!$B$2:$B$13,MATCH(D2558,Products!$A$2:$A$13,0))</f>
        <v>Hydroprocessing</v>
      </c>
      <c r="F2558" s="15" t="n">
        <v>5.3</v>
      </c>
      <c r="G2558" s="16" t="n">
        <f aca="false">IF(A2558="2025",INDEX(Products!$C$2:$C$13,MATCH(D2558,Products!$A$2:$A$13,0)),INDEX(Products!$E$2:$E$13,MATCH(D2558,Products!$A$2:$A$13,0)))</f>
        <v>15508.5</v>
      </c>
      <c r="H2558" s="13" t="n">
        <f aca="false">IF(A2558="2025",INDEX(Customers!$D$2:$D$41,MATCH(C2558,Customers!$A$2:$A$41,0)),INDEX(Customers!$F$2:$F$41,MATCH(C2558,Customers!$A$2:$A$41,0)))</f>
        <v>0.067</v>
      </c>
      <c r="I2558" s="16" t="n">
        <f aca="false">F2558*G2558</f>
        <v>82195.05</v>
      </c>
      <c r="J2558" s="16" t="n">
        <f aca="false">I2558*(1-H2558)</f>
        <v>76687.98165</v>
      </c>
      <c r="K2558" s="16" t="n">
        <f aca="false">J2558*INDEX(Customers!$G$2:$G$41,MATCH(C2558,Customers!$A$2:$A$41,0))</f>
        <v>2300.6394495</v>
      </c>
      <c r="L2558" s="16" t="n">
        <f aca="false">F2558*INDEX(Customers!$H$2:$H$41,MATCH(C2558,Customers!$A$2:$A$41,0))</f>
        <v>1166</v>
      </c>
      <c r="M2558" s="16" t="n">
        <f aca="false">J2558*INDEX(Customers!$I$2:$I$41,MATCH(C2558,Customers!$A$2:$A$41,0))/365*Assumptions!$B$6</f>
        <v>1008.49948471233</v>
      </c>
      <c r="N2558" s="16" t="n">
        <f aca="false">J2558-K2558-L2558-M2558</f>
        <v>72212.8427157877</v>
      </c>
      <c r="O2558" s="16" t="n">
        <f aca="false">F2558*IF(A2558="2025",INDEX(Products!$D$2:$D$13,MATCH(D2558,Products!$A$2:$A$13,0)),INDEX(Products!$F$2:$F$13,MATCH(D2558,Products!$A$2:$A$13,0)))</f>
        <v>51751.32</v>
      </c>
      <c r="P2558" s="16" t="n">
        <f aca="false">N2558-O2558</f>
        <v>20461.5227157877</v>
      </c>
    </row>
    <row r="2559" customFormat="false" ht="15" hidden="false" customHeight="false" outlineLevel="0" collapsed="false">
      <c r="A2559" s="2" t="s">
        <v>119</v>
      </c>
      <c r="B2559" s="2" t="n">
        <v>2</v>
      </c>
      <c r="C2559" s="2" t="s">
        <v>100</v>
      </c>
      <c r="D2559" s="2" t="s">
        <v>41</v>
      </c>
      <c r="E2559" s="2" t="str">
        <f aca="false">INDEX(Products!$B$2:$B$13,MATCH(D2559,Products!$A$2:$A$13,0))</f>
        <v>Hydroprocessing</v>
      </c>
      <c r="F2559" s="15" t="n">
        <v>4.7</v>
      </c>
      <c r="G2559" s="16" t="n">
        <f aca="false">IF(A2559="2025",INDEX(Products!$C$2:$C$13,MATCH(D2559,Products!$A$2:$A$13,0)),INDEX(Products!$E$2:$E$13,MATCH(D2559,Products!$A$2:$A$13,0)))</f>
        <v>15508.5</v>
      </c>
      <c r="H2559" s="13" t="n">
        <f aca="false">IF(A2559="2025",INDEX(Customers!$D$2:$D$41,MATCH(C2559,Customers!$A$2:$A$41,0)),INDEX(Customers!$F$2:$F$41,MATCH(C2559,Customers!$A$2:$A$41,0)))</f>
        <v>0.067</v>
      </c>
      <c r="I2559" s="16" t="n">
        <f aca="false">F2559*G2559</f>
        <v>72889.95</v>
      </c>
      <c r="J2559" s="16" t="n">
        <f aca="false">I2559*(1-H2559)</f>
        <v>68006.32335</v>
      </c>
      <c r="K2559" s="16" t="n">
        <f aca="false">J2559*INDEX(Customers!$G$2:$G$41,MATCH(C2559,Customers!$A$2:$A$41,0))</f>
        <v>2040.1897005</v>
      </c>
      <c r="L2559" s="16" t="n">
        <f aca="false">F2559*INDEX(Customers!$H$2:$H$41,MATCH(C2559,Customers!$A$2:$A$41,0))</f>
        <v>1034</v>
      </c>
      <c r="M2559" s="16" t="n">
        <f aca="false">J2559*INDEX(Customers!$I$2:$I$41,MATCH(C2559,Customers!$A$2:$A$41,0))/365*Assumptions!$B$6</f>
        <v>894.329731726028</v>
      </c>
      <c r="N2559" s="16" t="n">
        <f aca="false">J2559-K2559-L2559-M2559</f>
        <v>64037.803917774</v>
      </c>
      <c r="O2559" s="16" t="n">
        <f aca="false">F2559*IF(A2559="2025",INDEX(Products!$D$2:$D$13,MATCH(D2559,Products!$A$2:$A$13,0)),INDEX(Products!$F$2:$F$13,MATCH(D2559,Products!$A$2:$A$13,0)))</f>
        <v>45892.68</v>
      </c>
      <c r="P2559" s="16" t="n">
        <f aca="false">N2559-O2559</f>
        <v>18145.123917774</v>
      </c>
    </row>
    <row r="2560" customFormat="false" ht="15" hidden="false" customHeight="false" outlineLevel="0" collapsed="false">
      <c r="A2560" s="2" t="s">
        <v>119</v>
      </c>
      <c r="B2560" s="2" t="n">
        <v>3</v>
      </c>
      <c r="C2560" s="2" t="s">
        <v>100</v>
      </c>
      <c r="D2560" s="2" t="s">
        <v>41</v>
      </c>
      <c r="E2560" s="2" t="str">
        <f aca="false">INDEX(Products!$B$2:$B$13,MATCH(D2560,Products!$A$2:$A$13,0))</f>
        <v>Hydroprocessing</v>
      </c>
      <c r="F2560" s="15" t="n">
        <v>4.6</v>
      </c>
      <c r="G2560" s="16" t="n">
        <f aca="false">IF(A2560="2025",INDEX(Products!$C$2:$C$13,MATCH(D2560,Products!$A$2:$A$13,0)),INDEX(Products!$E$2:$E$13,MATCH(D2560,Products!$A$2:$A$13,0)))</f>
        <v>15508.5</v>
      </c>
      <c r="H2560" s="13" t="n">
        <f aca="false">IF(A2560="2025",INDEX(Customers!$D$2:$D$41,MATCH(C2560,Customers!$A$2:$A$41,0)),INDEX(Customers!$F$2:$F$41,MATCH(C2560,Customers!$A$2:$A$41,0)))</f>
        <v>0.067</v>
      </c>
      <c r="I2560" s="16" t="n">
        <f aca="false">F2560*G2560</f>
        <v>71339.1</v>
      </c>
      <c r="J2560" s="16" t="n">
        <f aca="false">I2560*(1-H2560)</f>
        <v>66559.3803</v>
      </c>
      <c r="K2560" s="16" t="n">
        <f aca="false">J2560*INDEX(Customers!$G$2:$G$41,MATCH(C2560,Customers!$A$2:$A$41,0))</f>
        <v>1996.781409</v>
      </c>
      <c r="L2560" s="16" t="n">
        <f aca="false">F2560*INDEX(Customers!$H$2:$H$41,MATCH(C2560,Customers!$A$2:$A$41,0))</f>
        <v>1012</v>
      </c>
      <c r="M2560" s="16" t="n">
        <f aca="false">J2560*INDEX(Customers!$I$2:$I$41,MATCH(C2560,Customers!$A$2:$A$41,0))/365*Assumptions!$B$6</f>
        <v>875.301439561644</v>
      </c>
      <c r="N2560" s="16" t="n">
        <f aca="false">J2560-K2560-L2560-M2560</f>
        <v>62675.2974514383</v>
      </c>
      <c r="O2560" s="16" t="n">
        <f aca="false">F2560*IF(A2560="2025",INDEX(Products!$D$2:$D$13,MATCH(D2560,Products!$A$2:$A$13,0)),INDEX(Products!$F$2:$F$13,MATCH(D2560,Products!$A$2:$A$13,0)))</f>
        <v>44916.24</v>
      </c>
      <c r="P2560" s="16" t="n">
        <f aca="false">N2560-O2560</f>
        <v>17759.0574514383</v>
      </c>
    </row>
    <row r="2561" customFormat="false" ht="15" hidden="false" customHeight="false" outlineLevel="0" collapsed="false">
      <c r="A2561" s="2" t="s">
        <v>119</v>
      </c>
      <c r="B2561" s="2" t="n">
        <v>4</v>
      </c>
      <c r="C2561" s="2" t="s">
        <v>100</v>
      </c>
      <c r="D2561" s="2" t="s">
        <v>41</v>
      </c>
      <c r="E2561" s="2" t="str">
        <f aca="false">INDEX(Products!$B$2:$B$13,MATCH(D2561,Products!$A$2:$A$13,0))</f>
        <v>Hydroprocessing</v>
      </c>
      <c r="F2561" s="15" t="n">
        <v>5.6</v>
      </c>
      <c r="G2561" s="16" t="n">
        <f aca="false">IF(A2561="2025",INDEX(Products!$C$2:$C$13,MATCH(D2561,Products!$A$2:$A$13,0)),INDEX(Products!$E$2:$E$13,MATCH(D2561,Products!$A$2:$A$13,0)))</f>
        <v>15508.5</v>
      </c>
      <c r="H2561" s="13" t="n">
        <f aca="false">IF(A2561="2025",INDEX(Customers!$D$2:$D$41,MATCH(C2561,Customers!$A$2:$A$41,0)),INDEX(Customers!$F$2:$F$41,MATCH(C2561,Customers!$A$2:$A$41,0)))</f>
        <v>0.067</v>
      </c>
      <c r="I2561" s="16" t="n">
        <f aca="false">F2561*G2561</f>
        <v>86847.6</v>
      </c>
      <c r="J2561" s="16" t="n">
        <f aca="false">I2561*(1-H2561)</f>
        <v>81028.8108</v>
      </c>
      <c r="K2561" s="16" t="n">
        <f aca="false">J2561*INDEX(Customers!$G$2:$G$41,MATCH(C2561,Customers!$A$2:$A$41,0))</f>
        <v>2430.864324</v>
      </c>
      <c r="L2561" s="16" t="n">
        <f aca="false">F2561*INDEX(Customers!$H$2:$H$41,MATCH(C2561,Customers!$A$2:$A$41,0))</f>
        <v>1232</v>
      </c>
      <c r="M2561" s="16" t="n">
        <f aca="false">J2561*INDEX(Customers!$I$2:$I$41,MATCH(C2561,Customers!$A$2:$A$41,0))/365*Assumptions!$B$6</f>
        <v>1065.58436120548</v>
      </c>
      <c r="N2561" s="16" t="n">
        <f aca="false">J2561-K2561-L2561-M2561</f>
        <v>76300.3621147945</v>
      </c>
      <c r="O2561" s="16" t="n">
        <f aca="false">F2561*IF(A2561="2025",INDEX(Products!$D$2:$D$13,MATCH(D2561,Products!$A$2:$A$13,0)),INDEX(Products!$F$2:$F$13,MATCH(D2561,Products!$A$2:$A$13,0)))</f>
        <v>54680.64</v>
      </c>
      <c r="P2561" s="16" t="n">
        <f aca="false">N2561-O2561</f>
        <v>21619.7221147945</v>
      </c>
    </row>
    <row r="2562" customFormat="false" ht="15" hidden="false" customHeight="false" outlineLevel="0" collapsed="false">
      <c r="A2562" s="2" t="s">
        <v>119</v>
      </c>
      <c r="B2562" s="2" t="n">
        <v>5</v>
      </c>
      <c r="C2562" s="2" t="s">
        <v>100</v>
      </c>
      <c r="D2562" s="2" t="s">
        <v>41</v>
      </c>
      <c r="E2562" s="2" t="str">
        <f aca="false">INDEX(Products!$B$2:$B$13,MATCH(D2562,Products!$A$2:$A$13,0))</f>
        <v>Hydroprocessing</v>
      </c>
      <c r="F2562" s="15" t="n">
        <v>4.1</v>
      </c>
      <c r="G2562" s="16" t="n">
        <f aca="false">IF(A2562="2025",INDEX(Products!$C$2:$C$13,MATCH(D2562,Products!$A$2:$A$13,0)),INDEX(Products!$E$2:$E$13,MATCH(D2562,Products!$A$2:$A$13,0)))</f>
        <v>15508.5</v>
      </c>
      <c r="H2562" s="13" t="n">
        <f aca="false">IF(A2562="2025",INDEX(Customers!$D$2:$D$41,MATCH(C2562,Customers!$A$2:$A$41,0)),INDEX(Customers!$F$2:$F$41,MATCH(C2562,Customers!$A$2:$A$41,0)))</f>
        <v>0.067</v>
      </c>
      <c r="I2562" s="16" t="n">
        <f aca="false">F2562*G2562</f>
        <v>63584.85</v>
      </c>
      <c r="J2562" s="16" t="n">
        <f aca="false">I2562*(1-H2562)</f>
        <v>59324.66505</v>
      </c>
      <c r="K2562" s="16" t="n">
        <f aca="false">J2562*INDEX(Customers!$G$2:$G$41,MATCH(C2562,Customers!$A$2:$A$41,0))</f>
        <v>1779.7399515</v>
      </c>
      <c r="L2562" s="16" t="n">
        <f aca="false">F2562*INDEX(Customers!$H$2:$H$41,MATCH(C2562,Customers!$A$2:$A$41,0))</f>
        <v>902</v>
      </c>
      <c r="M2562" s="16" t="n">
        <f aca="false">J2562*INDEX(Customers!$I$2:$I$41,MATCH(C2562,Customers!$A$2:$A$41,0))/365*Assumptions!$B$6</f>
        <v>780.159978739726</v>
      </c>
      <c r="N2562" s="16" t="n">
        <f aca="false">J2562-K2562-L2562-M2562</f>
        <v>55862.7651197603</v>
      </c>
      <c r="O2562" s="16" t="n">
        <f aca="false">F2562*IF(A2562="2025",INDEX(Products!$D$2:$D$13,MATCH(D2562,Products!$A$2:$A$13,0)),INDEX(Products!$F$2:$F$13,MATCH(D2562,Products!$A$2:$A$13,0)))</f>
        <v>40034.04</v>
      </c>
      <c r="P2562" s="16" t="n">
        <f aca="false">N2562-O2562</f>
        <v>15828.7251197603</v>
      </c>
    </row>
    <row r="2563" customFormat="false" ht="15" hidden="false" customHeight="false" outlineLevel="0" collapsed="false">
      <c r="A2563" s="2" t="s">
        <v>119</v>
      </c>
      <c r="B2563" s="2" t="n">
        <v>6</v>
      </c>
      <c r="C2563" s="2" t="s">
        <v>100</v>
      </c>
      <c r="D2563" s="2" t="s">
        <v>41</v>
      </c>
      <c r="E2563" s="2" t="str">
        <f aca="false">INDEX(Products!$B$2:$B$13,MATCH(D2563,Products!$A$2:$A$13,0))</f>
        <v>Hydroprocessing</v>
      </c>
      <c r="F2563" s="15" t="n">
        <v>6.7</v>
      </c>
      <c r="G2563" s="16" t="n">
        <f aca="false">IF(A2563="2025",INDEX(Products!$C$2:$C$13,MATCH(D2563,Products!$A$2:$A$13,0)),INDEX(Products!$E$2:$E$13,MATCH(D2563,Products!$A$2:$A$13,0)))</f>
        <v>15508.5</v>
      </c>
      <c r="H2563" s="13" t="n">
        <f aca="false">IF(A2563="2025",INDEX(Customers!$D$2:$D$41,MATCH(C2563,Customers!$A$2:$A$41,0)),INDEX(Customers!$F$2:$F$41,MATCH(C2563,Customers!$A$2:$A$41,0)))</f>
        <v>0.067</v>
      </c>
      <c r="I2563" s="16" t="n">
        <f aca="false">F2563*G2563</f>
        <v>103906.95</v>
      </c>
      <c r="J2563" s="16" t="n">
        <f aca="false">I2563*(1-H2563)</f>
        <v>96945.18435</v>
      </c>
      <c r="K2563" s="16" t="n">
        <f aca="false">J2563*INDEX(Customers!$G$2:$G$41,MATCH(C2563,Customers!$A$2:$A$41,0))</f>
        <v>2908.3555305</v>
      </c>
      <c r="L2563" s="16" t="n">
        <f aca="false">F2563*INDEX(Customers!$H$2:$H$41,MATCH(C2563,Customers!$A$2:$A$41,0))</f>
        <v>1474</v>
      </c>
      <c r="M2563" s="16" t="n">
        <f aca="false">J2563*INDEX(Customers!$I$2:$I$41,MATCH(C2563,Customers!$A$2:$A$41,0))/365*Assumptions!$B$6</f>
        <v>1274.8955750137</v>
      </c>
      <c r="N2563" s="16" t="n">
        <f aca="false">J2563-K2563-L2563-M2563</f>
        <v>91287.9332444863</v>
      </c>
      <c r="O2563" s="16" t="n">
        <f aca="false">F2563*IF(A2563="2025",INDEX(Products!$D$2:$D$13,MATCH(D2563,Products!$A$2:$A$13,0)),INDEX(Products!$F$2:$F$13,MATCH(D2563,Products!$A$2:$A$13,0)))</f>
        <v>65421.48</v>
      </c>
      <c r="P2563" s="16" t="n">
        <f aca="false">N2563-O2563</f>
        <v>25866.4532444863</v>
      </c>
    </row>
    <row r="2564" customFormat="false" ht="15" hidden="false" customHeight="false" outlineLevel="0" collapsed="false">
      <c r="A2564" s="2" t="s">
        <v>119</v>
      </c>
      <c r="B2564" s="2" t="n">
        <v>7</v>
      </c>
      <c r="C2564" s="2" t="s">
        <v>100</v>
      </c>
      <c r="D2564" s="2" t="s">
        <v>41</v>
      </c>
      <c r="E2564" s="2" t="str">
        <f aca="false">INDEX(Products!$B$2:$B$13,MATCH(D2564,Products!$A$2:$A$13,0))</f>
        <v>Hydroprocessing</v>
      </c>
      <c r="F2564" s="15" t="n">
        <v>4.8</v>
      </c>
      <c r="G2564" s="16" t="n">
        <f aca="false">IF(A2564="2025",INDEX(Products!$C$2:$C$13,MATCH(D2564,Products!$A$2:$A$13,0)),INDEX(Products!$E$2:$E$13,MATCH(D2564,Products!$A$2:$A$13,0)))</f>
        <v>15508.5</v>
      </c>
      <c r="H2564" s="13" t="n">
        <f aca="false">IF(A2564="2025",INDEX(Customers!$D$2:$D$41,MATCH(C2564,Customers!$A$2:$A$41,0)),INDEX(Customers!$F$2:$F$41,MATCH(C2564,Customers!$A$2:$A$41,0)))</f>
        <v>0.067</v>
      </c>
      <c r="I2564" s="16" t="n">
        <f aca="false">F2564*G2564</f>
        <v>74440.8</v>
      </c>
      <c r="J2564" s="16" t="n">
        <f aca="false">I2564*(1-H2564)</f>
        <v>69453.2664</v>
      </c>
      <c r="K2564" s="16" t="n">
        <f aca="false">J2564*INDEX(Customers!$G$2:$G$41,MATCH(C2564,Customers!$A$2:$A$41,0))</f>
        <v>2083.597992</v>
      </c>
      <c r="L2564" s="16" t="n">
        <f aca="false">F2564*INDEX(Customers!$H$2:$H$41,MATCH(C2564,Customers!$A$2:$A$41,0))</f>
        <v>1056</v>
      </c>
      <c r="M2564" s="16" t="n">
        <f aca="false">J2564*INDEX(Customers!$I$2:$I$41,MATCH(C2564,Customers!$A$2:$A$41,0))/365*Assumptions!$B$6</f>
        <v>913.358023890411</v>
      </c>
      <c r="N2564" s="16" t="n">
        <f aca="false">J2564-K2564-L2564-M2564</f>
        <v>65400.3103841096</v>
      </c>
      <c r="O2564" s="16" t="n">
        <f aca="false">F2564*IF(A2564="2025",INDEX(Products!$D$2:$D$13,MATCH(D2564,Products!$A$2:$A$13,0)),INDEX(Products!$F$2:$F$13,MATCH(D2564,Products!$A$2:$A$13,0)))</f>
        <v>46869.12</v>
      </c>
      <c r="P2564" s="16" t="n">
        <f aca="false">N2564-O2564</f>
        <v>18531.1903841096</v>
      </c>
    </row>
    <row r="2565" customFormat="false" ht="15" hidden="false" customHeight="false" outlineLevel="0" collapsed="false">
      <c r="A2565" s="2" t="s">
        <v>119</v>
      </c>
      <c r="B2565" s="2" t="n">
        <v>8</v>
      </c>
      <c r="C2565" s="2" t="s">
        <v>100</v>
      </c>
      <c r="D2565" s="2" t="s">
        <v>41</v>
      </c>
      <c r="E2565" s="2" t="str">
        <f aca="false">INDEX(Products!$B$2:$B$13,MATCH(D2565,Products!$A$2:$A$13,0))</f>
        <v>Hydroprocessing</v>
      </c>
      <c r="F2565" s="15" t="n">
        <v>4</v>
      </c>
      <c r="G2565" s="16" t="n">
        <f aca="false">IF(A2565="2025",INDEX(Products!$C$2:$C$13,MATCH(D2565,Products!$A$2:$A$13,0)),INDEX(Products!$E$2:$E$13,MATCH(D2565,Products!$A$2:$A$13,0)))</f>
        <v>15508.5</v>
      </c>
      <c r="H2565" s="13" t="n">
        <f aca="false">IF(A2565="2025",INDEX(Customers!$D$2:$D$41,MATCH(C2565,Customers!$A$2:$A$41,0)),INDEX(Customers!$F$2:$F$41,MATCH(C2565,Customers!$A$2:$A$41,0)))</f>
        <v>0.067</v>
      </c>
      <c r="I2565" s="16" t="n">
        <f aca="false">F2565*G2565</f>
        <v>62034</v>
      </c>
      <c r="J2565" s="16" t="n">
        <f aca="false">I2565*(1-H2565)</f>
        <v>57877.722</v>
      </c>
      <c r="K2565" s="16" t="n">
        <f aca="false">J2565*INDEX(Customers!$G$2:$G$41,MATCH(C2565,Customers!$A$2:$A$41,0))</f>
        <v>1736.33166</v>
      </c>
      <c r="L2565" s="16" t="n">
        <f aca="false">F2565*INDEX(Customers!$H$2:$H$41,MATCH(C2565,Customers!$A$2:$A$41,0))</f>
        <v>880</v>
      </c>
      <c r="M2565" s="16" t="n">
        <f aca="false">J2565*INDEX(Customers!$I$2:$I$41,MATCH(C2565,Customers!$A$2:$A$41,0))/365*Assumptions!$B$6</f>
        <v>761.131686575342</v>
      </c>
      <c r="N2565" s="16" t="n">
        <f aca="false">J2565-K2565-L2565-M2565</f>
        <v>54500.2586534247</v>
      </c>
      <c r="O2565" s="16" t="n">
        <f aca="false">F2565*IF(A2565="2025",INDEX(Products!$D$2:$D$13,MATCH(D2565,Products!$A$2:$A$13,0)),INDEX(Products!$F$2:$F$13,MATCH(D2565,Products!$A$2:$A$13,0)))</f>
        <v>39057.6</v>
      </c>
      <c r="P2565" s="16" t="n">
        <f aca="false">N2565-O2565</f>
        <v>15442.6586534247</v>
      </c>
    </row>
    <row r="2566" customFormat="false" ht="15" hidden="false" customHeight="false" outlineLevel="0" collapsed="false">
      <c r="A2566" s="2" t="s">
        <v>119</v>
      </c>
      <c r="B2566" s="2" t="n">
        <v>9</v>
      </c>
      <c r="C2566" s="2" t="s">
        <v>100</v>
      </c>
      <c r="D2566" s="2" t="s">
        <v>41</v>
      </c>
      <c r="E2566" s="2" t="str">
        <f aca="false">INDEX(Products!$B$2:$B$13,MATCH(D2566,Products!$A$2:$A$13,0))</f>
        <v>Hydroprocessing</v>
      </c>
      <c r="F2566" s="15" t="n">
        <v>4.5</v>
      </c>
      <c r="G2566" s="16" t="n">
        <f aca="false">IF(A2566="2025",INDEX(Products!$C$2:$C$13,MATCH(D2566,Products!$A$2:$A$13,0)),INDEX(Products!$E$2:$E$13,MATCH(D2566,Products!$A$2:$A$13,0)))</f>
        <v>15508.5</v>
      </c>
      <c r="H2566" s="13" t="n">
        <f aca="false">IF(A2566="2025",INDEX(Customers!$D$2:$D$41,MATCH(C2566,Customers!$A$2:$A$41,0)),INDEX(Customers!$F$2:$F$41,MATCH(C2566,Customers!$A$2:$A$41,0)))</f>
        <v>0.067</v>
      </c>
      <c r="I2566" s="16" t="n">
        <f aca="false">F2566*G2566</f>
        <v>69788.25</v>
      </c>
      <c r="J2566" s="16" t="n">
        <f aca="false">I2566*(1-H2566)</f>
        <v>65112.43725</v>
      </c>
      <c r="K2566" s="16" t="n">
        <f aca="false">J2566*INDEX(Customers!$G$2:$G$41,MATCH(C2566,Customers!$A$2:$A$41,0))</f>
        <v>1953.3731175</v>
      </c>
      <c r="L2566" s="16" t="n">
        <f aca="false">F2566*INDEX(Customers!$H$2:$H$41,MATCH(C2566,Customers!$A$2:$A$41,0))</f>
        <v>990</v>
      </c>
      <c r="M2566" s="16" t="n">
        <f aca="false">J2566*INDEX(Customers!$I$2:$I$41,MATCH(C2566,Customers!$A$2:$A$41,0))/365*Assumptions!$B$6</f>
        <v>856.27314739726</v>
      </c>
      <c r="N2566" s="16" t="n">
        <f aca="false">J2566-K2566-L2566-M2566</f>
        <v>61312.7909851027</v>
      </c>
      <c r="O2566" s="16" t="n">
        <f aca="false">F2566*IF(A2566="2025",INDEX(Products!$D$2:$D$13,MATCH(D2566,Products!$A$2:$A$13,0)),INDEX(Products!$F$2:$F$13,MATCH(D2566,Products!$A$2:$A$13,0)))</f>
        <v>43939.8</v>
      </c>
      <c r="P2566" s="16" t="n">
        <f aca="false">N2566-O2566</f>
        <v>17372.9909851027</v>
      </c>
    </row>
    <row r="2567" customFormat="false" ht="15" hidden="false" customHeight="false" outlineLevel="0" collapsed="false">
      <c r="A2567" s="2" t="s">
        <v>119</v>
      </c>
      <c r="B2567" s="2" t="n">
        <v>10</v>
      </c>
      <c r="C2567" s="2" t="s">
        <v>100</v>
      </c>
      <c r="D2567" s="2" t="s">
        <v>41</v>
      </c>
      <c r="E2567" s="2" t="str">
        <f aca="false">INDEX(Products!$B$2:$B$13,MATCH(D2567,Products!$A$2:$A$13,0))</f>
        <v>Hydroprocessing</v>
      </c>
      <c r="F2567" s="15" t="n">
        <v>4.9</v>
      </c>
      <c r="G2567" s="16" t="n">
        <f aca="false">IF(A2567="2025",INDEX(Products!$C$2:$C$13,MATCH(D2567,Products!$A$2:$A$13,0)),INDEX(Products!$E$2:$E$13,MATCH(D2567,Products!$A$2:$A$13,0)))</f>
        <v>15508.5</v>
      </c>
      <c r="H2567" s="13" t="n">
        <f aca="false">IF(A2567="2025",INDEX(Customers!$D$2:$D$41,MATCH(C2567,Customers!$A$2:$A$41,0)),INDEX(Customers!$F$2:$F$41,MATCH(C2567,Customers!$A$2:$A$41,0)))</f>
        <v>0.067</v>
      </c>
      <c r="I2567" s="16" t="n">
        <f aca="false">F2567*G2567</f>
        <v>75991.65</v>
      </c>
      <c r="J2567" s="16" t="n">
        <f aca="false">I2567*(1-H2567)</f>
        <v>70900.20945</v>
      </c>
      <c r="K2567" s="16" t="n">
        <f aca="false">J2567*INDEX(Customers!$G$2:$G$41,MATCH(C2567,Customers!$A$2:$A$41,0))</f>
        <v>2127.0062835</v>
      </c>
      <c r="L2567" s="16" t="n">
        <f aca="false">F2567*INDEX(Customers!$H$2:$H$41,MATCH(C2567,Customers!$A$2:$A$41,0))</f>
        <v>1078</v>
      </c>
      <c r="M2567" s="16" t="n">
        <f aca="false">J2567*INDEX(Customers!$I$2:$I$41,MATCH(C2567,Customers!$A$2:$A$41,0))/365*Assumptions!$B$6</f>
        <v>932.386316054795</v>
      </c>
      <c r="N2567" s="16" t="n">
        <f aca="false">J2567-K2567-L2567-M2567</f>
        <v>66762.8168504452</v>
      </c>
      <c r="O2567" s="16" t="n">
        <f aca="false">F2567*IF(A2567="2025",INDEX(Products!$D$2:$D$13,MATCH(D2567,Products!$A$2:$A$13,0)),INDEX(Products!$F$2:$F$13,MATCH(D2567,Products!$A$2:$A$13,0)))</f>
        <v>47845.56</v>
      </c>
      <c r="P2567" s="16" t="n">
        <f aca="false">N2567-O2567</f>
        <v>18917.2568504452</v>
      </c>
    </row>
    <row r="2568" customFormat="false" ht="15" hidden="false" customHeight="false" outlineLevel="0" collapsed="false">
      <c r="A2568" s="2" t="s">
        <v>119</v>
      </c>
      <c r="B2568" s="2" t="n">
        <v>11</v>
      </c>
      <c r="C2568" s="2" t="s">
        <v>100</v>
      </c>
      <c r="D2568" s="2" t="s">
        <v>41</v>
      </c>
      <c r="E2568" s="2" t="str">
        <f aca="false">INDEX(Products!$B$2:$B$13,MATCH(D2568,Products!$A$2:$A$13,0))</f>
        <v>Hydroprocessing</v>
      </c>
      <c r="F2568" s="15" t="n">
        <v>5</v>
      </c>
      <c r="G2568" s="16" t="n">
        <f aca="false">IF(A2568="2025",INDEX(Products!$C$2:$C$13,MATCH(D2568,Products!$A$2:$A$13,0)),INDEX(Products!$E$2:$E$13,MATCH(D2568,Products!$A$2:$A$13,0)))</f>
        <v>15508.5</v>
      </c>
      <c r="H2568" s="13" t="n">
        <f aca="false">IF(A2568="2025",INDEX(Customers!$D$2:$D$41,MATCH(C2568,Customers!$A$2:$A$41,0)),INDEX(Customers!$F$2:$F$41,MATCH(C2568,Customers!$A$2:$A$41,0)))</f>
        <v>0.067</v>
      </c>
      <c r="I2568" s="16" t="n">
        <f aca="false">F2568*G2568</f>
        <v>77542.5</v>
      </c>
      <c r="J2568" s="16" t="n">
        <f aca="false">I2568*(1-H2568)</f>
        <v>72347.1525</v>
      </c>
      <c r="K2568" s="16" t="n">
        <f aca="false">J2568*INDEX(Customers!$G$2:$G$41,MATCH(C2568,Customers!$A$2:$A$41,0))</f>
        <v>2170.414575</v>
      </c>
      <c r="L2568" s="16" t="n">
        <f aca="false">F2568*INDEX(Customers!$H$2:$H$41,MATCH(C2568,Customers!$A$2:$A$41,0))</f>
        <v>1100</v>
      </c>
      <c r="M2568" s="16" t="n">
        <f aca="false">J2568*INDEX(Customers!$I$2:$I$41,MATCH(C2568,Customers!$A$2:$A$41,0))/365*Assumptions!$B$6</f>
        <v>951.414608219178</v>
      </c>
      <c r="N2568" s="16" t="n">
        <f aca="false">J2568-K2568-L2568-M2568</f>
        <v>68125.3233167808</v>
      </c>
      <c r="O2568" s="16" t="n">
        <f aca="false">F2568*IF(A2568="2025",INDEX(Products!$D$2:$D$13,MATCH(D2568,Products!$A$2:$A$13,0)),INDEX(Products!$F$2:$F$13,MATCH(D2568,Products!$A$2:$A$13,0)))</f>
        <v>48822</v>
      </c>
      <c r="P2568" s="16" t="n">
        <f aca="false">N2568-O2568</f>
        <v>19303.3233167808</v>
      </c>
    </row>
    <row r="2569" customFormat="false" ht="15" hidden="false" customHeight="false" outlineLevel="0" collapsed="false">
      <c r="A2569" s="2" t="s">
        <v>119</v>
      </c>
      <c r="B2569" s="2" t="n">
        <v>12</v>
      </c>
      <c r="C2569" s="2" t="s">
        <v>100</v>
      </c>
      <c r="D2569" s="2" t="s">
        <v>41</v>
      </c>
      <c r="E2569" s="2" t="str">
        <f aca="false">INDEX(Products!$B$2:$B$13,MATCH(D2569,Products!$A$2:$A$13,0))</f>
        <v>Hydroprocessing</v>
      </c>
      <c r="F2569" s="15" t="n">
        <v>3.8</v>
      </c>
      <c r="G2569" s="16" t="n">
        <f aca="false">IF(A2569="2025",INDEX(Products!$C$2:$C$13,MATCH(D2569,Products!$A$2:$A$13,0)),INDEX(Products!$E$2:$E$13,MATCH(D2569,Products!$A$2:$A$13,0)))</f>
        <v>15508.5</v>
      </c>
      <c r="H2569" s="13" t="n">
        <f aca="false">IF(A2569="2025",INDEX(Customers!$D$2:$D$41,MATCH(C2569,Customers!$A$2:$A$41,0)),INDEX(Customers!$F$2:$F$41,MATCH(C2569,Customers!$A$2:$A$41,0)))</f>
        <v>0.067</v>
      </c>
      <c r="I2569" s="16" t="n">
        <f aca="false">F2569*G2569</f>
        <v>58932.3</v>
      </c>
      <c r="J2569" s="16" t="n">
        <f aca="false">I2569*(1-H2569)</f>
        <v>54983.8359</v>
      </c>
      <c r="K2569" s="16" t="n">
        <f aca="false">J2569*INDEX(Customers!$G$2:$G$41,MATCH(C2569,Customers!$A$2:$A$41,0))</f>
        <v>1649.515077</v>
      </c>
      <c r="L2569" s="16" t="n">
        <f aca="false">F2569*INDEX(Customers!$H$2:$H$41,MATCH(C2569,Customers!$A$2:$A$41,0))</f>
        <v>836</v>
      </c>
      <c r="M2569" s="16" t="n">
        <f aca="false">J2569*INDEX(Customers!$I$2:$I$41,MATCH(C2569,Customers!$A$2:$A$41,0))/365*Assumptions!$B$6</f>
        <v>723.075102246575</v>
      </c>
      <c r="N2569" s="16" t="n">
        <f aca="false">J2569-K2569-L2569-M2569</f>
        <v>51775.2457207534</v>
      </c>
      <c r="O2569" s="16" t="n">
        <f aca="false">F2569*IF(A2569="2025",INDEX(Products!$D$2:$D$13,MATCH(D2569,Products!$A$2:$A$13,0)),INDEX(Products!$F$2:$F$13,MATCH(D2569,Products!$A$2:$A$13,0)))</f>
        <v>37104.72</v>
      </c>
      <c r="P2569" s="16" t="n">
        <f aca="false">N2569-O2569</f>
        <v>14670.5257207534</v>
      </c>
    </row>
    <row r="2570" customFormat="false" ht="15" hidden="false" customHeight="false" outlineLevel="0" collapsed="false">
      <c r="A2570" s="2" t="s">
        <v>118</v>
      </c>
      <c r="B2570" s="2" t="n">
        <v>1</v>
      </c>
      <c r="C2570" s="2" t="s">
        <v>100</v>
      </c>
      <c r="D2570" s="2" t="s">
        <v>48</v>
      </c>
      <c r="E2570" s="2" t="str">
        <f aca="false">INDEX(Products!$B$2:$B$13,MATCH(D2570,Products!$A$2:$A$13,0))</f>
        <v>Specialty</v>
      </c>
      <c r="F2570" s="15" t="n">
        <v>3</v>
      </c>
      <c r="G2570" s="16" t="n">
        <f aca="false">IF(A2570="2025",INDEX(Products!$C$2:$C$13,MATCH(D2570,Products!$A$2:$A$13,0)),INDEX(Products!$E$2:$E$13,MATCH(D2570,Products!$A$2:$A$13,0)))</f>
        <v>33260</v>
      </c>
      <c r="H2570" s="13" t="n">
        <f aca="false">IF(A2570="2025",INDEX(Customers!$D$2:$D$41,MATCH(C2570,Customers!$A$2:$A$41,0)),INDEX(Customers!$F$2:$F$41,MATCH(C2570,Customers!$A$2:$A$41,0)))</f>
        <v>0.035</v>
      </c>
      <c r="I2570" s="16" t="n">
        <f aca="false">F2570*G2570</f>
        <v>99780</v>
      </c>
      <c r="J2570" s="16" t="n">
        <f aca="false">I2570*(1-H2570)</f>
        <v>96287.7</v>
      </c>
      <c r="K2570" s="16" t="n">
        <f aca="false">J2570*INDEX(Customers!$G$2:$G$41,MATCH(C2570,Customers!$A$2:$A$41,0))</f>
        <v>2888.631</v>
      </c>
      <c r="L2570" s="16" t="n">
        <f aca="false">F2570*INDEX(Customers!$H$2:$H$41,MATCH(C2570,Customers!$A$2:$A$41,0))</f>
        <v>660</v>
      </c>
      <c r="M2570" s="16" t="n">
        <f aca="false">J2570*INDEX(Customers!$I$2:$I$41,MATCH(C2570,Customers!$A$2:$A$41,0))/365*Assumptions!$B$6</f>
        <v>1266.24920547945</v>
      </c>
      <c r="N2570" s="16" t="n">
        <f aca="false">J2570-K2570-L2570-M2570</f>
        <v>91472.8197945206</v>
      </c>
      <c r="O2570" s="16" t="n">
        <f aca="false">F2570*IF(A2570="2025",INDEX(Products!$D$2:$D$13,MATCH(D2570,Products!$A$2:$A$13,0)),INDEX(Products!$F$2:$F$13,MATCH(D2570,Products!$A$2:$A$13,0)))</f>
        <v>45060</v>
      </c>
      <c r="P2570" s="16" t="n">
        <f aca="false">N2570-O2570</f>
        <v>46412.8197945206</v>
      </c>
    </row>
    <row r="2571" customFormat="false" ht="15" hidden="false" customHeight="false" outlineLevel="0" collapsed="false">
      <c r="A2571" s="2" t="s">
        <v>118</v>
      </c>
      <c r="B2571" s="2" t="n">
        <v>2</v>
      </c>
      <c r="C2571" s="2" t="s">
        <v>100</v>
      </c>
      <c r="D2571" s="2" t="s">
        <v>48</v>
      </c>
      <c r="E2571" s="2" t="str">
        <f aca="false">INDEX(Products!$B$2:$B$13,MATCH(D2571,Products!$A$2:$A$13,0))</f>
        <v>Specialty</v>
      </c>
      <c r="F2571" s="15" t="n">
        <v>3.7</v>
      </c>
      <c r="G2571" s="16" t="n">
        <f aca="false">IF(A2571="2025",INDEX(Products!$C$2:$C$13,MATCH(D2571,Products!$A$2:$A$13,0)),INDEX(Products!$E$2:$E$13,MATCH(D2571,Products!$A$2:$A$13,0)))</f>
        <v>33260</v>
      </c>
      <c r="H2571" s="13" t="n">
        <f aca="false">IF(A2571="2025",INDEX(Customers!$D$2:$D$41,MATCH(C2571,Customers!$A$2:$A$41,0)),INDEX(Customers!$F$2:$F$41,MATCH(C2571,Customers!$A$2:$A$41,0)))</f>
        <v>0.035</v>
      </c>
      <c r="I2571" s="16" t="n">
        <f aca="false">F2571*G2571</f>
        <v>123062</v>
      </c>
      <c r="J2571" s="16" t="n">
        <f aca="false">I2571*(1-H2571)</f>
        <v>118754.83</v>
      </c>
      <c r="K2571" s="16" t="n">
        <f aca="false">J2571*INDEX(Customers!$G$2:$G$41,MATCH(C2571,Customers!$A$2:$A$41,0))</f>
        <v>3562.6449</v>
      </c>
      <c r="L2571" s="16" t="n">
        <f aca="false">F2571*INDEX(Customers!$H$2:$H$41,MATCH(C2571,Customers!$A$2:$A$41,0))</f>
        <v>814</v>
      </c>
      <c r="M2571" s="16" t="n">
        <f aca="false">J2571*INDEX(Customers!$I$2:$I$41,MATCH(C2571,Customers!$A$2:$A$41,0))/365*Assumptions!$B$6</f>
        <v>1561.70735342466</v>
      </c>
      <c r="N2571" s="16" t="n">
        <f aca="false">J2571-K2571-L2571-M2571</f>
        <v>112816.477746575</v>
      </c>
      <c r="O2571" s="16" t="n">
        <f aca="false">F2571*IF(A2571="2025",INDEX(Products!$D$2:$D$13,MATCH(D2571,Products!$A$2:$A$13,0)),INDEX(Products!$F$2:$F$13,MATCH(D2571,Products!$A$2:$A$13,0)))</f>
        <v>55574</v>
      </c>
      <c r="P2571" s="16" t="n">
        <f aca="false">N2571-O2571</f>
        <v>57242.4777465753</v>
      </c>
    </row>
    <row r="2572" customFormat="false" ht="15" hidden="false" customHeight="false" outlineLevel="0" collapsed="false">
      <c r="A2572" s="2" t="s">
        <v>118</v>
      </c>
      <c r="B2572" s="2" t="n">
        <v>3</v>
      </c>
      <c r="C2572" s="2" t="s">
        <v>100</v>
      </c>
      <c r="D2572" s="2" t="s">
        <v>48</v>
      </c>
      <c r="E2572" s="2" t="str">
        <f aca="false">INDEX(Products!$B$2:$B$13,MATCH(D2572,Products!$A$2:$A$13,0))</f>
        <v>Specialty</v>
      </c>
      <c r="F2572" s="15" t="n">
        <v>3.1</v>
      </c>
      <c r="G2572" s="16" t="n">
        <f aca="false">IF(A2572="2025",INDEX(Products!$C$2:$C$13,MATCH(D2572,Products!$A$2:$A$13,0)),INDEX(Products!$E$2:$E$13,MATCH(D2572,Products!$A$2:$A$13,0)))</f>
        <v>33260</v>
      </c>
      <c r="H2572" s="13" t="n">
        <f aca="false">IF(A2572="2025",INDEX(Customers!$D$2:$D$41,MATCH(C2572,Customers!$A$2:$A$41,0)),INDEX(Customers!$F$2:$F$41,MATCH(C2572,Customers!$A$2:$A$41,0)))</f>
        <v>0.035</v>
      </c>
      <c r="I2572" s="16" t="n">
        <f aca="false">F2572*G2572</f>
        <v>103106</v>
      </c>
      <c r="J2572" s="16" t="n">
        <f aca="false">I2572*(1-H2572)</f>
        <v>99497.29</v>
      </c>
      <c r="K2572" s="16" t="n">
        <f aca="false">J2572*INDEX(Customers!$G$2:$G$41,MATCH(C2572,Customers!$A$2:$A$41,0))</f>
        <v>2984.9187</v>
      </c>
      <c r="L2572" s="16" t="n">
        <f aca="false">F2572*INDEX(Customers!$H$2:$H$41,MATCH(C2572,Customers!$A$2:$A$41,0))</f>
        <v>682</v>
      </c>
      <c r="M2572" s="16" t="n">
        <f aca="false">J2572*INDEX(Customers!$I$2:$I$41,MATCH(C2572,Customers!$A$2:$A$41,0))/365*Assumptions!$B$6</f>
        <v>1308.45751232877</v>
      </c>
      <c r="N2572" s="16" t="n">
        <f aca="false">J2572-K2572-L2572-M2572</f>
        <v>94521.9137876712</v>
      </c>
      <c r="O2572" s="16" t="n">
        <f aca="false">F2572*IF(A2572="2025",INDEX(Products!$D$2:$D$13,MATCH(D2572,Products!$A$2:$A$13,0)),INDEX(Products!$F$2:$F$13,MATCH(D2572,Products!$A$2:$A$13,0)))</f>
        <v>46562</v>
      </c>
      <c r="P2572" s="16" t="n">
        <f aca="false">N2572-O2572</f>
        <v>47959.9137876712</v>
      </c>
    </row>
    <row r="2573" customFormat="false" ht="15" hidden="false" customHeight="false" outlineLevel="0" collapsed="false">
      <c r="A2573" s="2" t="s">
        <v>118</v>
      </c>
      <c r="B2573" s="2" t="n">
        <v>4</v>
      </c>
      <c r="C2573" s="2" t="s">
        <v>100</v>
      </c>
      <c r="D2573" s="2" t="s">
        <v>48</v>
      </c>
      <c r="E2573" s="2" t="str">
        <f aca="false">INDEX(Products!$B$2:$B$13,MATCH(D2573,Products!$A$2:$A$13,0))</f>
        <v>Specialty</v>
      </c>
      <c r="F2573" s="15" t="n">
        <v>3.3</v>
      </c>
      <c r="G2573" s="16" t="n">
        <f aca="false">IF(A2573="2025",INDEX(Products!$C$2:$C$13,MATCH(D2573,Products!$A$2:$A$13,0)),INDEX(Products!$E$2:$E$13,MATCH(D2573,Products!$A$2:$A$13,0)))</f>
        <v>33260</v>
      </c>
      <c r="H2573" s="13" t="n">
        <f aca="false">IF(A2573="2025",INDEX(Customers!$D$2:$D$41,MATCH(C2573,Customers!$A$2:$A$41,0)),INDEX(Customers!$F$2:$F$41,MATCH(C2573,Customers!$A$2:$A$41,0)))</f>
        <v>0.035</v>
      </c>
      <c r="I2573" s="16" t="n">
        <f aca="false">F2573*G2573</f>
        <v>109758</v>
      </c>
      <c r="J2573" s="16" t="n">
        <f aca="false">I2573*(1-H2573)</f>
        <v>105916.47</v>
      </c>
      <c r="K2573" s="16" t="n">
        <f aca="false">J2573*INDEX(Customers!$G$2:$G$41,MATCH(C2573,Customers!$A$2:$A$41,0))</f>
        <v>3177.4941</v>
      </c>
      <c r="L2573" s="16" t="n">
        <f aca="false">F2573*INDEX(Customers!$H$2:$H$41,MATCH(C2573,Customers!$A$2:$A$41,0))</f>
        <v>726</v>
      </c>
      <c r="M2573" s="16" t="n">
        <f aca="false">J2573*INDEX(Customers!$I$2:$I$41,MATCH(C2573,Customers!$A$2:$A$41,0))/365*Assumptions!$B$6</f>
        <v>1392.8741260274</v>
      </c>
      <c r="N2573" s="16" t="n">
        <f aca="false">J2573-K2573-L2573-M2573</f>
        <v>100620.101773973</v>
      </c>
      <c r="O2573" s="16" t="n">
        <f aca="false">F2573*IF(A2573="2025",INDEX(Products!$D$2:$D$13,MATCH(D2573,Products!$A$2:$A$13,0)),INDEX(Products!$F$2:$F$13,MATCH(D2573,Products!$A$2:$A$13,0)))</f>
        <v>49566</v>
      </c>
      <c r="P2573" s="16" t="n">
        <f aca="false">N2573-O2573</f>
        <v>51054.1017739726</v>
      </c>
    </row>
    <row r="2574" customFormat="false" ht="15" hidden="false" customHeight="false" outlineLevel="0" collapsed="false">
      <c r="A2574" s="2" t="s">
        <v>118</v>
      </c>
      <c r="B2574" s="2" t="n">
        <v>5</v>
      </c>
      <c r="C2574" s="2" t="s">
        <v>100</v>
      </c>
      <c r="D2574" s="2" t="s">
        <v>48</v>
      </c>
      <c r="E2574" s="2" t="str">
        <f aca="false">INDEX(Products!$B$2:$B$13,MATCH(D2574,Products!$A$2:$A$13,0))</f>
        <v>Specialty</v>
      </c>
      <c r="F2574" s="15" t="n">
        <v>4</v>
      </c>
      <c r="G2574" s="16" t="n">
        <f aca="false">IF(A2574="2025",INDEX(Products!$C$2:$C$13,MATCH(D2574,Products!$A$2:$A$13,0)),INDEX(Products!$E$2:$E$13,MATCH(D2574,Products!$A$2:$A$13,0)))</f>
        <v>33260</v>
      </c>
      <c r="H2574" s="13" t="n">
        <f aca="false">IF(A2574="2025",INDEX(Customers!$D$2:$D$41,MATCH(C2574,Customers!$A$2:$A$41,0)),INDEX(Customers!$F$2:$F$41,MATCH(C2574,Customers!$A$2:$A$41,0)))</f>
        <v>0.035</v>
      </c>
      <c r="I2574" s="16" t="n">
        <f aca="false">F2574*G2574</f>
        <v>133040</v>
      </c>
      <c r="J2574" s="16" t="n">
        <f aca="false">I2574*(1-H2574)</f>
        <v>128383.6</v>
      </c>
      <c r="K2574" s="16" t="n">
        <f aca="false">J2574*INDEX(Customers!$G$2:$G$41,MATCH(C2574,Customers!$A$2:$A$41,0))</f>
        <v>3851.508</v>
      </c>
      <c r="L2574" s="16" t="n">
        <f aca="false">F2574*INDEX(Customers!$H$2:$H$41,MATCH(C2574,Customers!$A$2:$A$41,0))</f>
        <v>880</v>
      </c>
      <c r="M2574" s="16" t="n">
        <f aca="false">J2574*INDEX(Customers!$I$2:$I$41,MATCH(C2574,Customers!$A$2:$A$41,0))/365*Assumptions!$B$6</f>
        <v>1688.3322739726</v>
      </c>
      <c r="N2574" s="16" t="n">
        <f aca="false">J2574-K2574-L2574-M2574</f>
        <v>121963.759726027</v>
      </c>
      <c r="O2574" s="16" t="n">
        <f aca="false">F2574*IF(A2574="2025",INDEX(Products!$D$2:$D$13,MATCH(D2574,Products!$A$2:$A$13,0)),INDEX(Products!$F$2:$F$13,MATCH(D2574,Products!$A$2:$A$13,0)))</f>
        <v>60080</v>
      </c>
      <c r="P2574" s="16" t="n">
        <f aca="false">N2574-O2574</f>
        <v>61883.7597260274</v>
      </c>
    </row>
    <row r="2575" customFormat="false" ht="15" hidden="false" customHeight="false" outlineLevel="0" collapsed="false">
      <c r="A2575" s="2" t="s">
        <v>118</v>
      </c>
      <c r="B2575" s="2" t="n">
        <v>6</v>
      </c>
      <c r="C2575" s="2" t="s">
        <v>100</v>
      </c>
      <c r="D2575" s="2" t="s">
        <v>48</v>
      </c>
      <c r="E2575" s="2" t="str">
        <f aca="false">INDEX(Products!$B$2:$B$13,MATCH(D2575,Products!$A$2:$A$13,0))</f>
        <v>Specialty</v>
      </c>
      <c r="F2575" s="15" t="n">
        <v>4.2</v>
      </c>
      <c r="G2575" s="16" t="n">
        <f aca="false">IF(A2575="2025",INDEX(Products!$C$2:$C$13,MATCH(D2575,Products!$A$2:$A$13,0)),INDEX(Products!$E$2:$E$13,MATCH(D2575,Products!$A$2:$A$13,0)))</f>
        <v>33260</v>
      </c>
      <c r="H2575" s="13" t="n">
        <f aca="false">IF(A2575="2025",INDEX(Customers!$D$2:$D$41,MATCH(C2575,Customers!$A$2:$A$41,0)),INDEX(Customers!$F$2:$F$41,MATCH(C2575,Customers!$A$2:$A$41,0)))</f>
        <v>0.035</v>
      </c>
      <c r="I2575" s="16" t="n">
        <f aca="false">F2575*G2575</f>
        <v>139692</v>
      </c>
      <c r="J2575" s="16" t="n">
        <f aca="false">I2575*(1-H2575)</f>
        <v>134802.78</v>
      </c>
      <c r="K2575" s="16" t="n">
        <f aca="false">J2575*INDEX(Customers!$G$2:$G$41,MATCH(C2575,Customers!$A$2:$A$41,0))</f>
        <v>4044.0834</v>
      </c>
      <c r="L2575" s="16" t="n">
        <f aca="false">F2575*INDEX(Customers!$H$2:$H$41,MATCH(C2575,Customers!$A$2:$A$41,0))</f>
        <v>924</v>
      </c>
      <c r="M2575" s="16" t="n">
        <f aca="false">J2575*INDEX(Customers!$I$2:$I$41,MATCH(C2575,Customers!$A$2:$A$41,0))/365*Assumptions!$B$6</f>
        <v>1772.74888767123</v>
      </c>
      <c r="N2575" s="16" t="n">
        <f aca="false">J2575-K2575-L2575-M2575</f>
        <v>128061.947712329</v>
      </c>
      <c r="O2575" s="16" t="n">
        <f aca="false">F2575*IF(A2575="2025",INDEX(Products!$D$2:$D$13,MATCH(D2575,Products!$A$2:$A$13,0)),INDEX(Products!$F$2:$F$13,MATCH(D2575,Products!$A$2:$A$13,0)))</f>
        <v>63084</v>
      </c>
      <c r="P2575" s="16" t="n">
        <f aca="false">N2575-O2575</f>
        <v>64977.9477123288</v>
      </c>
    </row>
    <row r="2576" customFormat="false" ht="15" hidden="false" customHeight="false" outlineLevel="0" collapsed="false">
      <c r="A2576" s="2" t="s">
        <v>118</v>
      </c>
      <c r="B2576" s="2" t="n">
        <v>7</v>
      </c>
      <c r="C2576" s="2" t="s">
        <v>100</v>
      </c>
      <c r="D2576" s="2" t="s">
        <v>48</v>
      </c>
      <c r="E2576" s="2" t="str">
        <f aca="false">INDEX(Products!$B$2:$B$13,MATCH(D2576,Products!$A$2:$A$13,0))</f>
        <v>Specialty</v>
      </c>
      <c r="F2576" s="15" t="n">
        <v>3.7</v>
      </c>
      <c r="G2576" s="16" t="n">
        <f aca="false">IF(A2576="2025",INDEX(Products!$C$2:$C$13,MATCH(D2576,Products!$A$2:$A$13,0)),INDEX(Products!$E$2:$E$13,MATCH(D2576,Products!$A$2:$A$13,0)))</f>
        <v>33260</v>
      </c>
      <c r="H2576" s="13" t="n">
        <f aca="false">IF(A2576="2025",INDEX(Customers!$D$2:$D$41,MATCH(C2576,Customers!$A$2:$A$41,0)),INDEX(Customers!$F$2:$F$41,MATCH(C2576,Customers!$A$2:$A$41,0)))</f>
        <v>0.035</v>
      </c>
      <c r="I2576" s="16" t="n">
        <f aca="false">F2576*G2576</f>
        <v>123062</v>
      </c>
      <c r="J2576" s="16" t="n">
        <f aca="false">I2576*(1-H2576)</f>
        <v>118754.83</v>
      </c>
      <c r="K2576" s="16" t="n">
        <f aca="false">J2576*INDEX(Customers!$G$2:$G$41,MATCH(C2576,Customers!$A$2:$A$41,0))</f>
        <v>3562.6449</v>
      </c>
      <c r="L2576" s="16" t="n">
        <f aca="false">F2576*INDEX(Customers!$H$2:$H$41,MATCH(C2576,Customers!$A$2:$A$41,0))</f>
        <v>814</v>
      </c>
      <c r="M2576" s="16" t="n">
        <f aca="false">J2576*INDEX(Customers!$I$2:$I$41,MATCH(C2576,Customers!$A$2:$A$41,0))/365*Assumptions!$B$6</f>
        <v>1561.70735342466</v>
      </c>
      <c r="N2576" s="16" t="n">
        <f aca="false">J2576-K2576-L2576-M2576</f>
        <v>112816.477746575</v>
      </c>
      <c r="O2576" s="16" t="n">
        <f aca="false">F2576*IF(A2576="2025",INDEX(Products!$D$2:$D$13,MATCH(D2576,Products!$A$2:$A$13,0)),INDEX(Products!$F$2:$F$13,MATCH(D2576,Products!$A$2:$A$13,0)))</f>
        <v>55574</v>
      </c>
      <c r="P2576" s="16" t="n">
        <f aca="false">N2576-O2576</f>
        <v>57242.4777465753</v>
      </c>
    </row>
    <row r="2577" customFormat="false" ht="15" hidden="false" customHeight="false" outlineLevel="0" collapsed="false">
      <c r="A2577" s="2" t="s">
        <v>118</v>
      </c>
      <c r="B2577" s="2" t="n">
        <v>8</v>
      </c>
      <c r="C2577" s="2" t="s">
        <v>100</v>
      </c>
      <c r="D2577" s="2" t="s">
        <v>48</v>
      </c>
      <c r="E2577" s="2" t="str">
        <f aca="false">INDEX(Products!$B$2:$B$13,MATCH(D2577,Products!$A$2:$A$13,0))</f>
        <v>Specialty</v>
      </c>
      <c r="F2577" s="15" t="n">
        <v>3.5</v>
      </c>
      <c r="G2577" s="16" t="n">
        <f aca="false">IF(A2577="2025",INDEX(Products!$C$2:$C$13,MATCH(D2577,Products!$A$2:$A$13,0)),INDEX(Products!$E$2:$E$13,MATCH(D2577,Products!$A$2:$A$13,0)))</f>
        <v>33260</v>
      </c>
      <c r="H2577" s="13" t="n">
        <f aca="false">IF(A2577="2025",INDEX(Customers!$D$2:$D$41,MATCH(C2577,Customers!$A$2:$A$41,0)),INDEX(Customers!$F$2:$F$41,MATCH(C2577,Customers!$A$2:$A$41,0)))</f>
        <v>0.035</v>
      </c>
      <c r="I2577" s="16" t="n">
        <f aca="false">F2577*G2577</f>
        <v>116410</v>
      </c>
      <c r="J2577" s="16" t="n">
        <f aca="false">I2577*(1-H2577)</f>
        <v>112335.65</v>
      </c>
      <c r="K2577" s="16" t="n">
        <f aca="false">J2577*INDEX(Customers!$G$2:$G$41,MATCH(C2577,Customers!$A$2:$A$41,0))</f>
        <v>3370.0695</v>
      </c>
      <c r="L2577" s="16" t="n">
        <f aca="false">F2577*INDEX(Customers!$H$2:$H$41,MATCH(C2577,Customers!$A$2:$A$41,0))</f>
        <v>770</v>
      </c>
      <c r="M2577" s="16" t="n">
        <f aca="false">J2577*INDEX(Customers!$I$2:$I$41,MATCH(C2577,Customers!$A$2:$A$41,0))/365*Assumptions!$B$6</f>
        <v>1477.29073972603</v>
      </c>
      <c r="N2577" s="16" t="n">
        <f aca="false">J2577-K2577-L2577-M2577</f>
        <v>106718.289760274</v>
      </c>
      <c r="O2577" s="16" t="n">
        <f aca="false">F2577*IF(A2577="2025",INDEX(Products!$D$2:$D$13,MATCH(D2577,Products!$A$2:$A$13,0)),INDEX(Products!$F$2:$F$13,MATCH(D2577,Products!$A$2:$A$13,0)))</f>
        <v>52570</v>
      </c>
      <c r="P2577" s="16" t="n">
        <f aca="false">N2577-O2577</f>
        <v>54148.289760274</v>
      </c>
    </row>
    <row r="2578" customFormat="false" ht="15" hidden="false" customHeight="false" outlineLevel="0" collapsed="false">
      <c r="A2578" s="2" t="s">
        <v>118</v>
      </c>
      <c r="B2578" s="2" t="n">
        <v>9</v>
      </c>
      <c r="C2578" s="2" t="s">
        <v>100</v>
      </c>
      <c r="D2578" s="2" t="s">
        <v>48</v>
      </c>
      <c r="E2578" s="2" t="str">
        <f aca="false">INDEX(Products!$B$2:$B$13,MATCH(D2578,Products!$A$2:$A$13,0))</f>
        <v>Specialty</v>
      </c>
      <c r="F2578" s="15" t="n">
        <v>3.5</v>
      </c>
      <c r="G2578" s="16" t="n">
        <f aca="false">IF(A2578="2025",INDEX(Products!$C$2:$C$13,MATCH(D2578,Products!$A$2:$A$13,0)),INDEX(Products!$E$2:$E$13,MATCH(D2578,Products!$A$2:$A$13,0)))</f>
        <v>33260</v>
      </c>
      <c r="H2578" s="13" t="n">
        <f aca="false">IF(A2578="2025",INDEX(Customers!$D$2:$D$41,MATCH(C2578,Customers!$A$2:$A$41,0)),INDEX(Customers!$F$2:$F$41,MATCH(C2578,Customers!$A$2:$A$41,0)))</f>
        <v>0.035</v>
      </c>
      <c r="I2578" s="16" t="n">
        <f aca="false">F2578*G2578</f>
        <v>116410</v>
      </c>
      <c r="J2578" s="16" t="n">
        <f aca="false">I2578*(1-H2578)</f>
        <v>112335.65</v>
      </c>
      <c r="K2578" s="16" t="n">
        <f aca="false">J2578*INDEX(Customers!$G$2:$G$41,MATCH(C2578,Customers!$A$2:$A$41,0))</f>
        <v>3370.0695</v>
      </c>
      <c r="L2578" s="16" t="n">
        <f aca="false">F2578*INDEX(Customers!$H$2:$H$41,MATCH(C2578,Customers!$A$2:$A$41,0))</f>
        <v>770</v>
      </c>
      <c r="M2578" s="16" t="n">
        <f aca="false">J2578*INDEX(Customers!$I$2:$I$41,MATCH(C2578,Customers!$A$2:$A$41,0))/365*Assumptions!$B$6</f>
        <v>1477.29073972603</v>
      </c>
      <c r="N2578" s="16" t="n">
        <f aca="false">J2578-K2578-L2578-M2578</f>
        <v>106718.289760274</v>
      </c>
      <c r="O2578" s="16" t="n">
        <f aca="false">F2578*IF(A2578="2025",INDEX(Products!$D$2:$D$13,MATCH(D2578,Products!$A$2:$A$13,0)),INDEX(Products!$F$2:$F$13,MATCH(D2578,Products!$A$2:$A$13,0)))</f>
        <v>52570</v>
      </c>
      <c r="P2578" s="16" t="n">
        <f aca="false">N2578-O2578</f>
        <v>54148.289760274</v>
      </c>
    </row>
    <row r="2579" customFormat="false" ht="15" hidden="false" customHeight="false" outlineLevel="0" collapsed="false">
      <c r="A2579" s="2" t="s">
        <v>118</v>
      </c>
      <c r="B2579" s="2" t="n">
        <v>10</v>
      </c>
      <c r="C2579" s="2" t="s">
        <v>100</v>
      </c>
      <c r="D2579" s="2" t="s">
        <v>48</v>
      </c>
      <c r="E2579" s="2" t="str">
        <f aca="false">INDEX(Products!$B$2:$B$13,MATCH(D2579,Products!$A$2:$A$13,0))</f>
        <v>Specialty</v>
      </c>
      <c r="F2579" s="15" t="n">
        <v>3.2</v>
      </c>
      <c r="G2579" s="16" t="n">
        <f aca="false">IF(A2579="2025",INDEX(Products!$C$2:$C$13,MATCH(D2579,Products!$A$2:$A$13,0)),INDEX(Products!$E$2:$E$13,MATCH(D2579,Products!$A$2:$A$13,0)))</f>
        <v>33260</v>
      </c>
      <c r="H2579" s="13" t="n">
        <f aca="false">IF(A2579="2025",INDEX(Customers!$D$2:$D$41,MATCH(C2579,Customers!$A$2:$A$41,0)),INDEX(Customers!$F$2:$F$41,MATCH(C2579,Customers!$A$2:$A$41,0)))</f>
        <v>0.035</v>
      </c>
      <c r="I2579" s="16" t="n">
        <f aca="false">F2579*G2579</f>
        <v>106432</v>
      </c>
      <c r="J2579" s="16" t="n">
        <f aca="false">I2579*(1-H2579)</f>
        <v>102706.88</v>
      </c>
      <c r="K2579" s="16" t="n">
        <f aca="false">J2579*INDEX(Customers!$G$2:$G$41,MATCH(C2579,Customers!$A$2:$A$41,0))</f>
        <v>3081.2064</v>
      </c>
      <c r="L2579" s="16" t="n">
        <f aca="false">F2579*INDEX(Customers!$H$2:$H$41,MATCH(C2579,Customers!$A$2:$A$41,0))</f>
        <v>704</v>
      </c>
      <c r="M2579" s="16" t="n">
        <f aca="false">J2579*INDEX(Customers!$I$2:$I$41,MATCH(C2579,Customers!$A$2:$A$41,0))/365*Assumptions!$B$6</f>
        <v>1350.66581917808</v>
      </c>
      <c r="N2579" s="16" t="n">
        <f aca="false">J2579-K2579-L2579-M2579</f>
        <v>97571.0077808219</v>
      </c>
      <c r="O2579" s="16" t="n">
        <f aca="false">F2579*IF(A2579="2025",INDEX(Products!$D$2:$D$13,MATCH(D2579,Products!$A$2:$A$13,0)),INDEX(Products!$F$2:$F$13,MATCH(D2579,Products!$A$2:$A$13,0)))</f>
        <v>48064</v>
      </c>
      <c r="P2579" s="16" t="n">
        <f aca="false">N2579-O2579</f>
        <v>49507.0077808219</v>
      </c>
    </row>
    <row r="2580" customFormat="false" ht="15" hidden="false" customHeight="false" outlineLevel="0" collapsed="false">
      <c r="A2580" s="2" t="s">
        <v>118</v>
      </c>
      <c r="B2580" s="2" t="n">
        <v>11</v>
      </c>
      <c r="C2580" s="2" t="s">
        <v>100</v>
      </c>
      <c r="D2580" s="2" t="s">
        <v>48</v>
      </c>
      <c r="E2580" s="2" t="str">
        <f aca="false">INDEX(Products!$B$2:$B$13,MATCH(D2580,Products!$A$2:$A$13,0))</f>
        <v>Specialty</v>
      </c>
      <c r="F2580" s="15" t="n">
        <v>4.7</v>
      </c>
      <c r="G2580" s="16" t="n">
        <f aca="false">IF(A2580="2025",INDEX(Products!$C$2:$C$13,MATCH(D2580,Products!$A$2:$A$13,0)),INDEX(Products!$E$2:$E$13,MATCH(D2580,Products!$A$2:$A$13,0)))</f>
        <v>33260</v>
      </c>
      <c r="H2580" s="13" t="n">
        <f aca="false">IF(A2580="2025",INDEX(Customers!$D$2:$D$41,MATCH(C2580,Customers!$A$2:$A$41,0)),INDEX(Customers!$F$2:$F$41,MATCH(C2580,Customers!$A$2:$A$41,0)))</f>
        <v>0.035</v>
      </c>
      <c r="I2580" s="16" t="n">
        <f aca="false">F2580*G2580</f>
        <v>156322</v>
      </c>
      <c r="J2580" s="16" t="n">
        <f aca="false">I2580*(1-H2580)</f>
        <v>150850.73</v>
      </c>
      <c r="K2580" s="16" t="n">
        <f aca="false">J2580*INDEX(Customers!$G$2:$G$41,MATCH(C2580,Customers!$A$2:$A$41,0))</f>
        <v>4525.5219</v>
      </c>
      <c r="L2580" s="16" t="n">
        <f aca="false">F2580*INDEX(Customers!$H$2:$H$41,MATCH(C2580,Customers!$A$2:$A$41,0))</f>
        <v>1034</v>
      </c>
      <c r="M2580" s="16" t="n">
        <f aca="false">J2580*INDEX(Customers!$I$2:$I$41,MATCH(C2580,Customers!$A$2:$A$41,0))/365*Assumptions!$B$6</f>
        <v>1983.79042191781</v>
      </c>
      <c r="N2580" s="16" t="n">
        <f aca="false">J2580-K2580-L2580-M2580</f>
        <v>143307.417678082</v>
      </c>
      <c r="O2580" s="16" t="n">
        <f aca="false">F2580*IF(A2580="2025",INDEX(Products!$D$2:$D$13,MATCH(D2580,Products!$A$2:$A$13,0)),INDEX(Products!$F$2:$F$13,MATCH(D2580,Products!$A$2:$A$13,0)))</f>
        <v>70594</v>
      </c>
      <c r="P2580" s="16" t="n">
        <f aca="false">N2580-O2580</f>
        <v>72713.4176780822</v>
      </c>
    </row>
    <row r="2581" customFormat="false" ht="15" hidden="false" customHeight="false" outlineLevel="0" collapsed="false">
      <c r="A2581" s="2" t="s">
        <v>118</v>
      </c>
      <c r="B2581" s="2" t="n">
        <v>12</v>
      </c>
      <c r="C2581" s="2" t="s">
        <v>100</v>
      </c>
      <c r="D2581" s="2" t="s">
        <v>48</v>
      </c>
      <c r="E2581" s="2" t="str">
        <f aca="false">INDEX(Products!$B$2:$B$13,MATCH(D2581,Products!$A$2:$A$13,0))</f>
        <v>Specialty</v>
      </c>
      <c r="F2581" s="15" t="n">
        <v>2.8</v>
      </c>
      <c r="G2581" s="16" t="n">
        <f aca="false">IF(A2581="2025",INDEX(Products!$C$2:$C$13,MATCH(D2581,Products!$A$2:$A$13,0)),INDEX(Products!$E$2:$E$13,MATCH(D2581,Products!$A$2:$A$13,0)))</f>
        <v>33260</v>
      </c>
      <c r="H2581" s="13" t="n">
        <f aca="false">IF(A2581="2025",INDEX(Customers!$D$2:$D$41,MATCH(C2581,Customers!$A$2:$A$41,0)),INDEX(Customers!$F$2:$F$41,MATCH(C2581,Customers!$A$2:$A$41,0)))</f>
        <v>0.035</v>
      </c>
      <c r="I2581" s="16" t="n">
        <f aca="false">F2581*G2581</f>
        <v>93128</v>
      </c>
      <c r="J2581" s="16" t="n">
        <f aca="false">I2581*(1-H2581)</f>
        <v>89868.52</v>
      </c>
      <c r="K2581" s="16" t="n">
        <f aca="false">J2581*INDEX(Customers!$G$2:$G$41,MATCH(C2581,Customers!$A$2:$A$41,0))</f>
        <v>2696.0556</v>
      </c>
      <c r="L2581" s="16" t="n">
        <f aca="false">F2581*INDEX(Customers!$H$2:$H$41,MATCH(C2581,Customers!$A$2:$A$41,0))</f>
        <v>616</v>
      </c>
      <c r="M2581" s="16" t="n">
        <f aca="false">J2581*INDEX(Customers!$I$2:$I$41,MATCH(C2581,Customers!$A$2:$A$41,0))/365*Assumptions!$B$6</f>
        <v>1181.83259178082</v>
      </c>
      <c r="N2581" s="16" t="n">
        <f aca="false">J2581-K2581-L2581-M2581</f>
        <v>85374.6318082192</v>
      </c>
      <c r="O2581" s="16" t="n">
        <f aca="false">F2581*IF(A2581="2025",INDEX(Products!$D$2:$D$13,MATCH(D2581,Products!$A$2:$A$13,0)),INDEX(Products!$F$2:$F$13,MATCH(D2581,Products!$A$2:$A$13,0)))</f>
        <v>42056</v>
      </c>
      <c r="P2581" s="16" t="n">
        <f aca="false">N2581-O2581</f>
        <v>43318.6318082192</v>
      </c>
    </row>
    <row r="2582" customFormat="false" ht="15" hidden="false" customHeight="false" outlineLevel="0" collapsed="false">
      <c r="A2582" s="2" t="s">
        <v>119</v>
      </c>
      <c r="B2582" s="2" t="n">
        <v>1</v>
      </c>
      <c r="C2582" s="2" t="s">
        <v>100</v>
      </c>
      <c r="D2582" s="2" t="s">
        <v>48</v>
      </c>
      <c r="E2582" s="2" t="str">
        <f aca="false">INDEX(Products!$B$2:$B$13,MATCH(D2582,Products!$A$2:$A$13,0))</f>
        <v>Specialty</v>
      </c>
      <c r="F2582" s="15" t="n">
        <v>4.5</v>
      </c>
      <c r="G2582" s="16" t="n">
        <f aca="false">IF(A2582="2025",INDEX(Products!$C$2:$C$13,MATCH(D2582,Products!$A$2:$A$13,0)),INDEX(Products!$E$2:$E$13,MATCH(D2582,Products!$A$2:$A$13,0)))</f>
        <v>34923</v>
      </c>
      <c r="H2582" s="13" t="n">
        <f aca="false">IF(A2582="2025",INDEX(Customers!$D$2:$D$41,MATCH(C2582,Customers!$A$2:$A$41,0)),INDEX(Customers!$F$2:$F$41,MATCH(C2582,Customers!$A$2:$A$41,0)))</f>
        <v>0.067</v>
      </c>
      <c r="I2582" s="16" t="n">
        <f aca="false">F2582*G2582</f>
        <v>157153.5</v>
      </c>
      <c r="J2582" s="16" t="n">
        <f aca="false">I2582*(1-H2582)</f>
        <v>146624.2155</v>
      </c>
      <c r="K2582" s="16" t="n">
        <f aca="false">J2582*INDEX(Customers!$G$2:$G$41,MATCH(C2582,Customers!$A$2:$A$41,0))</f>
        <v>4398.726465</v>
      </c>
      <c r="L2582" s="16" t="n">
        <f aca="false">F2582*INDEX(Customers!$H$2:$H$41,MATCH(C2582,Customers!$A$2:$A$41,0))</f>
        <v>990</v>
      </c>
      <c r="M2582" s="16" t="n">
        <f aca="false">J2582*INDEX(Customers!$I$2:$I$41,MATCH(C2582,Customers!$A$2:$A$41,0))/365*Assumptions!$B$6</f>
        <v>1928.20886136986</v>
      </c>
      <c r="N2582" s="16" t="n">
        <f aca="false">J2582-K2582-L2582-M2582</f>
        <v>139307.28017363</v>
      </c>
      <c r="O2582" s="16" t="n">
        <f aca="false">F2582*IF(A2582="2025",INDEX(Products!$D$2:$D$13,MATCH(D2582,Products!$A$2:$A$13,0)),INDEX(Products!$F$2:$F$13,MATCH(D2582,Products!$A$2:$A$13,0)))</f>
        <v>69617.7</v>
      </c>
      <c r="P2582" s="16" t="n">
        <f aca="false">N2582-O2582</f>
        <v>69689.5801736301</v>
      </c>
    </row>
    <row r="2583" customFormat="false" ht="15" hidden="false" customHeight="false" outlineLevel="0" collapsed="false">
      <c r="A2583" s="2" t="s">
        <v>119</v>
      </c>
      <c r="B2583" s="2" t="n">
        <v>2</v>
      </c>
      <c r="C2583" s="2" t="s">
        <v>100</v>
      </c>
      <c r="D2583" s="2" t="s">
        <v>48</v>
      </c>
      <c r="E2583" s="2" t="str">
        <f aca="false">INDEX(Products!$B$2:$B$13,MATCH(D2583,Products!$A$2:$A$13,0))</f>
        <v>Specialty</v>
      </c>
      <c r="F2583" s="15" t="n">
        <v>3.3</v>
      </c>
      <c r="G2583" s="16" t="n">
        <f aca="false">IF(A2583="2025",INDEX(Products!$C$2:$C$13,MATCH(D2583,Products!$A$2:$A$13,0)),INDEX(Products!$E$2:$E$13,MATCH(D2583,Products!$A$2:$A$13,0)))</f>
        <v>34923</v>
      </c>
      <c r="H2583" s="13" t="n">
        <f aca="false">IF(A2583="2025",INDEX(Customers!$D$2:$D$41,MATCH(C2583,Customers!$A$2:$A$41,0)),INDEX(Customers!$F$2:$F$41,MATCH(C2583,Customers!$A$2:$A$41,0)))</f>
        <v>0.067</v>
      </c>
      <c r="I2583" s="16" t="n">
        <f aca="false">F2583*G2583</f>
        <v>115245.9</v>
      </c>
      <c r="J2583" s="16" t="n">
        <f aca="false">I2583*(1-H2583)</f>
        <v>107524.4247</v>
      </c>
      <c r="K2583" s="16" t="n">
        <f aca="false">J2583*INDEX(Customers!$G$2:$G$41,MATCH(C2583,Customers!$A$2:$A$41,0))</f>
        <v>3225.732741</v>
      </c>
      <c r="L2583" s="16" t="n">
        <f aca="false">F2583*INDEX(Customers!$H$2:$H$41,MATCH(C2583,Customers!$A$2:$A$41,0))</f>
        <v>726</v>
      </c>
      <c r="M2583" s="16" t="n">
        <f aca="false">J2583*INDEX(Customers!$I$2:$I$41,MATCH(C2583,Customers!$A$2:$A$41,0))/365*Assumptions!$B$6</f>
        <v>1414.01983167123</v>
      </c>
      <c r="N2583" s="16" t="n">
        <f aca="false">J2583-K2583-L2583-M2583</f>
        <v>102158.672127329</v>
      </c>
      <c r="O2583" s="16" t="n">
        <f aca="false">F2583*IF(A2583="2025",INDEX(Products!$D$2:$D$13,MATCH(D2583,Products!$A$2:$A$13,0)),INDEX(Products!$F$2:$F$13,MATCH(D2583,Products!$A$2:$A$13,0)))</f>
        <v>51052.98</v>
      </c>
      <c r="P2583" s="16" t="n">
        <f aca="false">N2583-O2583</f>
        <v>51105.6921273288</v>
      </c>
    </row>
    <row r="2584" customFormat="false" ht="15" hidden="false" customHeight="false" outlineLevel="0" collapsed="false">
      <c r="A2584" s="2" t="s">
        <v>119</v>
      </c>
      <c r="B2584" s="2" t="n">
        <v>3</v>
      </c>
      <c r="C2584" s="2" t="s">
        <v>100</v>
      </c>
      <c r="D2584" s="2" t="s">
        <v>48</v>
      </c>
      <c r="E2584" s="2" t="str">
        <f aca="false">INDEX(Products!$B$2:$B$13,MATCH(D2584,Products!$A$2:$A$13,0))</f>
        <v>Specialty</v>
      </c>
      <c r="F2584" s="15" t="n">
        <v>4.6</v>
      </c>
      <c r="G2584" s="16" t="n">
        <f aca="false">IF(A2584="2025",INDEX(Products!$C$2:$C$13,MATCH(D2584,Products!$A$2:$A$13,0)),INDEX(Products!$E$2:$E$13,MATCH(D2584,Products!$A$2:$A$13,0)))</f>
        <v>34923</v>
      </c>
      <c r="H2584" s="13" t="n">
        <f aca="false">IF(A2584="2025",INDEX(Customers!$D$2:$D$41,MATCH(C2584,Customers!$A$2:$A$41,0)),INDEX(Customers!$F$2:$F$41,MATCH(C2584,Customers!$A$2:$A$41,0)))</f>
        <v>0.067</v>
      </c>
      <c r="I2584" s="16" t="n">
        <f aca="false">F2584*G2584</f>
        <v>160645.8</v>
      </c>
      <c r="J2584" s="16" t="n">
        <f aca="false">I2584*(1-H2584)</f>
        <v>149882.5314</v>
      </c>
      <c r="K2584" s="16" t="n">
        <f aca="false">J2584*INDEX(Customers!$G$2:$G$41,MATCH(C2584,Customers!$A$2:$A$41,0))</f>
        <v>4496.475942</v>
      </c>
      <c r="L2584" s="16" t="n">
        <f aca="false">F2584*INDEX(Customers!$H$2:$H$41,MATCH(C2584,Customers!$A$2:$A$41,0))</f>
        <v>1012</v>
      </c>
      <c r="M2584" s="16" t="n">
        <f aca="false">J2584*INDEX(Customers!$I$2:$I$41,MATCH(C2584,Customers!$A$2:$A$41,0))/365*Assumptions!$B$6</f>
        <v>1971.05794717808</v>
      </c>
      <c r="N2584" s="16" t="n">
        <f aca="false">J2584-K2584-L2584-M2584</f>
        <v>142402.997510822</v>
      </c>
      <c r="O2584" s="16" t="n">
        <f aca="false">F2584*IF(A2584="2025",INDEX(Products!$D$2:$D$13,MATCH(D2584,Products!$A$2:$A$13,0)),INDEX(Products!$F$2:$F$13,MATCH(D2584,Products!$A$2:$A$13,0)))</f>
        <v>71164.76</v>
      </c>
      <c r="P2584" s="16" t="n">
        <f aca="false">N2584-O2584</f>
        <v>71238.2375108219</v>
      </c>
    </row>
    <row r="2585" customFormat="false" ht="15" hidden="false" customHeight="false" outlineLevel="0" collapsed="false">
      <c r="A2585" s="2" t="s">
        <v>119</v>
      </c>
      <c r="B2585" s="2" t="n">
        <v>4</v>
      </c>
      <c r="C2585" s="2" t="s">
        <v>100</v>
      </c>
      <c r="D2585" s="2" t="s">
        <v>48</v>
      </c>
      <c r="E2585" s="2" t="str">
        <f aca="false">INDEX(Products!$B$2:$B$13,MATCH(D2585,Products!$A$2:$A$13,0))</f>
        <v>Specialty</v>
      </c>
      <c r="F2585" s="15" t="n">
        <v>4.8</v>
      </c>
      <c r="G2585" s="16" t="n">
        <f aca="false">IF(A2585="2025",INDEX(Products!$C$2:$C$13,MATCH(D2585,Products!$A$2:$A$13,0)),INDEX(Products!$E$2:$E$13,MATCH(D2585,Products!$A$2:$A$13,0)))</f>
        <v>34923</v>
      </c>
      <c r="H2585" s="13" t="n">
        <f aca="false">IF(A2585="2025",INDEX(Customers!$D$2:$D$41,MATCH(C2585,Customers!$A$2:$A$41,0)),INDEX(Customers!$F$2:$F$41,MATCH(C2585,Customers!$A$2:$A$41,0)))</f>
        <v>0.067</v>
      </c>
      <c r="I2585" s="16" t="n">
        <f aca="false">F2585*G2585</f>
        <v>167630.4</v>
      </c>
      <c r="J2585" s="16" t="n">
        <f aca="false">I2585*(1-H2585)</f>
        <v>156399.1632</v>
      </c>
      <c r="K2585" s="16" t="n">
        <f aca="false">J2585*INDEX(Customers!$G$2:$G$41,MATCH(C2585,Customers!$A$2:$A$41,0))</f>
        <v>4691.974896</v>
      </c>
      <c r="L2585" s="16" t="n">
        <f aca="false">F2585*INDEX(Customers!$H$2:$H$41,MATCH(C2585,Customers!$A$2:$A$41,0))</f>
        <v>1056</v>
      </c>
      <c r="M2585" s="16" t="n">
        <f aca="false">J2585*INDEX(Customers!$I$2:$I$41,MATCH(C2585,Customers!$A$2:$A$41,0))/365*Assumptions!$B$6</f>
        <v>2056.75611879452</v>
      </c>
      <c r="N2585" s="16" t="n">
        <f aca="false">J2585-K2585-L2585-M2585</f>
        <v>148594.432185205</v>
      </c>
      <c r="O2585" s="16" t="n">
        <f aca="false">F2585*IF(A2585="2025",INDEX(Products!$D$2:$D$13,MATCH(D2585,Products!$A$2:$A$13,0)),INDEX(Products!$F$2:$F$13,MATCH(D2585,Products!$A$2:$A$13,0)))</f>
        <v>74258.88</v>
      </c>
      <c r="P2585" s="16" t="n">
        <f aca="false">N2585-O2585</f>
        <v>74335.5521852055</v>
      </c>
    </row>
    <row r="2586" customFormat="false" ht="15" hidden="false" customHeight="false" outlineLevel="0" collapsed="false">
      <c r="A2586" s="2" t="s">
        <v>119</v>
      </c>
      <c r="B2586" s="2" t="n">
        <v>5</v>
      </c>
      <c r="C2586" s="2" t="s">
        <v>100</v>
      </c>
      <c r="D2586" s="2" t="s">
        <v>48</v>
      </c>
      <c r="E2586" s="2" t="str">
        <f aca="false">INDEX(Products!$B$2:$B$13,MATCH(D2586,Products!$A$2:$A$13,0))</f>
        <v>Specialty</v>
      </c>
      <c r="F2586" s="15" t="n">
        <v>4.1</v>
      </c>
      <c r="G2586" s="16" t="n">
        <f aca="false">IF(A2586="2025",INDEX(Products!$C$2:$C$13,MATCH(D2586,Products!$A$2:$A$13,0)),INDEX(Products!$E$2:$E$13,MATCH(D2586,Products!$A$2:$A$13,0)))</f>
        <v>34923</v>
      </c>
      <c r="H2586" s="13" t="n">
        <f aca="false">IF(A2586="2025",INDEX(Customers!$D$2:$D$41,MATCH(C2586,Customers!$A$2:$A$41,0)),INDEX(Customers!$F$2:$F$41,MATCH(C2586,Customers!$A$2:$A$41,0)))</f>
        <v>0.067</v>
      </c>
      <c r="I2586" s="16" t="n">
        <f aca="false">F2586*G2586</f>
        <v>143184.3</v>
      </c>
      <c r="J2586" s="16" t="n">
        <f aca="false">I2586*(1-H2586)</f>
        <v>133590.9519</v>
      </c>
      <c r="K2586" s="16" t="n">
        <f aca="false">J2586*INDEX(Customers!$G$2:$G$41,MATCH(C2586,Customers!$A$2:$A$41,0))</f>
        <v>4007.728557</v>
      </c>
      <c r="L2586" s="16" t="n">
        <f aca="false">F2586*INDEX(Customers!$H$2:$H$41,MATCH(C2586,Customers!$A$2:$A$41,0))</f>
        <v>902</v>
      </c>
      <c r="M2586" s="16" t="n">
        <f aca="false">J2586*INDEX(Customers!$I$2:$I$41,MATCH(C2586,Customers!$A$2:$A$41,0))/365*Assumptions!$B$6</f>
        <v>1756.81251813699</v>
      </c>
      <c r="N2586" s="16" t="n">
        <f aca="false">J2586-K2586-L2586-M2586</f>
        <v>126924.410824863</v>
      </c>
      <c r="O2586" s="16" t="n">
        <f aca="false">F2586*IF(A2586="2025",INDEX(Products!$D$2:$D$13,MATCH(D2586,Products!$A$2:$A$13,0)),INDEX(Products!$F$2:$F$13,MATCH(D2586,Products!$A$2:$A$13,0)))</f>
        <v>63429.46</v>
      </c>
      <c r="P2586" s="16" t="n">
        <f aca="false">N2586-O2586</f>
        <v>63494.950824863</v>
      </c>
    </row>
    <row r="2587" customFormat="false" ht="15" hidden="false" customHeight="false" outlineLevel="0" collapsed="false">
      <c r="A2587" s="2" t="s">
        <v>119</v>
      </c>
      <c r="B2587" s="2" t="n">
        <v>6</v>
      </c>
      <c r="C2587" s="2" t="s">
        <v>100</v>
      </c>
      <c r="D2587" s="2" t="s">
        <v>48</v>
      </c>
      <c r="E2587" s="2" t="str">
        <f aca="false">INDEX(Products!$B$2:$B$13,MATCH(D2587,Products!$A$2:$A$13,0))</f>
        <v>Specialty</v>
      </c>
      <c r="F2587" s="15" t="n">
        <v>4.6</v>
      </c>
      <c r="G2587" s="16" t="n">
        <f aca="false">IF(A2587="2025",INDEX(Products!$C$2:$C$13,MATCH(D2587,Products!$A$2:$A$13,0)),INDEX(Products!$E$2:$E$13,MATCH(D2587,Products!$A$2:$A$13,0)))</f>
        <v>34923</v>
      </c>
      <c r="H2587" s="13" t="n">
        <f aca="false">IF(A2587="2025",INDEX(Customers!$D$2:$D$41,MATCH(C2587,Customers!$A$2:$A$41,0)),INDEX(Customers!$F$2:$F$41,MATCH(C2587,Customers!$A$2:$A$41,0)))</f>
        <v>0.067</v>
      </c>
      <c r="I2587" s="16" t="n">
        <f aca="false">F2587*G2587</f>
        <v>160645.8</v>
      </c>
      <c r="J2587" s="16" t="n">
        <f aca="false">I2587*(1-H2587)</f>
        <v>149882.5314</v>
      </c>
      <c r="K2587" s="16" t="n">
        <f aca="false">J2587*INDEX(Customers!$G$2:$G$41,MATCH(C2587,Customers!$A$2:$A$41,0))</f>
        <v>4496.475942</v>
      </c>
      <c r="L2587" s="16" t="n">
        <f aca="false">F2587*INDEX(Customers!$H$2:$H$41,MATCH(C2587,Customers!$A$2:$A$41,0))</f>
        <v>1012</v>
      </c>
      <c r="M2587" s="16" t="n">
        <f aca="false">J2587*INDEX(Customers!$I$2:$I$41,MATCH(C2587,Customers!$A$2:$A$41,0))/365*Assumptions!$B$6</f>
        <v>1971.05794717808</v>
      </c>
      <c r="N2587" s="16" t="n">
        <f aca="false">J2587-K2587-L2587-M2587</f>
        <v>142402.997510822</v>
      </c>
      <c r="O2587" s="16" t="n">
        <f aca="false">F2587*IF(A2587="2025",INDEX(Products!$D$2:$D$13,MATCH(D2587,Products!$A$2:$A$13,0)),INDEX(Products!$F$2:$F$13,MATCH(D2587,Products!$A$2:$A$13,0)))</f>
        <v>71164.76</v>
      </c>
      <c r="P2587" s="16" t="n">
        <f aca="false">N2587-O2587</f>
        <v>71238.2375108219</v>
      </c>
    </row>
    <row r="2588" customFormat="false" ht="15" hidden="false" customHeight="false" outlineLevel="0" collapsed="false">
      <c r="A2588" s="2" t="s">
        <v>119</v>
      </c>
      <c r="B2588" s="2" t="n">
        <v>7</v>
      </c>
      <c r="C2588" s="2" t="s">
        <v>100</v>
      </c>
      <c r="D2588" s="2" t="s">
        <v>48</v>
      </c>
      <c r="E2588" s="2" t="str">
        <f aca="false">INDEX(Products!$B$2:$B$13,MATCH(D2588,Products!$A$2:$A$13,0))</f>
        <v>Specialty</v>
      </c>
      <c r="F2588" s="15" t="n">
        <v>4.6</v>
      </c>
      <c r="G2588" s="16" t="n">
        <f aca="false">IF(A2588="2025",INDEX(Products!$C$2:$C$13,MATCH(D2588,Products!$A$2:$A$13,0)),INDEX(Products!$E$2:$E$13,MATCH(D2588,Products!$A$2:$A$13,0)))</f>
        <v>34923</v>
      </c>
      <c r="H2588" s="13" t="n">
        <f aca="false">IF(A2588="2025",INDEX(Customers!$D$2:$D$41,MATCH(C2588,Customers!$A$2:$A$41,0)),INDEX(Customers!$F$2:$F$41,MATCH(C2588,Customers!$A$2:$A$41,0)))</f>
        <v>0.067</v>
      </c>
      <c r="I2588" s="16" t="n">
        <f aca="false">F2588*G2588</f>
        <v>160645.8</v>
      </c>
      <c r="J2588" s="16" t="n">
        <f aca="false">I2588*(1-H2588)</f>
        <v>149882.5314</v>
      </c>
      <c r="K2588" s="16" t="n">
        <f aca="false">J2588*INDEX(Customers!$G$2:$G$41,MATCH(C2588,Customers!$A$2:$A$41,0))</f>
        <v>4496.475942</v>
      </c>
      <c r="L2588" s="16" t="n">
        <f aca="false">F2588*INDEX(Customers!$H$2:$H$41,MATCH(C2588,Customers!$A$2:$A$41,0))</f>
        <v>1012</v>
      </c>
      <c r="M2588" s="16" t="n">
        <f aca="false">J2588*INDEX(Customers!$I$2:$I$41,MATCH(C2588,Customers!$A$2:$A$41,0))/365*Assumptions!$B$6</f>
        <v>1971.05794717808</v>
      </c>
      <c r="N2588" s="16" t="n">
        <f aca="false">J2588-K2588-L2588-M2588</f>
        <v>142402.997510822</v>
      </c>
      <c r="O2588" s="16" t="n">
        <f aca="false">F2588*IF(A2588="2025",INDEX(Products!$D$2:$D$13,MATCH(D2588,Products!$A$2:$A$13,0)),INDEX(Products!$F$2:$F$13,MATCH(D2588,Products!$A$2:$A$13,0)))</f>
        <v>71164.76</v>
      </c>
      <c r="P2588" s="16" t="n">
        <f aca="false">N2588-O2588</f>
        <v>71238.2375108219</v>
      </c>
    </row>
    <row r="2589" customFormat="false" ht="15" hidden="false" customHeight="false" outlineLevel="0" collapsed="false">
      <c r="A2589" s="2" t="s">
        <v>119</v>
      </c>
      <c r="B2589" s="2" t="n">
        <v>8</v>
      </c>
      <c r="C2589" s="2" t="s">
        <v>100</v>
      </c>
      <c r="D2589" s="2" t="s">
        <v>48</v>
      </c>
      <c r="E2589" s="2" t="str">
        <f aca="false">INDEX(Products!$B$2:$B$13,MATCH(D2589,Products!$A$2:$A$13,0))</f>
        <v>Specialty</v>
      </c>
      <c r="F2589" s="15" t="n">
        <v>3.4</v>
      </c>
      <c r="G2589" s="16" t="n">
        <f aca="false">IF(A2589="2025",INDEX(Products!$C$2:$C$13,MATCH(D2589,Products!$A$2:$A$13,0)),INDEX(Products!$E$2:$E$13,MATCH(D2589,Products!$A$2:$A$13,0)))</f>
        <v>34923</v>
      </c>
      <c r="H2589" s="13" t="n">
        <f aca="false">IF(A2589="2025",INDEX(Customers!$D$2:$D$41,MATCH(C2589,Customers!$A$2:$A$41,0)),INDEX(Customers!$F$2:$F$41,MATCH(C2589,Customers!$A$2:$A$41,0)))</f>
        <v>0.067</v>
      </c>
      <c r="I2589" s="16" t="n">
        <f aca="false">F2589*G2589</f>
        <v>118738.2</v>
      </c>
      <c r="J2589" s="16" t="n">
        <f aca="false">I2589*(1-H2589)</f>
        <v>110782.7406</v>
      </c>
      <c r="K2589" s="16" t="n">
        <f aca="false">J2589*INDEX(Customers!$G$2:$G$41,MATCH(C2589,Customers!$A$2:$A$41,0))</f>
        <v>3323.482218</v>
      </c>
      <c r="L2589" s="16" t="n">
        <f aca="false">F2589*INDEX(Customers!$H$2:$H$41,MATCH(C2589,Customers!$A$2:$A$41,0))</f>
        <v>748</v>
      </c>
      <c r="M2589" s="16" t="n">
        <f aca="false">J2589*INDEX(Customers!$I$2:$I$41,MATCH(C2589,Customers!$A$2:$A$41,0))/365*Assumptions!$B$6</f>
        <v>1456.86891747945</v>
      </c>
      <c r="N2589" s="16" t="n">
        <f aca="false">J2589-K2589-L2589-M2589</f>
        <v>105254.389464521</v>
      </c>
      <c r="O2589" s="16" t="n">
        <f aca="false">F2589*IF(A2589="2025",INDEX(Products!$D$2:$D$13,MATCH(D2589,Products!$A$2:$A$13,0)),INDEX(Products!$F$2:$F$13,MATCH(D2589,Products!$A$2:$A$13,0)))</f>
        <v>52600.04</v>
      </c>
      <c r="P2589" s="16" t="n">
        <f aca="false">N2589-O2589</f>
        <v>52654.3494645205</v>
      </c>
    </row>
    <row r="2590" customFormat="false" ht="15" hidden="false" customHeight="false" outlineLevel="0" collapsed="false">
      <c r="A2590" s="2" t="s">
        <v>119</v>
      </c>
      <c r="B2590" s="2" t="n">
        <v>9</v>
      </c>
      <c r="C2590" s="2" t="s">
        <v>100</v>
      </c>
      <c r="D2590" s="2" t="s">
        <v>48</v>
      </c>
      <c r="E2590" s="2" t="str">
        <f aca="false">INDEX(Products!$B$2:$B$13,MATCH(D2590,Products!$A$2:$A$13,0))</f>
        <v>Specialty</v>
      </c>
      <c r="F2590" s="15" t="n">
        <v>2.9</v>
      </c>
      <c r="G2590" s="16" t="n">
        <f aca="false">IF(A2590="2025",INDEX(Products!$C$2:$C$13,MATCH(D2590,Products!$A$2:$A$13,0)),INDEX(Products!$E$2:$E$13,MATCH(D2590,Products!$A$2:$A$13,0)))</f>
        <v>34923</v>
      </c>
      <c r="H2590" s="13" t="n">
        <f aca="false">IF(A2590="2025",INDEX(Customers!$D$2:$D$41,MATCH(C2590,Customers!$A$2:$A$41,0)),INDEX(Customers!$F$2:$F$41,MATCH(C2590,Customers!$A$2:$A$41,0)))</f>
        <v>0.067</v>
      </c>
      <c r="I2590" s="16" t="n">
        <f aca="false">F2590*G2590</f>
        <v>101276.7</v>
      </c>
      <c r="J2590" s="16" t="n">
        <f aca="false">I2590*(1-H2590)</f>
        <v>94491.1611</v>
      </c>
      <c r="K2590" s="16" t="n">
        <f aca="false">J2590*INDEX(Customers!$G$2:$G$41,MATCH(C2590,Customers!$A$2:$A$41,0))</f>
        <v>2834.734833</v>
      </c>
      <c r="L2590" s="16" t="n">
        <f aca="false">F2590*INDEX(Customers!$H$2:$H$41,MATCH(C2590,Customers!$A$2:$A$41,0))</f>
        <v>638</v>
      </c>
      <c r="M2590" s="16" t="n">
        <f aca="false">J2590*INDEX(Customers!$I$2:$I$41,MATCH(C2590,Customers!$A$2:$A$41,0))/365*Assumptions!$B$6</f>
        <v>1242.62348843836</v>
      </c>
      <c r="N2590" s="16" t="n">
        <f aca="false">J2590-K2590-L2590-M2590</f>
        <v>89775.8027785616</v>
      </c>
      <c r="O2590" s="16" t="n">
        <f aca="false">F2590*IF(A2590="2025",INDEX(Products!$D$2:$D$13,MATCH(D2590,Products!$A$2:$A$13,0)),INDEX(Products!$F$2:$F$13,MATCH(D2590,Products!$A$2:$A$13,0)))</f>
        <v>44864.74</v>
      </c>
      <c r="P2590" s="16" t="n">
        <f aca="false">N2590-O2590</f>
        <v>44911.0627785616</v>
      </c>
    </row>
    <row r="2591" customFormat="false" ht="15" hidden="false" customHeight="false" outlineLevel="0" collapsed="false">
      <c r="A2591" s="2" t="s">
        <v>119</v>
      </c>
      <c r="B2591" s="2" t="n">
        <v>10</v>
      </c>
      <c r="C2591" s="2" t="s">
        <v>100</v>
      </c>
      <c r="D2591" s="2" t="s">
        <v>48</v>
      </c>
      <c r="E2591" s="2" t="str">
        <f aca="false">INDEX(Products!$B$2:$B$13,MATCH(D2591,Products!$A$2:$A$13,0))</f>
        <v>Specialty</v>
      </c>
      <c r="F2591" s="15" t="n">
        <v>4.8</v>
      </c>
      <c r="G2591" s="16" t="n">
        <f aca="false">IF(A2591="2025",INDEX(Products!$C$2:$C$13,MATCH(D2591,Products!$A$2:$A$13,0)),INDEX(Products!$E$2:$E$13,MATCH(D2591,Products!$A$2:$A$13,0)))</f>
        <v>34923</v>
      </c>
      <c r="H2591" s="13" t="n">
        <f aca="false">IF(A2591="2025",INDEX(Customers!$D$2:$D$41,MATCH(C2591,Customers!$A$2:$A$41,0)),INDEX(Customers!$F$2:$F$41,MATCH(C2591,Customers!$A$2:$A$41,0)))</f>
        <v>0.067</v>
      </c>
      <c r="I2591" s="16" t="n">
        <f aca="false">F2591*G2591</f>
        <v>167630.4</v>
      </c>
      <c r="J2591" s="16" t="n">
        <f aca="false">I2591*(1-H2591)</f>
        <v>156399.1632</v>
      </c>
      <c r="K2591" s="16" t="n">
        <f aca="false">J2591*INDEX(Customers!$G$2:$G$41,MATCH(C2591,Customers!$A$2:$A$41,0))</f>
        <v>4691.974896</v>
      </c>
      <c r="L2591" s="16" t="n">
        <f aca="false">F2591*INDEX(Customers!$H$2:$H$41,MATCH(C2591,Customers!$A$2:$A$41,0))</f>
        <v>1056</v>
      </c>
      <c r="M2591" s="16" t="n">
        <f aca="false">J2591*INDEX(Customers!$I$2:$I$41,MATCH(C2591,Customers!$A$2:$A$41,0))/365*Assumptions!$B$6</f>
        <v>2056.75611879452</v>
      </c>
      <c r="N2591" s="16" t="n">
        <f aca="false">J2591-K2591-L2591-M2591</f>
        <v>148594.432185205</v>
      </c>
      <c r="O2591" s="16" t="n">
        <f aca="false">F2591*IF(A2591="2025",INDEX(Products!$D$2:$D$13,MATCH(D2591,Products!$A$2:$A$13,0)),INDEX(Products!$F$2:$F$13,MATCH(D2591,Products!$A$2:$A$13,0)))</f>
        <v>74258.88</v>
      </c>
      <c r="P2591" s="16" t="n">
        <f aca="false">N2591-O2591</f>
        <v>74335.5521852055</v>
      </c>
    </row>
    <row r="2592" customFormat="false" ht="15" hidden="false" customHeight="false" outlineLevel="0" collapsed="false">
      <c r="A2592" s="2" t="s">
        <v>119</v>
      </c>
      <c r="B2592" s="2" t="n">
        <v>11</v>
      </c>
      <c r="C2592" s="2" t="s">
        <v>100</v>
      </c>
      <c r="D2592" s="2" t="s">
        <v>48</v>
      </c>
      <c r="E2592" s="2" t="str">
        <f aca="false">INDEX(Products!$B$2:$B$13,MATCH(D2592,Products!$A$2:$A$13,0))</f>
        <v>Specialty</v>
      </c>
      <c r="F2592" s="15" t="n">
        <v>4.3</v>
      </c>
      <c r="G2592" s="16" t="n">
        <f aca="false">IF(A2592="2025",INDEX(Products!$C$2:$C$13,MATCH(D2592,Products!$A$2:$A$13,0)),INDEX(Products!$E$2:$E$13,MATCH(D2592,Products!$A$2:$A$13,0)))</f>
        <v>34923</v>
      </c>
      <c r="H2592" s="13" t="n">
        <f aca="false">IF(A2592="2025",INDEX(Customers!$D$2:$D$41,MATCH(C2592,Customers!$A$2:$A$41,0)),INDEX(Customers!$F$2:$F$41,MATCH(C2592,Customers!$A$2:$A$41,0)))</f>
        <v>0.067</v>
      </c>
      <c r="I2592" s="16" t="n">
        <f aca="false">F2592*G2592</f>
        <v>150168.9</v>
      </c>
      <c r="J2592" s="16" t="n">
        <f aca="false">I2592*(1-H2592)</f>
        <v>140107.5837</v>
      </c>
      <c r="K2592" s="16" t="n">
        <f aca="false">J2592*INDEX(Customers!$G$2:$G$41,MATCH(C2592,Customers!$A$2:$A$41,0))</f>
        <v>4203.227511</v>
      </c>
      <c r="L2592" s="16" t="n">
        <f aca="false">F2592*INDEX(Customers!$H$2:$H$41,MATCH(C2592,Customers!$A$2:$A$41,0))</f>
        <v>946</v>
      </c>
      <c r="M2592" s="16" t="n">
        <f aca="false">J2592*INDEX(Customers!$I$2:$I$41,MATCH(C2592,Customers!$A$2:$A$41,0))/365*Assumptions!$B$6</f>
        <v>1842.51068975342</v>
      </c>
      <c r="N2592" s="16" t="n">
        <f aca="false">J2592-K2592-L2592-M2592</f>
        <v>133115.845499247</v>
      </c>
      <c r="O2592" s="16" t="n">
        <f aca="false">F2592*IF(A2592="2025",INDEX(Products!$D$2:$D$13,MATCH(D2592,Products!$A$2:$A$13,0)),INDEX(Products!$F$2:$F$13,MATCH(D2592,Products!$A$2:$A$13,0)))</f>
        <v>66523.58</v>
      </c>
      <c r="P2592" s="16" t="n">
        <f aca="false">N2592-O2592</f>
        <v>66592.2654992466</v>
      </c>
    </row>
    <row r="2593" customFormat="false" ht="15" hidden="false" customHeight="false" outlineLevel="0" collapsed="false">
      <c r="A2593" s="2" t="s">
        <v>119</v>
      </c>
      <c r="B2593" s="2" t="n">
        <v>12</v>
      </c>
      <c r="C2593" s="2" t="s">
        <v>100</v>
      </c>
      <c r="D2593" s="2" t="s">
        <v>48</v>
      </c>
      <c r="E2593" s="2" t="str">
        <f aca="false">INDEX(Products!$B$2:$B$13,MATCH(D2593,Products!$A$2:$A$13,0))</f>
        <v>Specialty</v>
      </c>
      <c r="F2593" s="15" t="n">
        <v>4.6</v>
      </c>
      <c r="G2593" s="16" t="n">
        <f aca="false">IF(A2593="2025",INDEX(Products!$C$2:$C$13,MATCH(D2593,Products!$A$2:$A$13,0)),INDEX(Products!$E$2:$E$13,MATCH(D2593,Products!$A$2:$A$13,0)))</f>
        <v>34923</v>
      </c>
      <c r="H2593" s="13" t="n">
        <f aca="false">IF(A2593="2025",INDEX(Customers!$D$2:$D$41,MATCH(C2593,Customers!$A$2:$A$41,0)),INDEX(Customers!$F$2:$F$41,MATCH(C2593,Customers!$A$2:$A$41,0)))</f>
        <v>0.067</v>
      </c>
      <c r="I2593" s="16" t="n">
        <f aca="false">F2593*G2593</f>
        <v>160645.8</v>
      </c>
      <c r="J2593" s="16" t="n">
        <f aca="false">I2593*(1-H2593)</f>
        <v>149882.5314</v>
      </c>
      <c r="K2593" s="16" t="n">
        <f aca="false">J2593*INDEX(Customers!$G$2:$G$41,MATCH(C2593,Customers!$A$2:$A$41,0))</f>
        <v>4496.475942</v>
      </c>
      <c r="L2593" s="16" t="n">
        <f aca="false">F2593*INDEX(Customers!$H$2:$H$41,MATCH(C2593,Customers!$A$2:$A$41,0))</f>
        <v>1012</v>
      </c>
      <c r="M2593" s="16" t="n">
        <f aca="false">J2593*INDEX(Customers!$I$2:$I$41,MATCH(C2593,Customers!$A$2:$A$41,0))/365*Assumptions!$B$6</f>
        <v>1971.05794717808</v>
      </c>
      <c r="N2593" s="16" t="n">
        <f aca="false">J2593-K2593-L2593-M2593</f>
        <v>142402.997510822</v>
      </c>
      <c r="O2593" s="16" t="n">
        <f aca="false">F2593*IF(A2593="2025",INDEX(Products!$D$2:$D$13,MATCH(D2593,Products!$A$2:$A$13,0)),INDEX(Products!$F$2:$F$13,MATCH(D2593,Products!$A$2:$A$13,0)))</f>
        <v>71164.76</v>
      </c>
      <c r="P2593" s="16" t="n">
        <f aca="false">N2593-O2593</f>
        <v>71238.2375108219</v>
      </c>
    </row>
    <row r="2594" customFormat="false" ht="15" hidden="false" customHeight="false" outlineLevel="0" collapsed="false">
      <c r="A2594" s="2" t="s">
        <v>118</v>
      </c>
      <c r="B2594" s="2" t="n">
        <v>1</v>
      </c>
      <c r="C2594" s="2" t="s">
        <v>100</v>
      </c>
      <c r="D2594" s="2" t="s">
        <v>37</v>
      </c>
      <c r="E2594" s="2" t="str">
        <f aca="false">INDEX(Products!$B$2:$B$13,MATCH(D2594,Products!$A$2:$A$13,0))</f>
        <v>FCC</v>
      </c>
      <c r="F2594" s="15" t="n">
        <v>9.9</v>
      </c>
      <c r="G2594" s="16" t="n">
        <f aca="false">IF(A2594="2025",INDEX(Products!$C$2:$C$13,MATCH(D2594,Products!$A$2:$A$13,0)),INDEX(Products!$E$2:$E$13,MATCH(D2594,Products!$A$2:$A$13,0)))</f>
        <v>3530</v>
      </c>
      <c r="H2594" s="13" t="n">
        <f aca="false">IF(A2594="2025",INDEX(Customers!$D$2:$D$41,MATCH(C2594,Customers!$A$2:$A$41,0)),INDEX(Customers!$F$2:$F$41,MATCH(C2594,Customers!$A$2:$A$41,0)))</f>
        <v>0.035</v>
      </c>
      <c r="I2594" s="16" t="n">
        <f aca="false">F2594*G2594</f>
        <v>34947</v>
      </c>
      <c r="J2594" s="16" t="n">
        <f aca="false">I2594*(1-H2594)</f>
        <v>33723.855</v>
      </c>
      <c r="K2594" s="16" t="n">
        <f aca="false">J2594*INDEX(Customers!$G$2:$G$41,MATCH(C2594,Customers!$A$2:$A$41,0))</f>
        <v>1011.71565</v>
      </c>
      <c r="L2594" s="16" t="n">
        <f aca="false">F2594*INDEX(Customers!$H$2:$H$41,MATCH(C2594,Customers!$A$2:$A$41,0))</f>
        <v>2178</v>
      </c>
      <c r="M2594" s="16" t="n">
        <f aca="false">J2594*INDEX(Customers!$I$2:$I$41,MATCH(C2594,Customers!$A$2:$A$41,0))/365*Assumptions!$B$6</f>
        <v>443.491791780822</v>
      </c>
      <c r="N2594" s="16" t="n">
        <f aca="false">J2594-K2594-L2594-M2594</f>
        <v>30090.6475582192</v>
      </c>
      <c r="O2594" s="16" t="n">
        <f aca="false">F2594*IF(A2594="2025",INDEX(Products!$D$2:$D$13,MATCH(D2594,Products!$A$2:$A$13,0)),INDEX(Products!$F$2:$F$13,MATCH(D2594,Products!$A$2:$A$13,0)))</f>
        <v>23859</v>
      </c>
      <c r="P2594" s="16" t="n">
        <f aca="false">N2594-O2594</f>
        <v>6231.64755821917</v>
      </c>
    </row>
    <row r="2595" customFormat="false" ht="15" hidden="false" customHeight="false" outlineLevel="0" collapsed="false">
      <c r="A2595" s="2" t="s">
        <v>118</v>
      </c>
      <c r="B2595" s="2" t="n">
        <v>2</v>
      </c>
      <c r="C2595" s="2" t="s">
        <v>100</v>
      </c>
      <c r="D2595" s="2" t="s">
        <v>37</v>
      </c>
      <c r="E2595" s="2" t="str">
        <f aca="false">INDEX(Products!$B$2:$B$13,MATCH(D2595,Products!$A$2:$A$13,0))</f>
        <v>FCC</v>
      </c>
      <c r="F2595" s="15" t="n">
        <v>16.3</v>
      </c>
      <c r="G2595" s="16" t="n">
        <f aca="false">IF(A2595="2025",INDEX(Products!$C$2:$C$13,MATCH(D2595,Products!$A$2:$A$13,0)),INDEX(Products!$E$2:$E$13,MATCH(D2595,Products!$A$2:$A$13,0)))</f>
        <v>3530</v>
      </c>
      <c r="H2595" s="13" t="n">
        <f aca="false">IF(A2595="2025",INDEX(Customers!$D$2:$D$41,MATCH(C2595,Customers!$A$2:$A$41,0)),INDEX(Customers!$F$2:$F$41,MATCH(C2595,Customers!$A$2:$A$41,0)))</f>
        <v>0.035</v>
      </c>
      <c r="I2595" s="16" t="n">
        <f aca="false">F2595*G2595</f>
        <v>57539</v>
      </c>
      <c r="J2595" s="16" t="n">
        <f aca="false">I2595*(1-H2595)</f>
        <v>55525.135</v>
      </c>
      <c r="K2595" s="16" t="n">
        <f aca="false">J2595*INDEX(Customers!$G$2:$G$41,MATCH(C2595,Customers!$A$2:$A$41,0))</f>
        <v>1665.75405</v>
      </c>
      <c r="L2595" s="16" t="n">
        <f aca="false">F2595*INDEX(Customers!$H$2:$H$41,MATCH(C2595,Customers!$A$2:$A$41,0))</f>
        <v>3586</v>
      </c>
      <c r="M2595" s="16" t="n">
        <f aca="false">J2595*INDEX(Customers!$I$2:$I$41,MATCH(C2595,Customers!$A$2:$A$41,0))/365*Assumptions!$B$6</f>
        <v>730.193556164384</v>
      </c>
      <c r="N2595" s="16" t="n">
        <f aca="false">J2595-K2595-L2595-M2595</f>
        <v>49543.1873938356</v>
      </c>
      <c r="O2595" s="16" t="n">
        <f aca="false">F2595*IF(A2595="2025",INDEX(Products!$D$2:$D$13,MATCH(D2595,Products!$A$2:$A$13,0)),INDEX(Products!$F$2:$F$13,MATCH(D2595,Products!$A$2:$A$13,0)))</f>
        <v>39283</v>
      </c>
      <c r="P2595" s="16" t="n">
        <f aca="false">N2595-O2595</f>
        <v>10260.1873938356</v>
      </c>
    </row>
    <row r="2596" customFormat="false" ht="15" hidden="false" customHeight="false" outlineLevel="0" collapsed="false">
      <c r="A2596" s="2" t="s">
        <v>118</v>
      </c>
      <c r="B2596" s="2" t="n">
        <v>3</v>
      </c>
      <c r="C2596" s="2" t="s">
        <v>100</v>
      </c>
      <c r="D2596" s="2" t="s">
        <v>37</v>
      </c>
      <c r="E2596" s="2" t="str">
        <f aca="false">INDEX(Products!$B$2:$B$13,MATCH(D2596,Products!$A$2:$A$13,0))</f>
        <v>FCC</v>
      </c>
      <c r="F2596" s="15" t="n">
        <v>16.3</v>
      </c>
      <c r="G2596" s="16" t="n">
        <f aca="false">IF(A2596="2025",INDEX(Products!$C$2:$C$13,MATCH(D2596,Products!$A$2:$A$13,0)),INDEX(Products!$E$2:$E$13,MATCH(D2596,Products!$A$2:$A$13,0)))</f>
        <v>3530</v>
      </c>
      <c r="H2596" s="13" t="n">
        <f aca="false">IF(A2596="2025",INDEX(Customers!$D$2:$D$41,MATCH(C2596,Customers!$A$2:$A$41,0)),INDEX(Customers!$F$2:$F$41,MATCH(C2596,Customers!$A$2:$A$41,0)))</f>
        <v>0.035</v>
      </c>
      <c r="I2596" s="16" t="n">
        <f aca="false">F2596*G2596</f>
        <v>57539</v>
      </c>
      <c r="J2596" s="16" t="n">
        <f aca="false">I2596*(1-H2596)</f>
        <v>55525.135</v>
      </c>
      <c r="K2596" s="16" t="n">
        <f aca="false">J2596*INDEX(Customers!$G$2:$G$41,MATCH(C2596,Customers!$A$2:$A$41,0))</f>
        <v>1665.75405</v>
      </c>
      <c r="L2596" s="16" t="n">
        <f aca="false">F2596*INDEX(Customers!$H$2:$H$41,MATCH(C2596,Customers!$A$2:$A$41,0))</f>
        <v>3586</v>
      </c>
      <c r="M2596" s="16" t="n">
        <f aca="false">J2596*INDEX(Customers!$I$2:$I$41,MATCH(C2596,Customers!$A$2:$A$41,0))/365*Assumptions!$B$6</f>
        <v>730.193556164384</v>
      </c>
      <c r="N2596" s="16" t="n">
        <f aca="false">J2596-K2596-L2596-M2596</f>
        <v>49543.1873938356</v>
      </c>
      <c r="O2596" s="16" t="n">
        <f aca="false">F2596*IF(A2596="2025",INDEX(Products!$D$2:$D$13,MATCH(D2596,Products!$A$2:$A$13,0)),INDEX(Products!$F$2:$F$13,MATCH(D2596,Products!$A$2:$A$13,0)))</f>
        <v>39283</v>
      </c>
      <c r="P2596" s="16" t="n">
        <f aca="false">N2596-O2596</f>
        <v>10260.1873938356</v>
      </c>
    </row>
    <row r="2597" customFormat="false" ht="15" hidden="false" customHeight="false" outlineLevel="0" collapsed="false">
      <c r="A2597" s="2" t="s">
        <v>118</v>
      </c>
      <c r="B2597" s="2" t="n">
        <v>4</v>
      </c>
      <c r="C2597" s="2" t="s">
        <v>100</v>
      </c>
      <c r="D2597" s="2" t="s">
        <v>37</v>
      </c>
      <c r="E2597" s="2" t="str">
        <f aca="false">INDEX(Products!$B$2:$B$13,MATCH(D2597,Products!$A$2:$A$13,0))</f>
        <v>FCC</v>
      </c>
      <c r="F2597" s="15" t="n">
        <v>16</v>
      </c>
      <c r="G2597" s="16" t="n">
        <f aca="false">IF(A2597="2025",INDEX(Products!$C$2:$C$13,MATCH(D2597,Products!$A$2:$A$13,0)),INDEX(Products!$E$2:$E$13,MATCH(D2597,Products!$A$2:$A$13,0)))</f>
        <v>3530</v>
      </c>
      <c r="H2597" s="13" t="n">
        <f aca="false">IF(A2597="2025",INDEX(Customers!$D$2:$D$41,MATCH(C2597,Customers!$A$2:$A$41,0)),INDEX(Customers!$F$2:$F$41,MATCH(C2597,Customers!$A$2:$A$41,0)))</f>
        <v>0.035</v>
      </c>
      <c r="I2597" s="16" t="n">
        <f aca="false">F2597*G2597</f>
        <v>56480</v>
      </c>
      <c r="J2597" s="16" t="n">
        <f aca="false">I2597*(1-H2597)</f>
        <v>54503.2</v>
      </c>
      <c r="K2597" s="16" t="n">
        <f aca="false">J2597*INDEX(Customers!$G$2:$G$41,MATCH(C2597,Customers!$A$2:$A$41,0))</f>
        <v>1635.096</v>
      </c>
      <c r="L2597" s="16" t="n">
        <f aca="false">F2597*INDEX(Customers!$H$2:$H$41,MATCH(C2597,Customers!$A$2:$A$41,0))</f>
        <v>3520</v>
      </c>
      <c r="M2597" s="16" t="n">
        <f aca="false">J2597*INDEX(Customers!$I$2:$I$41,MATCH(C2597,Customers!$A$2:$A$41,0))/365*Assumptions!$B$6</f>
        <v>716.754410958904</v>
      </c>
      <c r="N2597" s="16" t="n">
        <f aca="false">J2597-K2597-L2597-M2597</f>
        <v>48631.3495890411</v>
      </c>
      <c r="O2597" s="16" t="n">
        <f aca="false">F2597*IF(A2597="2025",INDEX(Products!$D$2:$D$13,MATCH(D2597,Products!$A$2:$A$13,0)),INDEX(Products!$F$2:$F$13,MATCH(D2597,Products!$A$2:$A$13,0)))</f>
        <v>38560</v>
      </c>
      <c r="P2597" s="16" t="n">
        <f aca="false">N2597-O2597</f>
        <v>10071.3495890411</v>
      </c>
    </row>
    <row r="2598" customFormat="false" ht="15" hidden="false" customHeight="false" outlineLevel="0" collapsed="false">
      <c r="A2598" s="2" t="s">
        <v>118</v>
      </c>
      <c r="B2598" s="2" t="n">
        <v>5</v>
      </c>
      <c r="C2598" s="2" t="s">
        <v>100</v>
      </c>
      <c r="D2598" s="2" t="s">
        <v>37</v>
      </c>
      <c r="E2598" s="2" t="str">
        <f aca="false">INDEX(Products!$B$2:$B$13,MATCH(D2598,Products!$A$2:$A$13,0))</f>
        <v>FCC</v>
      </c>
      <c r="F2598" s="15" t="n">
        <v>18.2</v>
      </c>
      <c r="G2598" s="16" t="n">
        <f aca="false">IF(A2598="2025",INDEX(Products!$C$2:$C$13,MATCH(D2598,Products!$A$2:$A$13,0)),INDEX(Products!$E$2:$E$13,MATCH(D2598,Products!$A$2:$A$13,0)))</f>
        <v>3530</v>
      </c>
      <c r="H2598" s="13" t="n">
        <f aca="false">IF(A2598="2025",INDEX(Customers!$D$2:$D$41,MATCH(C2598,Customers!$A$2:$A$41,0)),INDEX(Customers!$F$2:$F$41,MATCH(C2598,Customers!$A$2:$A$41,0)))</f>
        <v>0.035</v>
      </c>
      <c r="I2598" s="16" t="n">
        <f aca="false">F2598*G2598</f>
        <v>64246</v>
      </c>
      <c r="J2598" s="16" t="n">
        <f aca="false">I2598*(1-H2598)</f>
        <v>61997.39</v>
      </c>
      <c r="K2598" s="16" t="n">
        <f aca="false">J2598*INDEX(Customers!$G$2:$G$41,MATCH(C2598,Customers!$A$2:$A$41,0))</f>
        <v>1859.9217</v>
      </c>
      <c r="L2598" s="16" t="n">
        <f aca="false">F2598*INDEX(Customers!$H$2:$H$41,MATCH(C2598,Customers!$A$2:$A$41,0))</f>
        <v>4004</v>
      </c>
      <c r="M2598" s="16" t="n">
        <f aca="false">J2598*INDEX(Customers!$I$2:$I$41,MATCH(C2598,Customers!$A$2:$A$41,0))/365*Assumptions!$B$6</f>
        <v>815.308142465753</v>
      </c>
      <c r="N2598" s="16" t="n">
        <f aca="false">J2598-K2598-L2598-M2598</f>
        <v>55318.1601575343</v>
      </c>
      <c r="O2598" s="16" t="n">
        <f aca="false">F2598*IF(A2598="2025",INDEX(Products!$D$2:$D$13,MATCH(D2598,Products!$A$2:$A$13,0)),INDEX(Products!$F$2:$F$13,MATCH(D2598,Products!$A$2:$A$13,0)))</f>
        <v>43862</v>
      </c>
      <c r="P2598" s="16" t="n">
        <f aca="false">N2598-O2598</f>
        <v>11456.1601575343</v>
      </c>
    </row>
    <row r="2599" customFormat="false" ht="15" hidden="false" customHeight="false" outlineLevel="0" collapsed="false">
      <c r="A2599" s="2" t="s">
        <v>118</v>
      </c>
      <c r="B2599" s="2" t="n">
        <v>6</v>
      </c>
      <c r="C2599" s="2" t="s">
        <v>100</v>
      </c>
      <c r="D2599" s="2" t="s">
        <v>37</v>
      </c>
      <c r="E2599" s="2" t="str">
        <f aca="false">INDEX(Products!$B$2:$B$13,MATCH(D2599,Products!$A$2:$A$13,0))</f>
        <v>FCC</v>
      </c>
      <c r="F2599" s="15" t="n">
        <v>17.6</v>
      </c>
      <c r="G2599" s="16" t="n">
        <f aca="false">IF(A2599="2025",INDEX(Products!$C$2:$C$13,MATCH(D2599,Products!$A$2:$A$13,0)),INDEX(Products!$E$2:$E$13,MATCH(D2599,Products!$A$2:$A$13,0)))</f>
        <v>3530</v>
      </c>
      <c r="H2599" s="13" t="n">
        <f aca="false">IF(A2599="2025",INDEX(Customers!$D$2:$D$41,MATCH(C2599,Customers!$A$2:$A$41,0)),INDEX(Customers!$F$2:$F$41,MATCH(C2599,Customers!$A$2:$A$41,0)))</f>
        <v>0.035</v>
      </c>
      <c r="I2599" s="16" t="n">
        <f aca="false">F2599*G2599</f>
        <v>62128</v>
      </c>
      <c r="J2599" s="16" t="n">
        <f aca="false">I2599*(1-H2599)</f>
        <v>59953.52</v>
      </c>
      <c r="K2599" s="16" t="n">
        <f aca="false">J2599*INDEX(Customers!$G$2:$G$41,MATCH(C2599,Customers!$A$2:$A$41,0))</f>
        <v>1798.6056</v>
      </c>
      <c r="L2599" s="16" t="n">
        <f aca="false">F2599*INDEX(Customers!$H$2:$H$41,MATCH(C2599,Customers!$A$2:$A$41,0))</f>
        <v>3872</v>
      </c>
      <c r="M2599" s="16" t="n">
        <f aca="false">J2599*INDEX(Customers!$I$2:$I$41,MATCH(C2599,Customers!$A$2:$A$41,0))/365*Assumptions!$B$6</f>
        <v>788.429852054795</v>
      </c>
      <c r="N2599" s="16" t="n">
        <f aca="false">J2599-K2599-L2599-M2599</f>
        <v>53494.4845479452</v>
      </c>
      <c r="O2599" s="16" t="n">
        <f aca="false">F2599*IF(A2599="2025",INDEX(Products!$D$2:$D$13,MATCH(D2599,Products!$A$2:$A$13,0)),INDEX(Products!$F$2:$F$13,MATCH(D2599,Products!$A$2:$A$13,0)))</f>
        <v>42416</v>
      </c>
      <c r="P2599" s="16" t="n">
        <f aca="false">N2599-O2599</f>
        <v>11078.4845479452</v>
      </c>
    </row>
    <row r="2600" customFormat="false" ht="15" hidden="false" customHeight="false" outlineLevel="0" collapsed="false">
      <c r="A2600" s="2" t="s">
        <v>118</v>
      </c>
      <c r="B2600" s="2" t="n">
        <v>7</v>
      </c>
      <c r="C2600" s="2" t="s">
        <v>100</v>
      </c>
      <c r="D2600" s="2" t="s">
        <v>37</v>
      </c>
      <c r="E2600" s="2" t="str">
        <f aca="false">INDEX(Products!$B$2:$B$13,MATCH(D2600,Products!$A$2:$A$13,0))</f>
        <v>FCC</v>
      </c>
      <c r="F2600" s="15" t="n">
        <v>17.3</v>
      </c>
      <c r="G2600" s="16" t="n">
        <f aca="false">IF(A2600="2025",INDEX(Products!$C$2:$C$13,MATCH(D2600,Products!$A$2:$A$13,0)),INDEX(Products!$E$2:$E$13,MATCH(D2600,Products!$A$2:$A$13,0)))</f>
        <v>3530</v>
      </c>
      <c r="H2600" s="13" t="n">
        <f aca="false">IF(A2600="2025",INDEX(Customers!$D$2:$D$41,MATCH(C2600,Customers!$A$2:$A$41,0)),INDEX(Customers!$F$2:$F$41,MATCH(C2600,Customers!$A$2:$A$41,0)))</f>
        <v>0.035</v>
      </c>
      <c r="I2600" s="16" t="n">
        <f aca="false">F2600*G2600</f>
        <v>61069</v>
      </c>
      <c r="J2600" s="16" t="n">
        <f aca="false">I2600*(1-H2600)</f>
        <v>58931.585</v>
      </c>
      <c r="K2600" s="16" t="n">
        <f aca="false">J2600*INDEX(Customers!$G$2:$G$41,MATCH(C2600,Customers!$A$2:$A$41,0))</f>
        <v>1767.94755</v>
      </c>
      <c r="L2600" s="16" t="n">
        <f aca="false">F2600*INDEX(Customers!$H$2:$H$41,MATCH(C2600,Customers!$A$2:$A$41,0))</f>
        <v>3806</v>
      </c>
      <c r="M2600" s="16" t="n">
        <f aca="false">J2600*INDEX(Customers!$I$2:$I$41,MATCH(C2600,Customers!$A$2:$A$41,0))/365*Assumptions!$B$6</f>
        <v>774.990706849315</v>
      </c>
      <c r="N2600" s="16" t="n">
        <f aca="false">J2600-K2600-L2600-M2600</f>
        <v>52582.6467431507</v>
      </c>
      <c r="O2600" s="16" t="n">
        <f aca="false">F2600*IF(A2600="2025",INDEX(Products!$D$2:$D$13,MATCH(D2600,Products!$A$2:$A$13,0)),INDEX(Products!$F$2:$F$13,MATCH(D2600,Products!$A$2:$A$13,0)))</f>
        <v>41693</v>
      </c>
      <c r="P2600" s="16" t="n">
        <f aca="false">N2600-O2600</f>
        <v>10889.6467431507</v>
      </c>
    </row>
    <row r="2601" customFormat="false" ht="15" hidden="false" customHeight="false" outlineLevel="0" collapsed="false">
      <c r="A2601" s="2" t="s">
        <v>118</v>
      </c>
      <c r="B2601" s="2" t="n">
        <v>8</v>
      </c>
      <c r="C2601" s="2" t="s">
        <v>100</v>
      </c>
      <c r="D2601" s="2" t="s">
        <v>37</v>
      </c>
      <c r="E2601" s="2" t="str">
        <f aca="false">INDEX(Products!$B$2:$B$13,MATCH(D2601,Products!$A$2:$A$13,0))</f>
        <v>FCC</v>
      </c>
      <c r="F2601" s="15" t="n">
        <v>12.9</v>
      </c>
      <c r="G2601" s="16" t="n">
        <f aca="false">IF(A2601="2025",INDEX(Products!$C$2:$C$13,MATCH(D2601,Products!$A$2:$A$13,0)),INDEX(Products!$E$2:$E$13,MATCH(D2601,Products!$A$2:$A$13,0)))</f>
        <v>3530</v>
      </c>
      <c r="H2601" s="13" t="n">
        <f aca="false">IF(A2601="2025",INDEX(Customers!$D$2:$D$41,MATCH(C2601,Customers!$A$2:$A$41,0)),INDEX(Customers!$F$2:$F$41,MATCH(C2601,Customers!$A$2:$A$41,0)))</f>
        <v>0.035</v>
      </c>
      <c r="I2601" s="16" t="n">
        <f aca="false">F2601*G2601</f>
        <v>45537</v>
      </c>
      <c r="J2601" s="16" t="n">
        <f aca="false">I2601*(1-H2601)</f>
        <v>43943.205</v>
      </c>
      <c r="K2601" s="16" t="n">
        <f aca="false">J2601*INDEX(Customers!$G$2:$G$41,MATCH(C2601,Customers!$A$2:$A$41,0))</f>
        <v>1318.29615</v>
      </c>
      <c r="L2601" s="16" t="n">
        <f aca="false">F2601*INDEX(Customers!$H$2:$H$41,MATCH(C2601,Customers!$A$2:$A$41,0))</f>
        <v>2838</v>
      </c>
      <c r="M2601" s="16" t="n">
        <f aca="false">J2601*INDEX(Customers!$I$2:$I$41,MATCH(C2601,Customers!$A$2:$A$41,0))/365*Assumptions!$B$6</f>
        <v>577.883243835617</v>
      </c>
      <c r="N2601" s="16" t="n">
        <f aca="false">J2601-K2601-L2601-M2601</f>
        <v>39209.0256061644</v>
      </c>
      <c r="O2601" s="16" t="n">
        <f aca="false">F2601*IF(A2601="2025",INDEX(Products!$D$2:$D$13,MATCH(D2601,Products!$A$2:$A$13,0)),INDEX(Products!$F$2:$F$13,MATCH(D2601,Products!$A$2:$A$13,0)))</f>
        <v>31089</v>
      </c>
      <c r="P2601" s="16" t="n">
        <f aca="false">N2601-O2601</f>
        <v>8120.02560616438</v>
      </c>
    </row>
    <row r="2602" customFormat="false" ht="15" hidden="false" customHeight="false" outlineLevel="0" collapsed="false">
      <c r="A2602" s="2" t="s">
        <v>118</v>
      </c>
      <c r="B2602" s="2" t="n">
        <v>9</v>
      </c>
      <c r="C2602" s="2" t="s">
        <v>100</v>
      </c>
      <c r="D2602" s="2" t="s">
        <v>37</v>
      </c>
      <c r="E2602" s="2" t="str">
        <f aca="false">INDEX(Products!$B$2:$B$13,MATCH(D2602,Products!$A$2:$A$13,0))</f>
        <v>FCC</v>
      </c>
      <c r="F2602" s="15" t="n">
        <v>11.3</v>
      </c>
      <c r="G2602" s="16" t="n">
        <f aca="false">IF(A2602="2025",INDEX(Products!$C$2:$C$13,MATCH(D2602,Products!$A$2:$A$13,0)),INDEX(Products!$E$2:$E$13,MATCH(D2602,Products!$A$2:$A$13,0)))</f>
        <v>3530</v>
      </c>
      <c r="H2602" s="13" t="n">
        <f aca="false">IF(A2602="2025",INDEX(Customers!$D$2:$D$41,MATCH(C2602,Customers!$A$2:$A$41,0)),INDEX(Customers!$F$2:$F$41,MATCH(C2602,Customers!$A$2:$A$41,0)))</f>
        <v>0.035</v>
      </c>
      <c r="I2602" s="16" t="n">
        <f aca="false">F2602*G2602</f>
        <v>39889</v>
      </c>
      <c r="J2602" s="16" t="n">
        <f aca="false">I2602*(1-H2602)</f>
        <v>38492.885</v>
      </c>
      <c r="K2602" s="16" t="n">
        <f aca="false">J2602*INDEX(Customers!$G$2:$G$41,MATCH(C2602,Customers!$A$2:$A$41,0))</f>
        <v>1154.78655</v>
      </c>
      <c r="L2602" s="16" t="n">
        <f aca="false">F2602*INDEX(Customers!$H$2:$H$41,MATCH(C2602,Customers!$A$2:$A$41,0))</f>
        <v>2486</v>
      </c>
      <c r="M2602" s="16" t="n">
        <f aca="false">J2602*INDEX(Customers!$I$2:$I$41,MATCH(C2602,Customers!$A$2:$A$41,0))/365*Assumptions!$B$6</f>
        <v>506.207802739726</v>
      </c>
      <c r="N2602" s="16" t="n">
        <f aca="false">J2602-K2602-L2602-M2602</f>
        <v>34345.8906472603</v>
      </c>
      <c r="O2602" s="16" t="n">
        <f aca="false">F2602*IF(A2602="2025",INDEX(Products!$D$2:$D$13,MATCH(D2602,Products!$A$2:$A$13,0)),INDEX(Products!$F$2:$F$13,MATCH(D2602,Products!$A$2:$A$13,0)))</f>
        <v>27233</v>
      </c>
      <c r="P2602" s="16" t="n">
        <f aca="false">N2602-O2602</f>
        <v>7112.89064726028</v>
      </c>
    </row>
    <row r="2603" customFormat="false" ht="15" hidden="false" customHeight="false" outlineLevel="0" collapsed="false">
      <c r="A2603" s="2" t="s">
        <v>118</v>
      </c>
      <c r="B2603" s="2" t="n">
        <v>10</v>
      </c>
      <c r="C2603" s="2" t="s">
        <v>100</v>
      </c>
      <c r="D2603" s="2" t="s">
        <v>37</v>
      </c>
      <c r="E2603" s="2" t="str">
        <f aca="false">INDEX(Products!$B$2:$B$13,MATCH(D2603,Products!$A$2:$A$13,0))</f>
        <v>FCC</v>
      </c>
      <c r="F2603" s="15" t="n">
        <v>13.5</v>
      </c>
      <c r="G2603" s="16" t="n">
        <f aca="false">IF(A2603="2025",INDEX(Products!$C$2:$C$13,MATCH(D2603,Products!$A$2:$A$13,0)),INDEX(Products!$E$2:$E$13,MATCH(D2603,Products!$A$2:$A$13,0)))</f>
        <v>3530</v>
      </c>
      <c r="H2603" s="13" t="n">
        <f aca="false">IF(A2603="2025",INDEX(Customers!$D$2:$D$41,MATCH(C2603,Customers!$A$2:$A$41,0)),INDEX(Customers!$F$2:$F$41,MATCH(C2603,Customers!$A$2:$A$41,0)))</f>
        <v>0.035</v>
      </c>
      <c r="I2603" s="16" t="n">
        <f aca="false">F2603*G2603</f>
        <v>47655</v>
      </c>
      <c r="J2603" s="16" t="n">
        <f aca="false">I2603*(1-H2603)</f>
        <v>45987.075</v>
      </c>
      <c r="K2603" s="16" t="n">
        <f aca="false">J2603*INDEX(Customers!$G$2:$G$41,MATCH(C2603,Customers!$A$2:$A$41,0))</f>
        <v>1379.61225</v>
      </c>
      <c r="L2603" s="16" t="n">
        <f aca="false">F2603*INDEX(Customers!$H$2:$H$41,MATCH(C2603,Customers!$A$2:$A$41,0))</f>
        <v>2970</v>
      </c>
      <c r="M2603" s="16" t="n">
        <f aca="false">J2603*INDEX(Customers!$I$2:$I$41,MATCH(C2603,Customers!$A$2:$A$41,0))/365*Assumptions!$B$6</f>
        <v>604.761534246575</v>
      </c>
      <c r="N2603" s="16" t="n">
        <f aca="false">J2603-K2603-L2603-M2603</f>
        <v>41032.7012157534</v>
      </c>
      <c r="O2603" s="16" t="n">
        <f aca="false">F2603*IF(A2603="2025",INDEX(Products!$D$2:$D$13,MATCH(D2603,Products!$A$2:$A$13,0)),INDEX(Products!$F$2:$F$13,MATCH(D2603,Products!$A$2:$A$13,0)))</f>
        <v>32535</v>
      </c>
      <c r="P2603" s="16" t="n">
        <f aca="false">N2603-O2603</f>
        <v>8497.70121575343</v>
      </c>
    </row>
    <row r="2604" customFormat="false" ht="15" hidden="false" customHeight="false" outlineLevel="0" collapsed="false">
      <c r="A2604" s="2" t="s">
        <v>118</v>
      </c>
      <c r="B2604" s="2" t="n">
        <v>11</v>
      </c>
      <c r="C2604" s="2" t="s">
        <v>100</v>
      </c>
      <c r="D2604" s="2" t="s">
        <v>37</v>
      </c>
      <c r="E2604" s="2" t="str">
        <f aca="false">INDEX(Products!$B$2:$B$13,MATCH(D2604,Products!$A$2:$A$13,0))</f>
        <v>FCC</v>
      </c>
      <c r="F2604" s="15" t="n">
        <v>9.9</v>
      </c>
      <c r="G2604" s="16" t="n">
        <f aca="false">IF(A2604="2025",INDEX(Products!$C$2:$C$13,MATCH(D2604,Products!$A$2:$A$13,0)),INDEX(Products!$E$2:$E$13,MATCH(D2604,Products!$A$2:$A$13,0)))</f>
        <v>3530</v>
      </c>
      <c r="H2604" s="13" t="n">
        <f aca="false">IF(A2604="2025",INDEX(Customers!$D$2:$D$41,MATCH(C2604,Customers!$A$2:$A$41,0)),INDEX(Customers!$F$2:$F$41,MATCH(C2604,Customers!$A$2:$A$41,0)))</f>
        <v>0.035</v>
      </c>
      <c r="I2604" s="16" t="n">
        <f aca="false">F2604*G2604</f>
        <v>34947</v>
      </c>
      <c r="J2604" s="16" t="n">
        <f aca="false">I2604*(1-H2604)</f>
        <v>33723.855</v>
      </c>
      <c r="K2604" s="16" t="n">
        <f aca="false">J2604*INDEX(Customers!$G$2:$G$41,MATCH(C2604,Customers!$A$2:$A$41,0))</f>
        <v>1011.71565</v>
      </c>
      <c r="L2604" s="16" t="n">
        <f aca="false">F2604*INDEX(Customers!$H$2:$H$41,MATCH(C2604,Customers!$A$2:$A$41,0))</f>
        <v>2178</v>
      </c>
      <c r="M2604" s="16" t="n">
        <f aca="false">J2604*INDEX(Customers!$I$2:$I$41,MATCH(C2604,Customers!$A$2:$A$41,0))/365*Assumptions!$B$6</f>
        <v>443.491791780822</v>
      </c>
      <c r="N2604" s="16" t="n">
        <f aca="false">J2604-K2604-L2604-M2604</f>
        <v>30090.6475582192</v>
      </c>
      <c r="O2604" s="16" t="n">
        <f aca="false">F2604*IF(A2604="2025",INDEX(Products!$D$2:$D$13,MATCH(D2604,Products!$A$2:$A$13,0)),INDEX(Products!$F$2:$F$13,MATCH(D2604,Products!$A$2:$A$13,0)))</f>
        <v>23859</v>
      </c>
      <c r="P2604" s="16" t="n">
        <f aca="false">N2604-O2604</f>
        <v>6231.64755821917</v>
      </c>
    </row>
    <row r="2605" customFormat="false" ht="15" hidden="false" customHeight="false" outlineLevel="0" collapsed="false">
      <c r="A2605" s="2" t="s">
        <v>118</v>
      </c>
      <c r="B2605" s="2" t="n">
        <v>12</v>
      </c>
      <c r="C2605" s="2" t="s">
        <v>100</v>
      </c>
      <c r="D2605" s="2" t="s">
        <v>37</v>
      </c>
      <c r="E2605" s="2" t="str">
        <f aca="false">INDEX(Products!$B$2:$B$13,MATCH(D2605,Products!$A$2:$A$13,0))</f>
        <v>FCC</v>
      </c>
      <c r="F2605" s="15" t="n">
        <v>14.9</v>
      </c>
      <c r="G2605" s="16" t="n">
        <f aca="false">IF(A2605="2025",INDEX(Products!$C$2:$C$13,MATCH(D2605,Products!$A$2:$A$13,0)),INDEX(Products!$E$2:$E$13,MATCH(D2605,Products!$A$2:$A$13,0)))</f>
        <v>3530</v>
      </c>
      <c r="H2605" s="13" t="n">
        <f aca="false">IF(A2605="2025",INDEX(Customers!$D$2:$D$41,MATCH(C2605,Customers!$A$2:$A$41,0)),INDEX(Customers!$F$2:$F$41,MATCH(C2605,Customers!$A$2:$A$41,0)))</f>
        <v>0.035</v>
      </c>
      <c r="I2605" s="16" t="n">
        <f aca="false">F2605*G2605</f>
        <v>52597</v>
      </c>
      <c r="J2605" s="16" t="n">
        <f aca="false">I2605*(1-H2605)</f>
        <v>50756.105</v>
      </c>
      <c r="K2605" s="16" t="n">
        <f aca="false">J2605*INDEX(Customers!$G$2:$G$41,MATCH(C2605,Customers!$A$2:$A$41,0))</f>
        <v>1522.68315</v>
      </c>
      <c r="L2605" s="16" t="n">
        <f aca="false">F2605*INDEX(Customers!$H$2:$H$41,MATCH(C2605,Customers!$A$2:$A$41,0))</f>
        <v>3278</v>
      </c>
      <c r="M2605" s="16" t="n">
        <f aca="false">J2605*INDEX(Customers!$I$2:$I$41,MATCH(C2605,Customers!$A$2:$A$41,0))/365*Assumptions!$B$6</f>
        <v>667.477545205479</v>
      </c>
      <c r="N2605" s="16" t="n">
        <f aca="false">J2605-K2605-L2605-M2605</f>
        <v>45287.9443047945</v>
      </c>
      <c r="O2605" s="16" t="n">
        <f aca="false">F2605*IF(A2605="2025",INDEX(Products!$D$2:$D$13,MATCH(D2605,Products!$A$2:$A$13,0)),INDEX(Products!$F$2:$F$13,MATCH(D2605,Products!$A$2:$A$13,0)))</f>
        <v>35909</v>
      </c>
      <c r="P2605" s="16" t="n">
        <f aca="false">N2605-O2605</f>
        <v>9378.94430479452</v>
      </c>
    </row>
    <row r="2606" customFormat="false" ht="15" hidden="false" customHeight="false" outlineLevel="0" collapsed="false">
      <c r="A2606" s="2" t="s">
        <v>119</v>
      </c>
      <c r="B2606" s="2" t="n">
        <v>1</v>
      </c>
      <c r="C2606" s="2" t="s">
        <v>100</v>
      </c>
      <c r="D2606" s="2" t="s">
        <v>37</v>
      </c>
      <c r="E2606" s="2" t="str">
        <f aca="false">INDEX(Products!$B$2:$B$13,MATCH(D2606,Products!$A$2:$A$13,0))</f>
        <v>FCC</v>
      </c>
      <c r="F2606" s="15" t="n">
        <v>11.3</v>
      </c>
      <c r="G2606" s="16" t="n">
        <f aca="false">IF(A2606="2025",INDEX(Products!$C$2:$C$13,MATCH(D2606,Products!$A$2:$A$13,0)),INDEX(Products!$E$2:$E$13,MATCH(D2606,Products!$A$2:$A$13,0)))</f>
        <v>3706.5</v>
      </c>
      <c r="H2606" s="13" t="n">
        <f aca="false">IF(A2606="2025",INDEX(Customers!$D$2:$D$41,MATCH(C2606,Customers!$A$2:$A$41,0)),INDEX(Customers!$F$2:$F$41,MATCH(C2606,Customers!$A$2:$A$41,0)))</f>
        <v>0.067</v>
      </c>
      <c r="I2606" s="16" t="n">
        <f aca="false">F2606*G2606</f>
        <v>41883.45</v>
      </c>
      <c r="J2606" s="16" t="n">
        <f aca="false">I2606*(1-H2606)</f>
        <v>39077.25885</v>
      </c>
      <c r="K2606" s="16" t="n">
        <f aca="false">J2606*INDEX(Customers!$G$2:$G$41,MATCH(C2606,Customers!$A$2:$A$41,0))</f>
        <v>1172.3177655</v>
      </c>
      <c r="L2606" s="16" t="n">
        <f aca="false">F2606*INDEX(Customers!$H$2:$H$41,MATCH(C2606,Customers!$A$2:$A$41,0))</f>
        <v>2486</v>
      </c>
      <c r="M2606" s="16" t="n">
        <f aca="false">J2606*INDEX(Customers!$I$2:$I$41,MATCH(C2606,Customers!$A$2:$A$41,0))/365*Assumptions!$B$6</f>
        <v>513.892719123288</v>
      </c>
      <c r="N2606" s="16" t="n">
        <f aca="false">J2606-K2606-L2606-M2606</f>
        <v>34905.0483653767</v>
      </c>
      <c r="O2606" s="16" t="n">
        <f aca="false">F2606*IF(A2606="2025",INDEX(Products!$D$2:$D$13,MATCH(D2606,Products!$A$2:$A$13,0)),INDEX(Products!$F$2:$F$13,MATCH(D2606,Products!$A$2:$A$13,0)))</f>
        <v>28049.99</v>
      </c>
      <c r="P2606" s="16" t="n">
        <f aca="false">N2606-O2606</f>
        <v>6855.05836537671</v>
      </c>
    </row>
    <row r="2607" customFormat="false" ht="15" hidden="false" customHeight="false" outlineLevel="0" collapsed="false">
      <c r="A2607" s="2" t="s">
        <v>119</v>
      </c>
      <c r="B2607" s="2" t="n">
        <v>2</v>
      </c>
      <c r="C2607" s="2" t="s">
        <v>100</v>
      </c>
      <c r="D2607" s="2" t="s">
        <v>37</v>
      </c>
      <c r="E2607" s="2" t="str">
        <f aca="false">INDEX(Products!$B$2:$B$13,MATCH(D2607,Products!$A$2:$A$13,0))</f>
        <v>FCC</v>
      </c>
      <c r="F2607" s="15" t="n">
        <v>8.9</v>
      </c>
      <c r="G2607" s="16" t="n">
        <f aca="false">IF(A2607="2025",INDEX(Products!$C$2:$C$13,MATCH(D2607,Products!$A$2:$A$13,0)),INDEX(Products!$E$2:$E$13,MATCH(D2607,Products!$A$2:$A$13,0)))</f>
        <v>3706.5</v>
      </c>
      <c r="H2607" s="13" t="n">
        <f aca="false">IF(A2607="2025",INDEX(Customers!$D$2:$D$41,MATCH(C2607,Customers!$A$2:$A$41,0)),INDEX(Customers!$F$2:$F$41,MATCH(C2607,Customers!$A$2:$A$41,0)))</f>
        <v>0.067</v>
      </c>
      <c r="I2607" s="16" t="n">
        <f aca="false">F2607*G2607</f>
        <v>32987.85</v>
      </c>
      <c r="J2607" s="16" t="n">
        <f aca="false">I2607*(1-H2607)</f>
        <v>30777.66405</v>
      </c>
      <c r="K2607" s="16" t="n">
        <f aca="false">J2607*INDEX(Customers!$G$2:$G$41,MATCH(C2607,Customers!$A$2:$A$41,0))</f>
        <v>923.3299215</v>
      </c>
      <c r="L2607" s="16" t="n">
        <f aca="false">F2607*INDEX(Customers!$H$2:$H$41,MATCH(C2607,Customers!$A$2:$A$41,0))</f>
        <v>1958</v>
      </c>
      <c r="M2607" s="16" t="n">
        <f aca="false">J2607*INDEX(Customers!$I$2:$I$41,MATCH(C2607,Customers!$A$2:$A$41,0))/365*Assumptions!$B$6</f>
        <v>404.747362849315</v>
      </c>
      <c r="N2607" s="16" t="n">
        <f aca="false">J2607-K2607-L2607-M2607</f>
        <v>27491.5867656507</v>
      </c>
      <c r="O2607" s="16" t="n">
        <f aca="false">F2607*IF(A2607="2025",INDEX(Products!$D$2:$D$13,MATCH(D2607,Products!$A$2:$A$13,0)),INDEX(Products!$F$2:$F$13,MATCH(D2607,Products!$A$2:$A$13,0)))</f>
        <v>22092.47</v>
      </c>
      <c r="P2607" s="16" t="n">
        <f aca="false">N2607-O2607</f>
        <v>5399.11676565068</v>
      </c>
    </row>
    <row r="2608" customFormat="false" ht="15" hidden="false" customHeight="false" outlineLevel="0" collapsed="false">
      <c r="A2608" s="2" t="s">
        <v>119</v>
      </c>
      <c r="B2608" s="2" t="n">
        <v>3</v>
      </c>
      <c r="C2608" s="2" t="s">
        <v>100</v>
      </c>
      <c r="D2608" s="2" t="s">
        <v>37</v>
      </c>
      <c r="E2608" s="2" t="str">
        <f aca="false">INDEX(Products!$B$2:$B$13,MATCH(D2608,Products!$A$2:$A$13,0))</f>
        <v>FCC</v>
      </c>
      <c r="F2608" s="15" t="n">
        <v>15.9</v>
      </c>
      <c r="G2608" s="16" t="n">
        <f aca="false">IF(A2608="2025",INDEX(Products!$C$2:$C$13,MATCH(D2608,Products!$A$2:$A$13,0)),INDEX(Products!$E$2:$E$13,MATCH(D2608,Products!$A$2:$A$13,0)))</f>
        <v>3706.5</v>
      </c>
      <c r="H2608" s="13" t="n">
        <f aca="false">IF(A2608="2025",INDEX(Customers!$D$2:$D$41,MATCH(C2608,Customers!$A$2:$A$41,0)),INDEX(Customers!$F$2:$F$41,MATCH(C2608,Customers!$A$2:$A$41,0)))</f>
        <v>0.067</v>
      </c>
      <c r="I2608" s="16" t="n">
        <f aca="false">F2608*G2608</f>
        <v>58933.35</v>
      </c>
      <c r="J2608" s="16" t="n">
        <f aca="false">I2608*(1-H2608)</f>
        <v>54984.81555</v>
      </c>
      <c r="K2608" s="16" t="n">
        <f aca="false">J2608*INDEX(Customers!$G$2:$G$41,MATCH(C2608,Customers!$A$2:$A$41,0))</f>
        <v>1649.5444665</v>
      </c>
      <c r="L2608" s="16" t="n">
        <f aca="false">F2608*INDEX(Customers!$H$2:$H$41,MATCH(C2608,Customers!$A$2:$A$41,0))</f>
        <v>3498</v>
      </c>
      <c r="M2608" s="16" t="n">
        <f aca="false">J2608*INDEX(Customers!$I$2:$I$41,MATCH(C2608,Customers!$A$2:$A$41,0))/365*Assumptions!$B$6</f>
        <v>723.087985315069</v>
      </c>
      <c r="N2608" s="16" t="n">
        <f aca="false">J2608-K2608-L2608-M2608</f>
        <v>49114.1830981849</v>
      </c>
      <c r="O2608" s="16" t="n">
        <f aca="false">F2608*IF(A2608="2025",INDEX(Products!$D$2:$D$13,MATCH(D2608,Products!$A$2:$A$13,0)),INDEX(Products!$F$2:$F$13,MATCH(D2608,Products!$A$2:$A$13,0)))</f>
        <v>39468.57</v>
      </c>
      <c r="P2608" s="16" t="n">
        <f aca="false">N2608-O2608</f>
        <v>9645.61309818492</v>
      </c>
    </row>
    <row r="2609" customFormat="false" ht="15" hidden="false" customHeight="false" outlineLevel="0" collapsed="false">
      <c r="A2609" s="2" t="s">
        <v>119</v>
      </c>
      <c r="B2609" s="2" t="n">
        <v>4</v>
      </c>
      <c r="C2609" s="2" t="s">
        <v>100</v>
      </c>
      <c r="D2609" s="2" t="s">
        <v>37</v>
      </c>
      <c r="E2609" s="2" t="str">
        <f aca="false">INDEX(Products!$B$2:$B$13,MATCH(D2609,Products!$A$2:$A$13,0))</f>
        <v>FCC</v>
      </c>
      <c r="F2609" s="15" t="n">
        <v>12</v>
      </c>
      <c r="G2609" s="16" t="n">
        <f aca="false">IF(A2609="2025",INDEX(Products!$C$2:$C$13,MATCH(D2609,Products!$A$2:$A$13,0)),INDEX(Products!$E$2:$E$13,MATCH(D2609,Products!$A$2:$A$13,0)))</f>
        <v>3706.5</v>
      </c>
      <c r="H2609" s="13" t="n">
        <f aca="false">IF(A2609="2025",INDEX(Customers!$D$2:$D$41,MATCH(C2609,Customers!$A$2:$A$41,0)),INDEX(Customers!$F$2:$F$41,MATCH(C2609,Customers!$A$2:$A$41,0)))</f>
        <v>0.067</v>
      </c>
      <c r="I2609" s="16" t="n">
        <f aca="false">F2609*G2609</f>
        <v>44478</v>
      </c>
      <c r="J2609" s="16" t="n">
        <f aca="false">I2609*(1-H2609)</f>
        <v>41497.974</v>
      </c>
      <c r="K2609" s="16" t="n">
        <f aca="false">J2609*INDEX(Customers!$G$2:$G$41,MATCH(C2609,Customers!$A$2:$A$41,0))</f>
        <v>1244.93922</v>
      </c>
      <c r="L2609" s="16" t="n">
        <f aca="false">F2609*INDEX(Customers!$H$2:$H$41,MATCH(C2609,Customers!$A$2:$A$41,0))</f>
        <v>2640</v>
      </c>
      <c r="M2609" s="16" t="n">
        <f aca="false">J2609*INDEX(Customers!$I$2:$I$41,MATCH(C2609,Customers!$A$2:$A$41,0))/365*Assumptions!$B$6</f>
        <v>545.726781369863</v>
      </c>
      <c r="N2609" s="16" t="n">
        <f aca="false">J2609-K2609-L2609-M2609</f>
        <v>37067.3079986301</v>
      </c>
      <c r="O2609" s="16" t="n">
        <f aca="false">F2609*IF(A2609="2025",INDEX(Products!$D$2:$D$13,MATCH(D2609,Products!$A$2:$A$13,0)),INDEX(Products!$F$2:$F$13,MATCH(D2609,Products!$A$2:$A$13,0)))</f>
        <v>29787.6</v>
      </c>
      <c r="P2609" s="16" t="n">
        <f aca="false">N2609-O2609</f>
        <v>7279.70799863014</v>
      </c>
    </row>
    <row r="2610" customFormat="false" ht="15" hidden="false" customHeight="false" outlineLevel="0" collapsed="false">
      <c r="A2610" s="2" t="s">
        <v>119</v>
      </c>
      <c r="B2610" s="2" t="n">
        <v>5</v>
      </c>
      <c r="C2610" s="2" t="s">
        <v>100</v>
      </c>
      <c r="D2610" s="2" t="s">
        <v>37</v>
      </c>
      <c r="E2610" s="2" t="str">
        <f aca="false">INDEX(Products!$B$2:$B$13,MATCH(D2610,Products!$A$2:$A$13,0))</f>
        <v>FCC</v>
      </c>
      <c r="F2610" s="15" t="n">
        <v>15.3</v>
      </c>
      <c r="G2610" s="16" t="n">
        <f aca="false">IF(A2610="2025",INDEX(Products!$C$2:$C$13,MATCH(D2610,Products!$A$2:$A$13,0)),INDEX(Products!$E$2:$E$13,MATCH(D2610,Products!$A$2:$A$13,0)))</f>
        <v>3706.5</v>
      </c>
      <c r="H2610" s="13" t="n">
        <f aca="false">IF(A2610="2025",INDEX(Customers!$D$2:$D$41,MATCH(C2610,Customers!$A$2:$A$41,0)),INDEX(Customers!$F$2:$F$41,MATCH(C2610,Customers!$A$2:$A$41,0)))</f>
        <v>0.067</v>
      </c>
      <c r="I2610" s="16" t="n">
        <f aca="false">F2610*G2610</f>
        <v>56709.45</v>
      </c>
      <c r="J2610" s="16" t="n">
        <f aca="false">I2610*(1-H2610)</f>
        <v>52909.91685</v>
      </c>
      <c r="K2610" s="16" t="n">
        <f aca="false">J2610*INDEX(Customers!$G$2:$G$41,MATCH(C2610,Customers!$A$2:$A$41,0))</f>
        <v>1587.2975055</v>
      </c>
      <c r="L2610" s="16" t="n">
        <f aca="false">F2610*INDEX(Customers!$H$2:$H$41,MATCH(C2610,Customers!$A$2:$A$41,0))</f>
        <v>3366</v>
      </c>
      <c r="M2610" s="16" t="n">
        <f aca="false">J2610*INDEX(Customers!$I$2:$I$41,MATCH(C2610,Customers!$A$2:$A$41,0))/365*Assumptions!$B$6</f>
        <v>695.801646246575</v>
      </c>
      <c r="N2610" s="16" t="n">
        <f aca="false">J2610-K2610-L2610-M2610</f>
        <v>47260.8176982534</v>
      </c>
      <c r="O2610" s="16" t="n">
        <f aca="false">F2610*IF(A2610="2025",INDEX(Products!$D$2:$D$13,MATCH(D2610,Products!$A$2:$A$13,0)),INDEX(Products!$F$2:$F$13,MATCH(D2610,Products!$A$2:$A$13,0)))</f>
        <v>37979.19</v>
      </c>
      <c r="P2610" s="16" t="n">
        <f aca="false">N2610-O2610</f>
        <v>9281.62769825343</v>
      </c>
    </row>
    <row r="2611" customFormat="false" ht="15" hidden="false" customHeight="false" outlineLevel="0" collapsed="false">
      <c r="A2611" s="2" t="s">
        <v>119</v>
      </c>
      <c r="B2611" s="2" t="n">
        <v>6</v>
      </c>
      <c r="C2611" s="2" t="s">
        <v>100</v>
      </c>
      <c r="D2611" s="2" t="s">
        <v>37</v>
      </c>
      <c r="E2611" s="2" t="str">
        <f aca="false">INDEX(Products!$B$2:$B$13,MATCH(D2611,Products!$A$2:$A$13,0))</f>
        <v>FCC</v>
      </c>
      <c r="F2611" s="15" t="n">
        <v>13</v>
      </c>
      <c r="G2611" s="16" t="n">
        <f aca="false">IF(A2611="2025",INDEX(Products!$C$2:$C$13,MATCH(D2611,Products!$A$2:$A$13,0)),INDEX(Products!$E$2:$E$13,MATCH(D2611,Products!$A$2:$A$13,0)))</f>
        <v>3706.5</v>
      </c>
      <c r="H2611" s="13" t="n">
        <f aca="false">IF(A2611="2025",INDEX(Customers!$D$2:$D$41,MATCH(C2611,Customers!$A$2:$A$41,0)),INDEX(Customers!$F$2:$F$41,MATCH(C2611,Customers!$A$2:$A$41,0)))</f>
        <v>0.067</v>
      </c>
      <c r="I2611" s="16" t="n">
        <f aca="false">F2611*G2611</f>
        <v>48184.5</v>
      </c>
      <c r="J2611" s="16" t="n">
        <f aca="false">I2611*(1-H2611)</f>
        <v>44956.1385</v>
      </c>
      <c r="K2611" s="16" t="n">
        <f aca="false">J2611*INDEX(Customers!$G$2:$G$41,MATCH(C2611,Customers!$A$2:$A$41,0))</f>
        <v>1348.684155</v>
      </c>
      <c r="L2611" s="16" t="n">
        <f aca="false">F2611*INDEX(Customers!$H$2:$H$41,MATCH(C2611,Customers!$A$2:$A$41,0))</f>
        <v>2860</v>
      </c>
      <c r="M2611" s="16" t="n">
        <f aca="false">J2611*INDEX(Customers!$I$2:$I$41,MATCH(C2611,Customers!$A$2:$A$41,0))/365*Assumptions!$B$6</f>
        <v>591.204013150685</v>
      </c>
      <c r="N2611" s="16" t="n">
        <f aca="false">J2611-K2611-L2611-M2611</f>
        <v>40156.2503318493</v>
      </c>
      <c r="O2611" s="16" t="n">
        <f aca="false">F2611*IF(A2611="2025",INDEX(Products!$D$2:$D$13,MATCH(D2611,Products!$A$2:$A$13,0)),INDEX(Products!$F$2:$F$13,MATCH(D2611,Products!$A$2:$A$13,0)))</f>
        <v>32269.9</v>
      </c>
      <c r="P2611" s="16" t="n">
        <f aca="false">N2611-O2611</f>
        <v>7886.35033184931</v>
      </c>
    </row>
    <row r="2612" customFormat="false" ht="15" hidden="false" customHeight="false" outlineLevel="0" collapsed="false">
      <c r="A2612" s="2" t="s">
        <v>119</v>
      </c>
      <c r="B2612" s="2" t="n">
        <v>7</v>
      </c>
      <c r="C2612" s="2" t="s">
        <v>100</v>
      </c>
      <c r="D2612" s="2" t="s">
        <v>37</v>
      </c>
      <c r="E2612" s="2" t="str">
        <f aca="false">INDEX(Products!$B$2:$B$13,MATCH(D2612,Products!$A$2:$A$13,0))</f>
        <v>FCC</v>
      </c>
      <c r="F2612" s="15" t="n">
        <v>11.7</v>
      </c>
      <c r="G2612" s="16" t="n">
        <f aca="false">IF(A2612="2025",INDEX(Products!$C$2:$C$13,MATCH(D2612,Products!$A$2:$A$13,0)),INDEX(Products!$E$2:$E$13,MATCH(D2612,Products!$A$2:$A$13,0)))</f>
        <v>3706.5</v>
      </c>
      <c r="H2612" s="13" t="n">
        <f aca="false">IF(A2612="2025",INDEX(Customers!$D$2:$D$41,MATCH(C2612,Customers!$A$2:$A$41,0)),INDEX(Customers!$F$2:$F$41,MATCH(C2612,Customers!$A$2:$A$41,0)))</f>
        <v>0.067</v>
      </c>
      <c r="I2612" s="16" t="n">
        <f aca="false">F2612*G2612</f>
        <v>43366.05</v>
      </c>
      <c r="J2612" s="16" t="n">
        <f aca="false">I2612*(1-H2612)</f>
        <v>40460.52465</v>
      </c>
      <c r="K2612" s="16" t="n">
        <f aca="false">J2612*INDEX(Customers!$G$2:$G$41,MATCH(C2612,Customers!$A$2:$A$41,0))</f>
        <v>1213.8157395</v>
      </c>
      <c r="L2612" s="16" t="n">
        <f aca="false">F2612*INDEX(Customers!$H$2:$H$41,MATCH(C2612,Customers!$A$2:$A$41,0))</f>
        <v>2574</v>
      </c>
      <c r="M2612" s="16" t="n">
        <f aca="false">J2612*INDEX(Customers!$I$2:$I$41,MATCH(C2612,Customers!$A$2:$A$41,0))/365*Assumptions!$B$6</f>
        <v>532.083611835616</v>
      </c>
      <c r="N2612" s="16" t="n">
        <f aca="false">J2612-K2612-L2612-M2612</f>
        <v>36140.6252986644</v>
      </c>
      <c r="O2612" s="16" t="n">
        <f aca="false">F2612*IF(A2612="2025",INDEX(Products!$D$2:$D$13,MATCH(D2612,Products!$A$2:$A$13,0)),INDEX(Products!$F$2:$F$13,MATCH(D2612,Products!$A$2:$A$13,0)))</f>
        <v>29042.91</v>
      </c>
      <c r="P2612" s="16" t="n">
        <f aca="false">N2612-O2612</f>
        <v>7097.71529866438</v>
      </c>
    </row>
    <row r="2613" customFormat="false" ht="15" hidden="false" customHeight="false" outlineLevel="0" collapsed="false">
      <c r="A2613" s="2" t="s">
        <v>119</v>
      </c>
      <c r="B2613" s="2" t="n">
        <v>8</v>
      </c>
      <c r="C2613" s="2" t="s">
        <v>100</v>
      </c>
      <c r="D2613" s="2" t="s">
        <v>37</v>
      </c>
      <c r="E2613" s="2" t="str">
        <f aca="false">INDEX(Products!$B$2:$B$13,MATCH(D2613,Products!$A$2:$A$13,0))</f>
        <v>FCC</v>
      </c>
      <c r="F2613" s="15" t="n">
        <v>10.5</v>
      </c>
      <c r="G2613" s="16" t="n">
        <f aca="false">IF(A2613="2025",INDEX(Products!$C$2:$C$13,MATCH(D2613,Products!$A$2:$A$13,0)),INDEX(Products!$E$2:$E$13,MATCH(D2613,Products!$A$2:$A$13,0)))</f>
        <v>3706.5</v>
      </c>
      <c r="H2613" s="13" t="n">
        <f aca="false">IF(A2613="2025",INDEX(Customers!$D$2:$D$41,MATCH(C2613,Customers!$A$2:$A$41,0)),INDEX(Customers!$F$2:$F$41,MATCH(C2613,Customers!$A$2:$A$41,0)))</f>
        <v>0.067</v>
      </c>
      <c r="I2613" s="16" t="n">
        <f aca="false">F2613*G2613</f>
        <v>38918.25</v>
      </c>
      <c r="J2613" s="16" t="n">
        <f aca="false">I2613*(1-H2613)</f>
        <v>36310.72725</v>
      </c>
      <c r="K2613" s="16" t="n">
        <f aca="false">J2613*INDEX(Customers!$G$2:$G$41,MATCH(C2613,Customers!$A$2:$A$41,0))</f>
        <v>1089.3218175</v>
      </c>
      <c r="L2613" s="16" t="n">
        <f aca="false">F2613*INDEX(Customers!$H$2:$H$41,MATCH(C2613,Customers!$A$2:$A$41,0))</f>
        <v>2310</v>
      </c>
      <c r="M2613" s="16" t="n">
        <f aca="false">J2613*INDEX(Customers!$I$2:$I$41,MATCH(C2613,Customers!$A$2:$A$41,0))/365*Assumptions!$B$6</f>
        <v>477.51093369863</v>
      </c>
      <c r="N2613" s="16" t="n">
        <f aca="false">J2613-K2613-L2613-M2613</f>
        <v>32433.8944988014</v>
      </c>
      <c r="O2613" s="16" t="n">
        <f aca="false">F2613*IF(A2613="2025",INDEX(Products!$D$2:$D$13,MATCH(D2613,Products!$A$2:$A$13,0)),INDEX(Products!$F$2:$F$13,MATCH(D2613,Products!$A$2:$A$13,0)))</f>
        <v>26064.15</v>
      </c>
      <c r="P2613" s="16" t="n">
        <f aca="false">N2613-O2613</f>
        <v>6369.74449880137</v>
      </c>
    </row>
    <row r="2614" customFormat="false" ht="15" hidden="false" customHeight="false" outlineLevel="0" collapsed="false">
      <c r="A2614" s="2" t="s">
        <v>119</v>
      </c>
      <c r="B2614" s="2" t="n">
        <v>9</v>
      </c>
      <c r="C2614" s="2" t="s">
        <v>100</v>
      </c>
      <c r="D2614" s="2" t="s">
        <v>37</v>
      </c>
      <c r="E2614" s="2" t="str">
        <f aca="false">INDEX(Products!$B$2:$B$13,MATCH(D2614,Products!$A$2:$A$13,0))</f>
        <v>FCC</v>
      </c>
      <c r="F2614" s="15" t="n">
        <v>14.3</v>
      </c>
      <c r="G2614" s="16" t="n">
        <f aca="false">IF(A2614="2025",INDEX(Products!$C$2:$C$13,MATCH(D2614,Products!$A$2:$A$13,0)),INDEX(Products!$E$2:$E$13,MATCH(D2614,Products!$A$2:$A$13,0)))</f>
        <v>3706.5</v>
      </c>
      <c r="H2614" s="13" t="n">
        <f aca="false">IF(A2614="2025",INDEX(Customers!$D$2:$D$41,MATCH(C2614,Customers!$A$2:$A$41,0)),INDEX(Customers!$F$2:$F$41,MATCH(C2614,Customers!$A$2:$A$41,0)))</f>
        <v>0.067</v>
      </c>
      <c r="I2614" s="16" t="n">
        <f aca="false">F2614*G2614</f>
        <v>53002.95</v>
      </c>
      <c r="J2614" s="16" t="n">
        <f aca="false">I2614*(1-H2614)</f>
        <v>49451.75235</v>
      </c>
      <c r="K2614" s="16" t="n">
        <f aca="false">J2614*INDEX(Customers!$G$2:$G$41,MATCH(C2614,Customers!$A$2:$A$41,0))</f>
        <v>1483.5525705</v>
      </c>
      <c r="L2614" s="16" t="n">
        <f aca="false">F2614*INDEX(Customers!$H$2:$H$41,MATCH(C2614,Customers!$A$2:$A$41,0))</f>
        <v>3146</v>
      </c>
      <c r="M2614" s="16" t="n">
        <f aca="false">J2614*INDEX(Customers!$I$2:$I$41,MATCH(C2614,Customers!$A$2:$A$41,0))/365*Assumptions!$B$6</f>
        <v>650.324414465754</v>
      </c>
      <c r="N2614" s="16" t="n">
        <f aca="false">J2614-K2614-L2614-M2614</f>
        <v>44171.8753650343</v>
      </c>
      <c r="O2614" s="16" t="n">
        <f aca="false">F2614*IF(A2614="2025",INDEX(Products!$D$2:$D$13,MATCH(D2614,Products!$A$2:$A$13,0)),INDEX(Products!$F$2:$F$13,MATCH(D2614,Products!$A$2:$A$13,0)))</f>
        <v>35496.89</v>
      </c>
      <c r="P2614" s="16" t="n">
        <f aca="false">N2614-O2614</f>
        <v>8674.98536503425</v>
      </c>
    </row>
    <row r="2615" customFormat="false" ht="15" hidden="false" customHeight="false" outlineLevel="0" collapsed="false">
      <c r="A2615" s="2" t="s">
        <v>119</v>
      </c>
      <c r="B2615" s="2" t="n">
        <v>10</v>
      </c>
      <c r="C2615" s="2" t="s">
        <v>100</v>
      </c>
      <c r="D2615" s="2" t="s">
        <v>37</v>
      </c>
      <c r="E2615" s="2" t="str">
        <f aca="false">INDEX(Products!$B$2:$B$13,MATCH(D2615,Products!$A$2:$A$13,0))</f>
        <v>FCC</v>
      </c>
      <c r="F2615" s="15" t="n">
        <v>10.3</v>
      </c>
      <c r="G2615" s="16" t="n">
        <f aca="false">IF(A2615="2025",INDEX(Products!$C$2:$C$13,MATCH(D2615,Products!$A$2:$A$13,0)),INDEX(Products!$E$2:$E$13,MATCH(D2615,Products!$A$2:$A$13,0)))</f>
        <v>3706.5</v>
      </c>
      <c r="H2615" s="13" t="n">
        <f aca="false">IF(A2615="2025",INDEX(Customers!$D$2:$D$41,MATCH(C2615,Customers!$A$2:$A$41,0)),INDEX(Customers!$F$2:$F$41,MATCH(C2615,Customers!$A$2:$A$41,0)))</f>
        <v>0.067</v>
      </c>
      <c r="I2615" s="16" t="n">
        <f aca="false">F2615*G2615</f>
        <v>38176.95</v>
      </c>
      <c r="J2615" s="16" t="n">
        <f aca="false">I2615*(1-H2615)</f>
        <v>35619.09435</v>
      </c>
      <c r="K2615" s="16" t="n">
        <f aca="false">J2615*INDEX(Customers!$G$2:$G$41,MATCH(C2615,Customers!$A$2:$A$41,0))</f>
        <v>1068.5728305</v>
      </c>
      <c r="L2615" s="16" t="n">
        <f aca="false">F2615*INDEX(Customers!$H$2:$H$41,MATCH(C2615,Customers!$A$2:$A$41,0))</f>
        <v>2266</v>
      </c>
      <c r="M2615" s="16" t="n">
        <f aca="false">J2615*INDEX(Customers!$I$2:$I$41,MATCH(C2615,Customers!$A$2:$A$41,0))/365*Assumptions!$B$6</f>
        <v>468.415487342466</v>
      </c>
      <c r="N2615" s="16" t="n">
        <f aca="false">J2615-K2615-L2615-M2615</f>
        <v>31816.1060321575</v>
      </c>
      <c r="O2615" s="16" t="n">
        <f aca="false">F2615*IF(A2615="2025",INDEX(Products!$D$2:$D$13,MATCH(D2615,Products!$A$2:$A$13,0)),INDEX(Products!$F$2:$F$13,MATCH(D2615,Products!$A$2:$A$13,0)))</f>
        <v>25567.69</v>
      </c>
      <c r="P2615" s="16" t="n">
        <f aca="false">N2615-O2615</f>
        <v>6248.41603215754</v>
      </c>
    </row>
    <row r="2616" customFormat="false" ht="15" hidden="false" customHeight="false" outlineLevel="0" collapsed="false">
      <c r="A2616" s="2" t="s">
        <v>119</v>
      </c>
      <c r="B2616" s="2" t="n">
        <v>11</v>
      </c>
      <c r="C2616" s="2" t="s">
        <v>100</v>
      </c>
      <c r="D2616" s="2" t="s">
        <v>37</v>
      </c>
      <c r="E2616" s="2" t="str">
        <f aca="false">INDEX(Products!$B$2:$B$13,MATCH(D2616,Products!$A$2:$A$13,0))</f>
        <v>FCC</v>
      </c>
      <c r="F2616" s="15" t="n">
        <v>15.9</v>
      </c>
      <c r="G2616" s="16" t="n">
        <f aca="false">IF(A2616="2025",INDEX(Products!$C$2:$C$13,MATCH(D2616,Products!$A$2:$A$13,0)),INDEX(Products!$E$2:$E$13,MATCH(D2616,Products!$A$2:$A$13,0)))</f>
        <v>3706.5</v>
      </c>
      <c r="H2616" s="13" t="n">
        <f aca="false">IF(A2616="2025",INDEX(Customers!$D$2:$D$41,MATCH(C2616,Customers!$A$2:$A$41,0)),INDEX(Customers!$F$2:$F$41,MATCH(C2616,Customers!$A$2:$A$41,0)))</f>
        <v>0.067</v>
      </c>
      <c r="I2616" s="16" t="n">
        <f aca="false">F2616*G2616</f>
        <v>58933.35</v>
      </c>
      <c r="J2616" s="16" t="n">
        <f aca="false">I2616*(1-H2616)</f>
        <v>54984.81555</v>
      </c>
      <c r="K2616" s="16" t="n">
        <f aca="false">J2616*INDEX(Customers!$G$2:$G$41,MATCH(C2616,Customers!$A$2:$A$41,0))</f>
        <v>1649.5444665</v>
      </c>
      <c r="L2616" s="16" t="n">
        <f aca="false">F2616*INDEX(Customers!$H$2:$H$41,MATCH(C2616,Customers!$A$2:$A$41,0))</f>
        <v>3498</v>
      </c>
      <c r="M2616" s="16" t="n">
        <f aca="false">J2616*INDEX(Customers!$I$2:$I$41,MATCH(C2616,Customers!$A$2:$A$41,0))/365*Assumptions!$B$6</f>
        <v>723.087985315069</v>
      </c>
      <c r="N2616" s="16" t="n">
        <f aca="false">J2616-K2616-L2616-M2616</f>
        <v>49114.1830981849</v>
      </c>
      <c r="O2616" s="16" t="n">
        <f aca="false">F2616*IF(A2616="2025",INDEX(Products!$D$2:$D$13,MATCH(D2616,Products!$A$2:$A$13,0)),INDEX(Products!$F$2:$F$13,MATCH(D2616,Products!$A$2:$A$13,0)))</f>
        <v>39468.57</v>
      </c>
      <c r="P2616" s="16" t="n">
        <f aca="false">N2616-O2616</f>
        <v>9645.61309818492</v>
      </c>
    </row>
    <row r="2617" customFormat="false" ht="15" hidden="false" customHeight="false" outlineLevel="0" collapsed="false">
      <c r="A2617" s="2" t="s">
        <v>119</v>
      </c>
      <c r="B2617" s="2" t="n">
        <v>12</v>
      </c>
      <c r="C2617" s="2" t="s">
        <v>100</v>
      </c>
      <c r="D2617" s="2" t="s">
        <v>37</v>
      </c>
      <c r="E2617" s="2" t="str">
        <f aca="false">INDEX(Products!$B$2:$B$13,MATCH(D2617,Products!$A$2:$A$13,0))</f>
        <v>FCC</v>
      </c>
      <c r="F2617" s="15" t="n">
        <v>15.1</v>
      </c>
      <c r="G2617" s="16" t="n">
        <f aca="false">IF(A2617="2025",INDEX(Products!$C$2:$C$13,MATCH(D2617,Products!$A$2:$A$13,0)),INDEX(Products!$E$2:$E$13,MATCH(D2617,Products!$A$2:$A$13,0)))</f>
        <v>3706.5</v>
      </c>
      <c r="H2617" s="13" t="n">
        <f aca="false">IF(A2617="2025",INDEX(Customers!$D$2:$D$41,MATCH(C2617,Customers!$A$2:$A$41,0)),INDEX(Customers!$F$2:$F$41,MATCH(C2617,Customers!$A$2:$A$41,0)))</f>
        <v>0.067</v>
      </c>
      <c r="I2617" s="16" t="n">
        <f aca="false">F2617*G2617</f>
        <v>55968.15</v>
      </c>
      <c r="J2617" s="16" t="n">
        <f aca="false">I2617*(1-H2617)</f>
        <v>52218.28395</v>
      </c>
      <c r="K2617" s="16" t="n">
        <f aca="false">J2617*INDEX(Customers!$G$2:$G$41,MATCH(C2617,Customers!$A$2:$A$41,0))</f>
        <v>1566.5485185</v>
      </c>
      <c r="L2617" s="16" t="n">
        <f aca="false">F2617*INDEX(Customers!$H$2:$H$41,MATCH(C2617,Customers!$A$2:$A$41,0))</f>
        <v>3322</v>
      </c>
      <c r="M2617" s="16" t="n">
        <f aca="false">J2617*INDEX(Customers!$I$2:$I$41,MATCH(C2617,Customers!$A$2:$A$41,0))/365*Assumptions!$B$6</f>
        <v>686.706199890411</v>
      </c>
      <c r="N2617" s="16" t="n">
        <f aca="false">J2617-K2617-L2617-M2617</f>
        <v>46643.0292316096</v>
      </c>
      <c r="O2617" s="16" t="n">
        <f aca="false">F2617*IF(A2617="2025",INDEX(Products!$D$2:$D$13,MATCH(D2617,Products!$A$2:$A$13,0)),INDEX(Products!$F$2:$F$13,MATCH(D2617,Products!$A$2:$A$13,0)))</f>
        <v>37482.73</v>
      </c>
      <c r="P2617" s="16" t="n">
        <f aca="false">N2617-O2617</f>
        <v>9160.29923160959</v>
      </c>
    </row>
    <row r="2618" customFormat="false" ht="15" hidden="false" customHeight="false" outlineLevel="0" collapsed="false">
      <c r="A2618" s="2" t="s">
        <v>118</v>
      </c>
      <c r="B2618" s="2" t="n">
        <v>1</v>
      </c>
      <c r="C2618" s="2" t="s">
        <v>101</v>
      </c>
      <c r="D2618" s="2" t="s">
        <v>46</v>
      </c>
      <c r="E2618" s="2" t="str">
        <f aca="false">INDEX(Products!$B$2:$B$13,MATCH(D2618,Products!$A$2:$A$13,0))</f>
        <v>Specialty</v>
      </c>
      <c r="F2618" s="15" t="n">
        <v>3.5</v>
      </c>
      <c r="G2618" s="16" t="n">
        <f aca="false">IF(A2618="2025",INDEX(Products!$C$2:$C$13,MATCH(D2618,Products!$A$2:$A$13,0)),INDEX(Products!$E$2:$E$13,MATCH(D2618,Products!$A$2:$A$13,0)))</f>
        <v>25560</v>
      </c>
      <c r="H2618" s="13" t="n">
        <f aca="false">IF(A2618="2025",INDEX(Customers!$D$2:$D$41,MATCH(C2618,Customers!$A$2:$A$41,0)),INDEX(Customers!$F$2:$F$41,MATCH(C2618,Customers!$A$2:$A$41,0)))</f>
        <v>0.067</v>
      </c>
      <c r="I2618" s="16" t="n">
        <f aca="false">F2618*G2618</f>
        <v>89460</v>
      </c>
      <c r="J2618" s="16" t="n">
        <f aca="false">I2618*(1-H2618)</f>
        <v>83466.18</v>
      </c>
      <c r="K2618" s="16" t="n">
        <f aca="false">J2618*INDEX(Customers!$G$2:$G$41,MATCH(C2618,Customers!$A$2:$A$41,0))</f>
        <v>4173.309</v>
      </c>
      <c r="L2618" s="16" t="n">
        <f aca="false">F2618*INDEX(Customers!$H$2:$H$41,MATCH(C2618,Customers!$A$2:$A$41,0))</f>
        <v>1365</v>
      </c>
      <c r="M2618" s="16" t="n">
        <f aca="false">J2618*INDEX(Customers!$I$2:$I$41,MATCH(C2618,Customers!$A$2:$A$41,0))/365*Assumptions!$B$6</f>
        <v>548.818717808219</v>
      </c>
      <c r="N2618" s="16" t="n">
        <f aca="false">J2618-K2618-L2618-M2618</f>
        <v>77379.0522821918</v>
      </c>
      <c r="O2618" s="16" t="n">
        <f aca="false">F2618*IF(A2618="2025",INDEX(Products!$D$2:$D$13,MATCH(D2618,Products!$A$2:$A$13,0)),INDEX(Products!$F$2:$F$13,MATCH(D2618,Products!$A$2:$A$13,0)))</f>
        <v>42875</v>
      </c>
      <c r="P2618" s="16" t="n">
        <f aca="false">N2618-O2618</f>
        <v>34504.0522821918</v>
      </c>
    </row>
    <row r="2619" customFormat="false" ht="15" hidden="false" customHeight="false" outlineLevel="0" collapsed="false">
      <c r="A2619" s="2" t="s">
        <v>118</v>
      </c>
      <c r="B2619" s="2" t="n">
        <v>2</v>
      </c>
      <c r="C2619" s="2" t="s">
        <v>101</v>
      </c>
      <c r="D2619" s="2" t="s">
        <v>46</v>
      </c>
      <c r="E2619" s="2" t="str">
        <f aca="false">INDEX(Products!$B$2:$B$13,MATCH(D2619,Products!$A$2:$A$13,0))</f>
        <v>Specialty</v>
      </c>
      <c r="F2619" s="15" t="n">
        <v>4.2</v>
      </c>
      <c r="G2619" s="16" t="n">
        <f aca="false">IF(A2619="2025",INDEX(Products!$C$2:$C$13,MATCH(D2619,Products!$A$2:$A$13,0)),INDEX(Products!$E$2:$E$13,MATCH(D2619,Products!$A$2:$A$13,0)))</f>
        <v>25560</v>
      </c>
      <c r="H2619" s="13" t="n">
        <f aca="false">IF(A2619="2025",INDEX(Customers!$D$2:$D$41,MATCH(C2619,Customers!$A$2:$A$41,0)),INDEX(Customers!$F$2:$F$41,MATCH(C2619,Customers!$A$2:$A$41,0)))</f>
        <v>0.067</v>
      </c>
      <c r="I2619" s="16" t="n">
        <f aca="false">F2619*G2619</f>
        <v>107352</v>
      </c>
      <c r="J2619" s="16" t="n">
        <f aca="false">I2619*(1-H2619)</f>
        <v>100159.416</v>
      </c>
      <c r="K2619" s="16" t="n">
        <f aca="false">J2619*INDEX(Customers!$G$2:$G$41,MATCH(C2619,Customers!$A$2:$A$41,0))</f>
        <v>5007.9708</v>
      </c>
      <c r="L2619" s="16" t="n">
        <f aca="false">F2619*INDEX(Customers!$H$2:$H$41,MATCH(C2619,Customers!$A$2:$A$41,0))</f>
        <v>1638</v>
      </c>
      <c r="M2619" s="16" t="n">
        <f aca="false">J2619*INDEX(Customers!$I$2:$I$41,MATCH(C2619,Customers!$A$2:$A$41,0))/365*Assumptions!$B$6</f>
        <v>658.582461369863</v>
      </c>
      <c r="N2619" s="16" t="n">
        <f aca="false">J2619-K2619-L2619-M2619</f>
        <v>92854.8627386302</v>
      </c>
      <c r="O2619" s="16" t="n">
        <f aca="false">F2619*IF(A2619="2025",INDEX(Products!$D$2:$D$13,MATCH(D2619,Products!$A$2:$A$13,0)),INDEX(Products!$F$2:$F$13,MATCH(D2619,Products!$A$2:$A$13,0)))</f>
        <v>51450</v>
      </c>
      <c r="P2619" s="16" t="n">
        <f aca="false">N2619-O2619</f>
        <v>41404.8627386302</v>
      </c>
    </row>
    <row r="2620" customFormat="false" ht="15" hidden="false" customHeight="false" outlineLevel="0" collapsed="false">
      <c r="A2620" s="2" t="s">
        <v>118</v>
      </c>
      <c r="B2620" s="2" t="n">
        <v>3</v>
      </c>
      <c r="C2620" s="2" t="s">
        <v>101</v>
      </c>
      <c r="D2620" s="2" t="s">
        <v>46</v>
      </c>
      <c r="E2620" s="2" t="str">
        <f aca="false">INDEX(Products!$B$2:$B$13,MATCH(D2620,Products!$A$2:$A$13,0))</f>
        <v>Specialty</v>
      </c>
      <c r="F2620" s="15" t="n">
        <v>4.8</v>
      </c>
      <c r="G2620" s="16" t="n">
        <f aca="false">IF(A2620="2025",INDEX(Products!$C$2:$C$13,MATCH(D2620,Products!$A$2:$A$13,0)),INDEX(Products!$E$2:$E$13,MATCH(D2620,Products!$A$2:$A$13,0)))</f>
        <v>25560</v>
      </c>
      <c r="H2620" s="13" t="n">
        <f aca="false">IF(A2620="2025",INDEX(Customers!$D$2:$D$41,MATCH(C2620,Customers!$A$2:$A$41,0)),INDEX(Customers!$F$2:$F$41,MATCH(C2620,Customers!$A$2:$A$41,0)))</f>
        <v>0.067</v>
      </c>
      <c r="I2620" s="16" t="n">
        <f aca="false">F2620*G2620</f>
        <v>122688</v>
      </c>
      <c r="J2620" s="16" t="n">
        <f aca="false">I2620*(1-H2620)</f>
        <v>114467.904</v>
      </c>
      <c r="K2620" s="16" t="n">
        <f aca="false">J2620*INDEX(Customers!$G$2:$G$41,MATCH(C2620,Customers!$A$2:$A$41,0))</f>
        <v>5723.3952</v>
      </c>
      <c r="L2620" s="16" t="n">
        <f aca="false">F2620*INDEX(Customers!$H$2:$H$41,MATCH(C2620,Customers!$A$2:$A$41,0))</f>
        <v>1872</v>
      </c>
      <c r="M2620" s="16" t="n">
        <f aca="false">J2620*INDEX(Customers!$I$2:$I$41,MATCH(C2620,Customers!$A$2:$A$41,0))/365*Assumptions!$B$6</f>
        <v>752.665670136986</v>
      </c>
      <c r="N2620" s="16" t="n">
        <f aca="false">J2620-K2620-L2620-M2620</f>
        <v>106119.843129863</v>
      </c>
      <c r="O2620" s="16" t="n">
        <f aca="false">F2620*IF(A2620="2025",INDEX(Products!$D$2:$D$13,MATCH(D2620,Products!$A$2:$A$13,0)),INDEX(Products!$F$2:$F$13,MATCH(D2620,Products!$A$2:$A$13,0)))</f>
        <v>58800</v>
      </c>
      <c r="P2620" s="16" t="n">
        <f aca="false">N2620-O2620</f>
        <v>47319.843129863</v>
      </c>
    </row>
    <row r="2621" customFormat="false" ht="15" hidden="false" customHeight="false" outlineLevel="0" collapsed="false">
      <c r="A2621" s="2" t="s">
        <v>118</v>
      </c>
      <c r="B2621" s="2" t="n">
        <v>4</v>
      </c>
      <c r="C2621" s="2" t="s">
        <v>101</v>
      </c>
      <c r="D2621" s="2" t="s">
        <v>46</v>
      </c>
      <c r="E2621" s="2" t="str">
        <f aca="false">INDEX(Products!$B$2:$B$13,MATCH(D2621,Products!$A$2:$A$13,0))</f>
        <v>Specialty</v>
      </c>
      <c r="F2621" s="15" t="n">
        <v>3.6</v>
      </c>
      <c r="G2621" s="16" t="n">
        <f aca="false">IF(A2621="2025",INDEX(Products!$C$2:$C$13,MATCH(D2621,Products!$A$2:$A$13,0)),INDEX(Products!$E$2:$E$13,MATCH(D2621,Products!$A$2:$A$13,0)))</f>
        <v>25560</v>
      </c>
      <c r="H2621" s="13" t="n">
        <f aca="false">IF(A2621="2025",INDEX(Customers!$D$2:$D$41,MATCH(C2621,Customers!$A$2:$A$41,0)),INDEX(Customers!$F$2:$F$41,MATCH(C2621,Customers!$A$2:$A$41,0)))</f>
        <v>0.067</v>
      </c>
      <c r="I2621" s="16" t="n">
        <f aca="false">F2621*G2621</f>
        <v>92016</v>
      </c>
      <c r="J2621" s="16" t="n">
        <f aca="false">I2621*(1-H2621)</f>
        <v>85850.928</v>
      </c>
      <c r="K2621" s="16" t="n">
        <f aca="false">J2621*INDEX(Customers!$G$2:$G$41,MATCH(C2621,Customers!$A$2:$A$41,0))</f>
        <v>4292.5464</v>
      </c>
      <c r="L2621" s="16" t="n">
        <f aca="false">F2621*INDEX(Customers!$H$2:$H$41,MATCH(C2621,Customers!$A$2:$A$41,0))</f>
        <v>1404</v>
      </c>
      <c r="M2621" s="16" t="n">
        <f aca="false">J2621*INDEX(Customers!$I$2:$I$41,MATCH(C2621,Customers!$A$2:$A$41,0))/365*Assumptions!$B$6</f>
        <v>564.49925260274</v>
      </c>
      <c r="N2621" s="16" t="n">
        <f aca="false">J2621-K2621-L2621-M2621</f>
        <v>79589.8823473973</v>
      </c>
      <c r="O2621" s="16" t="n">
        <f aca="false">F2621*IF(A2621="2025",INDEX(Products!$D$2:$D$13,MATCH(D2621,Products!$A$2:$A$13,0)),INDEX(Products!$F$2:$F$13,MATCH(D2621,Products!$A$2:$A$13,0)))</f>
        <v>44100</v>
      </c>
      <c r="P2621" s="16" t="n">
        <f aca="false">N2621-O2621</f>
        <v>35489.8823473973</v>
      </c>
    </row>
    <row r="2622" customFormat="false" ht="15" hidden="false" customHeight="false" outlineLevel="0" collapsed="false">
      <c r="A2622" s="2" t="s">
        <v>118</v>
      </c>
      <c r="B2622" s="2" t="n">
        <v>5</v>
      </c>
      <c r="C2622" s="2" t="s">
        <v>101</v>
      </c>
      <c r="D2622" s="2" t="s">
        <v>46</v>
      </c>
      <c r="E2622" s="2" t="str">
        <f aca="false">INDEX(Products!$B$2:$B$13,MATCH(D2622,Products!$A$2:$A$13,0))</f>
        <v>Specialty</v>
      </c>
      <c r="F2622" s="15" t="n">
        <v>3.9</v>
      </c>
      <c r="G2622" s="16" t="n">
        <f aca="false">IF(A2622="2025",INDEX(Products!$C$2:$C$13,MATCH(D2622,Products!$A$2:$A$13,0)),INDEX(Products!$E$2:$E$13,MATCH(D2622,Products!$A$2:$A$13,0)))</f>
        <v>25560</v>
      </c>
      <c r="H2622" s="13" t="n">
        <f aca="false">IF(A2622="2025",INDEX(Customers!$D$2:$D$41,MATCH(C2622,Customers!$A$2:$A$41,0)),INDEX(Customers!$F$2:$F$41,MATCH(C2622,Customers!$A$2:$A$41,0)))</f>
        <v>0.067</v>
      </c>
      <c r="I2622" s="16" t="n">
        <f aca="false">F2622*G2622</f>
        <v>99684</v>
      </c>
      <c r="J2622" s="16" t="n">
        <f aca="false">I2622*(1-H2622)</f>
        <v>93005.172</v>
      </c>
      <c r="K2622" s="16" t="n">
        <f aca="false">J2622*INDEX(Customers!$G$2:$G$41,MATCH(C2622,Customers!$A$2:$A$41,0))</f>
        <v>4650.2586</v>
      </c>
      <c r="L2622" s="16" t="n">
        <f aca="false">F2622*INDEX(Customers!$H$2:$H$41,MATCH(C2622,Customers!$A$2:$A$41,0))</f>
        <v>1521</v>
      </c>
      <c r="M2622" s="16" t="n">
        <f aca="false">J2622*INDEX(Customers!$I$2:$I$41,MATCH(C2622,Customers!$A$2:$A$41,0))/365*Assumptions!$B$6</f>
        <v>611.540856986301</v>
      </c>
      <c r="N2622" s="16" t="n">
        <f aca="false">J2622-K2622-L2622-M2622</f>
        <v>86222.3725430137</v>
      </c>
      <c r="O2622" s="16" t="n">
        <f aca="false">F2622*IF(A2622="2025",INDEX(Products!$D$2:$D$13,MATCH(D2622,Products!$A$2:$A$13,0)),INDEX(Products!$F$2:$F$13,MATCH(D2622,Products!$A$2:$A$13,0)))</f>
        <v>47775</v>
      </c>
      <c r="P2622" s="16" t="n">
        <f aca="false">N2622-O2622</f>
        <v>38447.3725430137</v>
      </c>
    </row>
    <row r="2623" customFormat="false" ht="15" hidden="false" customHeight="false" outlineLevel="0" collapsed="false">
      <c r="A2623" s="2" t="s">
        <v>118</v>
      </c>
      <c r="B2623" s="2" t="n">
        <v>6</v>
      </c>
      <c r="C2623" s="2" t="s">
        <v>101</v>
      </c>
      <c r="D2623" s="2" t="s">
        <v>46</v>
      </c>
      <c r="E2623" s="2" t="str">
        <f aca="false">INDEX(Products!$B$2:$B$13,MATCH(D2623,Products!$A$2:$A$13,0))</f>
        <v>Specialty</v>
      </c>
      <c r="F2623" s="15" t="n">
        <v>5.3</v>
      </c>
      <c r="G2623" s="16" t="n">
        <f aca="false">IF(A2623="2025",INDEX(Products!$C$2:$C$13,MATCH(D2623,Products!$A$2:$A$13,0)),INDEX(Products!$E$2:$E$13,MATCH(D2623,Products!$A$2:$A$13,0)))</f>
        <v>25560</v>
      </c>
      <c r="H2623" s="13" t="n">
        <f aca="false">IF(A2623="2025",INDEX(Customers!$D$2:$D$41,MATCH(C2623,Customers!$A$2:$A$41,0)),INDEX(Customers!$F$2:$F$41,MATCH(C2623,Customers!$A$2:$A$41,0)))</f>
        <v>0.067</v>
      </c>
      <c r="I2623" s="16" t="n">
        <f aca="false">F2623*G2623</f>
        <v>135468</v>
      </c>
      <c r="J2623" s="16" t="n">
        <f aca="false">I2623*(1-H2623)</f>
        <v>126391.644</v>
      </c>
      <c r="K2623" s="16" t="n">
        <f aca="false">J2623*INDEX(Customers!$G$2:$G$41,MATCH(C2623,Customers!$A$2:$A$41,0))</f>
        <v>6319.5822</v>
      </c>
      <c r="L2623" s="16" t="n">
        <f aca="false">F2623*INDEX(Customers!$H$2:$H$41,MATCH(C2623,Customers!$A$2:$A$41,0))</f>
        <v>2067</v>
      </c>
      <c r="M2623" s="16" t="n">
        <f aca="false">J2623*INDEX(Customers!$I$2:$I$41,MATCH(C2623,Customers!$A$2:$A$41,0))/365*Assumptions!$B$6</f>
        <v>831.068344109589</v>
      </c>
      <c r="N2623" s="16" t="n">
        <f aca="false">J2623-K2623-L2623-M2623</f>
        <v>117173.99345589</v>
      </c>
      <c r="O2623" s="16" t="n">
        <f aca="false">F2623*IF(A2623="2025",INDEX(Products!$D$2:$D$13,MATCH(D2623,Products!$A$2:$A$13,0)),INDEX(Products!$F$2:$F$13,MATCH(D2623,Products!$A$2:$A$13,0)))</f>
        <v>64925</v>
      </c>
      <c r="P2623" s="16" t="n">
        <f aca="false">N2623-O2623</f>
        <v>52248.9934558904</v>
      </c>
    </row>
    <row r="2624" customFormat="false" ht="15" hidden="false" customHeight="false" outlineLevel="0" collapsed="false">
      <c r="A2624" s="2" t="s">
        <v>118</v>
      </c>
      <c r="B2624" s="2" t="n">
        <v>7</v>
      </c>
      <c r="C2624" s="2" t="s">
        <v>101</v>
      </c>
      <c r="D2624" s="2" t="s">
        <v>46</v>
      </c>
      <c r="E2624" s="2" t="str">
        <f aca="false">INDEX(Products!$B$2:$B$13,MATCH(D2624,Products!$A$2:$A$13,0))</f>
        <v>Specialty</v>
      </c>
      <c r="F2624" s="15" t="n">
        <v>4.1</v>
      </c>
      <c r="G2624" s="16" t="n">
        <f aca="false">IF(A2624="2025",INDEX(Products!$C$2:$C$13,MATCH(D2624,Products!$A$2:$A$13,0)),INDEX(Products!$E$2:$E$13,MATCH(D2624,Products!$A$2:$A$13,0)))</f>
        <v>25560</v>
      </c>
      <c r="H2624" s="13" t="n">
        <f aca="false">IF(A2624="2025",INDEX(Customers!$D$2:$D$41,MATCH(C2624,Customers!$A$2:$A$41,0)),INDEX(Customers!$F$2:$F$41,MATCH(C2624,Customers!$A$2:$A$41,0)))</f>
        <v>0.067</v>
      </c>
      <c r="I2624" s="16" t="n">
        <f aca="false">F2624*G2624</f>
        <v>104796</v>
      </c>
      <c r="J2624" s="16" t="n">
        <f aca="false">I2624*(1-H2624)</f>
        <v>97774.668</v>
      </c>
      <c r="K2624" s="16" t="n">
        <f aca="false">J2624*INDEX(Customers!$G$2:$G$41,MATCH(C2624,Customers!$A$2:$A$41,0))</f>
        <v>4888.7334</v>
      </c>
      <c r="L2624" s="16" t="n">
        <f aca="false">F2624*INDEX(Customers!$H$2:$H$41,MATCH(C2624,Customers!$A$2:$A$41,0))</f>
        <v>1599</v>
      </c>
      <c r="M2624" s="16" t="n">
        <f aca="false">J2624*INDEX(Customers!$I$2:$I$41,MATCH(C2624,Customers!$A$2:$A$41,0))/365*Assumptions!$B$6</f>
        <v>642.901926575342</v>
      </c>
      <c r="N2624" s="16" t="n">
        <f aca="false">J2624-K2624-L2624-M2624</f>
        <v>90644.0326734247</v>
      </c>
      <c r="O2624" s="16" t="n">
        <f aca="false">F2624*IF(A2624="2025",INDEX(Products!$D$2:$D$13,MATCH(D2624,Products!$A$2:$A$13,0)),INDEX(Products!$F$2:$F$13,MATCH(D2624,Products!$A$2:$A$13,0)))</f>
        <v>50225</v>
      </c>
      <c r="P2624" s="16" t="n">
        <f aca="false">N2624-O2624</f>
        <v>40419.0326734247</v>
      </c>
    </row>
    <row r="2625" customFormat="false" ht="15" hidden="false" customHeight="false" outlineLevel="0" collapsed="false">
      <c r="A2625" s="2" t="s">
        <v>118</v>
      </c>
      <c r="B2625" s="2" t="n">
        <v>8</v>
      </c>
      <c r="C2625" s="2" t="s">
        <v>101</v>
      </c>
      <c r="D2625" s="2" t="s">
        <v>46</v>
      </c>
      <c r="E2625" s="2" t="str">
        <f aca="false">INDEX(Products!$B$2:$B$13,MATCH(D2625,Products!$A$2:$A$13,0))</f>
        <v>Specialty</v>
      </c>
      <c r="F2625" s="15" t="n">
        <v>3.3</v>
      </c>
      <c r="G2625" s="16" t="n">
        <f aca="false">IF(A2625="2025",INDEX(Products!$C$2:$C$13,MATCH(D2625,Products!$A$2:$A$13,0)),INDEX(Products!$E$2:$E$13,MATCH(D2625,Products!$A$2:$A$13,0)))</f>
        <v>25560</v>
      </c>
      <c r="H2625" s="13" t="n">
        <f aca="false">IF(A2625="2025",INDEX(Customers!$D$2:$D$41,MATCH(C2625,Customers!$A$2:$A$41,0)),INDEX(Customers!$F$2:$F$41,MATCH(C2625,Customers!$A$2:$A$41,0)))</f>
        <v>0.067</v>
      </c>
      <c r="I2625" s="16" t="n">
        <f aca="false">F2625*G2625</f>
        <v>84348</v>
      </c>
      <c r="J2625" s="16" t="n">
        <f aca="false">I2625*(1-H2625)</f>
        <v>78696.684</v>
      </c>
      <c r="K2625" s="16" t="n">
        <f aca="false">J2625*INDEX(Customers!$G$2:$G$41,MATCH(C2625,Customers!$A$2:$A$41,0))</f>
        <v>3934.8342</v>
      </c>
      <c r="L2625" s="16" t="n">
        <f aca="false">F2625*INDEX(Customers!$H$2:$H$41,MATCH(C2625,Customers!$A$2:$A$41,0))</f>
        <v>1287</v>
      </c>
      <c r="M2625" s="16" t="n">
        <f aca="false">J2625*INDEX(Customers!$I$2:$I$41,MATCH(C2625,Customers!$A$2:$A$41,0))/365*Assumptions!$B$6</f>
        <v>517.457648219178</v>
      </c>
      <c r="N2625" s="16" t="n">
        <f aca="false">J2625-K2625-L2625-M2625</f>
        <v>72957.3921517808</v>
      </c>
      <c r="O2625" s="16" t="n">
        <f aca="false">F2625*IF(A2625="2025",INDEX(Products!$D$2:$D$13,MATCH(D2625,Products!$A$2:$A$13,0)),INDEX(Products!$F$2:$F$13,MATCH(D2625,Products!$A$2:$A$13,0)))</f>
        <v>40425</v>
      </c>
      <c r="P2625" s="16" t="n">
        <f aca="false">N2625-O2625</f>
        <v>32532.3921517808</v>
      </c>
    </row>
    <row r="2626" customFormat="false" ht="15" hidden="false" customHeight="false" outlineLevel="0" collapsed="false">
      <c r="A2626" s="2" t="s">
        <v>118</v>
      </c>
      <c r="B2626" s="2" t="n">
        <v>9</v>
      </c>
      <c r="C2626" s="2" t="s">
        <v>101</v>
      </c>
      <c r="D2626" s="2" t="s">
        <v>46</v>
      </c>
      <c r="E2626" s="2" t="str">
        <f aca="false">INDEX(Products!$B$2:$B$13,MATCH(D2626,Products!$A$2:$A$13,0))</f>
        <v>Specialty</v>
      </c>
      <c r="F2626" s="15" t="n">
        <v>3.8</v>
      </c>
      <c r="G2626" s="16" t="n">
        <f aca="false">IF(A2626="2025",INDEX(Products!$C$2:$C$13,MATCH(D2626,Products!$A$2:$A$13,0)),INDEX(Products!$E$2:$E$13,MATCH(D2626,Products!$A$2:$A$13,0)))</f>
        <v>25560</v>
      </c>
      <c r="H2626" s="13" t="n">
        <f aca="false">IF(A2626="2025",INDEX(Customers!$D$2:$D$41,MATCH(C2626,Customers!$A$2:$A$41,0)),INDEX(Customers!$F$2:$F$41,MATCH(C2626,Customers!$A$2:$A$41,0)))</f>
        <v>0.067</v>
      </c>
      <c r="I2626" s="16" t="n">
        <f aca="false">F2626*G2626</f>
        <v>97128</v>
      </c>
      <c r="J2626" s="16" t="n">
        <f aca="false">I2626*(1-H2626)</f>
        <v>90620.424</v>
      </c>
      <c r="K2626" s="16" t="n">
        <f aca="false">J2626*INDEX(Customers!$G$2:$G$41,MATCH(C2626,Customers!$A$2:$A$41,0))</f>
        <v>4531.0212</v>
      </c>
      <c r="L2626" s="16" t="n">
        <f aca="false">F2626*INDEX(Customers!$H$2:$H$41,MATCH(C2626,Customers!$A$2:$A$41,0))</f>
        <v>1482</v>
      </c>
      <c r="M2626" s="16" t="n">
        <f aca="false">J2626*INDEX(Customers!$I$2:$I$41,MATCH(C2626,Customers!$A$2:$A$41,0))/365*Assumptions!$B$6</f>
        <v>595.860322191781</v>
      </c>
      <c r="N2626" s="16" t="n">
        <f aca="false">J2626-K2626-L2626-M2626</f>
        <v>84011.5424778082</v>
      </c>
      <c r="O2626" s="16" t="n">
        <f aca="false">F2626*IF(A2626="2025",INDEX(Products!$D$2:$D$13,MATCH(D2626,Products!$A$2:$A$13,0)),INDEX(Products!$F$2:$F$13,MATCH(D2626,Products!$A$2:$A$13,0)))</f>
        <v>46550</v>
      </c>
      <c r="P2626" s="16" t="n">
        <f aca="false">N2626-O2626</f>
        <v>37461.5424778082</v>
      </c>
    </row>
    <row r="2627" customFormat="false" ht="15" hidden="false" customHeight="false" outlineLevel="0" collapsed="false">
      <c r="A2627" s="2" t="s">
        <v>118</v>
      </c>
      <c r="B2627" s="2" t="n">
        <v>10</v>
      </c>
      <c r="C2627" s="2" t="s">
        <v>101</v>
      </c>
      <c r="D2627" s="2" t="s">
        <v>46</v>
      </c>
      <c r="E2627" s="2" t="str">
        <f aca="false">INDEX(Products!$B$2:$B$13,MATCH(D2627,Products!$A$2:$A$13,0))</f>
        <v>Specialty</v>
      </c>
      <c r="F2627" s="15" t="n">
        <v>3.5</v>
      </c>
      <c r="G2627" s="16" t="n">
        <f aca="false">IF(A2627="2025",INDEX(Products!$C$2:$C$13,MATCH(D2627,Products!$A$2:$A$13,0)),INDEX(Products!$E$2:$E$13,MATCH(D2627,Products!$A$2:$A$13,0)))</f>
        <v>25560</v>
      </c>
      <c r="H2627" s="13" t="n">
        <f aca="false">IF(A2627="2025",INDEX(Customers!$D$2:$D$41,MATCH(C2627,Customers!$A$2:$A$41,0)),INDEX(Customers!$F$2:$F$41,MATCH(C2627,Customers!$A$2:$A$41,0)))</f>
        <v>0.067</v>
      </c>
      <c r="I2627" s="16" t="n">
        <f aca="false">F2627*G2627</f>
        <v>89460</v>
      </c>
      <c r="J2627" s="16" t="n">
        <f aca="false">I2627*(1-H2627)</f>
        <v>83466.18</v>
      </c>
      <c r="K2627" s="16" t="n">
        <f aca="false">J2627*INDEX(Customers!$G$2:$G$41,MATCH(C2627,Customers!$A$2:$A$41,0))</f>
        <v>4173.309</v>
      </c>
      <c r="L2627" s="16" t="n">
        <f aca="false">F2627*INDEX(Customers!$H$2:$H$41,MATCH(C2627,Customers!$A$2:$A$41,0))</f>
        <v>1365</v>
      </c>
      <c r="M2627" s="16" t="n">
        <f aca="false">J2627*INDEX(Customers!$I$2:$I$41,MATCH(C2627,Customers!$A$2:$A$41,0))/365*Assumptions!$B$6</f>
        <v>548.818717808219</v>
      </c>
      <c r="N2627" s="16" t="n">
        <f aca="false">J2627-K2627-L2627-M2627</f>
        <v>77379.0522821918</v>
      </c>
      <c r="O2627" s="16" t="n">
        <f aca="false">F2627*IF(A2627="2025",INDEX(Products!$D$2:$D$13,MATCH(D2627,Products!$A$2:$A$13,0)),INDEX(Products!$F$2:$F$13,MATCH(D2627,Products!$A$2:$A$13,0)))</f>
        <v>42875</v>
      </c>
      <c r="P2627" s="16" t="n">
        <f aca="false">N2627-O2627</f>
        <v>34504.0522821918</v>
      </c>
    </row>
    <row r="2628" customFormat="false" ht="15" hidden="false" customHeight="false" outlineLevel="0" collapsed="false">
      <c r="A2628" s="2" t="s">
        <v>118</v>
      </c>
      <c r="B2628" s="2" t="n">
        <v>11</v>
      </c>
      <c r="C2628" s="2" t="s">
        <v>101</v>
      </c>
      <c r="D2628" s="2" t="s">
        <v>46</v>
      </c>
      <c r="E2628" s="2" t="str">
        <f aca="false">INDEX(Products!$B$2:$B$13,MATCH(D2628,Products!$A$2:$A$13,0))</f>
        <v>Specialty</v>
      </c>
      <c r="F2628" s="15" t="n">
        <v>3</v>
      </c>
      <c r="G2628" s="16" t="n">
        <f aca="false">IF(A2628="2025",INDEX(Products!$C$2:$C$13,MATCH(D2628,Products!$A$2:$A$13,0)),INDEX(Products!$E$2:$E$13,MATCH(D2628,Products!$A$2:$A$13,0)))</f>
        <v>25560</v>
      </c>
      <c r="H2628" s="13" t="n">
        <f aca="false">IF(A2628="2025",INDEX(Customers!$D$2:$D$41,MATCH(C2628,Customers!$A$2:$A$41,0)),INDEX(Customers!$F$2:$F$41,MATCH(C2628,Customers!$A$2:$A$41,0)))</f>
        <v>0.067</v>
      </c>
      <c r="I2628" s="16" t="n">
        <f aca="false">F2628*G2628</f>
        <v>76680</v>
      </c>
      <c r="J2628" s="16" t="n">
        <f aca="false">I2628*(1-H2628)</f>
        <v>71542.44</v>
      </c>
      <c r="K2628" s="16" t="n">
        <f aca="false">J2628*INDEX(Customers!$G$2:$G$41,MATCH(C2628,Customers!$A$2:$A$41,0))</f>
        <v>3577.122</v>
      </c>
      <c r="L2628" s="16" t="n">
        <f aca="false">F2628*INDEX(Customers!$H$2:$H$41,MATCH(C2628,Customers!$A$2:$A$41,0))</f>
        <v>1170</v>
      </c>
      <c r="M2628" s="16" t="n">
        <f aca="false">J2628*INDEX(Customers!$I$2:$I$41,MATCH(C2628,Customers!$A$2:$A$41,0))/365*Assumptions!$B$6</f>
        <v>470.416043835617</v>
      </c>
      <c r="N2628" s="16" t="n">
        <f aca="false">J2628-K2628-L2628-M2628</f>
        <v>66324.9019561644</v>
      </c>
      <c r="O2628" s="16" t="n">
        <f aca="false">F2628*IF(A2628="2025",INDEX(Products!$D$2:$D$13,MATCH(D2628,Products!$A$2:$A$13,0)),INDEX(Products!$F$2:$F$13,MATCH(D2628,Products!$A$2:$A$13,0)))</f>
        <v>36750</v>
      </c>
      <c r="P2628" s="16" t="n">
        <f aca="false">N2628-O2628</f>
        <v>29574.9019561644</v>
      </c>
    </row>
    <row r="2629" customFormat="false" ht="15" hidden="false" customHeight="false" outlineLevel="0" collapsed="false">
      <c r="A2629" s="2" t="s">
        <v>118</v>
      </c>
      <c r="B2629" s="2" t="n">
        <v>12</v>
      </c>
      <c r="C2629" s="2" t="s">
        <v>101</v>
      </c>
      <c r="D2629" s="2" t="s">
        <v>46</v>
      </c>
      <c r="E2629" s="2" t="str">
        <f aca="false">INDEX(Products!$B$2:$B$13,MATCH(D2629,Products!$A$2:$A$13,0))</f>
        <v>Specialty</v>
      </c>
      <c r="F2629" s="15" t="n">
        <v>5.4</v>
      </c>
      <c r="G2629" s="16" t="n">
        <f aca="false">IF(A2629="2025",INDEX(Products!$C$2:$C$13,MATCH(D2629,Products!$A$2:$A$13,0)),INDEX(Products!$E$2:$E$13,MATCH(D2629,Products!$A$2:$A$13,0)))</f>
        <v>25560</v>
      </c>
      <c r="H2629" s="13" t="n">
        <f aca="false">IF(A2629="2025",INDEX(Customers!$D$2:$D$41,MATCH(C2629,Customers!$A$2:$A$41,0)),INDEX(Customers!$F$2:$F$41,MATCH(C2629,Customers!$A$2:$A$41,0)))</f>
        <v>0.067</v>
      </c>
      <c r="I2629" s="16" t="n">
        <f aca="false">F2629*G2629</f>
        <v>138024</v>
      </c>
      <c r="J2629" s="16" t="n">
        <f aca="false">I2629*(1-H2629)</f>
        <v>128776.392</v>
      </c>
      <c r="K2629" s="16" t="n">
        <f aca="false">J2629*INDEX(Customers!$G$2:$G$41,MATCH(C2629,Customers!$A$2:$A$41,0))</f>
        <v>6438.8196</v>
      </c>
      <c r="L2629" s="16" t="n">
        <f aca="false">F2629*INDEX(Customers!$H$2:$H$41,MATCH(C2629,Customers!$A$2:$A$41,0))</f>
        <v>2106</v>
      </c>
      <c r="M2629" s="16" t="n">
        <f aca="false">J2629*INDEX(Customers!$I$2:$I$41,MATCH(C2629,Customers!$A$2:$A$41,0))/365*Assumptions!$B$6</f>
        <v>846.74887890411</v>
      </c>
      <c r="N2629" s="16" t="n">
        <f aca="false">J2629-K2629-L2629-M2629</f>
        <v>119384.823521096</v>
      </c>
      <c r="O2629" s="16" t="n">
        <f aca="false">F2629*IF(A2629="2025",INDEX(Products!$D$2:$D$13,MATCH(D2629,Products!$A$2:$A$13,0)),INDEX(Products!$F$2:$F$13,MATCH(D2629,Products!$A$2:$A$13,0)))</f>
        <v>66150</v>
      </c>
      <c r="P2629" s="16" t="n">
        <f aca="false">N2629-O2629</f>
        <v>53234.8235210959</v>
      </c>
    </row>
    <row r="2630" customFormat="false" ht="15" hidden="false" customHeight="false" outlineLevel="0" collapsed="false">
      <c r="A2630" s="2" t="s">
        <v>119</v>
      </c>
      <c r="B2630" s="2" t="n">
        <v>1</v>
      </c>
      <c r="C2630" s="2" t="s">
        <v>101</v>
      </c>
      <c r="D2630" s="2" t="s">
        <v>46</v>
      </c>
      <c r="E2630" s="2" t="str">
        <f aca="false">INDEX(Products!$B$2:$B$13,MATCH(D2630,Products!$A$2:$A$13,0))</f>
        <v>Specialty</v>
      </c>
      <c r="F2630" s="15" t="n">
        <v>4.4</v>
      </c>
      <c r="G2630" s="16" t="n">
        <f aca="false">IF(A2630="2025",INDEX(Products!$C$2:$C$13,MATCH(D2630,Products!$A$2:$A$13,0)),INDEX(Products!$E$2:$E$13,MATCH(D2630,Products!$A$2:$A$13,0)))</f>
        <v>26838</v>
      </c>
      <c r="H2630" s="13" t="n">
        <f aca="false">IF(A2630="2025",INDEX(Customers!$D$2:$D$41,MATCH(C2630,Customers!$A$2:$A$41,0)),INDEX(Customers!$F$2:$F$41,MATCH(C2630,Customers!$A$2:$A$41,0)))</f>
        <v>0.067</v>
      </c>
      <c r="I2630" s="16" t="n">
        <f aca="false">F2630*G2630</f>
        <v>118087.2</v>
      </c>
      <c r="J2630" s="16" t="n">
        <f aca="false">I2630*(1-H2630)</f>
        <v>110175.3576</v>
      </c>
      <c r="K2630" s="16" t="n">
        <f aca="false">J2630*INDEX(Customers!$G$2:$G$41,MATCH(C2630,Customers!$A$2:$A$41,0))</f>
        <v>5508.76788</v>
      </c>
      <c r="L2630" s="16" t="n">
        <f aca="false">F2630*INDEX(Customers!$H$2:$H$41,MATCH(C2630,Customers!$A$2:$A$41,0))</f>
        <v>1716</v>
      </c>
      <c r="M2630" s="16" t="n">
        <f aca="false">J2630*INDEX(Customers!$I$2:$I$41,MATCH(C2630,Customers!$A$2:$A$41,0))/365*Assumptions!$B$6</f>
        <v>724.440707506849</v>
      </c>
      <c r="N2630" s="16" t="n">
        <f aca="false">J2630-K2630-L2630-M2630</f>
        <v>102226.149012493</v>
      </c>
      <c r="O2630" s="16" t="n">
        <f aca="false">F2630*IF(A2630="2025",INDEX(Products!$D$2:$D$13,MATCH(D2630,Products!$A$2:$A$13,0)),INDEX(Products!$F$2:$F$13,MATCH(D2630,Products!$A$2:$A$13,0)))</f>
        <v>55517</v>
      </c>
      <c r="P2630" s="16" t="n">
        <f aca="false">N2630-O2630</f>
        <v>46709.1490124932</v>
      </c>
    </row>
    <row r="2631" customFormat="false" ht="15" hidden="false" customHeight="false" outlineLevel="0" collapsed="false">
      <c r="A2631" s="2" t="s">
        <v>119</v>
      </c>
      <c r="B2631" s="2" t="n">
        <v>2</v>
      </c>
      <c r="C2631" s="2" t="s">
        <v>101</v>
      </c>
      <c r="D2631" s="2" t="s">
        <v>46</v>
      </c>
      <c r="E2631" s="2" t="str">
        <f aca="false">INDEX(Products!$B$2:$B$13,MATCH(D2631,Products!$A$2:$A$13,0))</f>
        <v>Specialty</v>
      </c>
      <c r="F2631" s="15" t="n">
        <v>4.5</v>
      </c>
      <c r="G2631" s="16" t="n">
        <f aca="false">IF(A2631="2025",INDEX(Products!$C$2:$C$13,MATCH(D2631,Products!$A$2:$A$13,0)),INDEX(Products!$E$2:$E$13,MATCH(D2631,Products!$A$2:$A$13,0)))</f>
        <v>26838</v>
      </c>
      <c r="H2631" s="13" t="n">
        <f aca="false">IF(A2631="2025",INDEX(Customers!$D$2:$D$41,MATCH(C2631,Customers!$A$2:$A$41,0)),INDEX(Customers!$F$2:$F$41,MATCH(C2631,Customers!$A$2:$A$41,0)))</f>
        <v>0.067</v>
      </c>
      <c r="I2631" s="16" t="n">
        <f aca="false">F2631*G2631</f>
        <v>120771</v>
      </c>
      <c r="J2631" s="16" t="n">
        <f aca="false">I2631*(1-H2631)</f>
        <v>112679.343</v>
      </c>
      <c r="K2631" s="16" t="n">
        <f aca="false">J2631*INDEX(Customers!$G$2:$G$41,MATCH(C2631,Customers!$A$2:$A$41,0))</f>
        <v>5633.96715</v>
      </c>
      <c r="L2631" s="16" t="n">
        <f aca="false">F2631*INDEX(Customers!$H$2:$H$41,MATCH(C2631,Customers!$A$2:$A$41,0))</f>
        <v>1755</v>
      </c>
      <c r="M2631" s="16" t="n">
        <f aca="false">J2631*INDEX(Customers!$I$2:$I$41,MATCH(C2631,Customers!$A$2:$A$41,0))/365*Assumptions!$B$6</f>
        <v>740.905269041096</v>
      </c>
      <c r="N2631" s="16" t="n">
        <f aca="false">J2631-K2631-L2631-M2631</f>
        <v>104549.470580959</v>
      </c>
      <c r="O2631" s="16" t="n">
        <f aca="false">F2631*IF(A2631="2025",INDEX(Products!$D$2:$D$13,MATCH(D2631,Products!$A$2:$A$13,0)),INDEX(Products!$F$2:$F$13,MATCH(D2631,Products!$A$2:$A$13,0)))</f>
        <v>56778.75</v>
      </c>
      <c r="P2631" s="16" t="n">
        <f aca="false">N2631-O2631</f>
        <v>47770.7205809589</v>
      </c>
    </row>
    <row r="2632" customFormat="false" ht="15" hidden="false" customHeight="false" outlineLevel="0" collapsed="false">
      <c r="A2632" s="2" t="s">
        <v>119</v>
      </c>
      <c r="B2632" s="2" t="n">
        <v>3</v>
      </c>
      <c r="C2632" s="2" t="s">
        <v>101</v>
      </c>
      <c r="D2632" s="2" t="s">
        <v>46</v>
      </c>
      <c r="E2632" s="2" t="str">
        <f aca="false">INDEX(Products!$B$2:$B$13,MATCH(D2632,Products!$A$2:$A$13,0))</f>
        <v>Specialty</v>
      </c>
      <c r="F2632" s="15" t="n">
        <v>3.3</v>
      </c>
      <c r="G2632" s="16" t="n">
        <f aca="false">IF(A2632="2025",INDEX(Products!$C$2:$C$13,MATCH(D2632,Products!$A$2:$A$13,0)),INDEX(Products!$E$2:$E$13,MATCH(D2632,Products!$A$2:$A$13,0)))</f>
        <v>26838</v>
      </c>
      <c r="H2632" s="13" t="n">
        <f aca="false">IF(A2632="2025",INDEX(Customers!$D$2:$D$41,MATCH(C2632,Customers!$A$2:$A$41,0)),INDEX(Customers!$F$2:$F$41,MATCH(C2632,Customers!$A$2:$A$41,0)))</f>
        <v>0.067</v>
      </c>
      <c r="I2632" s="16" t="n">
        <f aca="false">F2632*G2632</f>
        <v>88565.4</v>
      </c>
      <c r="J2632" s="16" t="n">
        <f aca="false">I2632*(1-H2632)</f>
        <v>82631.5182</v>
      </c>
      <c r="K2632" s="16" t="n">
        <f aca="false">J2632*INDEX(Customers!$G$2:$G$41,MATCH(C2632,Customers!$A$2:$A$41,0))</f>
        <v>4131.57591</v>
      </c>
      <c r="L2632" s="16" t="n">
        <f aca="false">F2632*INDEX(Customers!$H$2:$H$41,MATCH(C2632,Customers!$A$2:$A$41,0))</f>
        <v>1287</v>
      </c>
      <c r="M2632" s="16" t="n">
        <f aca="false">J2632*INDEX(Customers!$I$2:$I$41,MATCH(C2632,Customers!$A$2:$A$41,0))/365*Assumptions!$B$6</f>
        <v>543.330530630137</v>
      </c>
      <c r="N2632" s="16" t="n">
        <f aca="false">J2632-K2632-L2632-M2632</f>
        <v>76669.6117593699</v>
      </c>
      <c r="O2632" s="16" t="n">
        <f aca="false">F2632*IF(A2632="2025",INDEX(Products!$D$2:$D$13,MATCH(D2632,Products!$A$2:$A$13,0)),INDEX(Products!$F$2:$F$13,MATCH(D2632,Products!$A$2:$A$13,0)))</f>
        <v>41637.75</v>
      </c>
      <c r="P2632" s="16" t="n">
        <f aca="false">N2632-O2632</f>
        <v>35031.8617593699</v>
      </c>
    </row>
    <row r="2633" customFormat="false" ht="15" hidden="false" customHeight="false" outlineLevel="0" collapsed="false">
      <c r="A2633" s="2" t="s">
        <v>119</v>
      </c>
      <c r="B2633" s="2" t="n">
        <v>4</v>
      </c>
      <c r="C2633" s="2" t="s">
        <v>101</v>
      </c>
      <c r="D2633" s="2" t="s">
        <v>46</v>
      </c>
      <c r="E2633" s="2" t="str">
        <f aca="false">INDEX(Products!$B$2:$B$13,MATCH(D2633,Products!$A$2:$A$13,0))</f>
        <v>Specialty</v>
      </c>
      <c r="F2633" s="15" t="n">
        <v>4.2</v>
      </c>
      <c r="G2633" s="16" t="n">
        <f aca="false">IF(A2633="2025",INDEX(Products!$C$2:$C$13,MATCH(D2633,Products!$A$2:$A$13,0)),INDEX(Products!$E$2:$E$13,MATCH(D2633,Products!$A$2:$A$13,0)))</f>
        <v>26838</v>
      </c>
      <c r="H2633" s="13" t="n">
        <f aca="false">IF(A2633="2025",INDEX(Customers!$D$2:$D$41,MATCH(C2633,Customers!$A$2:$A$41,0)),INDEX(Customers!$F$2:$F$41,MATCH(C2633,Customers!$A$2:$A$41,0)))</f>
        <v>0.067</v>
      </c>
      <c r="I2633" s="16" t="n">
        <f aca="false">F2633*G2633</f>
        <v>112719.6</v>
      </c>
      <c r="J2633" s="16" t="n">
        <f aca="false">I2633*(1-H2633)</f>
        <v>105167.3868</v>
      </c>
      <c r="K2633" s="16" t="n">
        <f aca="false">J2633*INDEX(Customers!$G$2:$G$41,MATCH(C2633,Customers!$A$2:$A$41,0))</f>
        <v>5258.36934</v>
      </c>
      <c r="L2633" s="16" t="n">
        <f aca="false">F2633*INDEX(Customers!$H$2:$H$41,MATCH(C2633,Customers!$A$2:$A$41,0))</f>
        <v>1638</v>
      </c>
      <c r="M2633" s="16" t="n">
        <f aca="false">J2633*INDEX(Customers!$I$2:$I$41,MATCH(C2633,Customers!$A$2:$A$41,0))/365*Assumptions!$B$6</f>
        <v>691.511584438356</v>
      </c>
      <c r="N2633" s="16" t="n">
        <f aca="false">J2633-K2633-L2633-M2633</f>
        <v>97579.5058755617</v>
      </c>
      <c r="O2633" s="16" t="n">
        <f aca="false">F2633*IF(A2633="2025",INDEX(Products!$D$2:$D$13,MATCH(D2633,Products!$A$2:$A$13,0)),INDEX(Products!$F$2:$F$13,MATCH(D2633,Products!$A$2:$A$13,0)))</f>
        <v>52993.5</v>
      </c>
      <c r="P2633" s="16" t="n">
        <f aca="false">N2633-O2633</f>
        <v>44586.0058755617</v>
      </c>
    </row>
    <row r="2634" customFormat="false" ht="15" hidden="false" customHeight="false" outlineLevel="0" collapsed="false">
      <c r="A2634" s="2" t="s">
        <v>119</v>
      </c>
      <c r="B2634" s="2" t="n">
        <v>5</v>
      </c>
      <c r="C2634" s="2" t="s">
        <v>101</v>
      </c>
      <c r="D2634" s="2" t="s">
        <v>46</v>
      </c>
      <c r="E2634" s="2" t="str">
        <f aca="false">INDEX(Products!$B$2:$B$13,MATCH(D2634,Products!$A$2:$A$13,0))</f>
        <v>Specialty</v>
      </c>
      <c r="F2634" s="15" t="n">
        <v>3.5</v>
      </c>
      <c r="G2634" s="16" t="n">
        <f aca="false">IF(A2634="2025",INDEX(Products!$C$2:$C$13,MATCH(D2634,Products!$A$2:$A$13,0)),INDEX(Products!$E$2:$E$13,MATCH(D2634,Products!$A$2:$A$13,0)))</f>
        <v>26838</v>
      </c>
      <c r="H2634" s="13" t="n">
        <f aca="false">IF(A2634="2025",INDEX(Customers!$D$2:$D$41,MATCH(C2634,Customers!$A$2:$A$41,0)),INDEX(Customers!$F$2:$F$41,MATCH(C2634,Customers!$A$2:$A$41,0)))</f>
        <v>0.067</v>
      </c>
      <c r="I2634" s="16" t="n">
        <f aca="false">F2634*G2634</f>
        <v>93933</v>
      </c>
      <c r="J2634" s="16" t="n">
        <f aca="false">I2634*(1-H2634)</f>
        <v>87639.489</v>
      </c>
      <c r="K2634" s="16" t="n">
        <f aca="false">J2634*INDEX(Customers!$G$2:$G$41,MATCH(C2634,Customers!$A$2:$A$41,0))</f>
        <v>4381.97445</v>
      </c>
      <c r="L2634" s="16" t="n">
        <f aca="false">F2634*INDEX(Customers!$H$2:$H$41,MATCH(C2634,Customers!$A$2:$A$41,0))</f>
        <v>1365</v>
      </c>
      <c r="M2634" s="16" t="n">
        <f aca="false">J2634*INDEX(Customers!$I$2:$I$41,MATCH(C2634,Customers!$A$2:$A$41,0))/365*Assumptions!$B$6</f>
        <v>576.25965369863</v>
      </c>
      <c r="N2634" s="16" t="n">
        <f aca="false">J2634-K2634-L2634-M2634</f>
        <v>81316.2548963014</v>
      </c>
      <c r="O2634" s="16" t="n">
        <f aca="false">F2634*IF(A2634="2025",INDEX(Products!$D$2:$D$13,MATCH(D2634,Products!$A$2:$A$13,0)),INDEX(Products!$F$2:$F$13,MATCH(D2634,Products!$A$2:$A$13,0)))</f>
        <v>44161.25</v>
      </c>
      <c r="P2634" s="16" t="n">
        <f aca="false">N2634-O2634</f>
        <v>37155.0048963014</v>
      </c>
    </row>
    <row r="2635" customFormat="false" ht="15" hidden="false" customHeight="false" outlineLevel="0" collapsed="false">
      <c r="A2635" s="2" t="s">
        <v>119</v>
      </c>
      <c r="B2635" s="2" t="n">
        <v>6</v>
      </c>
      <c r="C2635" s="2" t="s">
        <v>101</v>
      </c>
      <c r="D2635" s="2" t="s">
        <v>46</v>
      </c>
      <c r="E2635" s="2" t="str">
        <f aca="false">INDEX(Products!$B$2:$B$13,MATCH(D2635,Products!$A$2:$A$13,0))</f>
        <v>Specialty</v>
      </c>
      <c r="F2635" s="15" t="n">
        <v>3.4</v>
      </c>
      <c r="G2635" s="16" t="n">
        <f aca="false">IF(A2635="2025",INDEX(Products!$C$2:$C$13,MATCH(D2635,Products!$A$2:$A$13,0)),INDEX(Products!$E$2:$E$13,MATCH(D2635,Products!$A$2:$A$13,0)))</f>
        <v>26838</v>
      </c>
      <c r="H2635" s="13" t="n">
        <f aca="false">IF(A2635="2025",INDEX(Customers!$D$2:$D$41,MATCH(C2635,Customers!$A$2:$A$41,0)),INDEX(Customers!$F$2:$F$41,MATCH(C2635,Customers!$A$2:$A$41,0)))</f>
        <v>0.067</v>
      </c>
      <c r="I2635" s="16" t="n">
        <f aca="false">F2635*G2635</f>
        <v>91249.2</v>
      </c>
      <c r="J2635" s="16" t="n">
        <f aca="false">I2635*(1-H2635)</f>
        <v>85135.5036</v>
      </c>
      <c r="K2635" s="16" t="n">
        <f aca="false">J2635*INDEX(Customers!$G$2:$G$41,MATCH(C2635,Customers!$A$2:$A$41,0))</f>
        <v>4256.77518</v>
      </c>
      <c r="L2635" s="16" t="n">
        <f aca="false">F2635*INDEX(Customers!$H$2:$H$41,MATCH(C2635,Customers!$A$2:$A$41,0))</f>
        <v>1326</v>
      </c>
      <c r="M2635" s="16" t="n">
        <f aca="false">J2635*INDEX(Customers!$I$2:$I$41,MATCH(C2635,Customers!$A$2:$A$41,0))/365*Assumptions!$B$6</f>
        <v>559.795092164384</v>
      </c>
      <c r="N2635" s="16" t="n">
        <f aca="false">J2635-K2635-L2635-M2635</f>
        <v>78992.9333278356</v>
      </c>
      <c r="O2635" s="16" t="n">
        <f aca="false">F2635*IF(A2635="2025",INDEX(Products!$D$2:$D$13,MATCH(D2635,Products!$A$2:$A$13,0)),INDEX(Products!$F$2:$F$13,MATCH(D2635,Products!$A$2:$A$13,0)))</f>
        <v>42899.5</v>
      </c>
      <c r="P2635" s="16" t="n">
        <f aca="false">N2635-O2635</f>
        <v>36093.4333278356</v>
      </c>
    </row>
    <row r="2636" customFormat="false" ht="15" hidden="false" customHeight="false" outlineLevel="0" collapsed="false">
      <c r="A2636" s="2" t="s">
        <v>119</v>
      </c>
      <c r="B2636" s="2" t="n">
        <v>7</v>
      </c>
      <c r="C2636" s="2" t="s">
        <v>101</v>
      </c>
      <c r="D2636" s="2" t="s">
        <v>46</v>
      </c>
      <c r="E2636" s="2" t="str">
        <f aca="false">INDEX(Products!$B$2:$B$13,MATCH(D2636,Products!$A$2:$A$13,0))</f>
        <v>Specialty</v>
      </c>
      <c r="F2636" s="15" t="n">
        <v>4.8</v>
      </c>
      <c r="G2636" s="16" t="n">
        <f aca="false">IF(A2636="2025",INDEX(Products!$C$2:$C$13,MATCH(D2636,Products!$A$2:$A$13,0)),INDEX(Products!$E$2:$E$13,MATCH(D2636,Products!$A$2:$A$13,0)))</f>
        <v>26838</v>
      </c>
      <c r="H2636" s="13" t="n">
        <f aca="false">IF(A2636="2025",INDEX(Customers!$D$2:$D$41,MATCH(C2636,Customers!$A$2:$A$41,0)),INDEX(Customers!$F$2:$F$41,MATCH(C2636,Customers!$A$2:$A$41,0)))</f>
        <v>0.067</v>
      </c>
      <c r="I2636" s="16" t="n">
        <f aca="false">F2636*G2636</f>
        <v>128822.4</v>
      </c>
      <c r="J2636" s="16" t="n">
        <f aca="false">I2636*(1-H2636)</f>
        <v>120191.2992</v>
      </c>
      <c r="K2636" s="16" t="n">
        <f aca="false">J2636*INDEX(Customers!$G$2:$G$41,MATCH(C2636,Customers!$A$2:$A$41,0))</f>
        <v>6009.56496</v>
      </c>
      <c r="L2636" s="16" t="n">
        <f aca="false">F2636*INDEX(Customers!$H$2:$H$41,MATCH(C2636,Customers!$A$2:$A$41,0))</f>
        <v>1872</v>
      </c>
      <c r="M2636" s="16" t="n">
        <f aca="false">J2636*INDEX(Customers!$I$2:$I$41,MATCH(C2636,Customers!$A$2:$A$41,0))/365*Assumptions!$B$6</f>
        <v>790.298953643836</v>
      </c>
      <c r="N2636" s="16" t="n">
        <f aca="false">J2636-K2636-L2636-M2636</f>
        <v>111519.435286356</v>
      </c>
      <c r="O2636" s="16" t="n">
        <f aca="false">F2636*IF(A2636="2025",INDEX(Products!$D$2:$D$13,MATCH(D2636,Products!$A$2:$A$13,0)),INDEX(Products!$F$2:$F$13,MATCH(D2636,Products!$A$2:$A$13,0)))</f>
        <v>60564</v>
      </c>
      <c r="P2636" s="16" t="n">
        <f aca="false">N2636-O2636</f>
        <v>50955.4352863562</v>
      </c>
    </row>
    <row r="2637" customFormat="false" ht="15" hidden="false" customHeight="false" outlineLevel="0" collapsed="false">
      <c r="A2637" s="2" t="s">
        <v>119</v>
      </c>
      <c r="B2637" s="2" t="n">
        <v>8</v>
      </c>
      <c r="C2637" s="2" t="s">
        <v>101</v>
      </c>
      <c r="D2637" s="2" t="s">
        <v>46</v>
      </c>
      <c r="E2637" s="2" t="str">
        <f aca="false">INDEX(Products!$B$2:$B$13,MATCH(D2637,Products!$A$2:$A$13,0))</f>
        <v>Specialty</v>
      </c>
      <c r="F2637" s="15" t="n">
        <v>5.7</v>
      </c>
      <c r="G2637" s="16" t="n">
        <f aca="false">IF(A2637="2025",INDEX(Products!$C$2:$C$13,MATCH(D2637,Products!$A$2:$A$13,0)),INDEX(Products!$E$2:$E$13,MATCH(D2637,Products!$A$2:$A$13,0)))</f>
        <v>26838</v>
      </c>
      <c r="H2637" s="13" t="n">
        <f aca="false">IF(A2637="2025",INDEX(Customers!$D$2:$D$41,MATCH(C2637,Customers!$A$2:$A$41,0)),INDEX(Customers!$F$2:$F$41,MATCH(C2637,Customers!$A$2:$A$41,0)))</f>
        <v>0.067</v>
      </c>
      <c r="I2637" s="16" t="n">
        <f aca="false">F2637*G2637</f>
        <v>152976.6</v>
      </c>
      <c r="J2637" s="16" t="n">
        <f aca="false">I2637*(1-H2637)</f>
        <v>142727.1678</v>
      </c>
      <c r="K2637" s="16" t="n">
        <f aca="false">J2637*INDEX(Customers!$G$2:$G$41,MATCH(C2637,Customers!$A$2:$A$41,0))</f>
        <v>7136.35839</v>
      </c>
      <c r="L2637" s="16" t="n">
        <f aca="false">F2637*INDEX(Customers!$H$2:$H$41,MATCH(C2637,Customers!$A$2:$A$41,0))</f>
        <v>2223</v>
      </c>
      <c r="M2637" s="16" t="n">
        <f aca="false">J2637*INDEX(Customers!$I$2:$I$41,MATCH(C2637,Customers!$A$2:$A$41,0))/365*Assumptions!$B$6</f>
        <v>938.480007452055</v>
      </c>
      <c r="N2637" s="16" t="n">
        <f aca="false">J2637-K2637-L2637-M2637</f>
        <v>132429.329402548</v>
      </c>
      <c r="O2637" s="16" t="n">
        <f aca="false">F2637*IF(A2637="2025",INDEX(Products!$D$2:$D$13,MATCH(D2637,Products!$A$2:$A$13,0)),INDEX(Products!$F$2:$F$13,MATCH(D2637,Products!$A$2:$A$13,0)))</f>
        <v>71919.75</v>
      </c>
      <c r="P2637" s="16" t="n">
        <f aca="false">N2637-O2637</f>
        <v>60509.579402548</v>
      </c>
    </row>
    <row r="2638" customFormat="false" ht="15" hidden="false" customHeight="false" outlineLevel="0" collapsed="false">
      <c r="A2638" s="2" t="s">
        <v>119</v>
      </c>
      <c r="B2638" s="2" t="n">
        <v>9</v>
      </c>
      <c r="C2638" s="2" t="s">
        <v>101</v>
      </c>
      <c r="D2638" s="2" t="s">
        <v>46</v>
      </c>
      <c r="E2638" s="2" t="str">
        <f aca="false">INDEX(Products!$B$2:$B$13,MATCH(D2638,Products!$A$2:$A$13,0))</f>
        <v>Specialty</v>
      </c>
      <c r="F2638" s="15" t="n">
        <v>3.9</v>
      </c>
      <c r="G2638" s="16" t="n">
        <f aca="false">IF(A2638="2025",INDEX(Products!$C$2:$C$13,MATCH(D2638,Products!$A$2:$A$13,0)),INDEX(Products!$E$2:$E$13,MATCH(D2638,Products!$A$2:$A$13,0)))</f>
        <v>26838</v>
      </c>
      <c r="H2638" s="13" t="n">
        <f aca="false">IF(A2638="2025",INDEX(Customers!$D$2:$D$41,MATCH(C2638,Customers!$A$2:$A$41,0)),INDEX(Customers!$F$2:$F$41,MATCH(C2638,Customers!$A$2:$A$41,0)))</f>
        <v>0.067</v>
      </c>
      <c r="I2638" s="16" t="n">
        <f aca="false">F2638*G2638</f>
        <v>104668.2</v>
      </c>
      <c r="J2638" s="16" t="n">
        <f aca="false">I2638*(1-H2638)</f>
        <v>97655.4306</v>
      </c>
      <c r="K2638" s="16" t="n">
        <f aca="false">J2638*INDEX(Customers!$G$2:$G$41,MATCH(C2638,Customers!$A$2:$A$41,0))</f>
        <v>4882.77153</v>
      </c>
      <c r="L2638" s="16" t="n">
        <f aca="false">F2638*INDEX(Customers!$H$2:$H$41,MATCH(C2638,Customers!$A$2:$A$41,0))</f>
        <v>1521</v>
      </c>
      <c r="M2638" s="16" t="n">
        <f aca="false">J2638*INDEX(Customers!$I$2:$I$41,MATCH(C2638,Customers!$A$2:$A$41,0))/365*Assumptions!$B$6</f>
        <v>642.117899835617</v>
      </c>
      <c r="N2638" s="16" t="n">
        <f aca="false">J2638-K2638-L2638-M2638</f>
        <v>90609.5411701644</v>
      </c>
      <c r="O2638" s="16" t="n">
        <f aca="false">F2638*IF(A2638="2025",INDEX(Products!$D$2:$D$13,MATCH(D2638,Products!$A$2:$A$13,0)),INDEX(Products!$F$2:$F$13,MATCH(D2638,Products!$A$2:$A$13,0)))</f>
        <v>49208.25</v>
      </c>
      <c r="P2638" s="16" t="n">
        <f aca="false">N2638-O2638</f>
        <v>41401.2911701644</v>
      </c>
    </row>
    <row r="2639" customFormat="false" ht="15" hidden="false" customHeight="false" outlineLevel="0" collapsed="false">
      <c r="A2639" s="2" t="s">
        <v>119</v>
      </c>
      <c r="B2639" s="2" t="n">
        <v>10</v>
      </c>
      <c r="C2639" s="2" t="s">
        <v>101</v>
      </c>
      <c r="D2639" s="2" t="s">
        <v>46</v>
      </c>
      <c r="E2639" s="2" t="str">
        <f aca="false">INDEX(Products!$B$2:$B$13,MATCH(D2639,Products!$A$2:$A$13,0))</f>
        <v>Specialty</v>
      </c>
      <c r="F2639" s="15" t="n">
        <v>4.7</v>
      </c>
      <c r="G2639" s="16" t="n">
        <f aca="false">IF(A2639="2025",INDEX(Products!$C$2:$C$13,MATCH(D2639,Products!$A$2:$A$13,0)),INDEX(Products!$E$2:$E$13,MATCH(D2639,Products!$A$2:$A$13,0)))</f>
        <v>26838</v>
      </c>
      <c r="H2639" s="13" t="n">
        <f aca="false">IF(A2639="2025",INDEX(Customers!$D$2:$D$41,MATCH(C2639,Customers!$A$2:$A$41,0)),INDEX(Customers!$F$2:$F$41,MATCH(C2639,Customers!$A$2:$A$41,0)))</f>
        <v>0.067</v>
      </c>
      <c r="I2639" s="16" t="n">
        <f aca="false">F2639*G2639</f>
        <v>126138.6</v>
      </c>
      <c r="J2639" s="16" t="n">
        <f aca="false">I2639*(1-H2639)</f>
        <v>117687.3138</v>
      </c>
      <c r="K2639" s="16" t="n">
        <f aca="false">J2639*INDEX(Customers!$G$2:$G$41,MATCH(C2639,Customers!$A$2:$A$41,0))</f>
        <v>5884.36569</v>
      </c>
      <c r="L2639" s="16" t="n">
        <f aca="false">F2639*INDEX(Customers!$H$2:$H$41,MATCH(C2639,Customers!$A$2:$A$41,0))</f>
        <v>1833</v>
      </c>
      <c r="M2639" s="16" t="n">
        <f aca="false">J2639*INDEX(Customers!$I$2:$I$41,MATCH(C2639,Customers!$A$2:$A$41,0))/365*Assumptions!$B$6</f>
        <v>773.834392109589</v>
      </c>
      <c r="N2639" s="16" t="n">
        <f aca="false">J2639-K2639-L2639-M2639</f>
        <v>109196.11371789</v>
      </c>
      <c r="O2639" s="16" t="n">
        <f aca="false">F2639*IF(A2639="2025",INDEX(Products!$D$2:$D$13,MATCH(D2639,Products!$A$2:$A$13,0)),INDEX(Products!$F$2:$F$13,MATCH(D2639,Products!$A$2:$A$13,0)))</f>
        <v>59302.25</v>
      </c>
      <c r="P2639" s="16" t="n">
        <f aca="false">N2639-O2639</f>
        <v>49893.8637178904</v>
      </c>
    </row>
    <row r="2640" customFormat="false" ht="15" hidden="false" customHeight="false" outlineLevel="0" collapsed="false">
      <c r="A2640" s="2" t="s">
        <v>119</v>
      </c>
      <c r="B2640" s="2" t="n">
        <v>11</v>
      </c>
      <c r="C2640" s="2" t="s">
        <v>101</v>
      </c>
      <c r="D2640" s="2" t="s">
        <v>46</v>
      </c>
      <c r="E2640" s="2" t="str">
        <f aca="false">INDEX(Products!$B$2:$B$13,MATCH(D2640,Products!$A$2:$A$13,0))</f>
        <v>Specialty</v>
      </c>
      <c r="F2640" s="15" t="n">
        <v>4.4</v>
      </c>
      <c r="G2640" s="16" t="n">
        <f aca="false">IF(A2640="2025",INDEX(Products!$C$2:$C$13,MATCH(D2640,Products!$A$2:$A$13,0)),INDEX(Products!$E$2:$E$13,MATCH(D2640,Products!$A$2:$A$13,0)))</f>
        <v>26838</v>
      </c>
      <c r="H2640" s="13" t="n">
        <f aca="false">IF(A2640="2025",INDEX(Customers!$D$2:$D$41,MATCH(C2640,Customers!$A$2:$A$41,0)),INDEX(Customers!$F$2:$F$41,MATCH(C2640,Customers!$A$2:$A$41,0)))</f>
        <v>0.067</v>
      </c>
      <c r="I2640" s="16" t="n">
        <f aca="false">F2640*G2640</f>
        <v>118087.2</v>
      </c>
      <c r="J2640" s="16" t="n">
        <f aca="false">I2640*(1-H2640)</f>
        <v>110175.3576</v>
      </c>
      <c r="K2640" s="16" t="n">
        <f aca="false">J2640*INDEX(Customers!$G$2:$G$41,MATCH(C2640,Customers!$A$2:$A$41,0))</f>
        <v>5508.76788</v>
      </c>
      <c r="L2640" s="16" t="n">
        <f aca="false">F2640*INDEX(Customers!$H$2:$H$41,MATCH(C2640,Customers!$A$2:$A$41,0))</f>
        <v>1716</v>
      </c>
      <c r="M2640" s="16" t="n">
        <f aca="false">J2640*INDEX(Customers!$I$2:$I$41,MATCH(C2640,Customers!$A$2:$A$41,0))/365*Assumptions!$B$6</f>
        <v>724.440707506849</v>
      </c>
      <c r="N2640" s="16" t="n">
        <f aca="false">J2640-K2640-L2640-M2640</f>
        <v>102226.149012493</v>
      </c>
      <c r="O2640" s="16" t="n">
        <f aca="false">F2640*IF(A2640="2025",INDEX(Products!$D$2:$D$13,MATCH(D2640,Products!$A$2:$A$13,0)),INDEX(Products!$F$2:$F$13,MATCH(D2640,Products!$A$2:$A$13,0)))</f>
        <v>55517</v>
      </c>
      <c r="P2640" s="16" t="n">
        <f aca="false">N2640-O2640</f>
        <v>46709.1490124932</v>
      </c>
    </row>
    <row r="2641" customFormat="false" ht="15" hidden="false" customHeight="false" outlineLevel="0" collapsed="false">
      <c r="A2641" s="2" t="s">
        <v>119</v>
      </c>
      <c r="B2641" s="2" t="n">
        <v>12</v>
      </c>
      <c r="C2641" s="2" t="s">
        <v>101</v>
      </c>
      <c r="D2641" s="2" t="s">
        <v>46</v>
      </c>
      <c r="E2641" s="2" t="str">
        <f aca="false">INDEX(Products!$B$2:$B$13,MATCH(D2641,Products!$A$2:$A$13,0))</f>
        <v>Specialty</v>
      </c>
      <c r="F2641" s="15" t="n">
        <v>5</v>
      </c>
      <c r="G2641" s="16" t="n">
        <f aca="false">IF(A2641="2025",INDEX(Products!$C$2:$C$13,MATCH(D2641,Products!$A$2:$A$13,0)),INDEX(Products!$E$2:$E$13,MATCH(D2641,Products!$A$2:$A$13,0)))</f>
        <v>26838</v>
      </c>
      <c r="H2641" s="13" t="n">
        <f aca="false">IF(A2641="2025",INDEX(Customers!$D$2:$D$41,MATCH(C2641,Customers!$A$2:$A$41,0)),INDEX(Customers!$F$2:$F$41,MATCH(C2641,Customers!$A$2:$A$41,0)))</f>
        <v>0.067</v>
      </c>
      <c r="I2641" s="16" t="n">
        <f aca="false">F2641*G2641</f>
        <v>134190</v>
      </c>
      <c r="J2641" s="16" t="n">
        <f aca="false">I2641*(1-H2641)</f>
        <v>125199.27</v>
      </c>
      <c r="K2641" s="16" t="n">
        <f aca="false">J2641*INDEX(Customers!$G$2:$G$41,MATCH(C2641,Customers!$A$2:$A$41,0))</f>
        <v>6259.9635</v>
      </c>
      <c r="L2641" s="16" t="n">
        <f aca="false">F2641*INDEX(Customers!$H$2:$H$41,MATCH(C2641,Customers!$A$2:$A$41,0))</f>
        <v>1950</v>
      </c>
      <c r="M2641" s="16" t="n">
        <f aca="false">J2641*INDEX(Customers!$I$2:$I$41,MATCH(C2641,Customers!$A$2:$A$41,0))/365*Assumptions!$B$6</f>
        <v>823.228076712329</v>
      </c>
      <c r="N2641" s="16" t="n">
        <f aca="false">J2641-K2641-L2641-M2641</f>
        <v>116166.078423288</v>
      </c>
      <c r="O2641" s="16" t="n">
        <f aca="false">F2641*IF(A2641="2025",INDEX(Products!$D$2:$D$13,MATCH(D2641,Products!$A$2:$A$13,0)),INDEX(Products!$F$2:$F$13,MATCH(D2641,Products!$A$2:$A$13,0)))</f>
        <v>63087.5</v>
      </c>
      <c r="P2641" s="16" t="n">
        <f aca="false">N2641-O2641</f>
        <v>53078.5784232877</v>
      </c>
    </row>
    <row r="2642" customFormat="false" ht="15" hidden="false" customHeight="false" outlineLevel="0" collapsed="false">
      <c r="A2642" s="2" t="s">
        <v>118</v>
      </c>
      <c r="B2642" s="2" t="n">
        <v>1</v>
      </c>
      <c r="C2642" s="2" t="s">
        <v>101</v>
      </c>
      <c r="D2642" s="2" t="s">
        <v>42</v>
      </c>
      <c r="E2642" s="2" t="str">
        <f aca="false">INDEX(Products!$B$2:$B$13,MATCH(D2642,Products!$A$2:$A$13,0))</f>
        <v>Hydroprocessing</v>
      </c>
      <c r="F2642" s="15" t="n">
        <v>8.1</v>
      </c>
      <c r="G2642" s="16" t="n">
        <f aca="false">IF(A2642="2025",INDEX(Products!$C$2:$C$13,MATCH(D2642,Products!$A$2:$A$13,0)),INDEX(Products!$E$2:$E$13,MATCH(D2642,Products!$A$2:$A$13,0)))</f>
        <v>12450</v>
      </c>
      <c r="H2642" s="13" t="n">
        <f aca="false">IF(A2642="2025",INDEX(Customers!$D$2:$D$41,MATCH(C2642,Customers!$A$2:$A$41,0)),INDEX(Customers!$F$2:$F$41,MATCH(C2642,Customers!$A$2:$A$41,0)))</f>
        <v>0.067</v>
      </c>
      <c r="I2642" s="16" t="n">
        <f aca="false">F2642*G2642</f>
        <v>100845</v>
      </c>
      <c r="J2642" s="16" t="n">
        <f aca="false">I2642*(1-H2642)</f>
        <v>94088.385</v>
      </c>
      <c r="K2642" s="16" t="n">
        <f aca="false">J2642*INDEX(Customers!$G$2:$G$41,MATCH(C2642,Customers!$A$2:$A$41,0))</f>
        <v>4704.41925</v>
      </c>
      <c r="L2642" s="16" t="n">
        <f aca="false">F2642*INDEX(Customers!$H$2:$H$41,MATCH(C2642,Customers!$A$2:$A$41,0))</f>
        <v>3159</v>
      </c>
      <c r="M2642" s="16" t="n">
        <f aca="false">J2642*INDEX(Customers!$I$2:$I$41,MATCH(C2642,Customers!$A$2:$A$41,0))/365*Assumptions!$B$6</f>
        <v>618.663353424658</v>
      </c>
      <c r="N2642" s="16" t="n">
        <f aca="false">J2642-K2642-L2642-M2642</f>
        <v>85606.3023965753</v>
      </c>
      <c r="O2642" s="16" t="n">
        <f aca="false">F2642*IF(A2642="2025",INDEX(Products!$D$2:$D$13,MATCH(D2642,Products!$A$2:$A$13,0)),INDEX(Products!$F$2:$F$13,MATCH(D2642,Products!$A$2:$A$13,0)))</f>
        <v>63018</v>
      </c>
      <c r="P2642" s="16" t="n">
        <f aca="false">N2642-O2642</f>
        <v>22588.3023965753</v>
      </c>
    </row>
    <row r="2643" customFormat="false" ht="15" hidden="false" customHeight="false" outlineLevel="0" collapsed="false">
      <c r="A2643" s="2" t="s">
        <v>118</v>
      </c>
      <c r="B2643" s="2" t="n">
        <v>2</v>
      </c>
      <c r="C2643" s="2" t="s">
        <v>101</v>
      </c>
      <c r="D2643" s="2" t="s">
        <v>42</v>
      </c>
      <c r="E2643" s="2" t="str">
        <f aca="false">INDEX(Products!$B$2:$B$13,MATCH(D2643,Products!$A$2:$A$13,0))</f>
        <v>Hydroprocessing</v>
      </c>
      <c r="F2643" s="15" t="n">
        <v>5.1</v>
      </c>
      <c r="G2643" s="16" t="n">
        <f aca="false">IF(A2643="2025",INDEX(Products!$C$2:$C$13,MATCH(D2643,Products!$A$2:$A$13,0)),INDEX(Products!$E$2:$E$13,MATCH(D2643,Products!$A$2:$A$13,0)))</f>
        <v>12450</v>
      </c>
      <c r="H2643" s="13" t="n">
        <f aca="false">IF(A2643="2025",INDEX(Customers!$D$2:$D$41,MATCH(C2643,Customers!$A$2:$A$41,0)),INDEX(Customers!$F$2:$F$41,MATCH(C2643,Customers!$A$2:$A$41,0)))</f>
        <v>0.067</v>
      </c>
      <c r="I2643" s="16" t="n">
        <f aca="false">F2643*G2643</f>
        <v>63495</v>
      </c>
      <c r="J2643" s="16" t="n">
        <f aca="false">I2643*(1-H2643)</f>
        <v>59240.835</v>
      </c>
      <c r="K2643" s="16" t="n">
        <f aca="false">J2643*INDEX(Customers!$G$2:$G$41,MATCH(C2643,Customers!$A$2:$A$41,0))</f>
        <v>2962.04175</v>
      </c>
      <c r="L2643" s="16" t="n">
        <f aca="false">F2643*INDEX(Customers!$H$2:$H$41,MATCH(C2643,Customers!$A$2:$A$41,0))</f>
        <v>1989</v>
      </c>
      <c r="M2643" s="16" t="n">
        <f aca="false">J2643*INDEX(Customers!$I$2:$I$41,MATCH(C2643,Customers!$A$2:$A$41,0))/365*Assumptions!$B$6</f>
        <v>389.528778082192</v>
      </c>
      <c r="N2643" s="16" t="n">
        <f aca="false">J2643-K2643-L2643-M2643</f>
        <v>53900.2644719178</v>
      </c>
      <c r="O2643" s="16" t="n">
        <f aca="false">F2643*IF(A2643="2025",INDEX(Products!$D$2:$D$13,MATCH(D2643,Products!$A$2:$A$13,0)),INDEX(Products!$F$2:$F$13,MATCH(D2643,Products!$A$2:$A$13,0)))</f>
        <v>39678</v>
      </c>
      <c r="P2643" s="16" t="n">
        <f aca="false">N2643-O2643</f>
        <v>14222.2644719178</v>
      </c>
    </row>
    <row r="2644" customFormat="false" ht="15" hidden="false" customHeight="false" outlineLevel="0" collapsed="false">
      <c r="A2644" s="2" t="s">
        <v>118</v>
      </c>
      <c r="B2644" s="2" t="n">
        <v>3</v>
      </c>
      <c r="C2644" s="2" t="s">
        <v>101</v>
      </c>
      <c r="D2644" s="2" t="s">
        <v>42</v>
      </c>
      <c r="E2644" s="2" t="str">
        <f aca="false">INDEX(Products!$B$2:$B$13,MATCH(D2644,Products!$A$2:$A$13,0))</f>
        <v>Hydroprocessing</v>
      </c>
      <c r="F2644" s="15" t="n">
        <v>6.9</v>
      </c>
      <c r="G2644" s="16" t="n">
        <f aca="false">IF(A2644="2025",INDEX(Products!$C$2:$C$13,MATCH(D2644,Products!$A$2:$A$13,0)),INDEX(Products!$E$2:$E$13,MATCH(D2644,Products!$A$2:$A$13,0)))</f>
        <v>12450</v>
      </c>
      <c r="H2644" s="13" t="n">
        <f aca="false">IF(A2644="2025",INDEX(Customers!$D$2:$D$41,MATCH(C2644,Customers!$A$2:$A$41,0)),INDEX(Customers!$F$2:$F$41,MATCH(C2644,Customers!$A$2:$A$41,0)))</f>
        <v>0.067</v>
      </c>
      <c r="I2644" s="16" t="n">
        <f aca="false">F2644*G2644</f>
        <v>85905</v>
      </c>
      <c r="J2644" s="16" t="n">
        <f aca="false">I2644*(1-H2644)</f>
        <v>80149.365</v>
      </c>
      <c r="K2644" s="16" t="n">
        <f aca="false">J2644*INDEX(Customers!$G$2:$G$41,MATCH(C2644,Customers!$A$2:$A$41,0))</f>
        <v>4007.46825</v>
      </c>
      <c r="L2644" s="16" t="n">
        <f aca="false">F2644*INDEX(Customers!$H$2:$H$41,MATCH(C2644,Customers!$A$2:$A$41,0))</f>
        <v>2691</v>
      </c>
      <c r="M2644" s="16" t="n">
        <f aca="false">J2644*INDEX(Customers!$I$2:$I$41,MATCH(C2644,Customers!$A$2:$A$41,0))/365*Assumptions!$B$6</f>
        <v>527.009523287671</v>
      </c>
      <c r="N2644" s="16" t="n">
        <f aca="false">J2644-K2644-L2644-M2644</f>
        <v>72923.8872267123</v>
      </c>
      <c r="O2644" s="16" t="n">
        <f aca="false">F2644*IF(A2644="2025",INDEX(Products!$D$2:$D$13,MATCH(D2644,Products!$A$2:$A$13,0)),INDEX(Products!$F$2:$F$13,MATCH(D2644,Products!$A$2:$A$13,0)))</f>
        <v>53682</v>
      </c>
      <c r="P2644" s="16" t="n">
        <f aca="false">N2644-O2644</f>
        <v>19241.8872267123</v>
      </c>
    </row>
    <row r="2645" customFormat="false" ht="15" hidden="false" customHeight="false" outlineLevel="0" collapsed="false">
      <c r="A2645" s="2" t="s">
        <v>118</v>
      </c>
      <c r="B2645" s="2" t="n">
        <v>4</v>
      </c>
      <c r="C2645" s="2" t="s">
        <v>101</v>
      </c>
      <c r="D2645" s="2" t="s">
        <v>42</v>
      </c>
      <c r="E2645" s="2" t="str">
        <f aca="false">INDEX(Products!$B$2:$B$13,MATCH(D2645,Products!$A$2:$A$13,0))</f>
        <v>Hydroprocessing</v>
      </c>
      <c r="F2645" s="15" t="n">
        <v>8</v>
      </c>
      <c r="G2645" s="16" t="n">
        <f aca="false">IF(A2645="2025",INDEX(Products!$C$2:$C$13,MATCH(D2645,Products!$A$2:$A$13,0)),INDEX(Products!$E$2:$E$13,MATCH(D2645,Products!$A$2:$A$13,0)))</f>
        <v>12450</v>
      </c>
      <c r="H2645" s="13" t="n">
        <f aca="false">IF(A2645="2025",INDEX(Customers!$D$2:$D$41,MATCH(C2645,Customers!$A$2:$A$41,0)),INDEX(Customers!$F$2:$F$41,MATCH(C2645,Customers!$A$2:$A$41,0)))</f>
        <v>0.067</v>
      </c>
      <c r="I2645" s="16" t="n">
        <f aca="false">F2645*G2645</f>
        <v>99600</v>
      </c>
      <c r="J2645" s="16" t="n">
        <f aca="false">I2645*(1-H2645)</f>
        <v>92926.8</v>
      </c>
      <c r="K2645" s="16" t="n">
        <f aca="false">J2645*INDEX(Customers!$G$2:$G$41,MATCH(C2645,Customers!$A$2:$A$41,0))</f>
        <v>4646.34</v>
      </c>
      <c r="L2645" s="16" t="n">
        <f aca="false">F2645*INDEX(Customers!$H$2:$H$41,MATCH(C2645,Customers!$A$2:$A$41,0))</f>
        <v>3120</v>
      </c>
      <c r="M2645" s="16" t="n">
        <f aca="false">J2645*INDEX(Customers!$I$2:$I$41,MATCH(C2645,Customers!$A$2:$A$41,0))/365*Assumptions!$B$6</f>
        <v>611.025534246575</v>
      </c>
      <c r="N2645" s="16" t="n">
        <f aca="false">J2645-K2645-L2645-M2645</f>
        <v>84549.4344657534</v>
      </c>
      <c r="O2645" s="16" t="n">
        <f aca="false">F2645*IF(A2645="2025",INDEX(Products!$D$2:$D$13,MATCH(D2645,Products!$A$2:$A$13,0)),INDEX(Products!$F$2:$F$13,MATCH(D2645,Products!$A$2:$A$13,0)))</f>
        <v>62240</v>
      </c>
      <c r="P2645" s="16" t="n">
        <f aca="false">N2645-O2645</f>
        <v>22309.4344657534</v>
      </c>
    </row>
    <row r="2646" customFormat="false" ht="15" hidden="false" customHeight="false" outlineLevel="0" collapsed="false">
      <c r="A2646" s="2" t="s">
        <v>118</v>
      </c>
      <c r="B2646" s="2" t="n">
        <v>5</v>
      </c>
      <c r="C2646" s="2" t="s">
        <v>101</v>
      </c>
      <c r="D2646" s="2" t="s">
        <v>42</v>
      </c>
      <c r="E2646" s="2" t="str">
        <f aca="false">INDEX(Products!$B$2:$B$13,MATCH(D2646,Products!$A$2:$A$13,0))</f>
        <v>Hydroprocessing</v>
      </c>
      <c r="F2646" s="15" t="n">
        <v>6.8</v>
      </c>
      <c r="G2646" s="16" t="n">
        <f aca="false">IF(A2646="2025",INDEX(Products!$C$2:$C$13,MATCH(D2646,Products!$A$2:$A$13,0)),INDEX(Products!$E$2:$E$13,MATCH(D2646,Products!$A$2:$A$13,0)))</f>
        <v>12450</v>
      </c>
      <c r="H2646" s="13" t="n">
        <f aca="false">IF(A2646="2025",INDEX(Customers!$D$2:$D$41,MATCH(C2646,Customers!$A$2:$A$41,0)),INDEX(Customers!$F$2:$F$41,MATCH(C2646,Customers!$A$2:$A$41,0)))</f>
        <v>0.067</v>
      </c>
      <c r="I2646" s="16" t="n">
        <f aca="false">F2646*G2646</f>
        <v>84660</v>
      </c>
      <c r="J2646" s="16" t="n">
        <f aca="false">I2646*(1-H2646)</f>
        <v>78987.78</v>
      </c>
      <c r="K2646" s="16" t="n">
        <f aca="false">J2646*INDEX(Customers!$G$2:$G$41,MATCH(C2646,Customers!$A$2:$A$41,0))</f>
        <v>3949.389</v>
      </c>
      <c r="L2646" s="16" t="n">
        <f aca="false">F2646*INDEX(Customers!$H$2:$H$41,MATCH(C2646,Customers!$A$2:$A$41,0))</f>
        <v>2652</v>
      </c>
      <c r="M2646" s="16" t="n">
        <f aca="false">J2646*INDEX(Customers!$I$2:$I$41,MATCH(C2646,Customers!$A$2:$A$41,0))/365*Assumptions!$B$6</f>
        <v>519.371704109589</v>
      </c>
      <c r="N2646" s="16" t="n">
        <f aca="false">J2646-K2646-L2646-M2646</f>
        <v>71867.0192958904</v>
      </c>
      <c r="O2646" s="16" t="n">
        <f aca="false">F2646*IF(A2646="2025",INDEX(Products!$D$2:$D$13,MATCH(D2646,Products!$A$2:$A$13,0)),INDEX(Products!$F$2:$F$13,MATCH(D2646,Products!$A$2:$A$13,0)))</f>
        <v>52904</v>
      </c>
      <c r="P2646" s="16" t="n">
        <f aca="false">N2646-O2646</f>
        <v>18963.0192958904</v>
      </c>
    </row>
    <row r="2647" customFormat="false" ht="15" hidden="false" customHeight="false" outlineLevel="0" collapsed="false">
      <c r="A2647" s="2" t="s">
        <v>118</v>
      </c>
      <c r="B2647" s="2" t="n">
        <v>6</v>
      </c>
      <c r="C2647" s="2" t="s">
        <v>101</v>
      </c>
      <c r="D2647" s="2" t="s">
        <v>42</v>
      </c>
      <c r="E2647" s="2" t="str">
        <f aca="false">INDEX(Products!$B$2:$B$13,MATCH(D2647,Products!$A$2:$A$13,0))</f>
        <v>Hydroprocessing</v>
      </c>
      <c r="F2647" s="15" t="n">
        <v>5.8</v>
      </c>
      <c r="G2647" s="16" t="n">
        <f aca="false">IF(A2647="2025",INDEX(Products!$C$2:$C$13,MATCH(D2647,Products!$A$2:$A$13,0)),INDEX(Products!$E$2:$E$13,MATCH(D2647,Products!$A$2:$A$13,0)))</f>
        <v>12450</v>
      </c>
      <c r="H2647" s="13" t="n">
        <f aca="false">IF(A2647="2025",INDEX(Customers!$D$2:$D$41,MATCH(C2647,Customers!$A$2:$A$41,0)),INDEX(Customers!$F$2:$F$41,MATCH(C2647,Customers!$A$2:$A$41,0)))</f>
        <v>0.067</v>
      </c>
      <c r="I2647" s="16" t="n">
        <f aca="false">F2647*G2647</f>
        <v>72210</v>
      </c>
      <c r="J2647" s="16" t="n">
        <f aca="false">I2647*(1-H2647)</f>
        <v>67371.93</v>
      </c>
      <c r="K2647" s="16" t="n">
        <f aca="false">J2647*INDEX(Customers!$G$2:$G$41,MATCH(C2647,Customers!$A$2:$A$41,0))</f>
        <v>3368.5965</v>
      </c>
      <c r="L2647" s="16" t="n">
        <f aca="false">F2647*INDEX(Customers!$H$2:$H$41,MATCH(C2647,Customers!$A$2:$A$41,0))</f>
        <v>2262</v>
      </c>
      <c r="M2647" s="16" t="n">
        <f aca="false">J2647*INDEX(Customers!$I$2:$I$41,MATCH(C2647,Customers!$A$2:$A$41,0))/365*Assumptions!$B$6</f>
        <v>442.993512328767</v>
      </c>
      <c r="N2647" s="16" t="n">
        <f aca="false">J2647-K2647-L2647-M2647</f>
        <v>61298.3399876712</v>
      </c>
      <c r="O2647" s="16" t="n">
        <f aca="false">F2647*IF(A2647="2025",INDEX(Products!$D$2:$D$13,MATCH(D2647,Products!$A$2:$A$13,0)),INDEX(Products!$F$2:$F$13,MATCH(D2647,Products!$A$2:$A$13,0)))</f>
        <v>45124</v>
      </c>
      <c r="P2647" s="16" t="n">
        <f aca="false">N2647-O2647</f>
        <v>16174.3399876712</v>
      </c>
    </row>
    <row r="2648" customFormat="false" ht="15" hidden="false" customHeight="false" outlineLevel="0" collapsed="false">
      <c r="A2648" s="2" t="s">
        <v>118</v>
      </c>
      <c r="B2648" s="2" t="n">
        <v>7</v>
      </c>
      <c r="C2648" s="2" t="s">
        <v>101</v>
      </c>
      <c r="D2648" s="2" t="s">
        <v>42</v>
      </c>
      <c r="E2648" s="2" t="str">
        <f aca="false">INDEX(Products!$B$2:$B$13,MATCH(D2648,Products!$A$2:$A$13,0))</f>
        <v>Hydroprocessing</v>
      </c>
      <c r="F2648" s="15" t="n">
        <v>4.8</v>
      </c>
      <c r="G2648" s="16" t="n">
        <f aca="false">IF(A2648="2025",INDEX(Products!$C$2:$C$13,MATCH(D2648,Products!$A$2:$A$13,0)),INDEX(Products!$E$2:$E$13,MATCH(D2648,Products!$A$2:$A$13,0)))</f>
        <v>12450</v>
      </c>
      <c r="H2648" s="13" t="n">
        <f aca="false">IF(A2648="2025",INDEX(Customers!$D$2:$D$41,MATCH(C2648,Customers!$A$2:$A$41,0)),INDEX(Customers!$F$2:$F$41,MATCH(C2648,Customers!$A$2:$A$41,0)))</f>
        <v>0.067</v>
      </c>
      <c r="I2648" s="16" t="n">
        <f aca="false">F2648*G2648</f>
        <v>59760</v>
      </c>
      <c r="J2648" s="16" t="n">
        <f aca="false">I2648*(1-H2648)</f>
        <v>55756.08</v>
      </c>
      <c r="K2648" s="16" t="n">
        <f aca="false">J2648*INDEX(Customers!$G$2:$G$41,MATCH(C2648,Customers!$A$2:$A$41,0))</f>
        <v>2787.804</v>
      </c>
      <c r="L2648" s="16" t="n">
        <f aca="false">F2648*INDEX(Customers!$H$2:$H$41,MATCH(C2648,Customers!$A$2:$A$41,0))</f>
        <v>1872</v>
      </c>
      <c r="M2648" s="16" t="n">
        <f aca="false">J2648*INDEX(Customers!$I$2:$I$41,MATCH(C2648,Customers!$A$2:$A$41,0))/365*Assumptions!$B$6</f>
        <v>366.615320547945</v>
      </c>
      <c r="N2648" s="16" t="n">
        <f aca="false">J2648-K2648-L2648-M2648</f>
        <v>50729.6606794521</v>
      </c>
      <c r="O2648" s="16" t="n">
        <f aca="false">F2648*IF(A2648="2025",INDEX(Products!$D$2:$D$13,MATCH(D2648,Products!$A$2:$A$13,0)),INDEX(Products!$F$2:$F$13,MATCH(D2648,Products!$A$2:$A$13,0)))</f>
        <v>37344</v>
      </c>
      <c r="P2648" s="16" t="n">
        <f aca="false">N2648-O2648</f>
        <v>13385.6606794521</v>
      </c>
    </row>
    <row r="2649" customFormat="false" ht="15" hidden="false" customHeight="false" outlineLevel="0" collapsed="false">
      <c r="A2649" s="2" t="s">
        <v>118</v>
      </c>
      <c r="B2649" s="2" t="n">
        <v>8</v>
      </c>
      <c r="C2649" s="2" t="s">
        <v>101</v>
      </c>
      <c r="D2649" s="2" t="s">
        <v>42</v>
      </c>
      <c r="E2649" s="2" t="str">
        <f aca="false">INDEX(Products!$B$2:$B$13,MATCH(D2649,Products!$A$2:$A$13,0))</f>
        <v>Hydroprocessing</v>
      </c>
      <c r="F2649" s="15" t="n">
        <v>6.6</v>
      </c>
      <c r="G2649" s="16" t="n">
        <f aca="false">IF(A2649="2025",INDEX(Products!$C$2:$C$13,MATCH(D2649,Products!$A$2:$A$13,0)),INDEX(Products!$E$2:$E$13,MATCH(D2649,Products!$A$2:$A$13,0)))</f>
        <v>12450</v>
      </c>
      <c r="H2649" s="13" t="n">
        <f aca="false">IF(A2649="2025",INDEX(Customers!$D$2:$D$41,MATCH(C2649,Customers!$A$2:$A$41,0)),INDEX(Customers!$F$2:$F$41,MATCH(C2649,Customers!$A$2:$A$41,0)))</f>
        <v>0.067</v>
      </c>
      <c r="I2649" s="16" t="n">
        <f aca="false">F2649*G2649</f>
        <v>82170</v>
      </c>
      <c r="J2649" s="16" t="n">
        <f aca="false">I2649*(1-H2649)</f>
        <v>76664.61</v>
      </c>
      <c r="K2649" s="16" t="n">
        <f aca="false">J2649*INDEX(Customers!$G$2:$G$41,MATCH(C2649,Customers!$A$2:$A$41,0))</f>
        <v>3833.2305</v>
      </c>
      <c r="L2649" s="16" t="n">
        <f aca="false">F2649*INDEX(Customers!$H$2:$H$41,MATCH(C2649,Customers!$A$2:$A$41,0))</f>
        <v>2574</v>
      </c>
      <c r="M2649" s="16" t="n">
        <f aca="false">J2649*INDEX(Customers!$I$2:$I$41,MATCH(C2649,Customers!$A$2:$A$41,0))/365*Assumptions!$B$6</f>
        <v>504.096065753425</v>
      </c>
      <c r="N2649" s="16" t="n">
        <f aca="false">J2649-K2649-L2649-M2649</f>
        <v>69753.2834342466</v>
      </c>
      <c r="O2649" s="16" t="n">
        <f aca="false">F2649*IF(A2649="2025",INDEX(Products!$D$2:$D$13,MATCH(D2649,Products!$A$2:$A$13,0)),INDEX(Products!$F$2:$F$13,MATCH(D2649,Products!$A$2:$A$13,0)))</f>
        <v>51348</v>
      </c>
      <c r="P2649" s="16" t="n">
        <f aca="false">N2649-O2649</f>
        <v>18405.2834342466</v>
      </c>
    </row>
    <row r="2650" customFormat="false" ht="15" hidden="false" customHeight="false" outlineLevel="0" collapsed="false">
      <c r="A2650" s="2" t="s">
        <v>118</v>
      </c>
      <c r="B2650" s="2" t="n">
        <v>9</v>
      </c>
      <c r="C2650" s="2" t="s">
        <v>101</v>
      </c>
      <c r="D2650" s="2" t="s">
        <v>42</v>
      </c>
      <c r="E2650" s="2" t="str">
        <f aca="false">INDEX(Products!$B$2:$B$13,MATCH(D2650,Products!$A$2:$A$13,0))</f>
        <v>Hydroprocessing</v>
      </c>
      <c r="F2650" s="15" t="n">
        <v>6.6</v>
      </c>
      <c r="G2650" s="16" t="n">
        <f aca="false">IF(A2650="2025",INDEX(Products!$C$2:$C$13,MATCH(D2650,Products!$A$2:$A$13,0)),INDEX(Products!$E$2:$E$13,MATCH(D2650,Products!$A$2:$A$13,0)))</f>
        <v>12450</v>
      </c>
      <c r="H2650" s="13" t="n">
        <f aca="false">IF(A2650="2025",INDEX(Customers!$D$2:$D$41,MATCH(C2650,Customers!$A$2:$A$41,0)),INDEX(Customers!$F$2:$F$41,MATCH(C2650,Customers!$A$2:$A$41,0)))</f>
        <v>0.067</v>
      </c>
      <c r="I2650" s="16" t="n">
        <f aca="false">F2650*G2650</f>
        <v>82170</v>
      </c>
      <c r="J2650" s="16" t="n">
        <f aca="false">I2650*(1-H2650)</f>
        <v>76664.61</v>
      </c>
      <c r="K2650" s="16" t="n">
        <f aca="false">J2650*INDEX(Customers!$G$2:$G$41,MATCH(C2650,Customers!$A$2:$A$41,0))</f>
        <v>3833.2305</v>
      </c>
      <c r="L2650" s="16" t="n">
        <f aca="false">F2650*INDEX(Customers!$H$2:$H$41,MATCH(C2650,Customers!$A$2:$A$41,0))</f>
        <v>2574</v>
      </c>
      <c r="M2650" s="16" t="n">
        <f aca="false">J2650*INDEX(Customers!$I$2:$I$41,MATCH(C2650,Customers!$A$2:$A$41,0))/365*Assumptions!$B$6</f>
        <v>504.096065753425</v>
      </c>
      <c r="N2650" s="16" t="n">
        <f aca="false">J2650-K2650-L2650-M2650</f>
        <v>69753.2834342466</v>
      </c>
      <c r="O2650" s="16" t="n">
        <f aca="false">F2650*IF(A2650="2025",INDEX(Products!$D$2:$D$13,MATCH(D2650,Products!$A$2:$A$13,0)),INDEX(Products!$F$2:$F$13,MATCH(D2650,Products!$A$2:$A$13,0)))</f>
        <v>51348</v>
      </c>
      <c r="P2650" s="16" t="n">
        <f aca="false">N2650-O2650</f>
        <v>18405.2834342466</v>
      </c>
    </row>
    <row r="2651" customFormat="false" ht="15" hidden="false" customHeight="false" outlineLevel="0" collapsed="false">
      <c r="A2651" s="2" t="s">
        <v>118</v>
      </c>
      <c r="B2651" s="2" t="n">
        <v>10</v>
      </c>
      <c r="C2651" s="2" t="s">
        <v>101</v>
      </c>
      <c r="D2651" s="2" t="s">
        <v>42</v>
      </c>
      <c r="E2651" s="2" t="str">
        <f aca="false">INDEX(Products!$B$2:$B$13,MATCH(D2651,Products!$A$2:$A$13,0))</f>
        <v>Hydroprocessing</v>
      </c>
      <c r="F2651" s="15" t="n">
        <v>6.1</v>
      </c>
      <c r="G2651" s="16" t="n">
        <f aca="false">IF(A2651="2025",INDEX(Products!$C$2:$C$13,MATCH(D2651,Products!$A$2:$A$13,0)),INDEX(Products!$E$2:$E$13,MATCH(D2651,Products!$A$2:$A$13,0)))</f>
        <v>12450</v>
      </c>
      <c r="H2651" s="13" t="n">
        <f aca="false">IF(A2651="2025",INDEX(Customers!$D$2:$D$41,MATCH(C2651,Customers!$A$2:$A$41,0)),INDEX(Customers!$F$2:$F$41,MATCH(C2651,Customers!$A$2:$A$41,0)))</f>
        <v>0.067</v>
      </c>
      <c r="I2651" s="16" t="n">
        <f aca="false">F2651*G2651</f>
        <v>75945</v>
      </c>
      <c r="J2651" s="16" t="n">
        <f aca="false">I2651*(1-H2651)</f>
        <v>70856.685</v>
      </c>
      <c r="K2651" s="16" t="n">
        <f aca="false">J2651*INDEX(Customers!$G$2:$G$41,MATCH(C2651,Customers!$A$2:$A$41,0))</f>
        <v>3542.83425</v>
      </c>
      <c r="L2651" s="16" t="n">
        <f aca="false">F2651*INDEX(Customers!$H$2:$H$41,MATCH(C2651,Customers!$A$2:$A$41,0))</f>
        <v>2379</v>
      </c>
      <c r="M2651" s="16" t="n">
        <f aca="false">J2651*INDEX(Customers!$I$2:$I$41,MATCH(C2651,Customers!$A$2:$A$41,0))/365*Assumptions!$B$6</f>
        <v>465.906969863014</v>
      </c>
      <c r="N2651" s="16" t="n">
        <f aca="false">J2651-K2651-L2651-M2651</f>
        <v>64468.943780137</v>
      </c>
      <c r="O2651" s="16" t="n">
        <f aca="false">F2651*IF(A2651="2025",INDEX(Products!$D$2:$D$13,MATCH(D2651,Products!$A$2:$A$13,0)),INDEX(Products!$F$2:$F$13,MATCH(D2651,Products!$A$2:$A$13,0)))</f>
        <v>47458</v>
      </c>
      <c r="P2651" s="16" t="n">
        <f aca="false">N2651-O2651</f>
        <v>17010.943780137</v>
      </c>
    </row>
    <row r="2652" customFormat="false" ht="15" hidden="false" customHeight="false" outlineLevel="0" collapsed="false">
      <c r="A2652" s="2" t="s">
        <v>118</v>
      </c>
      <c r="B2652" s="2" t="n">
        <v>11</v>
      </c>
      <c r="C2652" s="2" t="s">
        <v>101</v>
      </c>
      <c r="D2652" s="2" t="s">
        <v>42</v>
      </c>
      <c r="E2652" s="2" t="str">
        <f aca="false">INDEX(Products!$B$2:$B$13,MATCH(D2652,Products!$A$2:$A$13,0))</f>
        <v>Hydroprocessing</v>
      </c>
      <c r="F2652" s="15" t="n">
        <v>5.9</v>
      </c>
      <c r="G2652" s="16" t="n">
        <f aca="false">IF(A2652="2025",INDEX(Products!$C$2:$C$13,MATCH(D2652,Products!$A$2:$A$13,0)),INDEX(Products!$E$2:$E$13,MATCH(D2652,Products!$A$2:$A$13,0)))</f>
        <v>12450</v>
      </c>
      <c r="H2652" s="13" t="n">
        <f aca="false">IF(A2652="2025",INDEX(Customers!$D$2:$D$41,MATCH(C2652,Customers!$A$2:$A$41,0)),INDEX(Customers!$F$2:$F$41,MATCH(C2652,Customers!$A$2:$A$41,0)))</f>
        <v>0.067</v>
      </c>
      <c r="I2652" s="16" t="n">
        <f aca="false">F2652*G2652</f>
        <v>73455</v>
      </c>
      <c r="J2652" s="16" t="n">
        <f aca="false">I2652*(1-H2652)</f>
        <v>68533.515</v>
      </c>
      <c r="K2652" s="16" t="n">
        <f aca="false">J2652*INDEX(Customers!$G$2:$G$41,MATCH(C2652,Customers!$A$2:$A$41,0))</f>
        <v>3426.67575</v>
      </c>
      <c r="L2652" s="16" t="n">
        <f aca="false">F2652*INDEX(Customers!$H$2:$H$41,MATCH(C2652,Customers!$A$2:$A$41,0))</f>
        <v>2301</v>
      </c>
      <c r="M2652" s="16" t="n">
        <f aca="false">J2652*INDEX(Customers!$I$2:$I$41,MATCH(C2652,Customers!$A$2:$A$41,0))/365*Assumptions!$B$6</f>
        <v>450.631331506849</v>
      </c>
      <c r="N2652" s="16" t="n">
        <f aca="false">J2652-K2652-L2652-M2652</f>
        <v>62355.2079184932</v>
      </c>
      <c r="O2652" s="16" t="n">
        <f aca="false">F2652*IF(A2652="2025",INDEX(Products!$D$2:$D$13,MATCH(D2652,Products!$A$2:$A$13,0)),INDEX(Products!$F$2:$F$13,MATCH(D2652,Products!$A$2:$A$13,0)))</f>
        <v>45902</v>
      </c>
      <c r="P2652" s="16" t="n">
        <f aca="false">N2652-O2652</f>
        <v>16453.2079184932</v>
      </c>
    </row>
    <row r="2653" customFormat="false" ht="15" hidden="false" customHeight="false" outlineLevel="0" collapsed="false">
      <c r="A2653" s="2" t="s">
        <v>118</v>
      </c>
      <c r="B2653" s="2" t="n">
        <v>12</v>
      </c>
      <c r="C2653" s="2" t="s">
        <v>101</v>
      </c>
      <c r="D2653" s="2" t="s">
        <v>42</v>
      </c>
      <c r="E2653" s="2" t="str">
        <f aca="false">INDEX(Products!$B$2:$B$13,MATCH(D2653,Products!$A$2:$A$13,0))</f>
        <v>Hydroprocessing</v>
      </c>
      <c r="F2653" s="15" t="n">
        <v>4.9</v>
      </c>
      <c r="G2653" s="16" t="n">
        <f aca="false">IF(A2653="2025",INDEX(Products!$C$2:$C$13,MATCH(D2653,Products!$A$2:$A$13,0)),INDEX(Products!$E$2:$E$13,MATCH(D2653,Products!$A$2:$A$13,0)))</f>
        <v>12450</v>
      </c>
      <c r="H2653" s="13" t="n">
        <f aca="false">IF(A2653="2025",INDEX(Customers!$D$2:$D$41,MATCH(C2653,Customers!$A$2:$A$41,0)),INDEX(Customers!$F$2:$F$41,MATCH(C2653,Customers!$A$2:$A$41,0)))</f>
        <v>0.067</v>
      </c>
      <c r="I2653" s="16" t="n">
        <f aca="false">F2653*G2653</f>
        <v>61005</v>
      </c>
      <c r="J2653" s="16" t="n">
        <f aca="false">I2653*(1-H2653)</f>
        <v>56917.665</v>
      </c>
      <c r="K2653" s="16" t="n">
        <f aca="false">J2653*INDEX(Customers!$G$2:$G$41,MATCH(C2653,Customers!$A$2:$A$41,0))</f>
        <v>2845.88325</v>
      </c>
      <c r="L2653" s="16" t="n">
        <f aca="false">F2653*INDEX(Customers!$H$2:$H$41,MATCH(C2653,Customers!$A$2:$A$41,0))</f>
        <v>1911</v>
      </c>
      <c r="M2653" s="16" t="n">
        <f aca="false">J2653*INDEX(Customers!$I$2:$I$41,MATCH(C2653,Customers!$A$2:$A$41,0))/365*Assumptions!$B$6</f>
        <v>374.253139726027</v>
      </c>
      <c r="N2653" s="16" t="n">
        <f aca="false">J2653-K2653-L2653-M2653</f>
        <v>51786.528610274</v>
      </c>
      <c r="O2653" s="16" t="n">
        <f aca="false">F2653*IF(A2653="2025",INDEX(Products!$D$2:$D$13,MATCH(D2653,Products!$A$2:$A$13,0)),INDEX(Products!$F$2:$F$13,MATCH(D2653,Products!$A$2:$A$13,0)))</f>
        <v>38122</v>
      </c>
      <c r="P2653" s="16" t="n">
        <f aca="false">N2653-O2653</f>
        <v>13664.528610274</v>
      </c>
    </row>
    <row r="2654" customFormat="false" ht="15" hidden="false" customHeight="false" outlineLevel="0" collapsed="false">
      <c r="A2654" s="2" t="s">
        <v>119</v>
      </c>
      <c r="B2654" s="2" t="n">
        <v>1</v>
      </c>
      <c r="C2654" s="2" t="s">
        <v>101</v>
      </c>
      <c r="D2654" s="2" t="s">
        <v>42</v>
      </c>
      <c r="E2654" s="2" t="str">
        <f aca="false">INDEX(Products!$B$2:$B$13,MATCH(D2654,Products!$A$2:$A$13,0))</f>
        <v>Hydroprocessing</v>
      </c>
      <c r="F2654" s="15" t="n">
        <v>5.6</v>
      </c>
      <c r="G2654" s="16" t="n">
        <f aca="false">IF(A2654="2025",INDEX(Products!$C$2:$C$13,MATCH(D2654,Products!$A$2:$A$13,0)),INDEX(Products!$E$2:$E$13,MATCH(D2654,Products!$A$2:$A$13,0)))</f>
        <v>13072.5</v>
      </c>
      <c r="H2654" s="13" t="n">
        <f aca="false">IF(A2654="2025",INDEX(Customers!$D$2:$D$41,MATCH(C2654,Customers!$A$2:$A$41,0)),INDEX(Customers!$F$2:$F$41,MATCH(C2654,Customers!$A$2:$A$41,0)))</f>
        <v>0.067</v>
      </c>
      <c r="I2654" s="16" t="n">
        <f aca="false">F2654*G2654</f>
        <v>73206</v>
      </c>
      <c r="J2654" s="16" t="n">
        <f aca="false">I2654*(1-H2654)</f>
        <v>68301.198</v>
      </c>
      <c r="K2654" s="16" t="n">
        <f aca="false">J2654*INDEX(Customers!$G$2:$G$41,MATCH(C2654,Customers!$A$2:$A$41,0))</f>
        <v>3415.0599</v>
      </c>
      <c r="L2654" s="16" t="n">
        <f aca="false">F2654*INDEX(Customers!$H$2:$H$41,MATCH(C2654,Customers!$A$2:$A$41,0))</f>
        <v>2184</v>
      </c>
      <c r="M2654" s="16" t="n">
        <f aca="false">J2654*INDEX(Customers!$I$2:$I$41,MATCH(C2654,Customers!$A$2:$A$41,0))/365*Assumptions!$B$6</f>
        <v>449.103767671233</v>
      </c>
      <c r="N2654" s="16" t="n">
        <f aca="false">J2654-K2654-L2654-M2654</f>
        <v>62253.0343323288</v>
      </c>
      <c r="O2654" s="16" t="n">
        <f aca="false">F2654*IF(A2654="2025",INDEX(Products!$D$2:$D$13,MATCH(D2654,Products!$A$2:$A$13,0)),INDEX(Products!$F$2:$F$13,MATCH(D2654,Products!$A$2:$A$13,0)))</f>
        <v>44875.04</v>
      </c>
      <c r="P2654" s="16" t="n">
        <f aca="false">N2654-O2654</f>
        <v>17377.9943323288</v>
      </c>
    </row>
    <row r="2655" customFormat="false" ht="15" hidden="false" customHeight="false" outlineLevel="0" collapsed="false">
      <c r="A2655" s="2" t="s">
        <v>119</v>
      </c>
      <c r="B2655" s="2" t="n">
        <v>2</v>
      </c>
      <c r="C2655" s="2" t="s">
        <v>101</v>
      </c>
      <c r="D2655" s="2" t="s">
        <v>42</v>
      </c>
      <c r="E2655" s="2" t="str">
        <f aca="false">INDEX(Products!$B$2:$B$13,MATCH(D2655,Products!$A$2:$A$13,0))</f>
        <v>Hydroprocessing</v>
      </c>
      <c r="F2655" s="15" t="n">
        <v>6.4</v>
      </c>
      <c r="G2655" s="16" t="n">
        <f aca="false">IF(A2655="2025",INDEX(Products!$C$2:$C$13,MATCH(D2655,Products!$A$2:$A$13,0)),INDEX(Products!$E$2:$E$13,MATCH(D2655,Products!$A$2:$A$13,0)))</f>
        <v>13072.5</v>
      </c>
      <c r="H2655" s="13" t="n">
        <f aca="false">IF(A2655="2025",INDEX(Customers!$D$2:$D$41,MATCH(C2655,Customers!$A$2:$A$41,0)),INDEX(Customers!$F$2:$F$41,MATCH(C2655,Customers!$A$2:$A$41,0)))</f>
        <v>0.067</v>
      </c>
      <c r="I2655" s="16" t="n">
        <f aca="false">F2655*G2655</f>
        <v>83664</v>
      </c>
      <c r="J2655" s="16" t="n">
        <f aca="false">I2655*(1-H2655)</f>
        <v>78058.512</v>
      </c>
      <c r="K2655" s="16" t="n">
        <f aca="false">J2655*INDEX(Customers!$G$2:$G$41,MATCH(C2655,Customers!$A$2:$A$41,0))</f>
        <v>3902.9256</v>
      </c>
      <c r="L2655" s="16" t="n">
        <f aca="false">F2655*INDEX(Customers!$H$2:$H$41,MATCH(C2655,Customers!$A$2:$A$41,0))</f>
        <v>2496</v>
      </c>
      <c r="M2655" s="16" t="n">
        <f aca="false">J2655*INDEX(Customers!$I$2:$I$41,MATCH(C2655,Customers!$A$2:$A$41,0))/365*Assumptions!$B$6</f>
        <v>513.261448767123</v>
      </c>
      <c r="N2655" s="16" t="n">
        <f aca="false">J2655-K2655-L2655-M2655</f>
        <v>71146.3249512329</v>
      </c>
      <c r="O2655" s="16" t="n">
        <f aca="false">F2655*IF(A2655="2025",INDEX(Products!$D$2:$D$13,MATCH(D2655,Products!$A$2:$A$13,0)),INDEX(Products!$F$2:$F$13,MATCH(D2655,Products!$A$2:$A$13,0)))</f>
        <v>51285.76</v>
      </c>
      <c r="P2655" s="16" t="n">
        <f aca="false">N2655-O2655</f>
        <v>19860.5649512329</v>
      </c>
    </row>
    <row r="2656" customFormat="false" ht="15" hidden="false" customHeight="false" outlineLevel="0" collapsed="false">
      <c r="A2656" s="2" t="s">
        <v>119</v>
      </c>
      <c r="B2656" s="2" t="n">
        <v>3</v>
      </c>
      <c r="C2656" s="2" t="s">
        <v>101</v>
      </c>
      <c r="D2656" s="2" t="s">
        <v>42</v>
      </c>
      <c r="E2656" s="2" t="str">
        <f aca="false">INDEX(Products!$B$2:$B$13,MATCH(D2656,Products!$A$2:$A$13,0))</f>
        <v>Hydroprocessing</v>
      </c>
      <c r="F2656" s="15" t="n">
        <v>7.8</v>
      </c>
      <c r="G2656" s="16" t="n">
        <f aca="false">IF(A2656="2025",INDEX(Products!$C$2:$C$13,MATCH(D2656,Products!$A$2:$A$13,0)),INDEX(Products!$E$2:$E$13,MATCH(D2656,Products!$A$2:$A$13,0)))</f>
        <v>13072.5</v>
      </c>
      <c r="H2656" s="13" t="n">
        <f aca="false">IF(A2656="2025",INDEX(Customers!$D$2:$D$41,MATCH(C2656,Customers!$A$2:$A$41,0)),INDEX(Customers!$F$2:$F$41,MATCH(C2656,Customers!$A$2:$A$41,0)))</f>
        <v>0.067</v>
      </c>
      <c r="I2656" s="16" t="n">
        <f aca="false">F2656*G2656</f>
        <v>101965.5</v>
      </c>
      <c r="J2656" s="16" t="n">
        <f aca="false">I2656*(1-H2656)</f>
        <v>95133.8115</v>
      </c>
      <c r="K2656" s="16" t="n">
        <f aca="false">J2656*INDEX(Customers!$G$2:$G$41,MATCH(C2656,Customers!$A$2:$A$41,0))</f>
        <v>4756.690575</v>
      </c>
      <c r="L2656" s="16" t="n">
        <f aca="false">F2656*INDEX(Customers!$H$2:$H$41,MATCH(C2656,Customers!$A$2:$A$41,0))</f>
        <v>3042</v>
      </c>
      <c r="M2656" s="16" t="n">
        <f aca="false">J2656*INDEX(Customers!$I$2:$I$41,MATCH(C2656,Customers!$A$2:$A$41,0))/365*Assumptions!$B$6</f>
        <v>625.537390684932</v>
      </c>
      <c r="N2656" s="16" t="n">
        <f aca="false">J2656-K2656-L2656-M2656</f>
        <v>86709.5835343151</v>
      </c>
      <c r="O2656" s="16" t="n">
        <f aca="false">F2656*IF(A2656="2025",INDEX(Products!$D$2:$D$13,MATCH(D2656,Products!$A$2:$A$13,0)),INDEX(Products!$F$2:$F$13,MATCH(D2656,Products!$A$2:$A$13,0)))</f>
        <v>62504.52</v>
      </c>
      <c r="P2656" s="16" t="n">
        <f aca="false">N2656-O2656</f>
        <v>24205.0635343151</v>
      </c>
    </row>
    <row r="2657" customFormat="false" ht="15" hidden="false" customHeight="false" outlineLevel="0" collapsed="false">
      <c r="A2657" s="2" t="s">
        <v>119</v>
      </c>
      <c r="B2657" s="2" t="n">
        <v>4</v>
      </c>
      <c r="C2657" s="2" t="s">
        <v>101</v>
      </c>
      <c r="D2657" s="2" t="s">
        <v>42</v>
      </c>
      <c r="E2657" s="2" t="str">
        <f aca="false">INDEX(Products!$B$2:$B$13,MATCH(D2657,Products!$A$2:$A$13,0))</f>
        <v>Hydroprocessing</v>
      </c>
      <c r="F2657" s="15" t="n">
        <v>7.4</v>
      </c>
      <c r="G2657" s="16" t="n">
        <f aca="false">IF(A2657="2025",INDEX(Products!$C$2:$C$13,MATCH(D2657,Products!$A$2:$A$13,0)),INDEX(Products!$E$2:$E$13,MATCH(D2657,Products!$A$2:$A$13,0)))</f>
        <v>13072.5</v>
      </c>
      <c r="H2657" s="13" t="n">
        <f aca="false">IF(A2657="2025",INDEX(Customers!$D$2:$D$41,MATCH(C2657,Customers!$A$2:$A$41,0)),INDEX(Customers!$F$2:$F$41,MATCH(C2657,Customers!$A$2:$A$41,0)))</f>
        <v>0.067</v>
      </c>
      <c r="I2657" s="16" t="n">
        <f aca="false">F2657*G2657</f>
        <v>96736.5</v>
      </c>
      <c r="J2657" s="16" t="n">
        <f aca="false">I2657*(1-H2657)</f>
        <v>90255.1545</v>
      </c>
      <c r="K2657" s="16" t="n">
        <f aca="false">J2657*INDEX(Customers!$G$2:$G$41,MATCH(C2657,Customers!$A$2:$A$41,0))</f>
        <v>4512.757725</v>
      </c>
      <c r="L2657" s="16" t="n">
        <f aca="false">F2657*INDEX(Customers!$H$2:$H$41,MATCH(C2657,Customers!$A$2:$A$41,0))</f>
        <v>2886</v>
      </c>
      <c r="M2657" s="16" t="n">
        <f aca="false">J2657*INDEX(Customers!$I$2:$I$41,MATCH(C2657,Customers!$A$2:$A$41,0))/365*Assumptions!$B$6</f>
        <v>593.458550136986</v>
      </c>
      <c r="N2657" s="16" t="n">
        <f aca="false">J2657-K2657-L2657-M2657</f>
        <v>82262.938224863</v>
      </c>
      <c r="O2657" s="16" t="n">
        <f aca="false">F2657*IF(A2657="2025",INDEX(Products!$D$2:$D$13,MATCH(D2657,Products!$A$2:$A$13,0)),INDEX(Products!$F$2:$F$13,MATCH(D2657,Products!$A$2:$A$13,0)))</f>
        <v>59299.16</v>
      </c>
      <c r="P2657" s="16" t="n">
        <f aca="false">N2657-O2657</f>
        <v>22963.778224863</v>
      </c>
    </row>
    <row r="2658" customFormat="false" ht="15" hidden="false" customHeight="false" outlineLevel="0" collapsed="false">
      <c r="A2658" s="2" t="s">
        <v>119</v>
      </c>
      <c r="B2658" s="2" t="n">
        <v>5</v>
      </c>
      <c r="C2658" s="2" t="s">
        <v>101</v>
      </c>
      <c r="D2658" s="2" t="s">
        <v>42</v>
      </c>
      <c r="E2658" s="2" t="str">
        <f aca="false">INDEX(Products!$B$2:$B$13,MATCH(D2658,Products!$A$2:$A$13,0))</f>
        <v>Hydroprocessing</v>
      </c>
      <c r="F2658" s="15" t="n">
        <v>5.6</v>
      </c>
      <c r="G2658" s="16" t="n">
        <f aca="false">IF(A2658="2025",INDEX(Products!$C$2:$C$13,MATCH(D2658,Products!$A$2:$A$13,0)),INDEX(Products!$E$2:$E$13,MATCH(D2658,Products!$A$2:$A$13,0)))</f>
        <v>13072.5</v>
      </c>
      <c r="H2658" s="13" t="n">
        <f aca="false">IF(A2658="2025",INDEX(Customers!$D$2:$D$41,MATCH(C2658,Customers!$A$2:$A$41,0)),INDEX(Customers!$F$2:$F$41,MATCH(C2658,Customers!$A$2:$A$41,0)))</f>
        <v>0.067</v>
      </c>
      <c r="I2658" s="16" t="n">
        <f aca="false">F2658*G2658</f>
        <v>73206</v>
      </c>
      <c r="J2658" s="16" t="n">
        <f aca="false">I2658*(1-H2658)</f>
        <v>68301.198</v>
      </c>
      <c r="K2658" s="16" t="n">
        <f aca="false">J2658*INDEX(Customers!$G$2:$G$41,MATCH(C2658,Customers!$A$2:$A$41,0))</f>
        <v>3415.0599</v>
      </c>
      <c r="L2658" s="16" t="n">
        <f aca="false">F2658*INDEX(Customers!$H$2:$H$41,MATCH(C2658,Customers!$A$2:$A$41,0))</f>
        <v>2184</v>
      </c>
      <c r="M2658" s="16" t="n">
        <f aca="false">J2658*INDEX(Customers!$I$2:$I$41,MATCH(C2658,Customers!$A$2:$A$41,0))/365*Assumptions!$B$6</f>
        <v>449.103767671233</v>
      </c>
      <c r="N2658" s="16" t="n">
        <f aca="false">J2658-K2658-L2658-M2658</f>
        <v>62253.0343323288</v>
      </c>
      <c r="O2658" s="16" t="n">
        <f aca="false">F2658*IF(A2658="2025",INDEX(Products!$D$2:$D$13,MATCH(D2658,Products!$A$2:$A$13,0)),INDEX(Products!$F$2:$F$13,MATCH(D2658,Products!$A$2:$A$13,0)))</f>
        <v>44875.04</v>
      </c>
      <c r="P2658" s="16" t="n">
        <f aca="false">N2658-O2658</f>
        <v>17377.9943323288</v>
      </c>
    </row>
    <row r="2659" customFormat="false" ht="15" hidden="false" customHeight="false" outlineLevel="0" collapsed="false">
      <c r="A2659" s="2" t="s">
        <v>119</v>
      </c>
      <c r="B2659" s="2" t="n">
        <v>6</v>
      </c>
      <c r="C2659" s="2" t="s">
        <v>101</v>
      </c>
      <c r="D2659" s="2" t="s">
        <v>42</v>
      </c>
      <c r="E2659" s="2" t="str">
        <f aca="false">INDEX(Products!$B$2:$B$13,MATCH(D2659,Products!$A$2:$A$13,0))</f>
        <v>Hydroprocessing</v>
      </c>
      <c r="F2659" s="15" t="n">
        <v>7.5</v>
      </c>
      <c r="G2659" s="16" t="n">
        <f aca="false">IF(A2659="2025",INDEX(Products!$C$2:$C$13,MATCH(D2659,Products!$A$2:$A$13,0)),INDEX(Products!$E$2:$E$13,MATCH(D2659,Products!$A$2:$A$13,0)))</f>
        <v>13072.5</v>
      </c>
      <c r="H2659" s="13" t="n">
        <f aca="false">IF(A2659="2025",INDEX(Customers!$D$2:$D$41,MATCH(C2659,Customers!$A$2:$A$41,0)),INDEX(Customers!$F$2:$F$41,MATCH(C2659,Customers!$A$2:$A$41,0)))</f>
        <v>0.067</v>
      </c>
      <c r="I2659" s="16" t="n">
        <f aca="false">F2659*G2659</f>
        <v>98043.75</v>
      </c>
      <c r="J2659" s="16" t="n">
        <f aca="false">I2659*(1-H2659)</f>
        <v>91474.81875</v>
      </c>
      <c r="K2659" s="16" t="n">
        <f aca="false">J2659*INDEX(Customers!$G$2:$G$41,MATCH(C2659,Customers!$A$2:$A$41,0))</f>
        <v>4573.7409375</v>
      </c>
      <c r="L2659" s="16" t="n">
        <f aca="false">F2659*INDEX(Customers!$H$2:$H$41,MATCH(C2659,Customers!$A$2:$A$41,0))</f>
        <v>2925</v>
      </c>
      <c r="M2659" s="16" t="n">
        <f aca="false">J2659*INDEX(Customers!$I$2:$I$41,MATCH(C2659,Customers!$A$2:$A$41,0))/365*Assumptions!$B$6</f>
        <v>601.478260273973</v>
      </c>
      <c r="N2659" s="16" t="n">
        <f aca="false">J2659-K2659-L2659-M2659</f>
        <v>83374.599552226</v>
      </c>
      <c r="O2659" s="16" t="n">
        <f aca="false">F2659*IF(A2659="2025",INDEX(Products!$D$2:$D$13,MATCH(D2659,Products!$A$2:$A$13,0)),INDEX(Products!$F$2:$F$13,MATCH(D2659,Products!$A$2:$A$13,0)))</f>
        <v>60100.5</v>
      </c>
      <c r="P2659" s="16" t="n">
        <f aca="false">N2659-O2659</f>
        <v>23274.099552226</v>
      </c>
    </row>
    <row r="2660" customFormat="false" ht="15" hidden="false" customHeight="false" outlineLevel="0" collapsed="false">
      <c r="A2660" s="2" t="s">
        <v>119</v>
      </c>
      <c r="B2660" s="2" t="n">
        <v>7</v>
      </c>
      <c r="C2660" s="2" t="s">
        <v>101</v>
      </c>
      <c r="D2660" s="2" t="s">
        <v>42</v>
      </c>
      <c r="E2660" s="2" t="str">
        <f aca="false">INDEX(Products!$B$2:$B$13,MATCH(D2660,Products!$A$2:$A$13,0))</f>
        <v>Hydroprocessing</v>
      </c>
      <c r="F2660" s="15" t="n">
        <v>5.9</v>
      </c>
      <c r="G2660" s="16" t="n">
        <f aca="false">IF(A2660="2025",INDEX(Products!$C$2:$C$13,MATCH(D2660,Products!$A$2:$A$13,0)),INDEX(Products!$E$2:$E$13,MATCH(D2660,Products!$A$2:$A$13,0)))</f>
        <v>13072.5</v>
      </c>
      <c r="H2660" s="13" t="n">
        <f aca="false">IF(A2660="2025",INDEX(Customers!$D$2:$D$41,MATCH(C2660,Customers!$A$2:$A$41,0)),INDEX(Customers!$F$2:$F$41,MATCH(C2660,Customers!$A$2:$A$41,0)))</f>
        <v>0.067</v>
      </c>
      <c r="I2660" s="16" t="n">
        <f aca="false">F2660*G2660</f>
        <v>77127.75</v>
      </c>
      <c r="J2660" s="16" t="n">
        <f aca="false">I2660*(1-H2660)</f>
        <v>71960.19075</v>
      </c>
      <c r="K2660" s="16" t="n">
        <f aca="false">J2660*INDEX(Customers!$G$2:$G$41,MATCH(C2660,Customers!$A$2:$A$41,0))</f>
        <v>3598.0095375</v>
      </c>
      <c r="L2660" s="16" t="n">
        <f aca="false">F2660*INDEX(Customers!$H$2:$H$41,MATCH(C2660,Customers!$A$2:$A$41,0))</f>
        <v>2301</v>
      </c>
      <c r="M2660" s="16" t="n">
        <f aca="false">J2660*INDEX(Customers!$I$2:$I$41,MATCH(C2660,Customers!$A$2:$A$41,0))/365*Assumptions!$B$6</f>
        <v>473.162898082192</v>
      </c>
      <c r="N2660" s="16" t="n">
        <f aca="false">J2660-K2660-L2660-M2660</f>
        <v>65588.0183144178</v>
      </c>
      <c r="O2660" s="16" t="n">
        <f aca="false">F2660*IF(A2660="2025",INDEX(Products!$D$2:$D$13,MATCH(D2660,Products!$A$2:$A$13,0)),INDEX(Products!$F$2:$F$13,MATCH(D2660,Products!$A$2:$A$13,0)))</f>
        <v>47279.06</v>
      </c>
      <c r="P2660" s="16" t="n">
        <f aca="false">N2660-O2660</f>
        <v>18308.9583144178</v>
      </c>
    </row>
    <row r="2661" customFormat="false" ht="15" hidden="false" customHeight="false" outlineLevel="0" collapsed="false">
      <c r="A2661" s="2" t="s">
        <v>119</v>
      </c>
      <c r="B2661" s="2" t="n">
        <v>8</v>
      </c>
      <c r="C2661" s="2" t="s">
        <v>101</v>
      </c>
      <c r="D2661" s="2" t="s">
        <v>42</v>
      </c>
      <c r="E2661" s="2" t="str">
        <f aca="false">INDEX(Products!$B$2:$B$13,MATCH(D2661,Products!$A$2:$A$13,0))</f>
        <v>Hydroprocessing</v>
      </c>
      <c r="F2661" s="15" t="n">
        <v>5.5</v>
      </c>
      <c r="G2661" s="16" t="n">
        <f aca="false">IF(A2661="2025",INDEX(Products!$C$2:$C$13,MATCH(D2661,Products!$A$2:$A$13,0)),INDEX(Products!$E$2:$E$13,MATCH(D2661,Products!$A$2:$A$13,0)))</f>
        <v>13072.5</v>
      </c>
      <c r="H2661" s="13" t="n">
        <f aca="false">IF(A2661="2025",INDEX(Customers!$D$2:$D$41,MATCH(C2661,Customers!$A$2:$A$41,0)),INDEX(Customers!$F$2:$F$41,MATCH(C2661,Customers!$A$2:$A$41,0)))</f>
        <v>0.067</v>
      </c>
      <c r="I2661" s="16" t="n">
        <f aca="false">F2661*G2661</f>
        <v>71898.75</v>
      </c>
      <c r="J2661" s="16" t="n">
        <f aca="false">I2661*(1-H2661)</f>
        <v>67081.53375</v>
      </c>
      <c r="K2661" s="16" t="n">
        <f aca="false">J2661*INDEX(Customers!$G$2:$G$41,MATCH(C2661,Customers!$A$2:$A$41,0))</f>
        <v>3354.0766875</v>
      </c>
      <c r="L2661" s="16" t="n">
        <f aca="false">F2661*INDEX(Customers!$H$2:$H$41,MATCH(C2661,Customers!$A$2:$A$41,0))</f>
        <v>2145</v>
      </c>
      <c r="M2661" s="16" t="n">
        <f aca="false">J2661*INDEX(Customers!$I$2:$I$41,MATCH(C2661,Customers!$A$2:$A$41,0))/365*Assumptions!$B$6</f>
        <v>441.084057534247</v>
      </c>
      <c r="N2661" s="16" t="n">
        <f aca="false">J2661-K2661-L2661-M2661</f>
        <v>61141.3730049658</v>
      </c>
      <c r="O2661" s="16" t="n">
        <f aca="false">F2661*IF(A2661="2025",INDEX(Products!$D$2:$D$13,MATCH(D2661,Products!$A$2:$A$13,0)),INDEX(Products!$F$2:$F$13,MATCH(D2661,Products!$A$2:$A$13,0)))</f>
        <v>44073.7</v>
      </c>
      <c r="P2661" s="16" t="n">
        <f aca="false">N2661-O2661</f>
        <v>17067.6730049658</v>
      </c>
    </row>
    <row r="2662" customFormat="false" ht="15" hidden="false" customHeight="false" outlineLevel="0" collapsed="false">
      <c r="A2662" s="2" t="s">
        <v>119</v>
      </c>
      <c r="B2662" s="2" t="n">
        <v>9</v>
      </c>
      <c r="C2662" s="2" t="s">
        <v>101</v>
      </c>
      <c r="D2662" s="2" t="s">
        <v>42</v>
      </c>
      <c r="E2662" s="2" t="str">
        <f aca="false">INDEX(Products!$B$2:$B$13,MATCH(D2662,Products!$A$2:$A$13,0))</f>
        <v>Hydroprocessing</v>
      </c>
      <c r="F2662" s="15" t="n">
        <v>6.1</v>
      </c>
      <c r="G2662" s="16" t="n">
        <f aca="false">IF(A2662="2025",INDEX(Products!$C$2:$C$13,MATCH(D2662,Products!$A$2:$A$13,0)),INDEX(Products!$E$2:$E$13,MATCH(D2662,Products!$A$2:$A$13,0)))</f>
        <v>13072.5</v>
      </c>
      <c r="H2662" s="13" t="n">
        <f aca="false">IF(A2662="2025",INDEX(Customers!$D$2:$D$41,MATCH(C2662,Customers!$A$2:$A$41,0)),INDEX(Customers!$F$2:$F$41,MATCH(C2662,Customers!$A$2:$A$41,0)))</f>
        <v>0.067</v>
      </c>
      <c r="I2662" s="16" t="n">
        <f aca="false">F2662*G2662</f>
        <v>79742.25</v>
      </c>
      <c r="J2662" s="16" t="n">
        <f aca="false">I2662*(1-H2662)</f>
        <v>74399.51925</v>
      </c>
      <c r="K2662" s="16" t="n">
        <f aca="false">J2662*INDEX(Customers!$G$2:$G$41,MATCH(C2662,Customers!$A$2:$A$41,0))</f>
        <v>3719.9759625</v>
      </c>
      <c r="L2662" s="16" t="n">
        <f aca="false">F2662*INDEX(Customers!$H$2:$H$41,MATCH(C2662,Customers!$A$2:$A$41,0))</f>
        <v>2379</v>
      </c>
      <c r="M2662" s="16" t="n">
        <f aca="false">J2662*INDEX(Customers!$I$2:$I$41,MATCH(C2662,Customers!$A$2:$A$41,0))/365*Assumptions!$B$6</f>
        <v>489.202318356164</v>
      </c>
      <c r="N2662" s="16" t="n">
        <f aca="false">J2662-K2662-L2662-M2662</f>
        <v>67811.3409691438</v>
      </c>
      <c r="O2662" s="16" t="n">
        <f aca="false">F2662*IF(A2662="2025",INDEX(Products!$D$2:$D$13,MATCH(D2662,Products!$A$2:$A$13,0)),INDEX(Products!$F$2:$F$13,MATCH(D2662,Products!$A$2:$A$13,0)))</f>
        <v>48881.74</v>
      </c>
      <c r="P2662" s="16" t="n">
        <f aca="false">N2662-O2662</f>
        <v>18929.6009691438</v>
      </c>
    </row>
    <row r="2663" customFormat="false" ht="15" hidden="false" customHeight="false" outlineLevel="0" collapsed="false">
      <c r="A2663" s="2" t="s">
        <v>119</v>
      </c>
      <c r="B2663" s="2" t="n">
        <v>10</v>
      </c>
      <c r="C2663" s="2" t="s">
        <v>101</v>
      </c>
      <c r="D2663" s="2" t="s">
        <v>42</v>
      </c>
      <c r="E2663" s="2" t="str">
        <f aca="false">INDEX(Products!$B$2:$B$13,MATCH(D2663,Products!$A$2:$A$13,0))</f>
        <v>Hydroprocessing</v>
      </c>
      <c r="F2663" s="15" t="n">
        <v>5.6</v>
      </c>
      <c r="G2663" s="16" t="n">
        <f aca="false">IF(A2663="2025",INDEX(Products!$C$2:$C$13,MATCH(D2663,Products!$A$2:$A$13,0)),INDEX(Products!$E$2:$E$13,MATCH(D2663,Products!$A$2:$A$13,0)))</f>
        <v>13072.5</v>
      </c>
      <c r="H2663" s="13" t="n">
        <f aca="false">IF(A2663="2025",INDEX(Customers!$D$2:$D$41,MATCH(C2663,Customers!$A$2:$A$41,0)),INDEX(Customers!$F$2:$F$41,MATCH(C2663,Customers!$A$2:$A$41,0)))</f>
        <v>0.067</v>
      </c>
      <c r="I2663" s="16" t="n">
        <f aca="false">F2663*G2663</f>
        <v>73206</v>
      </c>
      <c r="J2663" s="16" t="n">
        <f aca="false">I2663*(1-H2663)</f>
        <v>68301.198</v>
      </c>
      <c r="K2663" s="16" t="n">
        <f aca="false">J2663*INDEX(Customers!$G$2:$G$41,MATCH(C2663,Customers!$A$2:$A$41,0))</f>
        <v>3415.0599</v>
      </c>
      <c r="L2663" s="16" t="n">
        <f aca="false">F2663*INDEX(Customers!$H$2:$H$41,MATCH(C2663,Customers!$A$2:$A$41,0))</f>
        <v>2184</v>
      </c>
      <c r="M2663" s="16" t="n">
        <f aca="false">J2663*INDEX(Customers!$I$2:$I$41,MATCH(C2663,Customers!$A$2:$A$41,0))/365*Assumptions!$B$6</f>
        <v>449.103767671233</v>
      </c>
      <c r="N2663" s="16" t="n">
        <f aca="false">J2663-K2663-L2663-M2663</f>
        <v>62253.0343323288</v>
      </c>
      <c r="O2663" s="16" t="n">
        <f aca="false">F2663*IF(A2663="2025",INDEX(Products!$D$2:$D$13,MATCH(D2663,Products!$A$2:$A$13,0)),INDEX(Products!$F$2:$F$13,MATCH(D2663,Products!$A$2:$A$13,0)))</f>
        <v>44875.04</v>
      </c>
      <c r="P2663" s="16" t="n">
        <f aca="false">N2663-O2663</f>
        <v>17377.9943323288</v>
      </c>
    </row>
    <row r="2664" customFormat="false" ht="15" hidden="false" customHeight="false" outlineLevel="0" collapsed="false">
      <c r="A2664" s="2" t="s">
        <v>119</v>
      </c>
      <c r="B2664" s="2" t="n">
        <v>11</v>
      </c>
      <c r="C2664" s="2" t="s">
        <v>101</v>
      </c>
      <c r="D2664" s="2" t="s">
        <v>42</v>
      </c>
      <c r="E2664" s="2" t="str">
        <f aca="false">INDEX(Products!$B$2:$B$13,MATCH(D2664,Products!$A$2:$A$13,0))</f>
        <v>Hydroprocessing</v>
      </c>
      <c r="F2664" s="15" t="n">
        <v>5.4</v>
      </c>
      <c r="G2664" s="16" t="n">
        <f aca="false">IF(A2664="2025",INDEX(Products!$C$2:$C$13,MATCH(D2664,Products!$A$2:$A$13,0)),INDEX(Products!$E$2:$E$13,MATCH(D2664,Products!$A$2:$A$13,0)))</f>
        <v>13072.5</v>
      </c>
      <c r="H2664" s="13" t="n">
        <f aca="false">IF(A2664="2025",INDEX(Customers!$D$2:$D$41,MATCH(C2664,Customers!$A$2:$A$41,0)),INDEX(Customers!$F$2:$F$41,MATCH(C2664,Customers!$A$2:$A$41,0)))</f>
        <v>0.067</v>
      </c>
      <c r="I2664" s="16" t="n">
        <f aca="false">F2664*G2664</f>
        <v>70591.5</v>
      </c>
      <c r="J2664" s="16" t="n">
        <f aca="false">I2664*(1-H2664)</f>
        <v>65861.8695</v>
      </c>
      <c r="K2664" s="16" t="n">
        <f aca="false">J2664*INDEX(Customers!$G$2:$G$41,MATCH(C2664,Customers!$A$2:$A$41,0))</f>
        <v>3293.093475</v>
      </c>
      <c r="L2664" s="16" t="n">
        <f aca="false">F2664*INDEX(Customers!$H$2:$H$41,MATCH(C2664,Customers!$A$2:$A$41,0))</f>
        <v>2106</v>
      </c>
      <c r="M2664" s="16" t="n">
        <f aca="false">J2664*INDEX(Customers!$I$2:$I$41,MATCH(C2664,Customers!$A$2:$A$41,0))/365*Assumptions!$B$6</f>
        <v>433.06434739726</v>
      </c>
      <c r="N2664" s="16" t="n">
        <f aca="false">J2664-K2664-L2664-M2664</f>
        <v>60029.7116776027</v>
      </c>
      <c r="O2664" s="16" t="n">
        <f aca="false">F2664*IF(A2664="2025",INDEX(Products!$D$2:$D$13,MATCH(D2664,Products!$A$2:$A$13,0)),INDEX(Products!$F$2:$F$13,MATCH(D2664,Products!$A$2:$A$13,0)))</f>
        <v>43272.36</v>
      </c>
      <c r="P2664" s="16" t="n">
        <f aca="false">N2664-O2664</f>
        <v>16757.3516776027</v>
      </c>
    </row>
    <row r="2665" customFormat="false" ht="15" hidden="false" customHeight="false" outlineLevel="0" collapsed="false">
      <c r="A2665" s="2" t="s">
        <v>119</v>
      </c>
      <c r="B2665" s="2" t="n">
        <v>12</v>
      </c>
      <c r="C2665" s="2" t="s">
        <v>101</v>
      </c>
      <c r="D2665" s="2" t="s">
        <v>42</v>
      </c>
      <c r="E2665" s="2" t="str">
        <f aca="false">INDEX(Products!$B$2:$B$13,MATCH(D2665,Products!$A$2:$A$13,0))</f>
        <v>Hydroprocessing</v>
      </c>
      <c r="F2665" s="15" t="n">
        <v>7.3</v>
      </c>
      <c r="G2665" s="16" t="n">
        <f aca="false">IF(A2665="2025",INDEX(Products!$C$2:$C$13,MATCH(D2665,Products!$A$2:$A$13,0)),INDEX(Products!$E$2:$E$13,MATCH(D2665,Products!$A$2:$A$13,0)))</f>
        <v>13072.5</v>
      </c>
      <c r="H2665" s="13" t="n">
        <f aca="false">IF(A2665="2025",INDEX(Customers!$D$2:$D$41,MATCH(C2665,Customers!$A$2:$A$41,0)),INDEX(Customers!$F$2:$F$41,MATCH(C2665,Customers!$A$2:$A$41,0)))</f>
        <v>0.067</v>
      </c>
      <c r="I2665" s="16" t="n">
        <f aca="false">F2665*G2665</f>
        <v>95429.25</v>
      </c>
      <c r="J2665" s="16" t="n">
        <f aca="false">I2665*(1-H2665)</f>
        <v>89035.49025</v>
      </c>
      <c r="K2665" s="16" t="n">
        <f aca="false">J2665*INDEX(Customers!$G$2:$G$41,MATCH(C2665,Customers!$A$2:$A$41,0))</f>
        <v>4451.7745125</v>
      </c>
      <c r="L2665" s="16" t="n">
        <f aca="false">F2665*INDEX(Customers!$H$2:$H$41,MATCH(C2665,Customers!$A$2:$A$41,0))</f>
        <v>2847</v>
      </c>
      <c r="M2665" s="16" t="n">
        <f aca="false">J2665*INDEX(Customers!$I$2:$I$41,MATCH(C2665,Customers!$A$2:$A$41,0))/365*Assumptions!$B$6</f>
        <v>585.43884</v>
      </c>
      <c r="N2665" s="16" t="n">
        <f aca="false">J2665-K2665-L2665-M2665</f>
        <v>81151.2768975</v>
      </c>
      <c r="O2665" s="16" t="n">
        <f aca="false">F2665*IF(A2665="2025",INDEX(Products!$D$2:$D$13,MATCH(D2665,Products!$A$2:$A$13,0)),INDEX(Products!$F$2:$F$13,MATCH(D2665,Products!$A$2:$A$13,0)))</f>
        <v>58497.82</v>
      </c>
      <c r="P2665" s="16" t="n">
        <f aca="false">N2665-O2665</f>
        <v>22653.4568975</v>
      </c>
    </row>
    <row r="2666" customFormat="false" ht="15" hidden="false" customHeight="false" outlineLevel="0" collapsed="false">
      <c r="A2666" s="2" t="s">
        <v>118</v>
      </c>
      <c r="B2666" s="2" t="n">
        <v>1</v>
      </c>
      <c r="C2666" s="2" t="s">
        <v>101</v>
      </c>
      <c r="D2666" s="2" t="s">
        <v>36</v>
      </c>
      <c r="E2666" s="2" t="str">
        <f aca="false">INDEX(Products!$B$2:$B$13,MATCH(D2666,Products!$A$2:$A$13,0))</f>
        <v>FCC</v>
      </c>
      <c r="F2666" s="15" t="n">
        <v>14</v>
      </c>
      <c r="G2666" s="16" t="n">
        <f aca="false">IF(A2666="2025",INDEX(Products!$C$2:$C$13,MATCH(D2666,Products!$A$2:$A$13,0)),INDEX(Products!$E$2:$E$13,MATCH(D2666,Products!$A$2:$A$13,0)))</f>
        <v>3700</v>
      </c>
      <c r="H2666" s="13" t="n">
        <f aca="false">IF(A2666="2025",INDEX(Customers!$D$2:$D$41,MATCH(C2666,Customers!$A$2:$A$41,0)),INDEX(Customers!$F$2:$F$41,MATCH(C2666,Customers!$A$2:$A$41,0)))</f>
        <v>0.067</v>
      </c>
      <c r="I2666" s="16" t="n">
        <f aca="false">F2666*G2666</f>
        <v>51800</v>
      </c>
      <c r="J2666" s="16" t="n">
        <f aca="false">I2666*(1-H2666)</f>
        <v>48329.4</v>
      </c>
      <c r="K2666" s="16" t="n">
        <f aca="false">J2666*INDEX(Customers!$G$2:$G$41,MATCH(C2666,Customers!$A$2:$A$41,0))</f>
        <v>2416.47</v>
      </c>
      <c r="L2666" s="16" t="n">
        <f aca="false">F2666*INDEX(Customers!$H$2:$H$41,MATCH(C2666,Customers!$A$2:$A$41,0))</f>
        <v>5460</v>
      </c>
      <c r="M2666" s="16" t="n">
        <f aca="false">J2666*INDEX(Customers!$I$2:$I$41,MATCH(C2666,Customers!$A$2:$A$41,0))/365*Assumptions!$B$6</f>
        <v>317.782356164384</v>
      </c>
      <c r="N2666" s="16" t="n">
        <f aca="false">J2666-K2666-L2666-M2666</f>
        <v>40135.1476438356</v>
      </c>
      <c r="O2666" s="16" t="n">
        <f aca="false">F2666*IF(A2666="2025",INDEX(Products!$D$2:$D$13,MATCH(D2666,Products!$A$2:$A$13,0)),INDEX(Products!$F$2:$F$13,MATCH(D2666,Products!$A$2:$A$13,0)))</f>
        <v>33600</v>
      </c>
      <c r="P2666" s="16" t="n">
        <f aca="false">N2666-O2666</f>
        <v>6535.14764383562</v>
      </c>
    </row>
    <row r="2667" customFormat="false" ht="15" hidden="false" customHeight="false" outlineLevel="0" collapsed="false">
      <c r="A2667" s="2" t="s">
        <v>118</v>
      </c>
      <c r="B2667" s="2" t="n">
        <v>2</v>
      </c>
      <c r="C2667" s="2" t="s">
        <v>101</v>
      </c>
      <c r="D2667" s="2" t="s">
        <v>36</v>
      </c>
      <c r="E2667" s="2" t="str">
        <f aca="false">INDEX(Products!$B$2:$B$13,MATCH(D2667,Products!$A$2:$A$13,0))</f>
        <v>FCC</v>
      </c>
      <c r="F2667" s="15" t="n">
        <v>17.3</v>
      </c>
      <c r="G2667" s="16" t="n">
        <f aca="false">IF(A2667="2025",INDEX(Products!$C$2:$C$13,MATCH(D2667,Products!$A$2:$A$13,0)),INDEX(Products!$E$2:$E$13,MATCH(D2667,Products!$A$2:$A$13,0)))</f>
        <v>3700</v>
      </c>
      <c r="H2667" s="13" t="n">
        <f aca="false">IF(A2667="2025",INDEX(Customers!$D$2:$D$41,MATCH(C2667,Customers!$A$2:$A$41,0)),INDEX(Customers!$F$2:$F$41,MATCH(C2667,Customers!$A$2:$A$41,0)))</f>
        <v>0.067</v>
      </c>
      <c r="I2667" s="16" t="n">
        <f aca="false">F2667*G2667</f>
        <v>64010</v>
      </c>
      <c r="J2667" s="16" t="n">
        <f aca="false">I2667*(1-H2667)</f>
        <v>59721.33</v>
      </c>
      <c r="K2667" s="16" t="n">
        <f aca="false">J2667*INDEX(Customers!$G$2:$G$41,MATCH(C2667,Customers!$A$2:$A$41,0))</f>
        <v>2986.0665</v>
      </c>
      <c r="L2667" s="16" t="n">
        <f aca="false">F2667*INDEX(Customers!$H$2:$H$41,MATCH(C2667,Customers!$A$2:$A$41,0))</f>
        <v>6747</v>
      </c>
      <c r="M2667" s="16" t="n">
        <f aca="false">J2667*INDEX(Customers!$I$2:$I$41,MATCH(C2667,Customers!$A$2:$A$41,0))/365*Assumptions!$B$6</f>
        <v>392.688197260274</v>
      </c>
      <c r="N2667" s="16" t="n">
        <f aca="false">J2667-K2667-L2667-M2667</f>
        <v>49595.5753027397</v>
      </c>
      <c r="O2667" s="16" t="n">
        <f aca="false">F2667*IF(A2667="2025",INDEX(Products!$D$2:$D$13,MATCH(D2667,Products!$A$2:$A$13,0)),INDEX(Products!$F$2:$F$13,MATCH(D2667,Products!$A$2:$A$13,0)))</f>
        <v>41520</v>
      </c>
      <c r="P2667" s="16" t="n">
        <f aca="false">N2667-O2667</f>
        <v>8075.57530273973</v>
      </c>
    </row>
    <row r="2668" customFormat="false" ht="15" hidden="false" customHeight="false" outlineLevel="0" collapsed="false">
      <c r="A2668" s="2" t="s">
        <v>118</v>
      </c>
      <c r="B2668" s="2" t="n">
        <v>3</v>
      </c>
      <c r="C2668" s="2" t="s">
        <v>101</v>
      </c>
      <c r="D2668" s="2" t="s">
        <v>36</v>
      </c>
      <c r="E2668" s="2" t="str">
        <f aca="false">INDEX(Products!$B$2:$B$13,MATCH(D2668,Products!$A$2:$A$13,0))</f>
        <v>FCC</v>
      </c>
      <c r="F2668" s="15" t="n">
        <v>14.7</v>
      </c>
      <c r="G2668" s="16" t="n">
        <f aca="false">IF(A2668="2025",INDEX(Products!$C$2:$C$13,MATCH(D2668,Products!$A$2:$A$13,0)),INDEX(Products!$E$2:$E$13,MATCH(D2668,Products!$A$2:$A$13,0)))</f>
        <v>3700</v>
      </c>
      <c r="H2668" s="13" t="n">
        <f aca="false">IF(A2668="2025",INDEX(Customers!$D$2:$D$41,MATCH(C2668,Customers!$A$2:$A$41,0)),INDEX(Customers!$F$2:$F$41,MATCH(C2668,Customers!$A$2:$A$41,0)))</f>
        <v>0.067</v>
      </c>
      <c r="I2668" s="16" t="n">
        <f aca="false">F2668*G2668</f>
        <v>54390</v>
      </c>
      <c r="J2668" s="16" t="n">
        <f aca="false">I2668*(1-H2668)</f>
        <v>50745.87</v>
      </c>
      <c r="K2668" s="16" t="n">
        <f aca="false">J2668*INDEX(Customers!$G$2:$G$41,MATCH(C2668,Customers!$A$2:$A$41,0))</f>
        <v>2537.2935</v>
      </c>
      <c r="L2668" s="16" t="n">
        <f aca="false">F2668*INDEX(Customers!$H$2:$H$41,MATCH(C2668,Customers!$A$2:$A$41,0))</f>
        <v>5733</v>
      </c>
      <c r="M2668" s="16" t="n">
        <f aca="false">J2668*INDEX(Customers!$I$2:$I$41,MATCH(C2668,Customers!$A$2:$A$41,0))/365*Assumptions!$B$6</f>
        <v>333.671473972603</v>
      </c>
      <c r="N2668" s="16" t="n">
        <f aca="false">J2668-K2668-L2668-M2668</f>
        <v>42141.9050260274</v>
      </c>
      <c r="O2668" s="16" t="n">
        <f aca="false">F2668*IF(A2668="2025",INDEX(Products!$D$2:$D$13,MATCH(D2668,Products!$A$2:$A$13,0)),INDEX(Products!$F$2:$F$13,MATCH(D2668,Products!$A$2:$A$13,0)))</f>
        <v>35280</v>
      </c>
      <c r="P2668" s="16" t="n">
        <f aca="false">N2668-O2668</f>
        <v>6861.9050260274</v>
      </c>
    </row>
    <row r="2669" customFormat="false" ht="15" hidden="false" customHeight="false" outlineLevel="0" collapsed="false">
      <c r="A2669" s="2" t="s">
        <v>118</v>
      </c>
      <c r="B2669" s="2" t="n">
        <v>4</v>
      </c>
      <c r="C2669" s="2" t="s">
        <v>101</v>
      </c>
      <c r="D2669" s="2" t="s">
        <v>36</v>
      </c>
      <c r="E2669" s="2" t="str">
        <f aca="false">INDEX(Products!$B$2:$B$13,MATCH(D2669,Products!$A$2:$A$13,0))</f>
        <v>FCC</v>
      </c>
      <c r="F2669" s="15" t="n">
        <v>17.2</v>
      </c>
      <c r="G2669" s="16" t="n">
        <f aca="false">IF(A2669="2025",INDEX(Products!$C$2:$C$13,MATCH(D2669,Products!$A$2:$A$13,0)),INDEX(Products!$E$2:$E$13,MATCH(D2669,Products!$A$2:$A$13,0)))</f>
        <v>3700</v>
      </c>
      <c r="H2669" s="13" t="n">
        <f aca="false">IF(A2669="2025",INDEX(Customers!$D$2:$D$41,MATCH(C2669,Customers!$A$2:$A$41,0)),INDEX(Customers!$F$2:$F$41,MATCH(C2669,Customers!$A$2:$A$41,0)))</f>
        <v>0.067</v>
      </c>
      <c r="I2669" s="16" t="n">
        <f aca="false">F2669*G2669</f>
        <v>63640</v>
      </c>
      <c r="J2669" s="16" t="n">
        <f aca="false">I2669*(1-H2669)</f>
        <v>59376.12</v>
      </c>
      <c r="K2669" s="16" t="n">
        <f aca="false">J2669*INDEX(Customers!$G$2:$G$41,MATCH(C2669,Customers!$A$2:$A$41,0))</f>
        <v>2968.806</v>
      </c>
      <c r="L2669" s="16" t="n">
        <f aca="false">F2669*INDEX(Customers!$H$2:$H$41,MATCH(C2669,Customers!$A$2:$A$41,0))</f>
        <v>6708</v>
      </c>
      <c r="M2669" s="16" t="n">
        <f aca="false">J2669*INDEX(Customers!$I$2:$I$41,MATCH(C2669,Customers!$A$2:$A$41,0))/365*Assumptions!$B$6</f>
        <v>390.418323287671</v>
      </c>
      <c r="N2669" s="16" t="n">
        <f aca="false">J2669-K2669-L2669-M2669</f>
        <v>49308.8956767123</v>
      </c>
      <c r="O2669" s="16" t="n">
        <f aca="false">F2669*IF(A2669="2025",INDEX(Products!$D$2:$D$13,MATCH(D2669,Products!$A$2:$A$13,0)),INDEX(Products!$F$2:$F$13,MATCH(D2669,Products!$A$2:$A$13,0)))</f>
        <v>41280</v>
      </c>
      <c r="P2669" s="16" t="n">
        <f aca="false">N2669-O2669</f>
        <v>8028.89567671233</v>
      </c>
    </row>
    <row r="2670" customFormat="false" ht="15" hidden="false" customHeight="false" outlineLevel="0" collapsed="false">
      <c r="A2670" s="2" t="s">
        <v>118</v>
      </c>
      <c r="B2670" s="2" t="n">
        <v>5</v>
      </c>
      <c r="C2670" s="2" t="s">
        <v>101</v>
      </c>
      <c r="D2670" s="2" t="s">
        <v>36</v>
      </c>
      <c r="E2670" s="2" t="str">
        <f aca="false">INDEX(Products!$B$2:$B$13,MATCH(D2670,Products!$A$2:$A$13,0))</f>
        <v>FCC</v>
      </c>
      <c r="F2670" s="15" t="n">
        <v>13.7</v>
      </c>
      <c r="G2670" s="16" t="n">
        <f aca="false">IF(A2670="2025",INDEX(Products!$C$2:$C$13,MATCH(D2670,Products!$A$2:$A$13,0)),INDEX(Products!$E$2:$E$13,MATCH(D2670,Products!$A$2:$A$13,0)))</f>
        <v>3700</v>
      </c>
      <c r="H2670" s="13" t="n">
        <f aca="false">IF(A2670="2025",INDEX(Customers!$D$2:$D$41,MATCH(C2670,Customers!$A$2:$A$41,0)),INDEX(Customers!$F$2:$F$41,MATCH(C2670,Customers!$A$2:$A$41,0)))</f>
        <v>0.067</v>
      </c>
      <c r="I2670" s="16" t="n">
        <f aca="false">F2670*G2670</f>
        <v>50690</v>
      </c>
      <c r="J2670" s="16" t="n">
        <f aca="false">I2670*(1-H2670)</f>
        <v>47293.77</v>
      </c>
      <c r="K2670" s="16" t="n">
        <f aca="false">J2670*INDEX(Customers!$G$2:$G$41,MATCH(C2670,Customers!$A$2:$A$41,0))</f>
        <v>2364.6885</v>
      </c>
      <c r="L2670" s="16" t="n">
        <f aca="false">F2670*INDEX(Customers!$H$2:$H$41,MATCH(C2670,Customers!$A$2:$A$41,0))</f>
        <v>5343</v>
      </c>
      <c r="M2670" s="16" t="n">
        <f aca="false">J2670*INDEX(Customers!$I$2:$I$41,MATCH(C2670,Customers!$A$2:$A$41,0))/365*Assumptions!$B$6</f>
        <v>310.972734246575</v>
      </c>
      <c r="N2670" s="16" t="n">
        <f aca="false">J2670-K2670-L2670-M2670</f>
        <v>39275.1087657534</v>
      </c>
      <c r="O2670" s="16" t="n">
        <f aca="false">F2670*IF(A2670="2025",INDEX(Products!$D$2:$D$13,MATCH(D2670,Products!$A$2:$A$13,0)),INDEX(Products!$F$2:$F$13,MATCH(D2670,Products!$A$2:$A$13,0)))</f>
        <v>32880</v>
      </c>
      <c r="P2670" s="16" t="n">
        <f aca="false">N2670-O2670</f>
        <v>6395.10876575342</v>
      </c>
    </row>
    <row r="2671" customFormat="false" ht="15" hidden="false" customHeight="false" outlineLevel="0" collapsed="false">
      <c r="A2671" s="2" t="s">
        <v>118</v>
      </c>
      <c r="B2671" s="2" t="n">
        <v>6</v>
      </c>
      <c r="C2671" s="2" t="s">
        <v>101</v>
      </c>
      <c r="D2671" s="2" t="s">
        <v>36</v>
      </c>
      <c r="E2671" s="2" t="str">
        <f aca="false">INDEX(Products!$B$2:$B$13,MATCH(D2671,Products!$A$2:$A$13,0))</f>
        <v>FCC</v>
      </c>
      <c r="F2671" s="15" t="n">
        <v>14</v>
      </c>
      <c r="G2671" s="16" t="n">
        <f aca="false">IF(A2671="2025",INDEX(Products!$C$2:$C$13,MATCH(D2671,Products!$A$2:$A$13,0)),INDEX(Products!$E$2:$E$13,MATCH(D2671,Products!$A$2:$A$13,0)))</f>
        <v>3700</v>
      </c>
      <c r="H2671" s="13" t="n">
        <f aca="false">IF(A2671="2025",INDEX(Customers!$D$2:$D$41,MATCH(C2671,Customers!$A$2:$A$41,0)),INDEX(Customers!$F$2:$F$41,MATCH(C2671,Customers!$A$2:$A$41,0)))</f>
        <v>0.067</v>
      </c>
      <c r="I2671" s="16" t="n">
        <f aca="false">F2671*G2671</f>
        <v>51800</v>
      </c>
      <c r="J2671" s="16" t="n">
        <f aca="false">I2671*(1-H2671)</f>
        <v>48329.4</v>
      </c>
      <c r="K2671" s="16" t="n">
        <f aca="false">J2671*INDEX(Customers!$G$2:$G$41,MATCH(C2671,Customers!$A$2:$A$41,0))</f>
        <v>2416.47</v>
      </c>
      <c r="L2671" s="16" t="n">
        <f aca="false">F2671*INDEX(Customers!$H$2:$H$41,MATCH(C2671,Customers!$A$2:$A$41,0))</f>
        <v>5460</v>
      </c>
      <c r="M2671" s="16" t="n">
        <f aca="false">J2671*INDEX(Customers!$I$2:$I$41,MATCH(C2671,Customers!$A$2:$A$41,0))/365*Assumptions!$B$6</f>
        <v>317.782356164384</v>
      </c>
      <c r="N2671" s="16" t="n">
        <f aca="false">J2671-K2671-L2671-M2671</f>
        <v>40135.1476438356</v>
      </c>
      <c r="O2671" s="16" t="n">
        <f aca="false">F2671*IF(A2671="2025",INDEX(Products!$D$2:$D$13,MATCH(D2671,Products!$A$2:$A$13,0)),INDEX(Products!$F$2:$F$13,MATCH(D2671,Products!$A$2:$A$13,0)))</f>
        <v>33600</v>
      </c>
      <c r="P2671" s="16" t="n">
        <f aca="false">N2671-O2671</f>
        <v>6535.14764383562</v>
      </c>
    </row>
    <row r="2672" customFormat="false" ht="15" hidden="false" customHeight="false" outlineLevel="0" collapsed="false">
      <c r="A2672" s="2" t="s">
        <v>118</v>
      </c>
      <c r="B2672" s="2" t="n">
        <v>7</v>
      </c>
      <c r="C2672" s="2" t="s">
        <v>101</v>
      </c>
      <c r="D2672" s="2" t="s">
        <v>36</v>
      </c>
      <c r="E2672" s="2" t="str">
        <f aca="false">INDEX(Products!$B$2:$B$13,MATCH(D2672,Products!$A$2:$A$13,0))</f>
        <v>FCC</v>
      </c>
      <c r="F2672" s="15" t="n">
        <v>17.4</v>
      </c>
      <c r="G2672" s="16" t="n">
        <f aca="false">IF(A2672="2025",INDEX(Products!$C$2:$C$13,MATCH(D2672,Products!$A$2:$A$13,0)),INDEX(Products!$E$2:$E$13,MATCH(D2672,Products!$A$2:$A$13,0)))</f>
        <v>3700</v>
      </c>
      <c r="H2672" s="13" t="n">
        <f aca="false">IF(A2672="2025",INDEX(Customers!$D$2:$D$41,MATCH(C2672,Customers!$A$2:$A$41,0)),INDEX(Customers!$F$2:$F$41,MATCH(C2672,Customers!$A$2:$A$41,0)))</f>
        <v>0.067</v>
      </c>
      <c r="I2672" s="16" t="n">
        <f aca="false">F2672*G2672</f>
        <v>64380</v>
      </c>
      <c r="J2672" s="16" t="n">
        <f aca="false">I2672*(1-H2672)</f>
        <v>60066.54</v>
      </c>
      <c r="K2672" s="16" t="n">
        <f aca="false">J2672*INDEX(Customers!$G$2:$G$41,MATCH(C2672,Customers!$A$2:$A$41,0))</f>
        <v>3003.327</v>
      </c>
      <c r="L2672" s="16" t="n">
        <f aca="false">F2672*INDEX(Customers!$H$2:$H$41,MATCH(C2672,Customers!$A$2:$A$41,0))</f>
        <v>6786</v>
      </c>
      <c r="M2672" s="16" t="n">
        <f aca="false">J2672*INDEX(Customers!$I$2:$I$41,MATCH(C2672,Customers!$A$2:$A$41,0))/365*Assumptions!$B$6</f>
        <v>394.958071232877</v>
      </c>
      <c r="N2672" s="16" t="n">
        <f aca="false">J2672-K2672-L2672-M2672</f>
        <v>49882.2549287671</v>
      </c>
      <c r="O2672" s="16" t="n">
        <f aca="false">F2672*IF(A2672="2025",INDEX(Products!$D$2:$D$13,MATCH(D2672,Products!$A$2:$A$13,0)),INDEX(Products!$F$2:$F$13,MATCH(D2672,Products!$A$2:$A$13,0)))</f>
        <v>41760</v>
      </c>
      <c r="P2672" s="16" t="n">
        <f aca="false">N2672-O2672</f>
        <v>8122.25492876712</v>
      </c>
    </row>
    <row r="2673" customFormat="false" ht="15" hidden="false" customHeight="false" outlineLevel="0" collapsed="false">
      <c r="A2673" s="2" t="s">
        <v>118</v>
      </c>
      <c r="B2673" s="2" t="n">
        <v>8</v>
      </c>
      <c r="C2673" s="2" t="s">
        <v>101</v>
      </c>
      <c r="D2673" s="2" t="s">
        <v>36</v>
      </c>
      <c r="E2673" s="2" t="str">
        <f aca="false">INDEX(Products!$B$2:$B$13,MATCH(D2673,Products!$A$2:$A$13,0))</f>
        <v>FCC</v>
      </c>
      <c r="F2673" s="15" t="n">
        <v>16.4</v>
      </c>
      <c r="G2673" s="16" t="n">
        <f aca="false">IF(A2673="2025",INDEX(Products!$C$2:$C$13,MATCH(D2673,Products!$A$2:$A$13,0)),INDEX(Products!$E$2:$E$13,MATCH(D2673,Products!$A$2:$A$13,0)))</f>
        <v>3700</v>
      </c>
      <c r="H2673" s="13" t="n">
        <f aca="false">IF(A2673="2025",INDEX(Customers!$D$2:$D$41,MATCH(C2673,Customers!$A$2:$A$41,0)),INDEX(Customers!$F$2:$F$41,MATCH(C2673,Customers!$A$2:$A$41,0)))</f>
        <v>0.067</v>
      </c>
      <c r="I2673" s="16" t="n">
        <f aca="false">F2673*G2673</f>
        <v>60680</v>
      </c>
      <c r="J2673" s="16" t="n">
        <f aca="false">I2673*(1-H2673)</f>
        <v>56614.44</v>
      </c>
      <c r="K2673" s="16" t="n">
        <f aca="false">J2673*INDEX(Customers!$G$2:$G$41,MATCH(C2673,Customers!$A$2:$A$41,0))</f>
        <v>2830.722</v>
      </c>
      <c r="L2673" s="16" t="n">
        <f aca="false">F2673*INDEX(Customers!$H$2:$H$41,MATCH(C2673,Customers!$A$2:$A$41,0))</f>
        <v>6396</v>
      </c>
      <c r="M2673" s="16" t="n">
        <f aca="false">J2673*INDEX(Customers!$I$2:$I$41,MATCH(C2673,Customers!$A$2:$A$41,0))/365*Assumptions!$B$6</f>
        <v>372.259331506849</v>
      </c>
      <c r="N2673" s="16" t="n">
        <f aca="false">J2673-K2673-L2673-M2673</f>
        <v>47015.4586684931</v>
      </c>
      <c r="O2673" s="16" t="n">
        <f aca="false">F2673*IF(A2673="2025",INDEX(Products!$D$2:$D$13,MATCH(D2673,Products!$A$2:$A$13,0)),INDEX(Products!$F$2:$F$13,MATCH(D2673,Products!$A$2:$A$13,0)))</f>
        <v>39360</v>
      </c>
      <c r="P2673" s="16" t="n">
        <f aca="false">N2673-O2673</f>
        <v>7655.45866849314</v>
      </c>
    </row>
    <row r="2674" customFormat="false" ht="15" hidden="false" customHeight="false" outlineLevel="0" collapsed="false">
      <c r="A2674" s="2" t="s">
        <v>118</v>
      </c>
      <c r="B2674" s="2" t="n">
        <v>9</v>
      </c>
      <c r="C2674" s="2" t="s">
        <v>101</v>
      </c>
      <c r="D2674" s="2" t="s">
        <v>36</v>
      </c>
      <c r="E2674" s="2" t="str">
        <f aca="false">INDEX(Products!$B$2:$B$13,MATCH(D2674,Products!$A$2:$A$13,0))</f>
        <v>FCC</v>
      </c>
      <c r="F2674" s="15" t="n">
        <v>11.8</v>
      </c>
      <c r="G2674" s="16" t="n">
        <f aca="false">IF(A2674="2025",INDEX(Products!$C$2:$C$13,MATCH(D2674,Products!$A$2:$A$13,0)),INDEX(Products!$E$2:$E$13,MATCH(D2674,Products!$A$2:$A$13,0)))</f>
        <v>3700</v>
      </c>
      <c r="H2674" s="13" t="n">
        <f aca="false">IF(A2674="2025",INDEX(Customers!$D$2:$D$41,MATCH(C2674,Customers!$A$2:$A$41,0)),INDEX(Customers!$F$2:$F$41,MATCH(C2674,Customers!$A$2:$A$41,0)))</f>
        <v>0.067</v>
      </c>
      <c r="I2674" s="16" t="n">
        <f aca="false">F2674*G2674</f>
        <v>43660</v>
      </c>
      <c r="J2674" s="16" t="n">
        <f aca="false">I2674*(1-H2674)</f>
        <v>40734.78</v>
      </c>
      <c r="K2674" s="16" t="n">
        <f aca="false">J2674*INDEX(Customers!$G$2:$G$41,MATCH(C2674,Customers!$A$2:$A$41,0))</f>
        <v>2036.739</v>
      </c>
      <c r="L2674" s="16" t="n">
        <f aca="false">F2674*INDEX(Customers!$H$2:$H$41,MATCH(C2674,Customers!$A$2:$A$41,0))</f>
        <v>4602</v>
      </c>
      <c r="M2674" s="16" t="n">
        <f aca="false">J2674*INDEX(Customers!$I$2:$I$41,MATCH(C2674,Customers!$A$2:$A$41,0))/365*Assumptions!$B$6</f>
        <v>267.845128767123</v>
      </c>
      <c r="N2674" s="16" t="n">
        <f aca="false">J2674-K2674-L2674-M2674</f>
        <v>33828.1958712329</v>
      </c>
      <c r="O2674" s="16" t="n">
        <f aca="false">F2674*IF(A2674="2025",INDEX(Products!$D$2:$D$13,MATCH(D2674,Products!$A$2:$A$13,0)),INDEX(Products!$F$2:$F$13,MATCH(D2674,Products!$A$2:$A$13,0)))</f>
        <v>28320</v>
      </c>
      <c r="P2674" s="16" t="n">
        <f aca="false">N2674-O2674</f>
        <v>5508.19587123287</v>
      </c>
    </row>
    <row r="2675" customFormat="false" ht="15" hidden="false" customHeight="false" outlineLevel="0" collapsed="false">
      <c r="A2675" s="2" t="s">
        <v>118</v>
      </c>
      <c r="B2675" s="2" t="n">
        <v>10</v>
      </c>
      <c r="C2675" s="2" t="s">
        <v>101</v>
      </c>
      <c r="D2675" s="2" t="s">
        <v>36</v>
      </c>
      <c r="E2675" s="2" t="str">
        <f aca="false">INDEX(Products!$B$2:$B$13,MATCH(D2675,Products!$A$2:$A$13,0))</f>
        <v>FCC</v>
      </c>
      <c r="F2675" s="15" t="n">
        <v>12.5</v>
      </c>
      <c r="G2675" s="16" t="n">
        <f aca="false">IF(A2675="2025",INDEX(Products!$C$2:$C$13,MATCH(D2675,Products!$A$2:$A$13,0)),INDEX(Products!$E$2:$E$13,MATCH(D2675,Products!$A$2:$A$13,0)))</f>
        <v>3700</v>
      </c>
      <c r="H2675" s="13" t="n">
        <f aca="false">IF(A2675="2025",INDEX(Customers!$D$2:$D$41,MATCH(C2675,Customers!$A$2:$A$41,0)),INDEX(Customers!$F$2:$F$41,MATCH(C2675,Customers!$A$2:$A$41,0)))</f>
        <v>0.067</v>
      </c>
      <c r="I2675" s="16" t="n">
        <f aca="false">F2675*G2675</f>
        <v>46250</v>
      </c>
      <c r="J2675" s="16" t="n">
        <f aca="false">I2675*(1-H2675)</f>
        <v>43151.25</v>
      </c>
      <c r="K2675" s="16" t="n">
        <f aca="false">J2675*INDEX(Customers!$G$2:$G$41,MATCH(C2675,Customers!$A$2:$A$41,0))</f>
        <v>2157.5625</v>
      </c>
      <c r="L2675" s="16" t="n">
        <f aca="false">F2675*INDEX(Customers!$H$2:$H$41,MATCH(C2675,Customers!$A$2:$A$41,0))</f>
        <v>4875</v>
      </c>
      <c r="M2675" s="16" t="n">
        <f aca="false">J2675*INDEX(Customers!$I$2:$I$41,MATCH(C2675,Customers!$A$2:$A$41,0))/365*Assumptions!$B$6</f>
        <v>283.734246575342</v>
      </c>
      <c r="N2675" s="16" t="n">
        <f aca="false">J2675-K2675-L2675-M2675</f>
        <v>35834.9532534247</v>
      </c>
      <c r="O2675" s="16" t="n">
        <f aca="false">F2675*IF(A2675="2025",INDEX(Products!$D$2:$D$13,MATCH(D2675,Products!$A$2:$A$13,0)),INDEX(Products!$F$2:$F$13,MATCH(D2675,Products!$A$2:$A$13,0)))</f>
        <v>30000</v>
      </c>
      <c r="P2675" s="16" t="n">
        <f aca="false">N2675-O2675</f>
        <v>5834.95325342466</v>
      </c>
    </row>
    <row r="2676" customFormat="false" ht="15" hidden="false" customHeight="false" outlineLevel="0" collapsed="false">
      <c r="A2676" s="2" t="s">
        <v>118</v>
      </c>
      <c r="B2676" s="2" t="n">
        <v>11</v>
      </c>
      <c r="C2676" s="2" t="s">
        <v>101</v>
      </c>
      <c r="D2676" s="2" t="s">
        <v>36</v>
      </c>
      <c r="E2676" s="2" t="str">
        <f aca="false">INDEX(Products!$B$2:$B$13,MATCH(D2676,Products!$A$2:$A$13,0))</f>
        <v>FCC</v>
      </c>
      <c r="F2676" s="15" t="n">
        <v>15.6</v>
      </c>
      <c r="G2676" s="16" t="n">
        <f aca="false">IF(A2676="2025",INDEX(Products!$C$2:$C$13,MATCH(D2676,Products!$A$2:$A$13,0)),INDEX(Products!$E$2:$E$13,MATCH(D2676,Products!$A$2:$A$13,0)))</f>
        <v>3700</v>
      </c>
      <c r="H2676" s="13" t="n">
        <f aca="false">IF(A2676="2025",INDEX(Customers!$D$2:$D$41,MATCH(C2676,Customers!$A$2:$A$41,0)),INDEX(Customers!$F$2:$F$41,MATCH(C2676,Customers!$A$2:$A$41,0)))</f>
        <v>0.067</v>
      </c>
      <c r="I2676" s="16" t="n">
        <f aca="false">F2676*G2676</f>
        <v>57720</v>
      </c>
      <c r="J2676" s="16" t="n">
        <f aca="false">I2676*(1-H2676)</f>
        <v>53852.76</v>
      </c>
      <c r="K2676" s="16" t="n">
        <f aca="false">J2676*INDEX(Customers!$G$2:$G$41,MATCH(C2676,Customers!$A$2:$A$41,0))</f>
        <v>2692.638</v>
      </c>
      <c r="L2676" s="16" t="n">
        <f aca="false">F2676*INDEX(Customers!$H$2:$H$41,MATCH(C2676,Customers!$A$2:$A$41,0))</f>
        <v>6084</v>
      </c>
      <c r="M2676" s="16" t="n">
        <f aca="false">J2676*INDEX(Customers!$I$2:$I$41,MATCH(C2676,Customers!$A$2:$A$41,0))/365*Assumptions!$B$6</f>
        <v>354.100339726027</v>
      </c>
      <c r="N2676" s="16" t="n">
        <f aca="false">J2676-K2676-L2676-M2676</f>
        <v>44722.021660274</v>
      </c>
      <c r="O2676" s="16" t="n">
        <f aca="false">F2676*IF(A2676="2025",INDEX(Products!$D$2:$D$13,MATCH(D2676,Products!$A$2:$A$13,0)),INDEX(Products!$F$2:$F$13,MATCH(D2676,Products!$A$2:$A$13,0)))</f>
        <v>37440</v>
      </c>
      <c r="P2676" s="16" t="n">
        <f aca="false">N2676-O2676</f>
        <v>7282.02166027398</v>
      </c>
    </row>
    <row r="2677" customFormat="false" ht="15" hidden="false" customHeight="false" outlineLevel="0" collapsed="false">
      <c r="A2677" s="2" t="s">
        <v>118</v>
      </c>
      <c r="B2677" s="2" t="n">
        <v>12</v>
      </c>
      <c r="C2677" s="2" t="s">
        <v>101</v>
      </c>
      <c r="D2677" s="2" t="s">
        <v>36</v>
      </c>
      <c r="E2677" s="2" t="str">
        <f aca="false">INDEX(Products!$B$2:$B$13,MATCH(D2677,Products!$A$2:$A$13,0))</f>
        <v>FCC</v>
      </c>
      <c r="F2677" s="15" t="n">
        <v>13.7</v>
      </c>
      <c r="G2677" s="16" t="n">
        <f aca="false">IF(A2677="2025",INDEX(Products!$C$2:$C$13,MATCH(D2677,Products!$A$2:$A$13,0)),INDEX(Products!$E$2:$E$13,MATCH(D2677,Products!$A$2:$A$13,0)))</f>
        <v>3700</v>
      </c>
      <c r="H2677" s="13" t="n">
        <f aca="false">IF(A2677="2025",INDEX(Customers!$D$2:$D$41,MATCH(C2677,Customers!$A$2:$A$41,0)),INDEX(Customers!$F$2:$F$41,MATCH(C2677,Customers!$A$2:$A$41,0)))</f>
        <v>0.067</v>
      </c>
      <c r="I2677" s="16" t="n">
        <f aca="false">F2677*G2677</f>
        <v>50690</v>
      </c>
      <c r="J2677" s="16" t="n">
        <f aca="false">I2677*(1-H2677)</f>
        <v>47293.77</v>
      </c>
      <c r="K2677" s="16" t="n">
        <f aca="false">J2677*INDEX(Customers!$G$2:$G$41,MATCH(C2677,Customers!$A$2:$A$41,0))</f>
        <v>2364.6885</v>
      </c>
      <c r="L2677" s="16" t="n">
        <f aca="false">F2677*INDEX(Customers!$H$2:$H$41,MATCH(C2677,Customers!$A$2:$A$41,0))</f>
        <v>5343</v>
      </c>
      <c r="M2677" s="16" t="n">
        <f aca="false">J2677*INDEX(Customers!$I$2:$I$41,MATCH(C2677,Customers!$A$2:$A$41,0))/365*Assumptions!$B$6</f>
        <v>310.972734246575</v>
      </c>
      <c r="N2677" s="16" t="n">
        <f aca="false">J2677-K2677-L2677-M2677</f>
        <v>39275.1087657534</v>
      </c>
      <c r="O2677" s="16" t="n">
        <f aca="false">F2677*IF(A2677="2025",INDEX(Products!$D$2:$D$13,MATCH(D2677,Products!$A$2:$A$13,0)),INDEX(Products!$F$2:$F$13,MATCH(D2677,Products!$A$2:$A$13,0)))</f>
        <v>32880</v>
      </c>
      <c r="P2677" s="16" t="n">
        <f aca="false">N2677-O2677</f>
        <v>6395.10876575342</v>
      </c>
    </row>
    <row r="2678" customFormat="false" ht="15" hidden="false" customHeight="false" outlineLevel="0" collapsed="false">
      <c r="A2678" s="2" t="s">
        <v>119</v>
      </c>
      <c r="B2678" s="2" t="n">
        <v>1</v>
      </c>
      <c r="C2678" s="2" t="s">
        <v>101</v>
      </c>
      <c r="D2678" s="2" t="s">
        <v>36</v>
      </c>
      <c r="E2678" s="2" t="str">
        <f aca="false">INDEX(Products!$B$2:$B$13,MATCH(D2678,Products!$A$2:$A$13,0))</f>
        <v>FCC</v>
      </c>
      <c r="F2678" s="15" t="n">
        <v>9.2</v>
      </c>
      <c r="G2678" s="16" t="n">
        <f aca="false">IF(A2678="2025",INDEX(Products!$C$2:$C$13,MATCH(D2678,Products!$A$2:$A$13,0)),INDEX(Products!$E$2:$E$13,MATCH(D2678,Products!$A$2:$A$13,0)))</f>
        <v>3885</v>
      </c>
      <c r="H2678" s="13" t="n">
        <f aca="false">IF(A2678="2025",INDEX(Customers!$D$2:$D$41,MATCH(C2678,Customers!$A$2:$A$41,0)),INDEX(Customers!$F$2:$F$41,MATCH(C2678,Customers!$A$2:$A$41,0)))</f>
        <v>0.067</v>
      </c>
      <c r="I2678" s="16" t="n">
        <f aca="false">F2678*G2678</f>
        <v>35742</v>
      </c>
      <c r="J2678" s="16" t="n">
        <f aca="false">I2678*(1-H2678)</f>
        <v>33347.286</v>
      </c>
      <c r="K2678" s="16" t="n">
        <f aca="false">J2678*INDEX(Customers!$G$2:$G$41,MATCH(C2678,Customers!$A$2:$A$41,0))</f>
        <v>1667.3643</v>
      </c>
      <c r="L2678" s="16" t="n">
        <f aca="false">F2678*INDEX(Customers!$H$2:$H$41,MATCH(C2678,Customers!$A$2:$A$41,0))</f>
        <v>3588</v>
      </c>
      <c r="M2678" s="16" t="n">
        <f aca="false">J2678*INDEX(Customers!$I$2:$I$41,MATCH(C2678,Customers!$A$2:$A$41,0))/365*Assumptions!$B$6</f>
        <v>219.269825753425</v>
      </c>
      <c r="N2678" s="16" t="n">
        <f aca="false">J2678-K2678-L2678-M2678</f>
        <v>27872.6518742466</v>
      </c>
      <c r="O2678" s="16" t="n">
        <f aca="false">F2678*IF(A2678="2025",INDEX(Products!$D$2:$D$13,MATCH(D2678,Products!$A$2:$A$13,0)),INDEX(Products!$F$2:$F$13,MATCH(D2678,Products!$A$2:$A$13,0)))</f>
        <v>22742.4</v>
      </c>
      <c r="P2678" s="16" t="n">
        <f aca="false">N2678-O2678</f>
        <v>5130.25187424658</v>
      </c>
    </row>
    <row r="2679" customFormat="false" ht="15" hidden="false" customHeight="false" outlineLevel="0" collapsed="false">
      <c r="A2679" s="2" t="s">
        <v>119</v>
      </c>
      <c r="B2679" s="2" t="n">
        <v>2</v>
      </c>
      <c r="C2679" s="2" t="s">
        <v>101</v>
      </c>
      <c r="D2679" s="2" t="s">
        <v>36</v>
      </c>
      <c r="E2679" s="2" t="str">
        <f aca="false">INDEX(Products!$B$2:$B$13,MATCH(D2679,Products!$A$2:$A$13,0))</f>
        <v>FCC</v>
      </c>
      <c r="F2679" s="15" t="n">
        <v>16.5</v>
      </c>
      <c r="G2679" s="16" t="n">
        <f aca="false">IF(A2679="2025",INDEX(Products!$C$2:$C$13,MATCH(D2679,Products!$A$2:$A$13,0)),INDEX(Products!$E$2:$E$13,MATCH(D2679,Products!$A$2:$A$13,0)))</f>
        <v>3885</v>
      </c>
      <c r="H2679" s="13" t="n">
        <f aca="false">IF(A2679="2025",INDEX(Customers!$D$2:$D$41,MATCH(C2679,Customers!$A$2:$A$41,0)),INDEX(Customers!$F$2:$F$41,MATCH(C2679,Customers!$A$2:$A$41,0)))</f>
        <v>0.067</v>
      </c>
      <c r="I2679" s="16" t="n">
        <f aca="false">F2679*G2679</f>
        <v>64102.5</v>
      </c>
      <c r="J2679" s="16" t="n">
        <f aca="false">I2679*(1-H2679)</f>
        <v>59807.6325</v>
      </c>
      <c r="K2679" s="16" t="n">
        <f aca="false">J2679*INDEX(Customers!$G$2:$G$41,MATCH(C2679,Customers!$A$2:$A$41,0))</f>
        <v>2990.381625</v>
      </c>
      <c r="L2679" s="16" t="n">
        <f aca="false">F2679*INDEX(Customers!$H$2:$H$41,MATCH(C2679,Customers!$A$2:$A$41,0))</f>
        <v>6435</v>
      </c>
      <c r="M2679" s="16" t="n">
        <f aca="false">J2679*INDEX(Customers!$I$2:$I$41,MATCH(C2679,Customers!$A$2:$A$41,0))/365*Assumptions!$B$6</f>
        <v>393.255665753425</v>
      </c>
      <c r="N2679" s="16" t="n">
        <f aca="false">J2679-K2679-L2679-M2679</f>
        <v>49988.9952092466</v>
      </c>
      <c r="O2679" s="16" t="n">
        <f aca="false">F2679*IF(A2679="2025",INDEX(Products!$D$2:$D$13,MATCH(D2679,Products!$A$2:$A$13,0)),INDEX(Products!$F$2:$F$13,MATCH(D2679,Products!$A$2:$A$13,0)))</f>
        <v>40788</v>
      </c>
      <c r="P2679" s="16" t="n">
        <f aca="false">N2679-O2679</f>
        <v>9200.99520924658</v>
      </c>
    </row>
    <row r="2680" customFormat="false" ht="15" hidden="false" customHeight="false" outlineLevel="0" collapsed="false">
      <c r="A2680" s="2" t="s">
        <v>119</v>
      </c>
      <c r="B2680" s="2" t="n">
        <v>3</v>
      </c>
      <c r="C2680" s="2" t="s">
        <v>101</v>
      </c>
      <c r="D2680" s="2" t="s">
        <v>36</v>
      </c>
      <c r="E2680" s="2" t="str">
        <f aca="false">INDEX(Products!$B$2:$B$13,MATCH(D2680,Products!$A$2:$A$13,0))</f>
        <v>FCC</v>
      </c>
      <c r="F2680" s="15" t="n">
        <v>12.9</v>
      </c>
      <c r="G2680" s="16" t="n">
        <f aca="false">IF(A2680="2025",INDEX(Products!$C$2:$C$13,MATCH(D2680,Products!$A$2:$A$13,0)),INDEX(Products!$E$2:$E$13,MATCH(D2680,Products!$A$2:$A$13,0)))</f>
        <v>3885</v>
      </c>
      <c r="H2680" s="13" t="n">
        <f aca="false">IF(A2680="2025",INDEX(Customers!$D$2:$D$41,MATCH(C2680,Customers!$A$2:$A$41,0)),INDEX(Customers!$F$2:$F$41,MATCH(C2680,Customers!$A$2:$A$41,0)))</f>
        <v>0.067</v>
      </c>
      <c r="I2680" s="16" t="n">
        <f aca="false">F2680*G2680</f>
        <v>50116.5</v>
      </c>
      <c r="J2680" s="16" t="n">
        <f aca="false">I2680*(1-H2680)</f>
        <v>46758.6945</v>
      </c>
      <c r="K2680" s="16" t="n">
        <f aca="false">J2680*INDEX(Customers!$G$2:$G$41,MATCH(C2680,Customers!$A$2:$A$41,0))</f>
        <v>2337.934725</v>
      </c>
      <c r="L2680" s="16" t="n">
        <f aca="false">F2680*INDEX(Customers!$H$2:$H$41,MATCH(C2680,Customers!$A$2:$A$41,0))</f>
        <v>5031</v>
      </c>
      <c r="M2680" s="16" t="n">
        <f aca="false">J2680*INDEX(Customers!$I$2:$I$41,MATCH(C2680,Customers!$A$2:$A$41,0))/365*Assumptions!$B$6</f>
        <v>307.454429589041</v>
      </c>
      <c r="N2680" s="16" t="n">
        <f aca="false">J2680-K2680-L2680-M2680</f>
        <v>39082.305345411</v>
      </c>
      <c r="O2680" s="16" t="n">
        <f aca="false">F2680*IF(A2680="2025",INDEX(Products!$D$2:$D$13,MATCH(D2680,Products!$A$2:$A$13,0)),INDEX(Products!$F$2:$F$13,MATCH(D2680,Products!$A$2:$A$13,0)))</f>
        <v>31888.8</v>
      </c>
      <c r="P2680" s="16" t="n">
        <f aca="false">N2680-O2680</f>
        <v>7193.50534541096</v>
      </c>
    </row>
    <row r="2681" customFormat="false" ht="15" hidden="false" customHeight="false" outlineLevel="0" collapsed="false">
      <c r="A2681" s="2" t="s">
        <v>119</v>
      </c>
      <c r="B2681" s="2" t="n">
        <v>4</v>
      </c>
      <c r="C2681" s="2" t="s">
        <v>101</v>
      </c>
      <c r="D2681" s="2" t="s">
        <v>36</v>
      </c>
      <c r="E2681" s="2" t="str">
        <f aca="false">INDEX(Products!$B$2:$B$13,MATCH(D2681,Products!$A$2:$A$13,0))</f>
        <v>FCC</v>
      </c>
      <c r="F2681" s="15" t="n">
        <v>10.6</v>
      </c>
      <c r="G2681" s="16" t="n">
        <f aca="false">IF(A2681="2025",INDEX(Products!$C$2:$C$13,MATCH(D2681,Products!$A$2:$A$13,0)),INDEX(Products!$E$2:$E$13,MATCH(D2681,Products!$A$2:$A$13,0)))</f>
        <v>3885</v>
      </c>
      <c r="H2681" s="13" t="n">
        <f aca="false">IF(A2681="2025",INDEX(Customers!$D$2:$D$41,MATCH(C2681,Customers!$A$2:$A$41,0)),INDEX(Customers!$F$2:$F$41,MATCH(C2681,Customers!$A$2:$A$41,0)))</f>
        <v>0.067</v>
      </c>
      <c r="I2681" s="16" t="n">
        <f aca="false">F2681*G2681</f>
        <v>41181</v>
      </c>
      <c r="J2681" s="16" t="n">
        <f aca="false">I2681*(1-H2681)</f>
        <v>38421.873</v>
      </c>
      <c r="K2681" s="16" t="n">
        <f aca="false">J2681*INDEX(Customers!$G$2:$G$41,MATCH(C2681,Customers!$A$2:$A$41,0))</f>
        <v>1921.09365</v>
      </c>
      <c r="L2681" s="16" t="n">
        <f aca="false">F2681*INDEX(Customers!$H$2:$H$41,MATCH(C2681,Customers!$A$2:$A$41,0))</f>
        <v>4134</v>
      </c>
      <c r="M2681" s="16" t="n">
        <f aca="false">J2681*INDEX(Customers!$I$2:$I$41,MATCH(C2681,Customers!$A$2:$A$41,0))/365*Assumptions!$B$6</f>
        <v>252.636973150685</v>
      </c>
      <c r="N2681" s="16" t="n">
        <f aca="false">J2681-K2681-L2681-M2681</f>
        <v>32114.1423768493</v>
      </c>
      <c r="O2681" s="16" t="n">
        <f aca="false">F2681*IF(A2681="2025",INDEX(Products!$D$2:$D$13,MATCH(D2681,Products!$A$2:$A$13,0)),INDEX(Products!$F$2:$F$13,MATCH(D2681,Products!$A$2:$A$13,0)))</f>
        <v>26203.2</v>
      </c>
      <c r="P2681" s="16" t="n">
        <f aca="false">N2681-O2681</f>
        <v>5910.94237684931</v>
      </c>
    </row>
    <row r="2682" customFormat="false" ht="15" hidden="false" customHeight="false" outlineLevel="0" collapsed="false">
      <c r="A2682" s="2" t="s">
        <v>119</v>
      </c>
      <c r="B2682" s="2" t="n">
        <v>5</v>
      </c>
      <c r="C2682" s="2" t="s">
        <v>101</v>
      </c>
      <c r="D2682" s="2" t="s">
        <v>36</v>
      </c>
      <c r="E2682" s="2" t="str">
        <f aca="false">INDEX(Products!$B$2:$B$13,MATCH(D2682,Products!$A$2:$A$13,0))</f>
        <v>FCC</v>
      </c>
      <c r="F2682" s="15" t="n">
        <v>14.2</v>
      </c>
      <c r="G2682" s="16" t="n">
        <f aca="false">IF(A2682="2025",INDEX(Products!$C$2:$C$13,MATCH(D2682,Products!$A$2:$A$13,0)),INDEX(Products!$E$2:$E$13,MATCH(D2682,Products!$A$2:$A$13,0)))</f>
        <v>3885</v>
      </c>
      <c r="H2682" s="13" t="n">
        <f aca="false">IF(A2682="2025",INDEX(Customers!$D$2:$D$41,MATCH(C2682,Customers!$A$2:$A$41,0)),INDEX(Customers!$F$2:$F$41,MATCH(C2682,Customers!$A$2:$A$41,0)))</f>
        <v>0.067</v>
      </c>
      <c r="I2682" s="16" t="n">
        <f aca="false">F2682*G2682</f>
        <v>55167</v>
      </c>
      <c r="J2682" s="16" t="n">
        <f aca="false">I2682*(1-H2682)</f>
        <v>51470.811</v>
      </c>
      <c r="K2682" s="16" t="n">
        <f aca="false">J2682*INDEX(Customers!$G$2:$G$41,MATCH(C2682,Customers!$A$2:$A$41,0))</f>
        <v>2573.54055</v>
      </c>
      <c r="L2682" s="16" t="n">
        <f aca="false">F2682*INDEX(Customers!$H$2:$H$41,MATCH(C2682,Customers!$A$2:$A$41,0))</f>
        <v>5538</v>
      </c>
      <c r="M2682" s="16" t="n">
        <f aca="false">J2682*INDEX(Customers!$I$2:$I$41,MATCH(C2682,Customers!$A$2:$A$41,0))/365*Assumptions!$B$6</f>
        <v>338.438209315069</v>
      </c>
      <c r="N2682" s="16" t="n">
        <f aca="false">J2682-K2682-L2682-M2682</f>
        <v>43020.8322406849</v>
      </c>
      <c r="O2682" s="16" t="n">
        <f aca="false">F2682*IF(A2682="2025",INDEX(Products!$D$2:$D$13,MATCH(D2682,Products!$A$2:$A$13,0)),INDEX(Products!$F$2:$F$13,MATCH(D2682,Products!$A$2:$A$13,0)))</f>
        <v>35102.4</v>
      </c>
      <c r="P2682" s="16" t="n">
        <f aca="false">N2682-O2682</f>
        <v>7918.43224068493</v>
      </c>
    </row>
    <row r="2683" customFormat="false" ht="15" hidden="false" customHeight="false" outlineLevel="0" collapsed="false">
      <c r="A2683" s="2" t="s">
        <v>119</v>
      </c>
      <c r="B2683" s="2" t="n">
        <v>6</v>
      </c>
      <c r="C2683" s="2" t="s">
        <v>101</v>
      </c>
      <c r="D2683" s="2" t="s">
        <v>36</v>
      </c>
      <c r="E2683" s="2" t="str">
        <f aca="false">INDEX(Products!$B$2:$B$13,MATCH(D2683,Products!$A$2:$A$13,0))</f>
        <v>FCC</v>
      </c>
      <c r="F2683" s="15" t="n">
        <v>15.1</v>
      </c>
      <c r="G2683" s="16" t="n">
        <f aca="false">IF(A2683="2025",INDEX(Products!$C$2:$C$13,MATCH(D2683,Products!$A$2:$A$13,0)),INDEX(Products!$E$2:$E$13,MATCH(D2683,Products!$A$2:$A$13,0)))</f>
        <v>3885</v>
      </c>
      <c r="H2683" s="13" t="n">
        <f aca="false">IF(A2683="2025",INDEX(Customers!$D$2:$D$41,MATCH(C2683,Customers!$A$2:$A$41,0)),INDEX(Customers!$F$2:$F$41,MATCH(C2683,Customers!$A$2:$A$41,0)))</f>
        <v>0.067</v>
      </c>
      <c r="I2683" s="16" t="n">
        <f aca="false">F2683*G2683</f>
        <v>58663.5</v>
      </c>
      <c r="J2683" s="16" t="n">
        <f aca="false">I2683*(1-H2683)</f>
        <v>54733.0455</v>
      </c>
      <c r="K2683" s="16" t="n">
        <f aca="false">J2683*INDEX(Customers!$G$2:$G$41,MATCH(C2683,Customers!$A$2:$A$41,0))</f>
        <v>2736.652275</v>
      </c>
      <c r="L2683" s="16" t="n">
        <f aca="false">F2683*INDEX(Customers!$H$2:$H$41,MATCH(C2683,Customers!$A$2:$A$41,0))</f>
        <v>5889</v>
      </c>
      <c r="M2683" s="16" t="n">
        <f aca="false">J2683*INDEX(Customers!$I$2:$I$41,MATCH(C2683,Customers!$A$2:$A$41,0))/365*Assumptions!$B$6</f>
        <v>359.888518356164</v>
      </c>
      <c r="N2683" s="16" t="n">
        <f aca="false">J2683-K2683-L2683-M2683</f>
        <v>45747.5047066438</v>
      </c>
      <c r="O2683" s="16" t="n">
        <f aca="false">F2683*IF(A2683="2025",INDEX(Products!$D$2:$D$13,MATCH(D2683,Products!$A$2:$A$13,0)),INDEX(Products!$F$2:$F$13,MATCH(D2683,Products!$A$2:$A$13,0)))</f>
        <v>37327.2</v>
      </c>
      <c r="P2683" s="16" t="n">
        <f aca="false">N2683-O2683</f>
        <v>8420.30470664384</v>
      </c>
    </row>
    <row r="2684" customFormat="false" ht="15" hidden="false" customHeight="false" outlineLevel="0" collapsed="false">
      <c r="A2684" s="2" t="s">
        <v>119</v>
      </c>
      <c r="B2684" s="2" t="n">
        <v>7</v>
      </c>
      <c r="C2684" s="2" t="s">
        <v>101</v>
      </c>
      <c r="D2684" s="2" t="s">
        <v>36</v>
      </c>
      <c r="E2684" s="2" t="str">
        <f aca="false">INDEX(Products!$B$2:$B$13,MATCH(D2684,Products!$A$2:$A$13,0))</f>
        <v>FCC</v>
      </c>
      <c r="F2684" s="15" t="n">
        <v>11.6</v>
      </c>
      <c r="G2684" s="16" t="n">
        <f aca="false">IF(A2684="2025",INDEX(Products!$C$2:$C$13,MATCH(D2684,Products!$A$2:$A$13,0)),INDEX(Products!$E$2:$E$13,MATCH(D2684,Products!$A$2:$A$13,0)))</f>
        <v>3885</v>
      </c>
      <c r="H2684" s="13" t="n">
        <f aca="false">IF(A2684="2025",INDEX(Customers!$D$2:$D$41,MATCH(C2684,Customers!$A$2:$A$41,0)),INDEX(Customers!$F$2:$F$41,MATCH(C2684,Customers!$A$2:$A$41,0)))</f>
        <v>0.067</v>
      </c>
      <c r="I2684" s="16" t="n">
        <f aca="false">F2684*G2684</f>
        <v>45066</v>
      </c>
      <c r="J2684" s="16" t="n">
        <f aca="false">I2684*(1-H2684)</f>
        <v>42046.578</v>
      </c>
      <c r="K2684" s="16" t="n">
        <f aca="false">J2684*INDEX(Customers!$G$2:$G$41,MATCH(C2684,Customers!$A$2:$A$41,0))</f>
        <v>2102.3289</v>
      </c>
      <c r="L2684" s="16" t="n">
        <f aca="false">F2684*INDEX(Customers!$H$2:$H$41,MATCH(C2684,Customers!$A$2:$A$41,0))</f>
        <v>4524</v>
      </c>
      <c r="M2684" s="16" t="n">
        <f aca="false">J2684*INDEX(Customers!$I$2:$I$41,MATCH(C2684,Customers!$A$2:$A$41,0))/365*Assumptions!$B$6</f>
        <v>276.470649863014</v>
      </c>
      <c r="N2684" s="16" t="n">
        <f aca="false">J2684-K2684-L2684-M2684</f>
        <v>35143.778450137</v>
      </c>
      <c r="O2684" s="16" t="n">
        <f aca="false">F2684*IF(A2684="2025",INDEX(Products!$D$2:$D$13,MATCH(D2684,Products!$A$2:$A$13,0)),INDEX(Products!$F$2:$F$13,MATCH(D2684,Products!$A$2:$A$13,0)))</f>
        <v>28675.2</v>
      </c>
      <c r="P2684" s="16" t="n">
        <f aca="false">N2684-O2684</f>
        <v>6468.57845013699</v>
      </c>
    </row>
    <row r="2685" customFormat="false" ht="15" hidden="false" customHeight="false" outlineLevel="0" collapsed="false">
      <c r="A2685" s="2" t="s">
        <v>119</v>
      </c>
      <c r="B2685" s="2" t="n">
        <v>8</v>
      </c>
      <c r="C2685" s="2" t="s">
        <v>101</v>
      </c>
      <c r="D2685" s="2" t="s">
        <v>36</v>
      </c>
      <c r="E2685" s="2" t="str">
        <f aca="false">INDEX(Products!$B$2:$B$13,MATCH(D2685,Products!$A$2:$A$13,0))</f>
        <v>FCC</v>
      </c>
      <c r="F2685" s="15" t="n">
        <v>14.4</v>
      </c>
      <c r="G2685" s="16" t="n">
        <f aca="false">IF(A2685="2025",INDEX(Products!$C$2:$C$13,MATCH(D2685,Products!$A$2:$A$13,0)),INDEX(Products!$E$2:$E$13,MATCH(D2685,Products!$A$2:$A$13,0)))</f>
        <v>3885</v>
      </c>
      <c r="H2685" s="13" t="n">
        <f aca="false">IF(A2685="2025",INDEX(Customers!$D$2:$D$41,MATCH(C2685,Customers!$A$2:$A$41,0)),INDEX(Customers!$F$2:$F$41,MATCH(C2685,Customers!$A$2:$A$41,0)))</f>
        <v>0.067</v>
      </c>
      <c r="I2685" s="16" t="n">
        <f aca="false">F2685*G2685</f>
        <v>55944</v>
      </c>
      <c r="J2685" s="16" t="n">
        <f aca="false">I2685*(1-H2685)</f>
        <v>52195.752</v>
      </c>
      <c r="K2685" s="16" t="n">
        <f aca="false">J2685*INDEX(Customers!$G$2:$G$41,MATCH(C2685,Customers!$A$2:$A$41,0))</f>
        <v>2609.7876</v>
      </c>
      <c r="L2685" s="16" t="n">
        <f aca="false">F2685*INDEX(Customers!$H$2:$H$41,MATCH(C2685,Customers!$A$2:$A$41,0))</f>
        <v>5616</v>
      </c>
      <c r="M2685" s="16" t="n">
        <f aca="false">J2685*INDEX(Customers!$I$2:$I$41,MATCH(C2685,Customers!$A$2:$A$41,0))/365*Assumptions!$B$6</f>
        <v>343.204944657534</v>
      </c>
      <c r="N2685" s="16" t="n">
        <f aca="false">J2685-K2685-L2685-M2685</f>
        <v>43626.7594553425</v>
      </c>
      <c r="O2685" s="16" t="n">
        <f aca="false">F2685*IF(A2685="2025",INDEX(Products!$D$2:$D$13,MATCH(D2685,Products!$A$2:$A$13,0)),INDEX(Products!$F$2:$F$13,MATCH(D2685,Products!$A$2:$A$13,0)))</f>
        <v>35596.8</v>
      </c>
      <c r="P2685" s="16" t="n">
        <f aca="false">N2685-O2685</f>
        <v>8029.95945534246</v>
      </c>
    </row>
    <row r="2686" customFormat="false" ht="15" hidden="false" customHeight="false" outlineLevel="0" collapsed="false">
      <c r="A2686" s="2" t="s">
        <v>119</v>
      </c>
      <c r="B2686" s="2" t="n">
        <v>9</v>
      </c>
      <c r="C2686" s="2" t="s">
        <v>101</v>
      </c>
      <c r="D2686" s="2" t="s">
        <v>36</v>
      </c>
      <c r="E2686" s="2" t="str">
        <f aca="false">INDEX(Products!$B$2:$B$13,MATCH(D2686,Products!$A$2:$A$13,0))</f>
        <v>FCC</v>
      </c>
      <c r="F2686" s="15" t="n">
        <v>11</v>
      </c>
      <c r="G2686" s="16" t="n">
        <f aca="false">IF(A2686="2025",INDEX(Products!$C$2:$C$13,MATCH(D2686,Products!$A$2:$A$13,0)),INDEX(Products!$E$2:$E$13,MATCH(D2686,Products!$A$2:$A$13,0)))</f>
        <v>3885</v>
      </c>
      <c r="H2686" s="13" t="n">
        <f aca="false">IF(A2686="2025",INDEX(Customers!$D$2:$D$41,MATCH(C2686,Customers!$A$2:$A$41,0)),INDEX(Customers!$F$2:$F$41,MATCH(C2686,Customers!$A$2:$A$41,0)))</f>
        <v>0.067</v>
      </c>
      <c r="I2686" s="16" t="n">
        <f aca="false">F2686*G2686</f>
        <v>42735</v>
      </c>
      <c r="J2686" s="16" t="n">
        <f aca="false">I2686*(1-H2686)</f>
        <v>39871.755</v>
      </c>
      <c r="K2686" s="16" t="n">
        <f aca="false">J2686*INDEX(Customers!$G$2:$G$41,MATCH(C2686,Customers!$A$2:$A$41,0))</f>
        <v>1993.58775</v>
      </c>
      <c r="L2686" s="16" t="n">
        <f aca="false">F2686*INDEX(Customers!$H$2:$H$41,MATCH(C2686,Customers!$A$2:$A$41,0))</f>
        <v>4290</v>
      </c>
      <c r="M2686" s="16" t="n">
        <f aca="false">J2686*INDEX(Customers!$I$2:$I$41,MATCH(C2686,Customers!$A$2:$A$41,0))/365*Assumptions!$B$6</f>
        <v>262.170443835617</v>
      </c>
      <c r="N2686" s="16" t="n">
        <f aca="false">J2686-K2686-L2686-M2686</f>
        <v>33325.9968061644</v>
      </c>
      <c r="O2686" s="16" t="n">
        <f aca="false">F2686*IF(A2686="2025",INDEX(Products!$D$2:$D$13,MATCH(D2686,Products!$A$2:$A$13,0)),INDEX(Products!$F$2:$F$13,MATCH(D2686,Products!$A$2:$A$13,0)))</f>
        <v>27192</v>
      </c>
      <c r="P2686" s="16" t="n">
        <f aca="false">N2686-O2686</f>
        <v>6133.99680616439</v>
      </c>
    </row>
    <row r="2687" customFormat="false" ht="15" hidden="false" customHeight="false" outlineLevel="0" collapsed="false">
      <c r="A2687" s="2" t="s">
        <v>119</v>
      </c>
      <c r="B2687" s="2" t="n">
        <v>10</v>
      </c>
      <c r="C2687" s="2" t="s">
        <v>101</v>
      </c>
      <c r="D2687" s="2" t="s">
        <v>36</v>
      </c>
      <c r="E2687" s="2" t="str">
        <f aca="false">INDEX(Products!$B$2:$B$13,MATCH(D2687,Products!$A$2:$A$13,0))</f>
        <v>FCC</v>
      </c>
      <c r="F2687" s="15" t="n">
        <v>15.1</v>
      </c>
      <c r="G2687" s="16" t="n">
        <f aca="false">IF(A2687="2025",INDEX(Products!$C$2:$C$13,MATCH(D2687,Products!$A$2:$A$13,0)),INDEX(Products!$E$2:$E$13,MATCH(D2687,Products!$A$2:$A$13,0)))</f>
        <v>3885</v>
      </c>
      <c r="H2687" s="13" t="n">
        <f aca="false">IF(A2687="2025",INDEX(Customers!$D$2:$D$41,MATCH(C2687,Customers!$A$2:$A$41,0)),INDEX(Customers!$F$2:$F$41,MATCH(C2687,Customers!$A$2:$A$41,0)))</f>
        <v>0.067</v>
      </c>
      <c r="I2687" s="16" t="n">
        <f aca="false">F2687*G2687</f>
        <v>58663.5</v>
      </c>
      <c r="J2687" s="16" t="n">
        <f aca="false">I2687*(1-H2687)</f>
        <v>54733.0455</v>
      </c>
      <c r="K2687" s="16" t="n">
        <f aca="false">J2687*INDEX(Customers!$G$2:$G$41,MATCH(C2687,Customers!$A$2:$A$41,0))</f>
        <v>2736.652275</v>
      </c>
      <c r="L2687" s="16" t="n">
        <f aca="false">F2687*INDEX(Customers!$H$2:$H$41,MATCH(C2687,Customers!$A$2:$A$41,0))</f>
        <v>5889</v>
      </c>
      <c r="M2687" s="16" t="n">
        <f aca="false">J2687*INDEX(Customers!$I$2:$I$41,MATCH(C2687,Customers!$A$2:$A$41,0))/365*Assumptions!$B$6</f>
        <v>359.888518356164</v>
      </c>
      <c r="N2687" s="16" t="n">
        <f aca="false">J2687-K2687-L2687-M2687</f>
        <v>45747.5047066438</v>
      </c>
      <c r="O2687" s="16" t="n">
        <f aca="false">F2687*IF(A2687="2025",INDEX(Products!$D$2:$D$13,MATCH(D2687,Products!$A$2:$A$13,0)),INDEX(Products!$F$2:$F$13,MATCH(D2687,Products!$A$2:$A$13,0)))</f>
        <v>37327.2</v>
      </c>
      <c r="P2687" s="16" t="n">
        <f aca="false">N2687-O2687</f>
        <v>8420.30470664384</v>
      </c>
    </row>
    <row r="2688" customFormat="false" ht="15" hidden="false" customHeight="false" outlineLevel="0" collapsed="false">
      <c r="A2688" s="2" t="s">
        <v>119</v>
      </c>
      <c r="B2688" s="2" t="n">
        <v>11</v>
      </c>
      <c r="C2688" s="2" t="s">
        <v>101</v>
      </c>
      <c r="D2688" s="2" t="s">
        <v>36</v>
      </c>
      <c r="E2688" s="2" t="str">
        <f aca="false">INDEX(Products!$B$2:$B$13,MATCH(D2688,Products!$A$2:$A$13,0))</f>
        <v>FCC</v>
      </c>
      <c r="F2688" s="15" t="n">
        <v>12.5</v>
      </c>
      <c r="G2688" s="16" t="n">
        <f aca="false">IF(A2688="2025",INDEX(Products!$C$2:$C$13,MATCH(D2688,Products!$A$2:$A$13,0)),INDEX(Products!$E$2:$E$13,MATCH(D2688,Products!$A$2:$A$13,0)))</f>
        <v>3885</v>
      </c>
      <c r="H2688" s="13" t="n">
        <f aca="false">IF(A2688="2025",INDEX(Customers!$D$2:$D$41,MATCH(C2688,Customers!$A$2:$A$41,0)),INDEX(Customers!$F$2:$F$41,MATCH(C2688,Customers!$A$2:$A$41,0)))</f>
        <v>0.067</v>
      </c>
      <c r="I2688" s="16" t="n">
        <f aca="false">F2688*G2688</f>
        <v>48562.5</v>
      </c>
      <c r="J2688" s="16" t="n">
        <f aca="false">I2688*(1-H2688)</f>
        <v>45308.8125</v>
      </c>
      <c r="K2688" s="16" t="n">
        <f aca="false">J2688*INDEX(Customers!$G$2:$G$41,MATCH(C2688,Customers!$A$2:$A$41,0))</f>
        <v>2265.440625</v>
      </c>
      <c r="L2688" s="16" t="n">
        <f aca="false">F2688*INDEX(Customers!$H$2:$H$41,MATCH(C2688,Customers!$A$2:$A$41,0))</f>
        <v>4875</v>
      </c>
      <c r="M2688" s="16" t="n">
        <f aca="false">J2688*INDEX(Customers!$I$2:$I$41,MATCH(C2688,Customers!$A$2:$A$41,0))/365*Assumptions!$B$6</f>
        <v>297.92095890411</v>
      </c>
      <c r="N2688" s="16" t="n">
        <f aca="false">J2688-K2688-L2688-M2688</f>
        <v>37870.4509160959</v>
      </c>
      <c r="O2688" s="16" t="n">
        <f aca="false">F2688*IF(A2688="2025",INDEX(Products!$D$2:$D$13,MATCH(D2688,Products!$A$2:$A$13,0)),INDEX(Products!$F$2:$F$13,MATCH(D2688,Products!$A$2:$A$13,0)))</f>
        <v>30900</v>
      </c>
      <c r="P2688" s="16" t="n">
        <f aca="false">N2688-O2688</f>
        <v>6970.45091609588</v>
      </c>
    </row>
    <row r="2689" customFormat="false" ht="15" hidden="false" customHeight="false" outlineLevel="0" collapsed="false">
      <c r="A2689" s="2" t="s">
        <v>119</v>
      </c>
      <c r="B2689" s="2" t="n">
        <v>12</v>
      </c>
      <c r="C2689" s="2" t="s">
        <v>101</v>
      </c>
      <c r="D2689" s="2" t="s">
        <v>36</v>
      </c>
      <c r="E2689" s="2" t="str">
        <f aca="false">INDEX(Products!$B$2:$B$13,MATCH(D2689,Products!$A$2:$A$13,0))</f>
        <v>FCC</v>
      </c>
      <c r="F2689" s="15" t="n">
        <v>11.3</v>
      </c>
      <c r="G2689" s="16" t="n">
        <f aca="false">IF(A2689="2025",INDEX(Products!$C$2:$C$13,MATCH(D2689,Products!$A$2:$A$13,0)),INDEX(Products!$E$2:$E$13,MATCH(D2689,Products!$A$2:$A$13,0)))</f>
        <v>3885</v>
      </c>
      <c r="H2689" s="13" t="n">
        <f aca="false">IF(A2689="2025",INDEX(Customers!$D$2:$D$41,MATCH(C2689,Customers!$A$2:$A$41,0)),INDEX(Customers!$F$2:$F$41,MATCH(C2689,Customers!$A$2:$A$41,0)))</f>
        <v>0.067</v>
      </c>
      <c r="I2689" s="16" t="n">
        <f aca="false">F2689*G2689</f>
        <v>43900.5</v>
      </c>
      <c r="J2689" s="16" t="n">
        <f aca="false">I2689*(1-H2689)</f>
        <v>40959.1665</v>
      </c>
      <c r="K2689" s="16" t="n">
        <f aca="false">J2689*INDEX(Customers!$G$2:$G$41,MATCH(C2689,Customers!$A$2:$A$41,0))</f>
        <v>2047.958325</v>
      </c>
      <c r="L2689" s="16" t="n">
        <f aca="false">F2689*INDEX(Customers!$H$2:$H$41,MATCH(C2689,Customers!$A$2:$A$41,0))</f>
        <v>4407</v>
      </c>
      <c r="M2689" s="16" t="n">
        <f aca="false">J2689*INDEX(Customers!$I$2:$I$41,MATCH(C2689,Customers!$A$2:$A$41,0))/365*Assumptions!$B$6</f>
        <v>269.320546849315</v>
      </c>
      <c r="N2689" s="16" t="n">
        <f aca="false">J2689-K2689-L2689-M2689</f>
        <v>34234.8876281507</v>
      </c>
      <c r="O2689" s="16" t="n">
        <f aca="false">F2689*IF(A2689="2025",INDEX(Products!$D$2:$D$13,MATCH(D2689,Products!$A$2:$A$13,0)),INDEX(Products!$F$2:$F$13,MATCH(D2689,Products!$A$2:$A$13,0)))</f>
        <v>27933.6</v>
      </c>
      <c r="P2689" s="16" t="n">
        <f aca="false">N2689-O2689</f>
        <v>6301.28762815068</v>
      </c>
    </row>
    <row r="2690" customFormat="false" ht="15" hidden="false" customHeight="false" outlineLevel="0" collapsed="false">
      <c r="A2690" s="2" t="s">
        <v>118</v>
      </c>
      <c r="B2690" s="2" t="n">
        <v>1</v>
      </c>
      <c r="C2690" s="2" t="s">
        <v>102</v>
      </c>
      <c r="D2690" s="2" t="s">
        <v>41</v>
      </c>
      <c r="E2690" s="2" t="str">
        <f aca="false">INDEX(Products!$B$2:$B$13,MATCH(D2690,Products!$A$2:$A$13,0))</f>
        <v>Hydroprocessing</v>
      </c>
      <c r="F2690" s="15" t="n">
        <v>5.2</v>
      </c>
      <c r="G2690" s="16" t="n">
        <f aca="false">IF(A2690="2025",INDEX(Products!$C$2:$C$13,MATCH(D2690,Products!$A$2:$A$13,0)),INDEX(Products!$E$2:$E$13,MATCH(D2690,Products!$A$2:$A$13,0)))</f>
        <v>14770</v>
      </c>
      <c r="H2690" s="13" t="n">
        <f aca="false">IF(A2690="2025",INDEX(Customers!$D$2:$D$41,MATCH(C2690,Customers!$A$2:$A$41,0)),INDEX(Customers!$F$2:$F$41,MATCH(C2690,Customers!$A$2:$A$41,0)))</f>
        <v>0.062</v>
      </c>
      <c r="I2690" s="16" t="n">
        <f aca="false">F2690*G2690</f>
        <v>76804</v>
      </c>
      <c r="J2690" s="16" t="n">
        <f aca="false">I2690*(1-H2690)</f>
        <v>72042.152</v>
      </c>
      <c r="K2690" s="16" t="n">
        <f aca="false">J2690*INDEX(Customers!$G$2:$G$41,MATCH(C2690,Customers!$A$2:$A$41,0))</f>
        <v>0</v>
      </c>
      <c r="L2690" s="16" t="n">
        <f aca="false">F2690*INDEX(Customers!$H$2:$H$41,MATCH(C2690,Customers!$A$2:$A$41,0))</f>
        <v>1820</v>
      </c>
      <c r="M2690" s="16" t="n">
        <f aca="false">J2690*INDEX(Customers!$I$2:$I$41,MATCH(C2690,Customers!$A$2:$A$41,0))/365*Assumptions!$B$6</f>
        <v>473.701821369863</v>
      </c>
      <c r="N2690" s="16" t="n">
        <f aca="false">J2690-K2690-L2690-M2690</f>
        <v>69748.4501786301</v>
      </c>
      <c r="O2690" s="16" t="n">
        <f aca="false">F2690*IF(A2690="2025",INDEX(Products!$D$2:$D$13,MATCH(D2690,Products!$A$2:$A$13,0)),INDEX(Products!$F$2:$F$13,MATCH(D2690,Products!$A$2:$A$13,0)))</f>
        <v>49296</v>
      </c>
      <c r="P2690" s="16" t="n">
        <f aca="false">N2690-O2690</f>
        <v>20452.4501786301</v>
      </c>
    </row>
    <row r="2691" customFormat="false" ht="15" hidden="false" customHeight="false" outlineLevel="0" collapsed="false">
      <c r="A2691" s="2" t="s">
        <v>118</v>
      </c>
      <c r="B2691" s="2" t="n">
        <v>2</v>
      </c>
      <c r="C2691" s="2" t="s">
        <v>102</v>
      </c>
      <c r="D2691" s="2" t="s">
        <v>41</v>
      </c>
      <c r="E2691" s="2" t="str">
        <f aca="false">INDEX(Products!$B$2:$B$13,MATCH(D2691,Products!$A$2:$A$13,0))</f>
        <v>Hydroprocessing</v>
      </c>
      <c r="F2691" s="15" t="n">
        <v>6.5</v>
      </c>
      <c r="G2691" s="16" t="n">
        <f aca="false">IF(A2691="2025",INDEX(Products!$C$2:$C$13,MATCH(D2691,Products!$A$2:$A$13,0)),INDEX(Products!$E$2:$E$13,MATCH(D2691,Products!$A$2:$A$13,0)))</f>
        <v>14770</v>
      </c>
      <c r="H2691" s="13" t="n">
        <f aca="false">IF(A2691="2025",INDEX(Customers!$D$2:$D$41,MATCH(C2691,Customers!$A$2:$A$41,0)),INDEX(Customers!$F$2:$F$41,MATCH(C2691,Customers!$A$2:$A$41,0)))</f>
        <v>0.062</v>
      </c>
      <c r="I2691" s="16" t="n">
        <f aca="false">F2691*G2691</f>
        <v>96005</v>
      </c>
      <c r="J2691" s="16" t="n">
        <f aca="false">I2691*(1-H2691)</f>
        <v>90052.69</v>
      </c>
      <c r="K2691" s="16" t="n">
        <f aca="false">J2691*INDEX(Customers!$G$2:$G$41,MATCH(C2691,Customers!$A$2:$A$41,0))</f>
        <v>0</v>
      </c>
      <c r="L2691" s="16" t="n">
        <f aca="false">F2691*INDEX(Customers!$H$2:$H$41,MATCH(C2691,Customers!$A$2:$A$41,0))</f>
        <v>2275</v>
      </c>
      <c r="M2691" s="16" t="n">
        <f aca="false">J2691*INDEX(Customers!$I$2:$I$41,MATCH(C2691,Customers!$A$2:$A$41,0))/365*Assumptions!$B$6</f>
        <v>592.127276712329</v>
      </c>
      <c r="N2691" s="16" t="n">
        <f aca="false">J2691-K2691-L2691-M2691</f>
        <v>87185.5627232877</v>
      </c>
      <c r="O2691" s="16" t="n">
        <f aca="false">F2691*IF(A2691="2025",INDEX(Products!$D$2:$D$13,MATCH(D2691,Products!$A$2:$A$13,0)),INDEX(Products!$F$2:$F$13,MATCH(D2691,Products!$A$2:$A$13,0)))</f>
        <v>61620</v>
      </c>
      <c r="P2691" s="16" t="n">
        <f aca="false">N2691-O2691</f>
        <v>25565.5627232877</v>
      </c>
    </row>
    <row r="2692" customFormat="false" ht="15" hidden="false" customHeight="false" outlineLevel="0" collapsed="false">
      <c r="A2692" s="2" t="s">
        <v>118</v>
      </c>
      <c r="B2692" s="2" t="n">
        <v>3</v>
      </c>
      <c r="C2692" s="2" t="s">
        <v>102</v>
      </c>
      <c r="D2692" s="2" t="s">
        <v>41</v>
      </c>
      <c r="E2692" s="2" t="str">
        <f aca="false">INDEX(Products!$B$2:$B$13,MATCH(D2692,Products!$A$2:$A$13,0))</f>
        <v>Hydroprocessing</v>
      </c>
      <c r="F2692" s="15" t="n">
        <v>7.3</v>
      </c>
      <c r="G2692" s="16" t="n">
        <f aca="false">IF(A2692="2025",INDEX(Products!$C$2:$C$13,MATCH(D2692,Products!$A$2:$A$13,0)),INDEX(Products!$E$2:$E$13,MATCH(D2692,Products!$A$2:$A$13,0)))</f>
        <v>14770</v>
      </c>
      <c r="H2692" s="13" t="n">
        <f aca="false">IF(A2692="2025",INDEX(Customers!$D$2:$D$41,MATCH(C2692,Customers!$A$2:$A$41,0)),INDEX(Customers!$F$2:$F$41,MATCH(C2692,Customers!$A$2:$A$41,0)))</f>
        <v>0.062</v>
      </c>
      <c r="I2692" s="16" t="n">
        <f aca="false">F2692*G2692</f>
        <v>107821</v>
      </c>
      <c r="J2692" s="16" t="n">
        <f aca="false">I2692*(1-H2692)</f>
        <v>101136.098</v>
      </c>
      <c r="K2692" s="16" t="n">
        <f aca="false">J2692*INDEX(Customers!$G$2:$G$41,MATCH(C2692,Customers!$A$2:$A$41,0))</f>
        <v>0</v>
      </c>
      <c r="L2692" s="16" t="n">
        <f aca="false">F2692*INDEX(Customers!$H$2:$H$41,MATCH(C2692,Customers!$A$2:$A$41,0))</f>
        <v>2555</v>
      </c>
      <c r="M2692" s="16" t="n">
        <f aca="false">J2692*INDEX(Customers!$I$2:$I$41,MATCH(C2692,Customers!$A$2:$A$41,0))/365*Assumptions!$B$6</f>
        <v>665.00448</v>
      </c>
      <c r="N2692" s="16" t="n">
        <f aca="false">J2692-K2692-L2692-M2692</f>
        <v>97916.09352</v>
      </c>
      <c r="O2692" s="16" t="n">
        <f aca="false">F2692*IF(A2692="2025",INDEX(Products!$D$2:$D$13,MATCH(D2692,Products!$A$2:$A$13,0)),INDEX(Products!$F$2:$F$13,MATCH(D2692,Products!$A$2:$A$13,0)))</f>
        <v>69204</v>
      </c>
      <c r="P2692" s="16" t="n">
        <f aca="false">N2692-O2692</f>
        <v>28712.09352</v>
      </c>
    </row>
    <row r="2693" customFormat="false" ht="15" hidden="false" customHeight="false" outlineLevel="0" collapsed="false">
      <c r="A2693" s="2" t="s">
        <v>118</v>
      </c>
      <c r="B2693" s="2" t="n">
        <v>4</v>
      </c>
      <c r="C2693" s="2" t="s">
        <v>102</v>
      </c>
      <c r="D2693" s="2" t="s">
        <v>41</v>
      </c>
      <c r="E2693" s="2" t="str">
        <f aca="false">INDEX(Products!$B$2:$B$13,MATCH(D2693,Products!$A$2:$A$13,0))</f>
        <v>Hydroprocessing</v>
      </c>
      <c r="F2693" s="15" t="n">
        <v>7.8</v>
      </c>
      <c r="G2693" s="16" t="n">
        <f aca="false">IF(A2693="2025",INDEX(Products!$C$2:$C$13,MATCH(D2693,Products!$A$2:$A$13,0)),INDEX(Products!$E$2:$E$13,MATCH(D2693,Products!$A$2:$A$13,0)))</f>
        <v>14770</v>
      </c>
      <c r="H2693" s="13" t="n">
        <f aca="false">IF(A2693="2025",INDEX(Customers!$D$2:$D$41,MATCH(C2693,Customers!$A$2:$A$41,0)),INDEX(Customers!$F$2:$F$41,MATCH(C2693,Customers!$A$2:$A$41,0)))</f>
        <v>0.062</v>
      </c>
      <c r="I2693" s="16" t="n">
        <f aca="false">F2693*G2693</f>
        <v>115206</v>
      </c>
      <c r="J2693" s="16" t="n">
        <f aca="false">I2693*(1-H2693)</f>
        <v>108063.228</v>
      </c>
      <c r="K2693" s="16" t="n">
        <f aca="false">J2693*INDEX(Customers!$G$2:$G$41,MATCH(C2693,Customers!$A$2:$A$41,0))</f>
        <v>0</v>
      </c>
      <c r="L2693" s="16" t="n">
        <f aca="false">F2693*INDEX(Customers!$H$2:$H$41,MATCH(C2693,Customers!$A$2:$A$41,0))</f>
        <v>2730</v>
      </c>
      <c r="M2693" s="16" t="n">
        <f aca="false">J2693*INDEX(Customers!$I$2:$I$41,MATCH(C2693,Customers!$A$2:$A$41,0))/365*Assumptions!$B$6</f>
        <v>710.552732054794</v>
      </c>
      <c r="N2693" s="16" t="n">
        <f aca="false">J2693-K2693-L2693-M2693</f>
        <v>104622.675267945</v>
      </c>
      <c r="O2693" s="16" t="n">
        <f aca="false">F2693*IF(A2693="2025",INDEX(Products!$D$2:$D$13,MATCH(D2693,Products!$A$2:$A$13,0)),INDEX(Products!$F$2:$F$13,MATCH(D2693,Products!$A$2:$A$13,0)))</f>
        <v>73944</v>
      </c>
      <c r="P2693" s="16" t="n">
        <f aca="false">N2693-O2693</f>
        <v>30678.6752679452</v>
      </c>
    </row>
    <row r="2694" customFormat="false" ht="15" hidden="false" customHeight="false" outlineLevel="0" collapsed="false">
      <c r="A2694" s="2" t="s">
        <v>118</v>
      </c>
      <c r="B2694" s="2" t="n">
        <v>5</v>
      </c>
      <c r="C2694" s="2" t="s">
        <v>102</v>
      </c>
      <c r="D2694" s="2" t="s">
        <v>41</v>
      </c>
      <c r="E2694" s="2" t="str">
        <f aca="false">INDEX(Products!$B$2:$B$13,MATCH(D2694,Products!$A$2:$A$13,0))</f>
        <v>Hydroprocessing</v>
      </c>
      <c r="F2694" s="15" t="n">
        <v>6.5</v>
      </c>
      <c r="G2694" s="16" t="n">
        <f aca="false">IF(A2694="2025",INDEX(Products!$C$2:$C$13,MATCH(D2694,Products!$A$2:$A$13,0)),INDEX(Products!$E$2:$E$13,MATCH(D2694,Products!$A$2:$A$13,0)))</f>
        <v>14770</v>
      </c>
      <c r="H2694" s="13" t="n">
        <f aca="false">IF(A2694="2025",INDEX(Customers!$D$2:$D$41,MATCH(C2694,Customers!$A$2:$A$41,0)),INDEX(Customers!$F$2:$F$41,MATCH(C2694,Customers!$A$2:$A$41,0)))</f>
        <v>0.062</v>
      </c>
      <c r="I2694" s="16" t="n">
        <f aca="false">F2694*G2694</f>
        <v>96005</v>
      </c>
      <c r="J2694" s="16" t="n">
        <f aca="false">I2694*(1-H2694)</f>
        <v>90052.69</v>
      </c>
      <c r="K2694" s="16" t="n">
        <f aca="false">J2694*INDEX(Customers!$G$2:$G$41,MATCH(C2694,Customers!$A$2:$A$41,0))</f>
        <v>0</v>
      </c>
      <c r="L2694" s="16" t="n">
        <f aca="false">F2694*INDEX(Customers!$H$2:$H$41,MATCH(C2694,Customers!$A$2:$A$41,0))</f>
        <v>2275</v>
      </c>
      <c r="M2694" s="16" t="n">
        <f aca="false">J2694*INDEX(Customers!$I$2:$I$41,MATCH(C2694,Customers!$A$2:$A$41,0))/365*Assumptions!$B$6</f>
        <v>592.127276712329</v>
      </c>
      <c r="N2694" s="16" t="n">
        <f aca="false">J2694-K2694-L2694-M2694</f>
        <v>87185.5627232877</v>
      </c>
      <c r="O2694" s="16" t="n">
        <f aca="false">F2694*IF(A2694="2025",INDEX(Products!$D$2:$D$13,MATCH(D2694,Products!$A$2:$A$13,0)),INDEX(Products!$F$2:$F$13,MATCH(D2694,Products!$A$2:$A$13,0)))</f>
        <v>61620</v>
      </c>
      <c r="P2694" s="16" t="n">
        <f aca="false">N2694-O2694</f>
        <v>25565.5627232877</v>
      </c>
    </row>
    <row r="2695" customFormat="false" ht="15" hidden="false" customHeight="false" outlineLevel="0" collapsed="false">
      <c r="A2695" s="2" t="s">
        <v>118</v>
      </c>
      <c r="B2695" s="2" t="n">
        <v>6</v>
      </c>
      <c r="C2695" s="2" t="s">
        <v>102</v>
      </c>
      <c r="D2695" s="2" t="s">
        <v>41</v>
      </c>
      <c r="E2695" s="2" t="str">
        <f aca="false">INDEX(Products!$B$2:$B$13,MATCH(D2695,Products!$A$2:$A$13,0))</f>
        <v>Hydroprocessing</v>
      </c>
      <c r="F2695" s="15" t="n">
        <v>7.4</v>
      </c>
      <c r="G2695" s="16" t="n">
        <f aca="false">IF(A2695="2025",INDEX(Products!$C$2:$C$13,MATCH(D2695,Products!$A$2:$A$13,0)),INDEX(Products!$E$2:$E$13,MATCH(D2695,Products!$A$2:$A$13,0)))</f>
        <v>14770</v>
      </c>
      <c r="H2695" s="13" t="n">
        <f aca="false">IF(A2695="2025",INDEX(Customers!$D$2:$D$41,MATCH(C2695,Customers!$A$2:$A$41,0)),INDEX(Customers!$F$2:$F$41,MATCH(C2695,Customers!$A$2:$A$41,0)))</f>
        <v>0.062</v>
      </c>
      <c r="I2695" s="16" t="n">
        <f aca="false">F2695*G2695</f>
        <v>109298</v>
      </c>
      <c r="J2695" s="16" t="n">
        <f aca="false">I2695*(1-H2695)</f>
        <v>102521.524</v>
      </c>
      <c r="K2695" s="16" t="n">
        <f aca="false">J2695*INDEX(Customers!$G$2:$G$41,MATCH(C2695,Customers!$A$2:$A$41,0))</f>
        <v>0</v>
      </c>
      <c r="L2695" s="16" t="n">
        <f aca="false">F2695*INDEX(Customers!$H$2:$H$41,MATCH(C2695,Customers!$A$2:$A$41,0))</f>
        <v>2590</v>
      </c>
      <c r="M2695" s="16" t="n">
        <f aca="false">J2695*INDEX(Customers!$I$2:$I$41,MATCH(C2695,Customers!$A$2:$A$41,0))/365*Assumptions!$B$6</f>
        <v>674.114130410959</v>
      </c>
      <c r="N2695" s="16" t="n">
        <f aca="false">J2695-K2695-L2695-M2695</f>
        <v>99257.409869589</v>
      </c>
      <c r="O2695" s="16" t="n">
        <f aca="false">F2695*IF(A2695="2025",INDEX(Products!$D$2:$D$13,MATCH(D2695,Products!$A$2:$A$13,0)),INDEX(Products!$F$2:$F$13,MATCH(D2695,Products!$A$2:$A$13,0)))</f>
        <v>70152</v>
      </c>
      <c r="P2695" s="16" t="n">
        <f aca="false">N2695-O2695</f>
        <v>29105.409869589</v>
      </c>
    </row>
    <row r="2696" customFormat="false" ht="15" hidden="false" customHeight="false" outlineLevel="0" collapsed="false">
      <c r="A2696" s="2" t="s">
        <v>118</v>
      </c>
      <c r="B2696" s="2" t="n">
        <v>7</v>
      </c>
      <c r="C2696" s="2" t="s">
        <v>102</v>
      </c>
      <c r="D2696" s="2" t="s">
        <v>41</v>
      </c>
      <c r="E2696" s="2" t="str">
        <f aca="false">INDEX(Products!$B$2:$B$13,MATCH(D2696,Products!$A$2:$A$13,0))</f>
        <v>Hydroprocessing</v>
      </c>
      <c r="F2696" s="15" t="n">
        <v>6.9</v>
      </c>
      <c r="G2696" s="16" t="n">
        <f aca="false">IF(A2696="2025",INDEX(Products!$C$2:$C$13,MATCH(D2696,Products!$A$2:$A$13,0)),INDEX(Products!$E$2:$E$13,MATCH(D2696,Products!$A$2:$A$13,0)))</f>
        <v>14770</v>
      </c>
      <c r="H2696" s="13" t="n">
        <f aca="false">IF(A2696="2025",INDEX(Customers!$D$2:$D$41,MATCH(C2696,Customers!$A$2:$A$41,0)),INDEX(Customers!$F$2:$F$41,MATCH(C2696,Customers!$A$2:$A$41,0)))</f>
        <v>0.062</v>
      </c>
      <c r="I2696" s="16" t="n">
        <f aca="false">F2696*G2696</f>
        <v>101913</v>
      </c>
      <c r="J2696" s="16" t="n">
        <f aca="false">I2696*(1-H2696)</f>
        <v>95594.394</v>
      </c>
      <c r="K2696" s="16" t="n">
        <f aca="false">J2696*INDEX(Customers!$G$2:$G$41,MATCH(C2696,Customers!$A$2:$A$41,0))</f>
        <v>0</v>
      </c>
      <c r="L2696" s="16" t="n">
        <f aca="false">F2696*INDEX(Customers!$H$2:$H$41,MATCH(C2696,Customers!$A$2:$A$41,0))</f>
        <v>2415</v>
      </c>
      <c r="M2696" s="16" t="n">
        <f aca="false">J2696*INDEX(Customers!$I$2:$I$41,MATCH(C2696,Customers!$A$2:$A$41,0))/365*Assumptions!$B$6</f>
        <v>628.565878356164</v>
      </c>
      <c r="N2696" s="16" t="n">
        <f aca="false">J2696-K2696-L2696-M2696</f>
        <v>92550.8281216438</v>
      </c>
      <c r="O2696" s="16" t="n">
        <f aca="false">F2696*IF(A2696="2025",INDEX(Products!$D$2:$D$13,MATCH(D2696,Products!$A$2:$A$13,0)),INDEX(Products!$F$2:$F$13,MATCH(D2696,Products!$A$2:$A$13,0)))</f>
        <v>65412</v>
      </c>
      <c r="P2696" s="16" t="n">
        <f aca="false">N2696-O2696</f>
        <v>27138.8281216438</v>
      </c>
    </row>
    <row r="2697" customFormat="false" ht="15" hidden="false" customHeight="false" outlineLevel="0" collapsed="false">
      <c r="A2697" s="2" t="s">
        <v>118</v>
      </c>
      <c r="B2697" s="2" t="n">
        <v>8</v>
      </c>
      <c r="C2697" s="2" t="s">
        <v>102</v>
      </c>
      <c r="D2697" s="2" t="s">
        <v>41</v>
      </c>
      <c r="E2697" s="2" t="str">
        <f aca="false">INDEX(Products!$B$2:$B$13,MATCH(D2697,Products!$A$2:$A$13,0))</f>
        <v>Hydroprocessing</v>
      </c>
      <c r="F2697" s="15" t="n">
        <v>8.1</v>
      </c>
      <c r="G2697" s="16" t="n">
        <f aca="false">IF(A2697="2025",INDEX(Products!$C$2:$C$13,MATCH(D2697,Products!$A$2:$A$13,0)),INDEX(Products!$E$2:$E$13,MATCH(D2697,Products!$A$2:$A$13,0)))</f>
        <v>14770</v>
      </c>
      <c r="H2697" s="13" t="n">
        <f aca="false">IF(A2697="2025",INDEX(Customers!$D$2:$D$41,MATCH(C2697,Customers!$A$2:$A$41,0)),INDEX(Customers!$F$2:$F$41,MATCH(C2697,Customers!$A$2:$A$41,0)))</f>
        <v>0.062</v>
      </c>
      <c r="I2697" s="16" t="n">
        <f aca="false">F2697*G2697</f>
        <v>119637</v>
      </c>
      <c r="J2697" s="16" t="n">
        <f aca="false">I2697*(1-H2697)</f>
        <v>112219.506</v>
      </c>
      <c r="K2697" s="16" t="n">
        <f aca="false">J2697*INDEX(Customers!$G$2:$G$41,MATCH(C2697,Customers!$A$2:$A$41,0))</f>
        <v>0</v>
      </c>
      <c r="L2697" s="16" t="n">
        <f aca="false">F2697*INDEX(Customers!$H$2:$H$41,MATCH(C2697,Customers!$A$2:$A$41,0))</f>
        <v>2835</v>
      </c>
      <c r="M2697" s="16" t="n">
        <f aca="false">J2697*INDEX(Customers!$I$2:$I$41,MATCH(C2697,Customers!$A$2:$A$41,0))/365*Assumptions!$B$6</f>
        <v>737.881683287671</v>
      </c>
      <c r="N2697" s="16" t="n">
        <f aca="false">J2697-K2697-L2697-M2697</f>
        <v>108646.624316712</v>
      </c>
      <c r="O2697" s="16" t="n">
        <f aca="false">F2697*IF(A2697="2025",INDEX(Products!$D$2:$D$13,MATCH(D2697,Products!$A$2:$A$13,0)),INDEX(Products!$F$2:$F$13,MATCH(D2697,Products!$A$2:$A$13,0)))</f>
        <v>76788</v>
      </c>
      <c r="P2697" s="16" t="n">
        <f aca="false">N2697-O2697</f>
        <v>31858.6243167123</v>
      </c>
    </row>
    <row r="2698" customFormat="false" ht="15" hidden="false" customHeight="false" outlineLevel="0" collapsed="false">
      <c r="A2698" s="2" t="s">
        <v>118</v>
      </c>
      <c r="B2698" s="2" t="n">
        <v>9</v>
      </c>
      <c r="C2698" s="2" t="s">
        <v>102</v>
      </c>
      <c r="D2698" s="2" t="s">
        <v>41</v>
      </c>
      <c r="E2698" s="2" t="str">
        <f aca="false">INDEX(Products!$B$2:$B$13,MATCH(D2698,Products!$A$2:$A$13,0))</f>
        <v>Hydroprocessing</v>
      </c>
      <c r="F2698" s="15" t="n">
        <v>7.3</v>
      </c>
      <c r="G2698" s="16" t="n">
        <f aca="false">IF(A2698="2025",INDEX(Products!$C$2:$C$13,MATCH(D2698,Products!$A$2:$A$13,0)),INDEX(Products!$E$2:$E$13,MATCH(D2698,Products!$A$2:$A$13,0)))</f>
        <v>14770</v>
      </c>
      <c r="H2698" s="13" t="n">
        <f aca="false">IF(A2698="2025",INDEX(Customers!$D$2:$D$41,MATCH(C2698,Customers!$A$2:$A$41,0)),INDEX(Customers!$F$2:$F$41,MATCH(C2698,Customers!$A$2:$A$41,0)))</f>
        <v>0.062</v>
      </c>
      <c r="I2698" s="16" t="n">
        <f aca="false">F2698*G2698</f>
        <v>107821</v>
      </c>
      <c r="J2698" s="16" t="n">
        <f aca="false">I2698*(1-H2698)</f>
        <v>101136.098</v>
      </c>
      <c r="K2698" s="16" t="n">
        <f aca="false">J2698*INDEX(Customers!$G$2:$G$41,MATCH(C2698,Customers!$A$2:$A$41,0))</f>
        <v>0</v>
      </c>
      <c r="L2698" s="16" t="n">
        <f aca="false">F2698*INDEX(Customers!$H$2:$H$41,MATCH(C2698,Customers!$A$2:$A$41,0))</f>
        <v>2555</v>
      </c>
      <c r="M2698" s="16" t="n">
        <f aca="false">J2698*INDEX(Customers!$I$2:$I$41,MATCH(C2698,Customers!$A$2:$A$41,0))/365*Assumptions!$B$6</f>
        <v>665.00448</v>
      </c>
      <c r="N2698" s="16" t="n">
        <f aca="false">J2698-K2698-L2698-M2698</f>
        <v>97916.09352</v>
      </c>
      <c r="O2698" s="16" t="n">
        <f aca="false">F2698*IF(A2698="2025",INDEX(Products!$D$2:$D$13,MATCH(D2698,Products!$A$2:$A$13,0)),INDEX(Products!$F$2:$F$13,MATCH(D2698,Products!$A$2:$A$13,0)))</f>
        <v>69204</v>
      </c>
      <c r="P2698" s="16" t="n">
        <f aca="false">N2698-O2698</f>
        <v>28712.09352</v>
      </c>
    </row>
    <row r="2699" customFormat="false" ht="15" hidden="false" customHeight="false" outlineLevel="0" collapsed="false">
      <c r="A2699" s="2" t="s">
        <v>118</v>
      </c>
      <c r="B2699" s="2" t="n">
        <v>10</v>
      </c>
      <c r="C2699" s="2" t="s">
        <v>102</v>
      </c>
      <c r="D2699" s="2" t="s">
        <v>41</v>
      </c>
      <c r="E2699" s="2" t="str">
        <f aca="false">INDEX(Products!$B$2:$B$13,MATCH(D2699,Products!$A$2:$A$13,0))</f>
        <v>Hydroprocessing</v>
      </c>
      <c r="F2699" s="15" t="n">
        <v>6.7</v>
      </c>
      <c r="G2699" s="16" t="n">
        <f aca="false">IF(A2699="2025",INDEX(Products!$C$2:$C$13,MATCH(D2699,Products!$A$2:$A$13,0)),INDEX(Products!$E$2:$E$13,MATCH(D2699,Products!$A$2:$A$13,0)))</f>
        <v>14770</v>
      </c>
      <c r="H2699" s="13" t="n">
        <f aca="false">IF(A2699="2025",INDEX(Customers!$D$2:$D$41,MATCH(C2699,Customers!$A$2:$A$41,0)),INDEX(Customers!$F$2:$F$41,MATCH(C2699,Customers!$A$2:$A$41,0)))</f>
        <v>0.062</v>
      </c>
      <c r="I2699" s="16" t="n">
        <f aca="false">F2699*G2699</f>
        <v>98959</v>
      </c>
      <c r="J2699" s="16" t="n">
        <f aca="false">I2699*(1-H2699)</f>
        <v>92823.542</v>
      </c>
      <c r="K2699" s="16" t="n">
        <f aca="false">J2699*INDEX(Customers!$G$2:$G$41,MATCH(C2699,Customers!$A$2:$A$41,0))</f>
        <v>0</v>
      </c>
      <c r="L2699" s="16" t="n">
        <f aca="false">F2699*INDEX(Customers!$H$2:$H$41,MATCH(C2699,Customers!$A$2:$A$41,0))</f>
        <v>2345</v>
      </c>
      <c r="M2699" s="16" t="n">
        <f aca="false">J2699*INDEX(Customers!$I$2:$I$41,MATCH(C2699,Customers!$A$2:$A$41,0))/365*Assumptions!$B$6</f>
        <v>610.346577534247</v>
      </c>
      <c r="N2699" s="16" t="n">
        <f aca="false">J2699-K2699-L2699-M2699</f>
        <v>89868.1954224658</v>
      </c>
      <c r="O2699" s="16" t="n">
        <f aca="false">F2699*IF(A2699="2025",INDEX(Products!$D$2:$D$13,MATCH(D2699,Products!$A$2:$A$13,0)),INDEX(Products!$F$2:$F$13,MATCH(D2699,Products!$A$2:$A$13,0)))</f>
        <v>63516</v>
      </c>
      <c r="P2699" s="16" t="n">
        <f aca="false">N2699-O2699</f>
        <v>26352.1954224658</v>
      </c>
    </row>
    <row r="2700" customFormat="false" ht="15" hidden="false" customHeight="false" outlineLevel="0" collapsed="false">
      <c r="A2700" s="2" t="s">
        <v>118</v>
      </c>
      <c r="B2700" s="2" t="n">
        <v>11</v>
      </c>
      <c r="C2700" s="2" t="s">
        <v>102</v>
      </c>
      <c r="D2700" s="2" t="s">
        <v>41</v>
      </c>
      <c r="E2700" s="2" t="str">
        <f aca="false">INDEX(Products!$B$2:$B$13,MATCH(D2700,Products!$A$2:$A$13,0))</f>
        <v>Hydroprocessing</v>
      </c>
      <c r="F2700" s="15" t="n">
        <v>7.5</v>
      </c>
      <c r="G2700" s="16" t="n">
        <f aca="false">IF(A2700="2025",INDEX(Products!$C$2:$C$13,MATCH(D2700,Products!$A$2:$A$13,0)),INDEX(Products!$E$2:$E$13,MATCH(D2700,Products!$A$2:$A$13,0)))</f>
        <v>14770</v>
      </c>
      <c r="H2700" s="13" t="n">
        <f aca="false">IF(A2700="2025",INDEX(Customers!$D$2:$D$41,MATCH(C2700,Customers!$A$2:$A$41,0)),INDEX(Customers!$F$2:$F$41,MATCH(C2700,Customers!$A$2:$A$41,0)))</f>
        <v>0.062</v>
      </c>
      <c r="I2700" s="16" t="n">
        <f aca="false">F2700*G2700</f>
        <v>110775</v>
      </c>
      <c r="J2700" s="16" t="n">
        <f aca="false">I2700*(1-H2700)</f>
        <v>103906.95</v>
      </c>
      <c r="K2700" s="16" t="n">
        <f aca="false">J2700*INDEX(Customers!$G$2:$G$41,MATCH(C2700,Customers!$A$2:$A$41,0))</f>
        <v>0</v>
      </c>
      <c r="L2700" s="16" t="n">
        <f aca="false">F2700*INDEX(Customers!$H$2:$H$41,MATCH(C2700,Customers!$A$2:$A$41,0))</f>
        <v>2625</v>
      </c>
      <c r="M2700" s="16" t="n">
        <f aca="false">J2700*INDEX(Customers!$I$2:$I$41,MATCH(C2700,Customers!$A$2:$A$41,0))/365*Assumptions!$B$6</f>
        <v>683.223780821918</v>
      </c>
      <c r="N2700" s="16" t="n">
        <f aca="false">J2700-K2700-L2700-M2700</f>
        <v>100598.726219178</v>
      </c>
      <c r="O2700" s="16" t="n">
        <f aca="false">F2700*IF(A2700="2025",INDEX(Products!$D$2:$D$13,MATCH(D2700,Products!$A$2:$A$13,0)),INDEX(Products!$F$2:$F$13,MATCH(D2700,Products!$A$2:$A$13,0)))</f>
        <v>71100</v>
      </c>
      <c r="P2700" s="16" t="n">
        <f aca="false">N2700-O2700</f>
        <v>29498.7262191781</v>
      </c>
    </row>
    <row r="2701" customFormat="false" ht="15" hidden="false" customHeight="false" outlineLevel="0" collapsed="false">
      <c r="A2701" s="2" t="s">
        <v>118</v>
      </c>
      <c r="B2701" s="2" t="n">
        <v>12</v>
      </c>
      <c r="C2701" s="2" t="s">
        <v>102</v>
      </c>
      <c r="D2701" s="2" t="s">
        <v>41</v>
      </c>
      <c r="E2701" s="2" t="str">
        <f aca="false">INDEX(Products!$B$2:$B$13,MATCH(D2701,Products!$A$2:$A$13,0))</f>
        <v>Hydroprocessing</v>
      </c>
      <c r="F2701" s="15" t="n">
        <v>6.1</v>
      </c>
      <c r="G2701" s="16" t="n">
        <f aca="false">IF(A2701="2025",INDEX(Products!$C$2:$C$13,MATCH(D2701,Products!$A$2:$A$13,0)),INDEX(Products!$E$2:$E$13,MATCH(D2701,Products!$A$2:$A$13,0)))</f>
        <v>14770</v>
      </c>
      <c r="H2701" s="13" t="n">
        <f aca="false">IF(A2701="2025",INDEX(Customers!$D$2:$D$41,MATCH(C2701,Customers!$A$2:$A$41,0)),INDEX(Customers!$F$2:$F$41,MATCH(C2701,Customers!$A$2:$A$41,0)))</f>
        <v>0.062</v>
      </c>
      <c r="I2701" s="16" t="n">
        <f aca="false">F2701*G2701</f>
        <v>90097</v>
      </c>
      <c r="J2701" s="16" t="n">
        <f aca="false">I2701*(1-H2701)</f>
        <v>84510.986</v>
      </c>
      <c r="K2701" s="16" t="n">
        <f aca="false">J2701*INDEX(Customers!$G$2:$G$41,MATCH(C2701,Customers!$A$2:$A$41,0))</f>
        <v>0</v>
      </c>
      <c r="L2701" s="16" t="n">
        <f aca="false">F2701*INDEX(Customers!$H$2:$H$41,MATCH(C2701,Customers!$A$2:$A$41,0))</f>
        <v>2135</v>
      </c>
      <c r="M2701" s="16" t="n">
        <f aca="false">J2701*INDEX(Customers!$I$2:$I$41,MATCH(C2701,Customers!$A$2:$A$41,0))/365*Assumptions!$B$6</f>
        <v>555.688675068493</v>
      </c>
      <c r="N2701" s="16" t="n">
        <f aca="false">J2701-K2701-L2701-M2701</f>
        <v>81820.2973249315</v>
      </c>
      <c r="O2701" s="16" t="n">
        <f aca="false">F2701*IF(A2701="2025",INDEX(Products!$D$2:$D$13,MATCH(D2701,Products!$A$2:$A$13,0)),INDEX(Products!$F$2:$F$13,MATCH(D2701,Products!$A$2:$A$13,0)))</f>
        <v>57828</v>
      </c>
      <c r="P2701" s="16" t="n">
        <f aca="false">N2701-O2701</f>
        <v>23992.2973249315</v>
      </c>
    </row>
    <row r="2702" customFormat="false" ht="15" hidden="false" customHeight="false" outlineLevel="0" collapsed="false">
      <c r="A2702" s="2" t="s">
        <v>119</v>
      </c>
      <c r="B2702" s="2" t="n">
        <v>1</v>
      </c>
      <c r="C2702" s="2" t="s">
        <v>102</v>
      </c>
      <c r="D2702" s="2" t="s">
        <v>41</v>
      </c>
      <c r="E2702" s="2" t="str">
        <f aca="false">INDEX(Products!$B$2:$B$13,MATCH(D2702,Products!$A$2:$A$13,0))</f>
        <v>Hydroprocessing</v>
      </c>
      <c r="F2702" s="15" t="n">
        <v>9.1</v>
      </c>
      <c r="G2702" s="16" t="n">
        <f aca="false">IF(A2702="2025",INDEX(Products!$C$2:$C$13,MATCH(D2702,Products!$A$2:$A$13,0)),INDEX(Products!$E$2:$E$13,MATCH(D2702,Products!$A$2:$A$13,0)))</f>
        <v>15508.5</v>
      </c>
      <c r="H2702" s="13" t="n">
        <f aca="false">IF(A2702="2025",INDEX(Customers!$D$2:$D$41,MATCH(C2702,Customers!$A$2:$A$41,0)),INDEX(Customers!$F$2:$F$41,MATCH(C2702,Customers!$A$2:$A$41,0)))</f>
        <v>0.068</v>
      </c>
      <c r="I2702" s="16" t="n">
        <f aca="false">F2702*G2702</f>
        <v>141127.35</v>
      </c>
      <c r="J2702" s="16" t="n">
        <f aca="false">I2702*(1-H2702)</f>
        <v>131530.6902</v>
      </c>
      <c r="K2702" s="16" t="n">
        <f aca="false">J2702*INDEX(Customers!$G$2:$G$41,MATCH(C2702,Customers!$A$2:$A$41,0))</f>
        <v>0</v>
      </c>
      <c r="L2702" s="16" t="n">
        <f aca="false">F2702*INDEX(Customers!$H$2:$H$41,MATCH(C2702,Customers!$A$2:$A$41,0))</f>
        <v>3185</v>
      </c>
      <c r="M2702" s="16" t="n">
        <f aca="false">J2702*INDEX(Customers!$I$2:$I$41,MATCH(C2702,Customers!$A$2:$A$41,0))/365*Assumptions!$B$6</f>
        <v>864.859332821918</v>
      </c>
      <c r="N2702" s="16" t="n">
        <f aca="false">J2702-K2702-L2702-M2702</f>
        <v>127480.830867178</v>
      </c>
      <c r="O2702" s="16" t="n">
        <f aca="false">F2702*IF(A2702="2025",INDEX(Products!$D$2:$D$13,MATCH(D2702,Products!$A$2:$A$13,0)),INDEX(Products!$F$2:$F$13,MATCH(D2702,Products!$A$2:$A$13,0)))</f>
        <v>88856.04</v>
      </c>
      <c r="P2702" s="16" t="n">
        <f aca="false">N2702-O2702</f>
        <v>38624.7908671781</v>
      </c>
    </row>
    <row r="2703" customFormat="false" ht="15" hidden="false" customHeight="false" outlineLevel="0" collapsed="false">
      <c r="A2703" s="2" t="s">
        <v>119</v>
      </c>
      <c r="B2703" s="2" t="n">
        <v>2</v>
      </c>
      <c r="C2703" s="2" t="s">
        <v>102</v>
      </c>
      <c r="D2703" s="2" t="s">
        <v>41</v>
      </c>
      <c r="E2703" s="2" t="str">
        <f aca="false">INDEX(Products!$B$2:$B$13,MATCH(D2703,Products!$A$2:$A$13,0))</f>
        <v>Hydroprocessing</v>
      </c>
      <c r="F2703" s="15" t="n">
        <v>9</v>
      </c>
      <c r="G2703" s="16" t="n">
        <f aca="false">IF(A2703="2025",INDEX(Products!$C$2:$C$13,MATCH(D2703,Products!$A$2:$A$13,0)),INDEX(Products!$E$2:$E$13,MATCH(D2703,Products!$A$2:$A$13,0)))</f>
        <v>15508.5</v>
      </c>
      <c r="H2703" s="13" t="n">
        <f aca="false">IF(A2703="2025",INDEX(Customers!$D$2:$D$41,MATCH(C2703,Customers!$A$2:$A$41,0)),INDEX(Customers!$F$2:$F$41,MATCH(C2703,Customers!$A$2:$A$41,0)))</f>
        <v>0.068</v>
      </c>
      <c r="I2703" s="16" t="n">
        <f aca="false">F2703*G2703</f>
        <v>139576.5</v>
      </c>
      <c r="J2703" s="16" t="n">
        <f aca="false">I2703*(1-H2703)</f>
        <v>130085.298</v>
      </c>
      <c r="K2703" s="16" t="n">
        <f aca="false">J2703*INDEX(Customers!$G$2:$G$41,MATCH(C2703,Customers!$A$2:$A$41,0))</f>
        <v>0</v>
      </c>
      <c r="L2703" s="16" t="n">
        <f aca="false">F2703*INDEX(Customers!$H$2:$H$41,MATCH(C2703,Customers!$A$2:$A$41,0))</f>
        <v>3150</v>
      </c>
      <c r="M2703" s="16" t="n">
        <f aca="false">J2703*INDEX(Customers!$I$2:$I$41,MATCH(C2703,Customers!$A$2:$A$41,0))/365*Assumptions!$B$6</f>
        <v>855.355384109589</v>
      </c>
      <c r="N2703" s="16" t="n">
        <f aca="false">J2703-K2703-L2703-M2703</f>
        <v>126079.94261589</v>
      </c>
      <c r="O2703" s="16" t="n">
        <f aca="false">F2703*IF(A2703="2025",INDEX(Products!$D$2:$D$13,MATCH(D2703,Products!$A$2:$A$13,0)),INDEX(Products!$F$2:$F$13,MATCH(D2703,Products!$A$2:$A$13,0)))</f>
        <v>87879.6</v>
      </c>
      <c r="P2703" s="16" t="n">
        <f aca="false">N2703-O2703</f>
        <v>38200.3426158904</v>
      </c>
    </row>
    <row r="2704" customFormat="false" ht="15" hidden="false" customHeight="false" outlineLevel="0" collapsed="false">
      <c r="A2704" s="2" t="s">
        <v>119</v>
      </c>
      <c r="B2704" s="2" t="n">
        <v>3</v>
      </c>
      <c r="C2704" s="2" t="s">
        <v>102</v>
      </c>
      <c r="D2704" s="2" t="s">
        <v>41</v>
      </c>
      <c r="E2704" s="2" t="str">
        <f aca="false">INDEX(Products!$B$2:$B$13,MATCH(D2704,Products!$A$2:$A$13,0))</f>
        <v>Hydroprocessing</v>
      </c>
      <c r="F2704" s="15" t="n">
        <v>6.1</v>
      </c>
      <c r="G2704" s="16" t="n">
        <f aca="false">IF(A2704="2025",INDEX(Products!$C$2:$C$13,MATCH(D2704,Products!$A$2:$A$13,0)),INDEX(Products!$E$2:$E$13,MATCH(D2704,Products!$A$2:$A$13,0)))</f>
        <v>15508.5</v>
      </c>
      <c r="H2704" s="13" t="n">
        <f aca="false">IF(A2704="2025",INDEX(Customers!$D$2:$D$41,MATCH(C2704,Customers!$A$2:$A$41,0)),INDEX(Customers!$F$2:$F$41,MATCH(C2704,Customers!$A$2:$A$41,0)))</f>
        <v>0.068</v>
      </c>
      <c r="I2704" s="16" t="n">
        <f aca="false">F2704*G2704</f>
        <v>94601.85</v>
      </c>
      <c r="J2704" s="16" t="n">
        <f aca="false">I2704*(1-H2704)</f>
        <v>88168.9242</v>
      </c>
      <c r="K2704" s="16" t="n">
        <f aca="false">J2704*INDEX(Customers!$G$2:$G$41,MATCH(C2704,Customers!$A$2:$A$41,0))</f>
        <v>0</v>
      </c>
      <c r="L2704" s="16" t="n">
        <f aca="false">F2704*INDEX(Customers!$H$2:$H$41,MATCH(C2704,Customers!$A$2:$A$41,0))</f>
        <v>2135</v>
      </c>
      <c r="M2704" s="16" t="n">
        <f aca="false">J2704*INDEX(Customers!$I$2:$I$41,MATCH(C2704,Customers!$A$2:$A$41,0))/365*Assumptions!$B$6</f>
        <v>579.740871452055</v>
      </c>
      <c r="N2704" s="16" t="n">
        <f aca="false">J2704-K2704-L2704-M2704</f>
        <v>85454.1833285479</v>
      </c>
      <c r="O2704" s="16" t="n">
        <f aca="false">F2704*IF(A2704="2025",INDEX(Products!$D$2:$D$13,MATCH(D2704,Products!$A$2:$A$13,0)),INDEX(Products!$F$2:$F$13,MATCH(D2704,Products!$A$2:$A$13,0)))</f>
        <v>59562.84</v>
      </c>
      <c r="P2704" s="16" t="n">
        <f aca="false">N2704-O2704</f>
        <v>25891.3433285479</v>
      </c>
    </row>
    <row r="2705" customFormat="false" ht="15" hidden="false" customHeight="false" outlineLevel="0" collapsed="false">
      <c r="A2705" s="2" t="s">
        <v>119</v>
      </c>
      <c r="B2705" s="2" t="n">
        <v>4</v>
      </c>
      <c r="C2705" s="2" t="s">
        <v>102</v>
      </c>
      <c r="D2705" s="2" t="s">
        <v>41</v>
      </c>
      <c r="E2705" s="2" t="str">
        <f aca="false">INDEX(Products!$B$2:$B$13,MATCH(D2705,Products!$A$2:$A$13,0))</f>
        <v>Hydroprocessing</v>
      </c>
      <c r="F2705" s="15" t="n">
        <v>8.2</v>
      </c>
      <c r="G2705" s="16" t="n">
        <f aca="false">IF(A2705="2025",INDEX(Products!$C$2:$C$13,MATCH(D2705,Products!$A$2:$A$13,0)),INDEX(Products!$E$2:$E$13,MATCH(D2705,Products!$A$2:$A$13,0)))</f>
        <v>15508.5</v>
      </c>
      <c r="H2705" s="13" t="n">
        <f aca="false">IF(A2705="2025",INDEX(Customers!$D$2:$D$41,MATCH(C2705,Customers!$A$2:$A$41,0)),INDEX(Customers!$F$2:$F$41,MATCH(C2705,Customers!$A$2:$A$41,0)))</f>
        <v>0.068</v>
      </c>
      <c r="I2705" s="16" t="n">
        <f aca="false">F2705*G2705</f>
        <v>127169.7</v>
      </c>
      <c r="J2705" s="16" t="n">
        <f aca="false">I2705*(1-H2705)</f>
        <v>118522.1604</v>
      </c>
      <c r="K2705" s="16" t="n">
        <f aca="false">J2705*INDEX(Customers!$G$2:$G$41,MATCH(C2705,Customers!$A$2:$A$41,0))</f>
        <v>0</v>
      </c>
      <c r="L2705" s="16" t="n">
        <f aca="false">F2705*INDEX(Customers!$H$2:$H$41,MATCH(C2705,Customers!$A$2:$A$41,0))</f>
        <v>2870</v>
      </c>
      <c r="M2705" s="16" t="n">
        <f aca="false">J2705*INDEX(Customers!$I$2:$I$41,MATCH(C2705,Customers!$A$2:$A$41,0))/365*Assumptions!$B$6</f>
        <v>779.323794410959</v>
      </c>
      <c r="N2705" s="16" t="n">
        <f aca="false">J2705-K2705-L2705-M2705</f>
        <v>114872.836605589</v>
      </c>
      <c r="O2705" s="16" t="n">
        <f aca="false">F2705*IF(A2705="2025",INDEX(Products!$D$2:$D$13,MATCH(D2705,Products!$A$2:$A$13,0)),INDEX(Products!$F$2:$F$13,MATCH(D2705,Products!$A$2:$A$13,0)))</f>
        <v>80068.08</v>
      </c>
      <c r="P2705" s="16" t="n">
        <f aca="false">N2705-O2705</f>
        <v>34804.756605589</v>
      </c>
    </row>
    <row r="2706" customFormat="false" ht="15" hidden="false" customHeight="false" outlineLevel="0" collapsed="false">
      <c r="A2706" s="2" t="s">
        <v>119</v>
      </c>
      <c r="B2706" s="2" t="n">
        <v>5</v>
      </c>
      <c r="C2706" s="2" t="s">
        <v>102</v>
      </c>
      <c r="D2706" s="2" t="s">
        <v>41</v>
      </c>
      <c r="E2706" s="2" t="str">
        <f aca="false">INDEX(Products!$B$2:$B$13,MATCH(D2706,Products!$A$2:$A$13,0))</f>
        <v>Hydroprocessing</v>
      </c>
      <c r="F2706" s="15" t="n">
        <v>5.7</v>
      </c>
      <c r="G2706" s="16" t="n">
        <f aca="false">IF(A2706="2025",INDEX(Products!$C$2:$C$13,MATCH(D2706,Products!$A$2:$A$13,0)),INDEX(Products!$E$2:$E$13,MATCH(D2706,Products!$A$2:$A$13,0)))</f>
        <v>15508.5</v>
      </c>
      <c r="H2706" s="13" t="n">
        <f aca="false">IF(A2706="2025",INDEX(Customers!$D$2:$D$41,MATCH(C2706,Customers!$A$2:$A$41,0)),INDEX(Customers!$F$2:$F$41,MATCH(C2706,Customers!$A$2:$A$41,0)))</f>
        <v>0.068</v>
      </c>
      <c r="I2706" s="16" t="n">
        <f aca="false">F2706*G2706</f>
        <v>88398.45</v>
      </c>
      <c r="J2706" s="16" t="n">
        <f aca="false">I2706*(1-H2706)</f>
        <v>82387.3554</v>
      </c>
      <c r="K2706" s="16" t="n">
        <f aca="false">J2706*INDEX(Customers!$G$2:$G$41,MATCH(C2706,Customers!$A$2:$A$41,0))</f>
        <v>0</v>
      </c>
      <c r="L2706" s="16" t="n">
        <f aca="false">F2706*INDEX(Customers!$H$2:$H$41,MATCH(C2706,Customers!$A$2:$A$41,0))</f>
        <v>1995</v>
      </c>
      <c r="M2706" s="16" t="n">
        <f aca="false">J2706*INDEX(Customers!$I$2:$I$41,MATCH(C2706,Customers!$A$2:$A$41,0))/365*Assumptions!$B$6</f>
        <v>541.72507660274</v>
      </c>
      <c r="N2706" s="16" t="n">
        <f aca="false">J2706-K2706-L2706-M2706</f>
        <v>79850.6303233972</v>
      </c>
      <c r="O2706" s="16" t="n">
        <f aca="false">F2706*IF(A2706="2025",INDEX(Products!$D$2:$D$13,MATCH(D2706,Products!$A$2:$A$13,0)),INDEX(Products!$F$2:$F$13,MATCH(D2706,Products!$A$2:$A$13,0)))</f>
        <v>55657.08</v>
      </c>
      <c r="P2706" s="16" t="n">
        <f aca="false">N2706-O2706</f>
        <v>24193.5503233972</v>
      </c>
    </row>
    <row r="2707" customFormat="false" ht="15" hidden="false" customHeight="false" outlineLevel="0" collapsed="false">
      <c r="A2707" s="2" t="s">
        <v>119</v>
      </c>
      <c r="B2707" s="2" t="n">
        <v>6</v>
      </c>
      <c r="C2707" s="2" t="s">
        <v>102</v>
      </c>
      <c r="D2707" s="2" t="s">
        <v>41</v>
      </c>
      <c r="E2707" s="2" t="str">
        <f aca="false">INDEX(Products!$B$2:$B$13,MATCH(D2707,Products!$A$2:$A$13,0))</f>
        <v>Hydroprocessing</v>
      </c>
      <c r="F2707" s="15" t="n">
        <v>7.9</v>
      </c>
      <c r="G2707" s="16" t="n">
        <f aca="false">IF(A2707="2025",INDEX(Products!$C$2:$C$13,MATCH(D2707,Products!$A$2:$A$13,0)),INDEX(Products!$E$2:$E$13,MATCH(D2707,Products!$A$2:$A$13,0)))</f>
        <v>15508.5</v>
      </c>
      <c r="H2707" s="13" t="n">
        <f aca="false">IF(A2707="2025",INDEX(Customers!$D$2:$D$41,MATCH(C2707,Customers!$A$2:$A$41,0)),INDEX(Customers!$F$2:$F$41,MATCH(C2707,Customers!$A$2:$A$41,0)))</f>
        <v>0.068</v>
      </c>
      <c r="I2707" s="16" t="n">
        <f aca="false">F2707*G2707</f>
        <v>122517.15</v>
      </c>
      <c r="J2707" s="16" t="n">
        <f aca="false">I2707*(1-H2707)</f>
        <v>114185.9838</v>
      </c>
      <c r="K2707" s="16" t="n">
        <f aca="false">J2707*INDEX(Customers!$G$2:$G$41,MATCH(C2707,Customers!$A$2:$A$41,0))</f>
        <v>0</v>
      </c>
      <c r="L2707" s="16" t="n">
        <f aca="false">F2707*INDEX(Customers!$H$2:$H$41,MATCH(C2707,Customers!$A$2:$A$41,0))</f>
        <v>2765</v>
      </c>
      <c r="M2707" s="16" t="n">
        <f aca="false">J2707*INDEX(Customers!$I$2:$I$41,MATCH(C2707,Customers!$A$2:$A$41,0))/365*Assumptions!$B$6</f>
        <v>750.811948273973</v>
      </c>
      <c r="N2707" s="16" t="n">
        <f aca="false">J2707-K2707-L2707-M2707</f>
        <v>110670.171851726</v>
      </c>
      <c r="O2707" s="16" t="n">
        <f aca="false">F2707*IF(A2707="2025",INDEX(Products!$D$2:$D$13,MATCH(D2707,Products!$A$2:$A$13,0)),INDEX(Products!$F$2:$F$13,MATCH(D2707,Products!$A$2:$A$13,0)))</f>
        <v>77138.76</v>
      </c>
      <c r="P2707" s="16" t="n">
        <f aca="false">N2707-O2707</f>
        <v>33531.411851726</v>
      </c>
    </row>
    <row r="2708" customFormat="false" ht="15" hidden="false" customHeight="false" outlineLevel="0" collapsed="false">
      <c r="A2708" s="2" t="s">
        <v>119</v>
      </c>
      <c r="B2708" s="2" t="n">
        <v>7</v>
      </c>
      <c r="C2708" s="2" t="s">
        <v>102</v>
      </c>
      <c r="D2708" s="2" t="s">
        <v>41</v>
      </c>
      <c r="E2708" s="2" t="str">
        <f aca="false">INDEX(Products!$B$2:$B$13,MATCH(D2708,Products!$A$2:$A$13,0))</f>
        <v>Hydroprocessing</v>
      </c>
      <c r="F2708" s="15" t="n">
        <v>9.5</v>
      </c>
      <c r="G2708" s="16" t="n">
        <f aca="false">IF(A2708="2025",INDEX(Products!$C$2:$C$13,MATCH(D2708,Products!$A$2:$A$13,0)),INDEX(Products!$E$2:$E$13,MATCH(D2708,Products!$A$2:$A$13,0)))</f>
        <v>15508.5</v>
      </c>
      <c r="H2708" s="13" t="n">
        <f aca="false">IF(A2708="2025",INDEX(Customers!$D$2:$D$41,MATCH(C2708,Customers!$A$2:$A$41,0)),INDEX(Customers!$F$2:$F$41,MATCH(C2708,Customers!$A$2:$A$41,0)))</f>
        <v>0.068</v>
      </c>
      <c r="I2708" s="16" t="n">
        <f aca="false">F2708*G2708</f>
        <v>147330.75</v>
      </c>
      <c r="J2708" s="16" t="n">
        <f aca="false">I2708*(1-H2708)</f>
        <v>137312.259</v>
      </c>
      <c r="K2708" s="16" t="n">
        <f aca="false">J2708*INDEX(Customers!$G$2:$G$41,MATCH(C2708,Customers!$A$2:$A$41,0))</f>
        <v>0</v>
      </c>
      <c r="L2708" s="16" t="n">
        <f aca="false">F2708*INDEX(Customers!$H$2:$H$41,MATCH(C2708,Customers!$A$2:$A$41,0))</f>
        <v>3325</v>
      </c>
      <c r="M2708" s="16" t="n">
        <f aca="false">J2708*INDEX(Customers!$I$2:$I$41,MATCH(C2708,Customers!$A$2:$A$41,0))/365*Assumptions!$B$6</f>
        <v>902.875127671233</v>
      </c>
      <c r="N2708" s="16" t="n">
        <f aca="false">J2708-K2708-L2708-M2708</f>
        <v>133084.383872329</v>
      </c>
      <c r="O2708" s="16" t="n">
        <f aca="false">F2708*IF(A2708="2025",INDEX(Products!$D$2:$D$13,MATCH(D2708,Products!$A$2:$A$13,0)),INDEX(Products!$F$2:$F$13,MATCH(D2708,Products!$A$2:$A$13,0)))</f>
        <v>92761.8</v>
      </c>
      <c r="P2708" s="16" t="n">
        <f aca="false">N2708-O2708</f>
        <v>40322.5838723288</v>
      </c>
    </row>
    <row r="2709" customFormat="false" ht="15" hidden="false" customHeight="false" outlineLevel="0" collapsed="false">
      <c r="A2709" s="2" t="s">
        <v>119</v>
      </c>
      <c r="B2709" s="2" t="n">
        <v>8</v>
      </c>
      <c r="C2709" s="2" t="s">
        <v>102</v>
      </c>
      <c r="D2709" s="2" t="s">
        <v>41</v>
      </c>
      <c r="E2709" s="2" t="str">
        <f aca="false">INDEX(Products!$B$2:$B$13,MATCH(D2709,Products!$A$2:$A$13,0))</f>
        <v>Hydroprocessing</v>
      </c>
      <c r="F2709" s="15" t="n">
        <v>8</v>
      </c>
      <c r="G2709" s="16" t="n">
        <f aca="false">IF(A2709="2025",INDEX(Products!$C$2:$C$13,MATCH(D2709,Products!$A$2:$A$13,0)),INDEX(Products!$E$2:$E$13,MATCH(D2709,Products!$A$2:$A$13,0)))</f>
        <v>15508.5</v>
      </c>
      <c r="H2709" s="13" t="n">
        <f aca="false">IF(A2709="2025",INDEX(Customers!$D$2:$D$41,MATCH(C2709,Customers!$A$2:$A$41,0)),INDEX(Customers!$F$2:$F$41,MATCH(C2709,Customers!$A$2:$A$41,0)))</f>
        <v>0.068</v>
      </c>
      <c r="I2709" s="16" t="n">
        <f aca="false">F2709*G2709</f>
        <v>124068</v>
      </c>
      <c r="J2709" s="16" t="n">
        <f aca="false">I2709*(1-H2709)</f>
        <v>115631.376</v>
      </c>
      <c r="K2709" s="16" t="n">
        <f aca="false">J2709*INDEX(Customers!$G$2:$G$41,MATCH(C2709,Customers!$A$2:$A$41,0))</f>
        <v>0</v>
      </c>
      <c r="L2709" s="16" t="n">
        <f aca="false">F2709*INDEX(Customers!$H$2:$H$41,MATCH(C2709,Customers!$A$2:$A$41,0))</f>
        <v>2800</v>
      </c>
      <c r="M2709" s="16" t="n">
        <f aca="false">J2709*INDEX(Customers!$I$2:$I$41,MATCH(C2709,Customers!$A$2:$A$41,0))/365*Assumptions!$B$6</f>
        <v>760.315896986301</v>
      </c>
      <c r="N2709" s="16" t="n">
        <f aca="false">J2709-K2709-L2709-M2709</f>
        <v>112071.060103014</v>
      </c>
      <c r="O2709" s="16" t="n">
        <f aca="false">F2709*IF(A2709="2025",INDEX(Products!$D$2:$D$13,MATCH(D2709,Products!$A$2:$A$13,0)),INDEX(Products!$F$2:$F$13,MATCH(D2709,Products!$A$2:$A$13,0)))</f>
        <v>78115.2</v>
      </c>
      <c r="P2709" s="16" t="n">
        <f aca="false">N2709-O2709</f>
        <v>33955.8601030137</v>
      </c>
    </row>
    <row r="2710" customFormat="false" ht="15" hidden="false" customHeight="false" outlineLevel="0" collapsed="false">
      <c r="A2710" s="2" t="s">
        <v>119</v>
      </c>
      <c r="B2710" s="2" t="n">
        <v>9</v>
      </c>
      <c r="C2710" s="2" t="s">
        <v>102</v>
      </c>
      <c r="D2710" s="2" t="s">
        <v>41</v>
      </c>
      <c r="E2710" s="2" t="str">
        <f aca="false">INDEX(Products!$B$2:$B$13,MATCH(D2710,Products!$A$2:$A$13,0))</f>
        <v>Hydroprocessing</v>
      </c>
      <c r="F2710" s="15" t="n">
        <v>7.4</v>
      </c>
      <c r="G2710" s="16" t="n">
        <f aca="false">IF(A2710="2025",INDEX(Products!$C$2:$C$13,MATCH(D2710,Products!$A$2:$A$13,0)),INDEX(Products!$E$2:$E$13,MATCH(D2710,Products!$A$2:$A$13,0)))</f>
        <v>15508.5</v>
      </c>
      <c r="H2710" s="13" t="n">
        <f aca="false">IF(A2710="2025",INDEX(Customers!$D$2:$D$41,MATCH(C2710,Customers!$A$2:$A$41,0)),INDEX(Customers!$F$2:$F$41,MATCH(C2710,Customers!$A$2:$A$41,0)))</f>
        <v>0.068</v>
      </c>
      <c r="I2710" s="16" t="n">
        <f aca="false">F2710*G2710</f>
        <v>114762.9</v>
      </c>
      <c r="J2710" s="16" t="n">
        <f aca="false">I2710*(1-H2710)</f>
        <v>106959.0228</v>
      </c>
      <c r="K2710" s="16" t="n">
        <f aca="false">J2710*INDEX(Customers!$G$2:$G$41,MATCH(C2710,Customers!$A$2:$A$41,0))</f>
        <v>0</v>
      </c>
      <c r="L2710" s="16" t="n">
        <f aca="false">F2710*INDEX(Customers!$H$2:$H$41,MATCH(C2710,Customers!$A$2:$A$41,0))</f>
        <v>2590</v>
      </c>
      <c r="M2710" s="16" t="n">
        <f aca="false">J2710*INDEX(Customers!$I$2:$I$41,MATCH(C2710,Customers!$A$2:$A$41,0))/365*Assumptions!$B$6</f>
        <v>703.292204712329</v>
      </c>
      <c r="N2710" s="16" t="n">
        <f aca="false">J2710-K2710-L2710-M2710</f>
        <v>103665.730595288</v>
      </c>
      <c r="O2710" s="16" t="n">
        <f aca="false">F2710*IF(A2710="2025",INDEX(Products!$D$2:$D$13,MATCH(D2710,Products!$A$2:$A$13,0)),INDEX(Products!$F$2:$F$13,MATCH(D2710,Products!$A$2:$A$13,0)))</f>
        <v>72256.56</v>
      </c>
      <c r="P2710" s="16" t="n">
        <f aca="false">N2710-O2710</f>
        <v>31409.1705952877</v>
      </c>
    </row>
    <row r="2711" customFormat="false" ht="15" hidden="false" customHeight="false" outlineLevel="0" collapsed="false">
      <c r="A2711" s="2" t="s">
        <v>119</v>
      </c>
      <c r="B2711" s="2" t="n">
        <v>10</v>
      </c>
      <c r="C2711" s="2" t="s">
        <v>102</v>
      </c>
      <c r="D2711" s="2" t="s">
        <v>41</v>
      </c>
      <c r="E2711" s="2" t="str">
        <f aca="false">INDEX(Products!$B$2:$B$13,MATCH(D2711,Products!$A$2:$A$13,0))</f>
        <v>Hydroprocessing</v>
      </c>
      <c r="F2711" s="15" t="n">
        <v>6.6</v>
      </c>
      <c r="G2711" s="16" t="n">
        <f aca="false">IF(A2711="2025",INDEX(Products!$C$2:$C$13,MATCH(D2711,Products!$A$2:$A$13,0)),INDEX(Products!$E$2:$E$13,MATCH(D2711,Products!$A$2:$A$13,0)))</f>
        <v>15508.5</v>
      </c>
      <c r="H2711" s="13" t="n">
        <f aca="false">IF(A2711="2025",INDEX(Customers!$D$2:$D$41,MATCH(C2711,Customers!$A$2:$A$41,0)),INDEX(Customers!$F$2:$F$41,MATCH(C2711,Customers!$A$2:$A$41,0)))</f>
        <v>0.068</v>
      </c>
      <c r="I2711" s="16" t="n">
        <f aca="false">F2711*G2711</f>
        <v>102356.1</v>
      </c>
      <c r="J2711" s="16" t="n">
        <f aca="false">I2711*(1-H2711)</f>
        <v>95395.8852</v>
      </c>
      <c r="K2711" s="16" t="n">
        <f aca="false">J2711*INDEX(Customers!$G$2:$G$41,MATCH(C2711,Customers!$A$2:$A$41,0))</f>
        <v>0</v>
      </c>
      <c r="L2711" s="16" t="n">
        <f aca="false">F2711*INDEX(Customers!$H$2:$H$41,MATCH(C2711,Customers!$A$2:$A$41,0))</f>
        <v>2310</v>
      </c>
      <c r="M2711" s="16" t="n">
        <f aca="false">J2711*INDEX(Customers!$I$2:$I$41,MATCH(C2711,Customers!$A$2:$A$41,0))/365*Assumptions!$B$6</f>
        <v>627.260615013699</v>
      </c>
      <c r="N2711" s="16" t="n">
        <f aca="false">J2711-K2711-L2711-M2711</f>
        <v>92458.6245849863</v>
      </c>
      <c r="O2711" s="16" t="n">
        <f aca="false">F2711*IF(A2711="2025",INDEX(Products!$D$2:$D$13,MATCH(D2711,Products!$A$2:$A$13,0)),INDEX(Products!$F$2:$F$13,MATCH(D2711,Products!$A$2:$A$13,0)))</f>
        <v>64445.04</v>
      </c>
      <c r="P2711" s="16" t="n">
        <f aca="false">N2711-O2711</f>
        <v>28013.5845849863</v>
      </c>
    </row>
    <row r="2712" customFormat="false" ht="15" hidden="false" customHeight="false" outlineLevel="0" collapsed="false">
      <c r="A2712" s="2" t="s">
        <v>119</v>
      </c>
      <c r="B2712" s="2" t="n">
        <v>11</v>
      </c>
      <c r="C2712" s="2" t="s">
        <v>102</v>
      </c>
      <c r="D2712" s="2" t="s">
        <v>41</v>
      </c>
      <c r="E2712" s="2" t="str">
        <f aca="false">INDEX(Products!$B$2:$B$13,MATCH(D2712,Products!$A$2:$A$13,0))</f>
        <v>Hydroprocessing</v>
      </c>
      <c r="F2712" s="15" t="n">
        <v>9.4</v>
      </c>
      <c r="G2712" s="16" t="n">
        <f aca="false">IF(A2712="2025",INDEX(Products!$C$2:$C$13,MATCH(D2712,Products!$A$2:$A$13,0)),INDEX(Products!$E$2:$E$13,MATCH(D2712,Products!$A$2:$A$13,0)))</f>
        <v>15508.5</v>
      </c>
      <c r="H2712" s="13" t="n">
        <f aca="false">IF(A2712="2025",INDEX(Customers!$D$2:$D$41,MATCH(C2712,Customers!$A$2:$A$41,0)),INDEX(Customers!$F$2:$F$41,MATCH(C2712,Customers!$A$2:$A$41,0)))</f>
        <v>0.068</v>
      </c>
      <c r="I2712" s="16" t="n">
        <f aca="false">F2712*G2712</f>
        <v>145779.9</v>
      </c>
      <c r="J2712" s="16" t="n">
        <f aca="false">I2712*(1-H2712)</f>
        <v>135866.8668</v>
      </c>
      <c r="K2712" s="16" t="n">
        <f aca="false">J2712*INDEX(Customers!$G$2:$G$41,MATCH(C2712,Customers!$A$2:$A$41,0))</f>
        <v>0</v>
      </c>
      <c r="L2712" s="16" t="n">
        <f aca="false">F2712*INDEX(Customers!$H$2:$H$41,MATCH(C2712,Customers!$A$2:$A$41,0))</f>
        <v>3290</v>
      </c>
      <c r="M2712" s="16" t="n">
        <f aca="false">J2712*INDEX(Customers!$I$2:$I$41,MATCH(C2712,Customers!$A$2:$A$41,0))/365*Assumptions!$B$6</f>
        <v>893.371178958904</v>
      </c>
      <c r="N2712" s="16" t="n">
        <f aca="false">J2712-K2712-L2712-M2712</f>
        <v>131683.495621041</v>
      </c>
      <c r="O2712" s="16" t="n">
        <f aca="false">F2712*IF(A2712="2025",INDEX(Products!$D$2:$D$13,MATCH(D2712,Products!$A$2:$A$13,0)),INDEX(Products!$F$2:$F$13,MATCH(D2712,Products!$A$2:$A$13,0)))</f>
        <v>91785.36</v>
      </c>
      <c r="P2712" s="16" t="n">
        <f aca="false">N2712-O2712</f>
        <v>39898.1356210411</v>
      </c>
    </row>
    <row r="2713" customFormat="false" ht="15" hidden="false" customHeight="false" outlineLevel="0" collapsed="false">
      <c r="A2713" s="2" t="s">
        <v>119</v>
      </c>
      <c r="B2713" s="2" t="n">
        <v>12</v>
      </c>
      <c r="C2713" s="2" t="s">
        <v>102</v>
      </c>
      <c r="D2713" s="2" t="s">
        <v>41</v>
      </c>
      <c r="E2713" s="2" t="str">
        <f aca="false">INDEX(Products!$B$2:$B$13,MATCH(D2713,Products!$A$2:$A$13,0))</f>
        <v>Hydroprocessing</v>
      </c>
      <c r="F2713" s="15" t="n">
        <v>6.7</v>
      </c>
      <c r="G2713" s="16" t="n">
        <f aca="false">IF(A2713="2025",INDEX(Products!$C$2:$C$13,MATCH(D2713,Products!$A$2:$A$13,0)),INDEX(Products!$E$2:$E$13,MATCH(D2713,Products!$A$2:$A$13,0)))</f>
        <v>15508.5</v>
      </c>
      <c r="H2713" s="13" t="n">
        <f aca="false">IF(A2713="2025",INDEX(Customers!$D$2:$D$41,MATCH(C2713,Customers!$A$2:$A$41,0)),INDEX(Customers!$F$2:$F$41,MATCH(C2713,Customers!$A$2:$A$41,0)))</f>
        <v>0.068</v>
      </c>
      <c r="I2713" s="16" t="n">
        <f aca="false">F2713*G2713</f>
        <v>103906.95</v>
      </c>
      <c r="J2713" s="16" t="n">
        <f aca="false">I2713*(1-H2713)</f>
        <v>96841.2774</v>
      </c>
      <c r="K2713" s="16" t="n">
        <f aca="false">J2713*INDEX(Customers!$G$2:$G$41,MATCH(C2713,Customers!$A$2:$A$41,0))</f>
        <v>0</v>
      </c>
      <c r="L2713" s="16" t="n">
        <f aca="false">F2713*INDEX(Customers!$H$2:$H$41,MATCH(C2713,Customers!$A$2:$A$41,0))</f>
        <v>2345</v>
      </c>
      <c r="M2713" s="16" t="n">
        <f aca="false">J2713*INDEX(Customers!$I$2:$I$41,MATCH(C2713,Customers!$A$2:$A$41,0))/365*Assumptions!$B$6</f>
        <v>636.764563726027</v>
      </c>
      <c r="N2713" s="16" t="n">
        <f aca="false">J2713-K2713-L2713-M2713</f>
        <v>93859.512836274</v>
      </c>
      <c r="O2713" s="16" t="n">
        <f aca="false">F2713*IF(A2713="2025",INDEX(Products!$D$2:$D$13,MATCH(D2713,Products!$A$2:$A$13,0)),INDEX(Products!$F$2:$F$13,MATCH(D2713,Products!$A$2:$A$13,0)))</f>
        <v>65421.48</v>
      </c>
      <c r="P2713" s="16" t="n">
        <f aca="false">N2713-O2713</f>
        <v>28438.032836274</v>
      </c>
    </row>
    <row r="2714" customFormat="false" ht="15" hidden="false" customHeight="false" outlineLevel="0" collapsed="false">
      <c r="A2714" s="2" t="s">
        <v>118</v>
      </c>
      <c r="B2714" s="2" t="n">
        <v>1</v>
      </c>
      <c r="C2714" s="2" t="s">
        <v>102</v>
      </c>
      <c r="D2714" s="2" t="s">
        <v>36</v>
      </c>
      <c r="E2714" s="2" t="str">
        <f aca="false">INDEX(Products!$B$2:$B$13,MATCH(D2714,Products!$A$2:$A$13,0))</f>
        <v>FCC</v>
      </c>
      <c r="F2714" s="15" t="n">
        <v>14.8</v>
      </c>
      <c r="G2714" s="16" t="n">
        <f aca="false">IF(A2714="2025",INDEX(Products!$C$2:$C$13,MATCH(D2714,Products!$A$2:$A$13,0)),INDEX(Products!$E$2:$E$13,MATCH(D2714,Products!$A$2:$A$13,0)))</f>
        <v>3700</v>
      </c>
      <c r="H2714" s="13" t="n">
        <f aca="false">IF(A2714="2025",INDEX(Customers!$D$2:$D$41,MATCH(C2714,Customers!$A$2:$A$41,0)),INDEX(Customers!$F$2:$F$41,MATCH(C2714,Customers!$A$2:$A$41,0)))</f>
        <v>0.062</v>
      </c>
      <c r="I2714" s="16" t="n">
        <f aca="false">F2714*G2714</f>
        <v>54760</v>
      </c>
      <c r="J2714" s="16" t="n">
        <f aca="false">I2714*(1-H2714)</f>
        <v>51364.88</v>
      </c>
      <c r="K2714" s="16" t="n">
        <f aca="false">J2714*INDEX(Customers!$G$2:$G$41,MATCH(C2714,Customers!$A$2:$A$41,0))</f>
        <v>0</v>
      </c>
      <c r="L2714" s="16" t="n">
        <f aca="false">F2714*INDEX(Customers!$H$2:$H$41,MATCH(C2714,Customers!$A$2:$A$41,0))</f>
        <v>5180</v>
      </c>
      <c r="M2714" s="16" t="n">
        <f aca="false">J2714*INDEX(Customers!$I$2:$I$41,MATCH(C2714,Customers!$A$2:$A$41,0))/365*Assumptions!$B$6</f>
        <v>337.741676712329</v>
      </c>
      <c r="N2714" s="16" t="n">
        <f aca="false">J2714-K2714-L2714-M2714</f>
        <v>45847.1383232877</v>
      </c>
      <c r="O2714" s="16" t="n">
        <f aca="false">F2714*IF(A2714="2025",INDEX(Products!$D$2:$D$13,MATCH(D2714,Products!$A$2:$A$13,0)),INDEX(Products!$F$2:$F$13,MATCH(D2714,Products!$A$2:$A$13,0)))</f>
        <v>35520</v>
      </c>
      <c r="P2714" s="16" t="n">
        <f aca="false">N2714-O2714</f>
        <v>10327.1383232877</v>
      </c>
    </row>
    <row r="2715" customFormat="false" ht="15" hidden="false" customHeight="false" outlineLevel="0" collapsed="false">
      <c r="A2715" s="2" t="s">
        <v>118</v>
      </c>
      <c r="B2715" s="2" t="n">
        <v>2</v>
      </c>
      <c r="C2715" s="2" t="s">
        <v>102</v>
      </c>
      <c r="D2715" s="2" t="s">
        <v>36</v>
      </c>
      <c r="E2715" s="2" t="str">
        <f aca="false">INDEX(Products!$B$2:$B$13,MATCH(D2715,Products!$A$2:$A$13,0))</f>
        <v>FCC</v>
      </c>
      <c r="F2715" s="15" t="n">
        <v>15.9</v>
      </c>
      <c r="G2715" s="16" t="n">
        <f aca="false">IF(A2715="2025",INDEX(Products!$C$2:$C$13,MATCH(D2715,Products!$A$2:$A$13,0)),INDEX(Products!$E$2:$E$13,MATCH(D2715,Products!$A$2:$A$13,0)))</f>
        <v>3700</v>
      </c>
      <c r="H2715" s="13" t="n">
        <f aca="false">IF(A2715="2025",INDEX(Customers!$D$2:$D$41,MATCH(C2715,Customers!$A$2:$A$41,0)),INDEX(Customers!$F$2:$F$41,MATCH(C2715,Customers!$A$2:$A$41,0)))</f>
        <v>0.062</v>
      </c>
      <c r="I2715" s="16" t="n">
        <f aca="false">F2715*G2715</f>
        <v>58830</v>
      </c>
      <c r="J2715" s="16" t="n">
        <f aca="false">I2715*(1-H2715)</f>
        <v>55182.54</v>
      </c>
      <c r="K2715" s="16" t="n">
        <f aca="false">J2715*INDEX(Customers!$G$2:$G$41,MATCH(C2715,Customers!$A$2:$A$41,0))</f>
        <v>0</v>
      </c>
      <c r="L2715" s="16" t="n">
        <f aca="false">F2715*INDEX(Customers!$H$2:$H$41,MATCH(C2715,Customers!$A$2:$A$41,0))</f>
        <v>5565</v>
      </c>
      <c r="M2715" s="16" t="n">
        <f aca="false">J2715*INDEX(Customers!$I$2:$I$41,MATCH(C2715,Customers!$A$2:$A$41,0))/365*Assumptions!$B$6</f>
        <v>362.844098630137</v>
      </c>
      <c r="N2715" s="16" t="n">
        <f aca="false">J2715-K2715-L2715-M2715</f>
        <v>49254.6959013699</v>
      </c>
      <c r="O2715" s="16" t="n">
        <f aca="false">F2715*IF(A2715="2025",INDEX(Products!$D$2:$D$13,MATCH(D2715,Products!$A$2:$A$13,0)),INDEX(Products!$F$2:$F$13,MATCH(D2715,Products!$A$2:$A$13,0)))</f>
        <v>38160</v>
      </c>
      <c r="P2715" s="16" t="n">
        <f aca="false">N2715-O2715</f>
        <v>11094.6959013699</v>
      </c>
    </row>
    <row r="2716" customFormat="false" ht="15" hidden="false" customHeight="false" outlineLevel="0" collapsed="false">
      <c r="A2716" s="2" t="s">
        <v>118</v>
      </c>
      <c r="B2716" s="2" t="n">
        <v>3</v>
      </c>
      <c r="C2716" s="2" t="s">
        <v>102</v>
      </c>
      <c r="D2716" s="2" t="s">
        <v>36</v>
      </c>
      <c r="E2716" s="2" t="str">
        <f aca="false">INDEX(Products!$B$2:$B$13,MATCH(D2716,Products!$A$2:$A$13,0))</f>
        <v>FCC</v>
      </c>
      <c r="F2716" s="15" t="n">
        <v>18.4</v>
      </c>
      <c r="G2716" s="16" t="n">
        <f aca="false">IF(A2716="2025",INDEX(Products!$C$2:$C$13,MATCH(D2716,Products!$A$2:$A$13,0)),INDEX(Products!$E$2:$E$13,MATCH(D2716,Products!$A$2:$A$13,0)))</f>
        <v>3700</v>
      </c>
      <c r="H2716" s="13" t="n">
        <f aca="false">IF(A2716="2025",INDEX(Customers!$D$2:$D$41,MATCH(C2716,Customers!$A$2:$A$41,0)),INDEX(Customers!$F$2:$F$41,MATCH(C2716,Customers!$A$2:$A$41,0)))</f>
        <v>0.062</v>
      </c>
      <c r="I2716" s="16" t="n">
        <f aca="false">F2716*G2716</f>
        <v>68080</v>
      </c>
      <c r="J2716" s="16" t="n">
        <f aca="false">I2716*(1-H2716)</f>
        <v>63859.04</v>
      </c>
      <c r="K2716" s="16" t="n">
        <f aca="false">J2716*INDEX(Customers!$G$2:$G$41,MATCH(C2716,Customers!$A$2:$A$41,0))</f>
        <v>0</v>
      </c>
      <c r="L2716" s="16" t="n">
        <f aca="false">F2716*INDEX(Customers!$H$2:$H$41,MATCH(C2716,Customers!$A$2:$A$41,0))</f>
        <v>6440</v>
      </c>
      <c r="M2716" s="16" t="n">
        <f aca="false">J2716*INDEX(Customers!$I$2:$I$41,MATCH(C2716,Customers!$A$2:$A$41,0))/365*Assumptions!$B$6</f>
        <v>419.895057534247</v>
      </c>
      <c r="N2716" s="16" t="n">
        <f aca="false">J2716-K2716-L2716-M2716</f>
        <v>56999.1449424658</v>
      </c>
      <c r="O2716" s="16" t="n">
        <f aca="false">F2716*IF(A2716="2025",INDEX(Products!$D$2:$D$13,MATCH(D2716,Products!$A$2:$A$13,0)),INDEX(Products!$F$2:$F$13,MATCH(D2716,Products!$A$2:$A$13,0)))</f>
        <v>44160</v>
      </c>
      <c r="P2716" s="16" t="n">
        <f aca="false">N2716-O2716</f>
        <v>12839.1449424657</v>
      </c>
    </row>
    <row r="2717" customFormat="false" ht="15" hidden="false" customHeight="false" outlineLevel="0" collapsed="false">
      <c r="A2717" s="2" t="s">
        <v>118</v>
      </c>
      <c r="B2717" s="2" t="n">
        <v>4</v>
      </c>
      <c r="C2717" s="2" t="s">
        <v>102</v>
      </c>
      <c r="D2717" s="2" t="s">
        <v>36</v>
      </c>
      <c r="E2717" s="2" t="str">
        <f aca="false">INDEX(Products!$B$2:$B$13,MATCH(D2717,Products!$A$2:$A$13,0))</f>
        <v>FCC</v>
      </c>
      <c r="F2717" s="15" t="n">
        <v>12.2</v>
      </c>
      <c r="G2717" s="16" t="n">
        <f aca="false">IF(A2717="2025",INDEX(Products!$C$2:$C$13,MATCH(D2717,Products!$A$2:$A$13,0)),INDEX(Products!$E$2:$E$13,MATCH(D2717,Products!$A$2:$A$13,0)))</f>
        <v>3700</v>
      </c>
      <c r="H2717" s="13" t="n">
        <f aca="false">IF(A2717="2025",INDEX(Customers!$D$2:$D$41,MATCH(C2717,Customers!$A$2:$A$41,0)),INDEX(Customers!$F$2:$F$41,MATCH(C2717,Customers!$A$2:$A$41,0)))</f>
        <v>0.062</v>
      </c>
      <c r="I2717" s="16" t="n">
        <f aca="false">F2717*G2717</f>
        <v>45140</v>
      </c>
      <c r="J2717" s="16" t="n">
        <f aca="false">I2717*(1-H2717)</f>
        <v>42341.32</v>
      </c>
      <c r="K2717" s="16" t="n">
        <f aca="false">J2717*INDEX(Customers!$G$2:$G$41,MATCH(C2717,Customers!$A$2:$A$41,0))</f>
        <v>0</v>
      </c>
      <c r="L2717" s="16" t="n">
        <f aca="false">F2717*INDEX(Customers!$H$2:$H$41,MATCH(C2717,Customers!$A$2:$A$41,0))</f>
        <v>4270</v>
      </c>
      <c r="M2717" s="16" t="n">
        <f aca="false">J2717*INDEX(Customers!$I$2:$I$41,MATCH(C2717,Customers!$A$2:$A$41,0))/365*Assumptions!$B$6</f>
        <v>278.408679452055</v>
      </c>
      <c r="N2717" s="16" t="n">
        <f aca="false">J2717-K2717-L2717-M2717</f>
        <v>37792.9113205479</v>
      </c>
      <c r="O2717" s="16" t="n">
        <f aca="false">F2717*IF(A2717="2025",INDEX(Products!$D$2:$D$13,MATCH(D2717,Products!$A$2:$A$13,0)),INDEX(Products!$F$2:$F$13,MATCH(D2717,Products!$A$2:$A$13,0)))</f>
        <v>29280</v>
      </c>
      <c r="P2717" s="16" t="n">
        <f aca="false">N2717-O2717</f>
        <v>8512.91132054794</v>
      </c>
    </row>
    <row r="2718" customFormat="false" ht="15" hidden="false" customHeight="false" outlineLevel="0" collapsed="false">
      <c r="A2718" s="2" t="s">
        <v>118</v>
      </c>
      <c r="B2718" s="2" t="n">
        <v>5</v>
      </c>
      <c r="C2718" s="2" t="s">
        <v>102</v>
      </c>
      <c r="D2718" s="2" t="s">
        <v>36</v>
      </c>
      <c r="E2718" s="2" t="str">
        <f aca="false">INDEX(Products!$B$2:$B$13,MATCH(D2718,Products!$A$2:$A$13,0))</f>
        <v>FCC</v>
      </c>
      <c r="F2718" s="15" t="n">
        <v>13.7</v>
      </c>
      <c r="G2718" s="16" t="n">
        <f aca="false">IF(A2718="2025",INDEX(Products!$C$2:$C$13,MATCH(D2718,Products!$A$2:$A$13,0)),INDEX(Products!$E$2:$E$13,MATCH(D2718,Products!$A$2:$A$13,0)))</f>
        <v>3700</v>
      </c>
      <c r="H2718" s="13" t="n">
        <f aca="false">IF(A2718="2025",INDEX(Customers!$D$2:$D$41,MATCH(C2718,Customers!$A$2:$A$41,0)),INDEX(Customers!$F$2:$F$41,MATCH(C2718,Customers!$A$2:$A$41,0)))</f>
        <v>0.062</v>
      </c>
      <c r="I2718" s="16" t="n">
        <f aca="false">F2718*G2718</f>
        <v>50690</v>
      </c>
      <c r="J2718" s="16" t="n">
        <f aca="false">I2718*(1-H2718)</f>
        <v>47547.22</v>
      </c>
      <c r="K2718" s="16" t="n">
        <f aca="false">J2718*INDEX(Customers!$G$2:$G$41,MATCH(C2718,Customers!$A$2:$A$41,0))</f>
        <v>0</v>
      </c>
      <c r="L2718" s="16" t="n">
        <f aca="false">F2718*INDEX(Customers!$H$2:$H$41,MATCH(C2718,Customers!$A$2:$A$41,0))</f>
        <v>4795</v>
      </c>
      <c r="M2718" s="16" t="n">
        <f aca="false">J2718*INDEX(Customers!$I$2:$I$41,MATCH(C2718,Customers!$A$2:$A$41,0))/365*Assumptions!$B$6</f>
        <v>312.639254794521</v>
      </c>
      <c r="N2718" s="16" t="n">
        <f aca="false">J2718-K2718-L2718-M2718</f>
        <v>42439.5807452055</v>
      </c>
      <c r="O2718" s="16" t="n">
        <f aca="false">F2718*IF(A2718="2025",INDEX(Products!$D$2:$D$13,MATCH(D2718,Products!$A$2:$A$13,0)),INDEX(Products!$F$2:$F$13,MATCH(D2718,Products!$A$2:$A$13,0)))</f>
        <v>32880</v>
      </c>
      <c r="P2718" s="16" t="n">
        <f aca="false">N2718-O2718</f>
        <v>9559.58074520547</v>
      </c>
    </row>
    <row r="2719" customFormat="false" ht="15" hidden="false" customHeight="false" outlineLevel="0" collapsed="false">
      <c r="A2719" s="2" t="s">
        <v>118</v>
      </c>
      <c r="B2719" s="2" t="n">
        <v>6</v>
      </c>
      <c r="C2719" s="2" t="s">
        <v>102</v>
      </c>
      <c r="D2719" s="2" t="s">
        <v>36</v>
      </c>
      <c r="E2719" s="2" t="str">
        <f aca="false">INDEX(Products!$B$2:$B$13,MATCH(D2719,Products!$A$2:$A$13,0))</f>
        <v>FCC</v>
      </c>
      <c r="F2719" s="15" t="n">
        <v>16.7</v>
      </c>
      <c r="G2719" s="16" t="n">
        <f aca="false">IF(A2719="2025",INDEX(Products!$C$2:$C$13,MATCH(D2719,Products!$A$2:$A$13,0)),INDEX(Products!$E$2:$E$13,MATCH(D2719,Products!$A$2:$A$13,0)))</f>
        <v>3700</v>
      </c>
      <c r="H2719" s="13" t="n">
        <f aca="false">IF(A2719="2025",INDEX(Customers!$D$2:$D$41,MATCH(C2719,Customers!$A$2:$A$41,0)),INDEX(Customers!$F$2:$F$41,MATCH(C2719,Customers!$A$2:$A$41,0)))</f>
        <v>0.062</v>
      </c>
      <c r="I2719" s="16" t="n">
        <f aca="false">F2719*G2719</f>
        <v>61790</v>
      </c>
      <c r="J2719" s="16" t="n">
        <f aca="false">I2719*(1-H2719)</f>
        <v>57959.02</v>
      </c>
      <c r="K2719" s="16" t="n">
        <f aca="false">J2719*INDEX(Customers!$G$2:$G$41,MATCH(C2719,Customers!$A$2:$A$41,0))</f>
        <v>0</v>
      </c>
      <c r="L2719" s="16" t="n">
        <f aca="false">F2719*INDEX(Customers!$H$2:$H$41,MATCH(C2719,Customers!$A$2:$A$41,0))</f>
        <v>5845</v>
      </c>
      <c r="M2719" s="16" t="n">
        <f aca="false">J2719*INDEX(Customers!$I$2:$I$41,MATCH(C2719,Customers!$A$2:$A$41,0))/365*Assumptions!$B$6</f>
        <v>381.100405479452</v>
      </c>
      <c r="N2719" s="16" t="n">
        <f aca="false">J2719-K2719-L2719-M2719</f>
        <v>51732.9195945205</v>
      </c>
      <c r="O2719" s="16" t="n">
        <f aca="false">F2719*IF(A2719="2025",INDEX(Products!$D$2:$D$13,MATCH(D2719,Products!$A$2:$A$13,0)),INDEX(Products!$F$2:$F$13,MATCH(D2719,Products!$A$2:$A$13,0)))</f>
        <v>40080</v>
      </c>
      <c r="P2719" s="16" t="n">
        <f aca="false">N2719-O2719</f>
        <v>11652.9195945205</v>
      </c>
    </row>
    <row r="2720" customFormat="false" ht="15" hidden="false" customHeight="false" outlineLevel="0" collapsed="false">
      <c r="A2720" s="2" t="s">
        <v>118</v>
      </c>
      <c r="B2720" s="2" t="n">
        <v>7</v>
      </c>
      <c r="C2720" s="2" t="s">
        <v>102</v>
      </c>
      <c r="D2720" s="2" t="s">
        <v>36</v>
      </c>
      <c r="E2720" s="2" t="str">
        <f aca="false">INDEX(Products!$B$2:$B$13,MATCH(D2720,Products!$A$2:$A$13,0))</f>
        <v>FCC</v>
      </c>
      <c r="F2720" s="15" t="n">
        <v>13</v>
      </c>
      <c r="G2720" s="16" t="n">
        <f aca="false">IF(A2720="2025",INDEX(Products!$C$2:$C$13,MATCH(D2720,Products!$A$2:$A$13,0)),INDEX(Products!$E$2:$E$13,MATCH(D2720,Products!$A$2:$A$13,0)))</f>
        <v>3700</v>
      </c>
      <c r="H2720" s="13" t="n">
        <f aca="false">IF(A2720="2025",INDEX(Customers!$D$2:$D$41,MATCH(C2720,Customers!$A$2:$A$41,0)),INDEX(Customers!$F$2:$F$41,MATCH(C2720,Customers!$A$2:$A$41,0)))</f>
        <v>0.062</v>
      </c>
      <c r="I2720" s="16" t="n">
        <f aca="false">F2720*G2720</f>
        <v>48100</v>
      </c>
      <c r="J2720" s="16" t="n">
        <f aca="false">I2720*(1-H2720)</f>
        <v>45117.8</v>
      </c>
      <c r="K2720" s="16" t="n">
        <f aca="false">J2720*INDEX(Customers!$G$2:$G$41,MATCH(C2720,Customers!$A$2:$A$41,0))</f>
        <v>0</v>
      </c>
      <c r="L2720" s="16" t="n">
        <f aca="false">F2720*INDEX(Customers!$H$2:$H$41,MATCH(C2720,Customers!$A$2:$A$41,0))</f>
        <v>4550</v>
      </c>
      <c r="M2720" s="16" t="n">
        <f aca="false">J2720*INDEX(Customers!$I$2:$I$41,MATCH(C2720,Customers!$A$2:$A$41,0))/365*Assumptions!$B$6</f>
        <v>296.66498630137</v>
      </c>
      <c r="N2720" s="16" t="n">
        <f aca="false">J2720-K2720-L2720-M2720</f>
        <v>40271.1350136986</v>
      </c>
      <c r="O2720" s="16" t="n">
        <f aca="false">F2720*IF(A2720="2025",INDEX(Products!$D$2:$D$13,MATCH(D2720,Products!$A$2:$A$13,0)),INDEX(Products!$F$2:$F$13,MATCH(D2720,Products!$A$2:$A$13,0)))</f>
        <v>31200</v>
      </c>
      <c r="P2720" s="16" t="n">
        <f aca="false">N2720-O2720</f>
        <v>9071.13501369863</v>
      </c>
    </row>
    <row r="2721" customFormat="false" ht="15" hidden="false" customHeight="false" outlineLevel="0" collapsed="false">
      <c r="A2721" s="2" t="s">
        <v>118</v>
      </c>
      <c r="B2721" s="2" t="n">
        <v>8</v>
      </c>
      <c r="C2721" s="2" t="s">
        <v>102</v>
      </c>
      <c r="D2721" s="2" t="s">
        <v>36</v>
      </c>
      <c r="E2721" s="2" t="str">
        <f aca="false">INDEX(Products!$B$2:$B$13,MATCH(D2721,Products!$A$2:$A$13,0))</f>
        <v>FCC</v>
      </c>
      <c r="F2721" s="15" t="n">
        <v>16.2</v>
      </c>
      <c r="G2721" s="16" t="n">
        <f aca="false">IF(A2721="2025",INDEX(Products!$C$2:$C$13,MATCH(D2721,Products!$A$2:$A$13,0)),INDEX(Products!$E$2:$E$13,MATCH(D2721,Products!$A$2:$A$13,0)))</f>
        <v>3700</v>
      </c>
      <c r="H2721" s="13" t="n">
        <f aca="false">IF(A2721="2025",INDEX(Customers!$D$2:$D$41,MATCH(C2721,Customers!$A$2:$A$41,0)),INDEX(Customers!$F$2:$F$41,MATCH(C2721,Customers!$A$2:$A$41,0)))</f>
        <v>0.062</v>
      </c>
      <c r="I2721" s="16" t="n">
        <f aca="false">F2721*G2721</f>
        <v>59940</v>
      </c>
      <c r="J2721" s="16" t="n">
        <f aca="false">I2721*(1-H2721)</f>
        <v>56223.72</v>
      </c>
      <c r="K2721" s="16" t="n">
        <f aca="false">J2721*INDEX(Customers!$G$2:$G$41,MATCH(C2721,Customers!$A$2:$A$41,0))</f>
        <v>0</v>
      </c>
      <c r="L2721" s="16" t="n">
        <f aca="false">F2721*INDEX(Customers!$H$2:$H$41,MATCH(C2721,Customers!$A$2:$A$41,0))</f>
        <v>5670</v>
      </c>
      <c r="M2721" s="16" t="n">
        <f aca="false">J2721*INDEX(Customers!$I$2:$I$41,MATCH(C2721,Customers!$A$2:$A$41,0))/365*Assumptions!$B$6</f>
        <v>369.69021369863</v>
      </c>
      <c r="N2721" s="16" t="n">
        <f aca="false">J2721-K2721-L2721-M2721</f>
        <v>50184.0297863014</v>
      </c>
      <c r="O2721" s="16" t="n">
        <f aca="false">F2721*IF(A2721="2025",INDEX(Products!$D$2:$D$13,MATCH(D2721,Products!$A$2:$A$13,0)),INDEX(Products!$F$2:$F$13,MATCH(D2721,Products!$A$2:$A$13,0)))</f>
        <v>38880</v>
      </c>
      <c r="P2721" s="16" t="n">
        <f aca="false">N2721-O2721</f>
        <v>11304.0297863014</v>
      </c>
    </row>
    <row r="2722" customFormat="false" ht="15" hidden="false" customHeight="false" outlineLevel="0" collapsed="false">
      <c r="A2722" s="2" t="s">
        <v>118</v>
      </c>
      <c r="B2722" s="2" t="n">
        <v>9</v>
      </c>
      <c r="C2722" s="2" t="s">
        <v>102</v>
      </c>
      <c r="D2722" s="2" t="s">
        <v>36</v>
      </c>
      <c r="E2722" s="2" t="str">
        <f aca="false">INDEX(Products!$B$2:$B$13,MATCH(D2722,Products!$A$2:$A$13,0))</f>
        <v>FCC</v>
      </c>
      <c r="F2722" s="15" t="n">
        <v>17.4</v>
      </c>
      <c r="G2722" s="16" t="n">
        <f aca="false">IF(A2722="2025",INDEX(Products!$C$2:$C$13,MATCH(D2722,Products!$A$2:$A$13,0)),INDEX(Products!$E$2:$E$13,MATCH(D2722,Products!$A$2:$A$13,0)))</f>
        <v>3700</v>
      </c>
      <c r="H2722" s="13" t="n">
        <f aca="false">IF(A2722="2025",INDEX(Customers!$D$2:$D$41,MATCH(C2722,Customers!$A$2:$A$41,0)),INDEX(Customers!$F$2:$F$41,MATCH(C2722,Customers!$A$2:$A$41,0)))</f>
        <v>0.062</v>
      </c>
      <c r="I2722" s="16" t="n">
        <f aca="false">F2722*G2722</f>
        <v>64380</v>
      </c>
      <c r="J2722" s="16" t="n">
        <f aca="false">I2722*(1-H2722)</f>
        <v>60388.44</v>
      </c>
      <c r="K2722" s="16" t="n">
        <f aca="false">J2722*INDEX(Customers!$G$2:$G$41,MATCH(C2722,Customers!$A$2:$A$41,0))</f>
        <v>0</v>
      </c>
      <c r="L2722" s="16" t="n">
        <f aca="false">F2722*INDEX(Customers!$H$2:$H$41,MATCH(C2722,Customers!$A$2:$A$41,0))</f>
        <v>6090</v>
      </c>
      <c r="M2722" s="16" t="n">
        <f aca="false">J2722*INDEX(Customers!$I$2:$I$41,MATCH(C2722,Customers!$A$2:$A$41,0))/365*Assumptions!$B$6</f>
        <v>397.074673972603</v>
      </c>
      <c r="N2722" s="16" t="n">
        <f aca="false">J2722-K2722-L2722-M2722</f>
        <v>53901.3653260274</v>
      </c>
      <c r="O2722" s="16" t="n">
        <f aca="false">F2722*IF(A2722="2025",INDEX(Products!$D$2:$D$13,MATCH(D2722,Products!$A$2:$A$13,0)),INDEX(Products!$F$2:$F$13,MATCH(D2722,Products!$A$2:$A$13,0)))</f>
        <v>41760</v>
      </c>
      <c r="P2722" s="16" t="n">
        <f aca="false">N2722-O2722</f>
        <v>12141.3653260274</v>
      </c>
    </row>
    <row r="2723" customFormat="false" ht="15" hidden="false" customHeight="false" outlineLevel="0" collapsed="false">
      <c r="A2723" s="2" t="s">
        <v>118</v>
      </c>
      <c r="B2723" s="2" t="n">
        <v>10</v>
      </c>
      <c r="C2723" s="2" t="s">
        <v>102</v>
      </c>
      <c r="D2723" s="2" t="s">
        <v>36</v>
      </c>
      <c r="E2723" s="2" t="str">
        <f aca="false">INDEX(Products!$B$2:$B$13,MATCH(D2723,Products!$A$2:$A$13,0))</f>
        <v>FCC</v>
      </c>
      <c r="F2723" s="15" t="n">
        <v>13.4</v>
      </c>
      <c r="G2723" s="16" t="n">
        <f aca="false">IF(A2723="2025",INDEX(Products!$C$2:$C$13,MATCH(D2723,Products!$A$2:$A$13,0)),INDEX(Products!$E$2:$E$13,MATCH(D2723,Products!$A$2:$A$13,0)))</f>
        <v>3700</v>
      </c>
      <c r="H2723" s="13" t="n">
        <f aca="false">IF(A2723="2025",INDEX(Customers!$D$2:$D$41,MATCH(C2723,Customers!$A$2:$A$41,0)),INDEX(Customers!$F$2:$F$41,MATCH(C2723,Customers!$A$2:$A$41,0)))</f>
        <v>0.062</v>
      </c>
      <c r="I2723" s="16" t="n">
        <f aca="false">F2723*G2723</f>
        <v>49580</v>
      </c>
      <c r="J2723" s="16" t="n">
        <f aca="false">I2723*(1-H2723)</f>
        <v>46506.04</v>
      </c>
      <c r="K2723" s="16" t="n">
        <f aca="false">J2723*INDEX(Customers!$G$2:$G$41,MATCH(C2723,Customers!$A$2:$A$41,0))</f>
        <v>0</v>
      </c>
      <c r="L2723" s="16" t="n">
        <f aca="false">F2723*INDEX(Customers!$H$2:$H$41,MATCH(C2723,Customers!$A$2:$A$41,0))</f>
        <v>4690</v>
      </c>
      <c r="M2723" s="16" t="n">
        <f aca="false">J2723*INDEX(Customers!$I$2:$I$41,MATCH(C2723,Customers!$A$2:$A$41,0))/365*Assumptions!$B$6</f>
        <v>305.793139726027</v>
      </c>
      <c r="N2723" s="16" t="n">
        <f aca="false">J2723-K2723-L2723-M2723</f>
        <v>41510.246860274</v>
      </c>
      <c r="O2723" s="16" t="n">
        <f aca="false">F2723*IF(A2723="2025",INDEX(Products!$D$2:$D$13,MATCH(D2723,Products!$A$2:$A$13,0)),INDEX(Products!$F$2:$F$13,MATCH(D2723,Products!$A$2:$A$13,0)))</f>
        <v>32160</v>
      </c>
      <c r="P2723" s="16" t="n">
        <f aca="false">N2723-O2723</f>
        <v>9350.24686027398</v>
      </c>
    </row>
    <row r="2724" customFormat="false" ht="15" hidden="false" customHeight="false" outlineLevel="0" collapsed="false">
      <c r="A2724" s="2" t="s">
        <v>118</v>
      </c>
      <c r="B2724" s="2" t="n">
        <v>11</v>
      </c>
      <c r="C2724" s="2" t="s">
        <v>102</v>
      </c>
      <c r="D2724" s="2" t="s">
        <v>36</v>
      </c>
      <c r="E2724" s="2" t="str">
        <f aca="false">INDEX(Products!$B$2:$B$13,MATCH(D2724,Products!$A$2:$A$13,0))</f>
        <v>FCC</v>
      </c>
      <c r="F2724" s="15" t="n">
        <v>13.8</v>
      </c>
      <c r="G2724" s="16" t="n">
        <f aca="false">IF(A2724="2025",INDEX(Products!$C$2:$C$13,MATCH(D2724,Products!$A$2:$A$13,0)),INDEX(Products!$E$2:$E$13,MATCH(D2724,Products!$A$2:$A$13,0)))</f>
        <v>3700</v>
      </c>
      <c r="H2724" s="13" t="n">
        <f aca="false">IF(A2724="2025",INDEX(Customers!$D$2:$D$41,MATCH(C2724,Customers!$A$2:$A$41,0)),INDEX(Customers!$F$2:$F$41,MATCH(C2724,Customers!$A$2:$A$41,0)))</f>
        <v>0.062</v>
      </c>
      <c r="I2724" s="16" t="n">
        <f aca="false">F2724*G2724</f>
        <v>51060</v>
      </c>
      <c r="J2724" s="16" t="n">
        <f aca="false">I2724*(1-H2724)</f>
        <v>47894.28</v>
      </c>
      <c r="K2724" s="16" t="n">
        <f aca="false">J2724*INDEX(Customers!$G$2:$G$41,MATCH(C2724,Customers!$A$2:$A$41,0))</f>
        <v>0</v>
      </c>
      <c r="L2724" s="16" t="n">
        <f aca="false">F2724*INDEX(Customers!$H$2:$H$41,MATCH(C2724,Customers!$A$2:$A$41,0))</f>
        <v>4830</v>
      </c>
      <c r="M2724" s="16" t="n">
        <f aca="false">J2724*INDEX(Customers!$I$2:$I$41,MATCH(C2724,Customers!$A$2:$A$41,0))/365*Assumptions!$B$6</f>
        <v>314.921293150685</v>
      </c>
      <c r="N2724" s="16" t="n">
        <f aca="false">J2724-K2724-L2724-M2724</f>
        <v>42749.3587068493</v>
      </c>
      <c r="O2724" s="16" t="n">
        <f aca="false">F2724*IF(A2724="2025",INDEX(Products!$D$2:$D$13,MATCH(D2724,Products!$A$2:$A$13,0)),INDEX(Products!$F$2:$F$13,MATCH(D2724,Products!$A$2:$A$13,0)))</f>
        <v>33120</v>
      </c>
      <c r="P2724" s="16" t="n">
        <f aca="false">N2724-O2724</f>
        <v>9629.35870684931</v>
      </c>
    </row>
    <row r="2725" customFormat="false" ht="15" hidden="false" customHeight="false" outlineLevel="0" collapsed="false">
      <c r="A2725" s="2" t="s">
        <v>118</v>
      </c>
      <c r="B2725" s="2" t="n">
        <v>12</v>
      </c>
      <c r="C2725" s="2" t="s">
        <v>102</v>
      </c>
      <c r="D2725" s="2" t="s">
        <v>36</v>
      </c>
      <c r="E2725" s="2" t="str">
        <f aca="false">INDEX(Products!$B$2:$B$13,MATCH(D2725,Products!$A$2:$A$13,0))</f>
        <v>FCC</v>
      </c>
      <c r="F2725" s="15" t="n">
        <v>17.4</v>
      </c>
      <c r="G2725" s="16" t="n">
        <f aca="false">IF(A2725="2025",INDEX(Products!$C$2:$C$13,MATCH(D2725,Products!$A$2:$A$13,0)),INDEX(Products!$E$2:$E$13,MATCH(D2725,Products!$A$2:$A$13,0)))</f>
        <v>3700</v>
      </c>
      <c r="H2725" s="13" t="n">
        <f aca="false">IF(A2725="2025",INDEX(Customers!$D$2:$D$41,MATCH(C2725,Customers!$A$2:$A$41,0)),INDEX(Customers!$F$2:$F$41,MATCH(C2725,Customers!$A$2:$A$41,0)))</f>
        <v>0.062</v>
      </c>
      <c r="I2725" s="16" t="n">
        <f aca="false">F2725*G2725</f>
        <v>64380</v>
      </c>
      <c r="J2725" s="16" t="n">
        <f aca="false">I2725*(1-H2725)</f>
        <v>60388.44</v>
      </c>
      <c r="K2725" s="16" t="n">
        <f aca="false">J2725*INDEX(Customers!$G$2:$G$41,MATCH(C2725,Customers!$A$2:$A$41,0))</f>
        <v>0</v>
      </c>
      <c r="L2725" s="16" t="n">
        <f aca="false">F2725*INDEX(Customers!$H$2:$H$41,MATCH(C2725,Customers!$A$2:$A$41,0))</f>
        <v>6090</v>
      </c>
      <c r="M2725" s="16" t="n">
        <f aca="false">J2725*INDEX(Customers!$I$2:$I$41,MATCH(C2725,Customers!$A$2:$A$41,0))/365*Assumptions!$B$6</f>
        <v>397.074673972603</v>
      </c>
      <c r="N2725" s="16" t="n">
        <f aca="false">J2725-K2725-L2725-M2725</f>
        <v>53901.3653260274</v>
      </c>
      <c r="O2725" s="16" t="n">
        <f aca="false">F2725*IF(A2725="2025",INDEX(Products!$D$2:$D$13,MATCH(D2725,Products!$A$2:$A$13,0)),INDEX(Products!$F$2:$F$13,MATCH(D2725,Products!$A$2:$A$13,0)))</f>
        <v>41760</v>
      </c>
      <c r="P2725" s="16" t="n">
        <f aca="false">N2725-O2725</f>
        <v>12141.3653260274</v>
      </c>
    </row>
    <row r="2726" customFormat="false" ht="15" hidden="false" customHeight="false" outlineLevel="0" collapsed="false">
      <c r="A2726" s="2" t="s">
        <v>119</v>
      </c>
      <c r="B2726" s="2" t="n">
        <v>1</v>
      </c>
      <c r="C2726" s="2" t="s">
        <v>102</v>
      </c>
      <c r="D2726" s="2" t="s">
        <v>36</v>
      </c>
      <c r="E2726" s="2" t="str">
        <f aca="false">INDEX(Products!$B$2:$B$13,MATCH(D2726,Products!$A$2:$A$13,0))</f>
        <v>FCC</v>
      </c>
      <c r="F2726" s="15" t="n">
        <v>16</v>
      </c>
      <c r="G2726" s="16" t="n">
        <f aca="false">IF(A2726="2025",INDEX(Products!$C$2:$C$13,MATCH(D2726,Products!$A$2:$A$13,0)),INDEX(Products!$E$2:$E$13,MATCH(D2726,Products!$A$2:$A$13,0)))</f>
        <v>3885</v>
      </c>
      <c r="H2726" s="13" t="n">
        <f aca="false">IF(A2726="2025",INDEX(Customers!$D$2:$D$41,MATCH(C2726,Customers!$A$2:$A$41,0)),INDEX(Customers!$F$2:$F$41,MATCH(C2726,Customers!$A$2:$A$41,0)))</f>
        <v>0.068</v>
      </c>
      <c r="I2726" s="16" t="n">
        <f aca="false">F2726*G2726</f>
        <v>62160</v>
      </c>
      <c r="J2726" s="16" t="n">
        <f aca="false">I2726*(1-H2726)</f>
        <v>57933.12</v>
      </c>
      <c r="K2726" s="16" t="n">
        <f aca="false">J2726*INDEX(Customers!$G$2:$G$41,MATCH(C2726,Customers!$A$2:$A$41,0))</f>
        <v>0</v>
      </c>
      <c r="L2726" s="16" t="n">
        <f aca="false">F2726*INDEX(Customers!$H$2:$H$41,MATCH(C2726,Customers!$A$2:$A$41,0))</f>
        <v>5600</v>
      </c>
      <c r="M2726" s="16" t="n">
        <f aca="false">J2726*INDEX(Customers!$I$2:$I$41,MATCH(C2726,Customers!$A$2:$A$41,0))/365*Assumptions!$B$6</f>
        <v>380.930104109589</v>
      </c>
      <c r="N2726" s="16" t="n">
        <f aca="false">J2726-K2726-L2726-M2726</f>
        <v>51952.1898958904</v>
      </c>
      <c r="O2726" s="16" t="n">
        <f aca="false">F2726*IF(A2726="2025",INDEX(Products!$D$2:$D$13,MATCH(D2726,Products!$A$2:$A$13,0)),INDEX(Products!$F$2:$F$13,MATCH(D2726,Products!$A$2:$A$13,0)))</f>
        <v>39552</v>
      </c>
      <c r="P2726" s="16" t="n">
        <f aca="false">N2726-O2726</f>
        <v>12400.1898958904</v>
      </c>
    </row>
    <row r="2727" customFormat="false" ht="15" hidden="false" customHeight="false" outlineLevel="0" collapsed="false">
      <c r="A2727" s="2" t="s">
        <v>119</v>
      </c>
      <c r="B2727" s="2" t="n">
        <v>2</v>
      </c>
      <c r="C2727" s="2" t="s">
        <v>102</v>
      </c>
      <c r="D2727" s="2" t="s">
        <v>36</v>
      </c>
      <c r="E2727" s="2" t="str">
        <f aca="false">INDEX(Products!$B$2:$B$13,MATCH(D2727,Products!$A$2:$A$13,0))</f>
        <v>FCC</v>
      </c>
      <c r="F2727" s="15" t="n">
        <v>15.4</v>
      </c>
      <c r="G2727" s="16" t="n">
        <f aca="false">IF(A2727="2025",INDEX(Products!$C$2:$C$13,MATCH(D2727,Products!$A$2:$A$13,0)),INDEX(Products!$E$2:$E$13,MATCH(D2727,Products!$A$2:$A$13,0)))</f>
        <v>3885</v>
      </c>
      <c r="H2727" s="13" t="n">
        <f aca="false">IF(A2727="2025",INDEX(Customers!$D$2:$D$41,MATCH(C2727,Customers!$A$2:$A$41,0)),INDEX(Customers!$F$2:$F$41,MATCH(C2727,Customers!$A$2:$A$41,0)))</f>
        <v>0.068</v>
      </c>
      <c r="I2727" s="16" t="n">
        <f aca="false">F2727*G2727</f>
        <v>59829</v>
      </c>
      <c r="J2727" s="16" t="n">
        <f aca="false">I2727*(1-H2727)</f>
        <v>55760.628</v>
      </c>
      <c r="K2727" s="16" t="n">
        <f aca="false">J2727*INDEX(Customers!$G$2:$G$41,MATCH(C2727,Customers!$A$2:$A$41,0))</f>
        <v>0</v>
      </c>
      <c r="L2727" s="16" t="n">
        <f aca="false">F2727*INDEX(Customers!$H$2:$H$41,MATCH(C2727,Customers!$A$2:$A$41,0))</f>
        <v>5390</v>
      </c>
      <c r="M2727" s="16" t="n">
        <f aca="false">J2727*INDEX(Customers!$I$2:$I$41,MATCH(C2727,Customers!$A$2:$A$41,0))/365*Assumptions!$B$6</f>
        <v>366.645225205479</v>
      </c>
      <c r="N2727" s="16" t="n">
        <f aca="false">J2727-K2727-L2727-M2727</f>
        <v>50003.9827747945</v>
      </c>
      <c r="O2727" s="16" t="n">
        <f aca="false">F2727*IF(A2727="2025",INDEX(Products!$D$2:$D$13,MATCH(D2727,Products!$A$2:$A$13,0)),INDEX(Products!$F$2:$F$13,MATCH(D2727,Products!$A$2:$A$13,0)))</f>
        <v>38068.8</v>
      </c>
      <c r="P2727" s="16" t="n">
        <f aca="false">N2727-O2727</f>
        <v>11935.1827747945</v>
      </c>
    </row>
    <row r="2728" customFormat="false" ht="15" hidden="false" customHeight="false" outlineLevel="0" collapsed="false">
      <c r="A2728" s="2" t="s">
        <v>119</v>
      </c>
      <c r="B2728" s="2" t="n">
        <v>3</v>
      </c>
      <c r="C2728" s="2" t="s">
        <v>102</v>
      </c>
      <c r="D2728" s="2" t="s">
        <v>36</v>
      </c>
      <c r="E2728" s="2" t="str">
        <f aca="false">INDEX(Products!$B$2:$B$13,MATCH(D2728,Products!$A$2:$A$13,0))</f>
        <v>FCC</v>
      </c>
      <c r="F2728" s="15" t="n">
        <v>21</v>
      </c>
      <c r="G2728" s="16" t="n">
        <f aca="false">IF(A2728="2025",INDEX(Products!$C$2:$C$13,MATCH(D2728,Products!$A$2:$A$13,0)),INDEX(Products!$E$2:$E$13,MATCH(D2728,Products!$A$2:$A$13,0)))</f>
        <v>3885</v>
      </c>
      <c r="H2728" s="13" t="n">
        <f aca="false">IF(A2728="2025",INDEX(Customers!$D$2:$D$41,MATCH(C2728,Customers!$A$2:$A$41,0)),INDEX(Customers!$F$2:$F$41,MATCH(C2728,Customers!$A$2:$A$41,0)))</f>
        <v>0.068</v>
      </c>
      <c r="I2728" s="16" t="n">
        <f aca="false">F2728*G2728</f>
        <v>81585</v>
      </c>
      <c r="J2728" s="16" t="n">
        <f aca="false">I2728*(1-H2728)</f>
        <v>76037.22</v>
      </c>
      <c r="K2728" s="16" t="n">
        <f aca="false">J2728*INDEX(Customers!$G$2:$G$41,MATCH(C2728,Customers!$A$2:$A$41,0))</f>
        <v>0</v>
      </c>
      <c r="L2728" s="16" t="n">
        <f aca="false">F2728*INDEX(Customers!$H$2:$H$41,MATCH(C2728,Customers!$A$2:$A$41,0))</f>
        <v>7350</v>
      </c>
      <c r="M2728" s="16" t="n">
        <f aca="false">J2728*INDEX(Customers!$I$2:$I$41,MATCH(C2728,Customers!$A$2:$A$41,0))/365*Assumptions!$B$6</f>
        <v>499.970761643836</v>
      </c>
      <c r="N2728" s="16" t="n">
        <f aca="false">J2728-K2728-L2728-M2728</f>
        <v>68187.2492383562</v>
      </c>
      <c r="O2728" s="16" t="n">
        <f aca="false">F2728*IF(A2728="2025",INDEX(Products!$D$2:$D$13,MATCH(D2728,Products!$A$2:$A$13,0)),INDEX(Products!$F$2:$F$13,MATCH(D2728,Products!$A$2:$A$13,0)))</f>
        <v>51912</v>
      </c>
      <c r="P2728" s="16" t="n">
        <f aca="false">N2728-O2728</f>
        <v>16275.2492383562</v>
      </c>
    </row>
    <row r="2729" customFormat="false" ht="15" hidden="false" customHeight="false" outlineLevel="0" collapsed="false">
      <c r="A2729" s="2" t="s">
        <v>119</v>
      </c>
      <c r="B2729" s="2" t="n">
        <v>4</v>
      </c>
      <c r="C2729" s="2" t="s">
        <v>102</v>
      </c>
      <c r="D2729" s="2" t="s">
        <v>36</v>
      </c>
      <c r="E2729" s="2" t="str">
        <f aca="false">INDEX(Products!$B$2:$B$13,MATCH(D2729,Products!$A$2:$A$13,0))</f>
        <v>FCC</v>
      </c>
      <c r="F2729" s="15" t="n">
        <v>18</v>
      </c>
      <c r="G2729" s="16" t="n">
        <f aca="false">IF(A2729="2025",INDEX(Products!$C$2:$C$13,MATCH(D2729,Products!$A$2:$A$13,0)),INDEX(Products!$E$2:$E$13,MATCH(D2729,Products!$A$2:$A$13,0)))</f>
        <v>3885</v>
      </c>
      <c r="H2729" s="13" t="n">
        <f aca="false">IF(A2729="2025",INDEX(Customers!$D$2:$D$41,MATCH(C2729,Customers!$A$2:$A$41,0)),INDEX(Customers!$F$2:$F$41,MATCH(C2729,Customers!$A$2:$A$41,0)))</f>
        <v>0.068</v>
      </c>
      <c r="I2729" s="16" t="n">
        <f aca="false">F2729*G2729</f>
        <v>69930</v>
      </c>
      <c r="J2729" s="16" t="n">
        <f aca="false">I2729*(1-H2729)</f>
        <v>65174.76</v>
      </c>
      <c r="K2729" s="16" t="n">
        <f aca="false">J2729*INDEX(Customers!$G$2:$G$41,MATCH(C2729,Customers!$A$2:$A$41,0))</f>
        <v>0</v>
      </c>
      <c r="L2729" s="16" t="n">
        <f aca="false">F2729*INDEX(Customers!$H$2:$H$41,MATCH(C2729,Customers!$A$2:$A$41,0))</f>
        <v>6300</v>
      </c>
      <c r="M2729" s="16" t="n">
        <f aca="false">J2729*INDEX(Customers!$I$2:$I$41,MATCH(C2729,Customers!$A$2:$A$41,0))/365*Assumptions!$B$6</f>
        <v>428.546367123288</v>
      </c>
      <c r="N2729" s="16" t="n">
        <f aca="false">J2729-K2729-L2729-M2729</f>
        <v>58446.2136328767</v>
      </c>
      <c r="O2729" s="16" t="n">
        <f aca="false">F2729*IF(A2729="2025",INDEX(Products!$D$2:$D$13,MATCH(D2729,Products!$A$2:$A$13,0)),INDEX(Products!$F$2:$F$13,MATCH(D2729,Products!$A$2:$A$13,0)))</f>
        <v>44496</v>
      </c>
      <c r="P2729" s="16" t="n">
        <f aca="false">N2729-O2729</f>
        <v>13950.2136328767</v>
      </c>
    </row>
    <row r="2730" customFormat="false" ht="15" hidden="false" customHeight="false" outlineLevel="0" collapsed="false">
      <c r="A2730" s="2" t="s">
        <v>119</v>
      </c>
      <c r="B2730" s="2" t="n">
        <v>5</v>
      </c>
      <c r="C2730" s="2" t="s">
        <v>102</v>
      </c>
      <c r="D2730" s="2" t="s">
        <v>36</v>
      </c>
      <c r="E2730" s="2" t="str">
        <f aca="false">INDEX(Products!$B$2:$B$13,MATCH(D2730,Products!$A$2:$A$13,0))</f>
        <v>FCC</v>
      </c>
      <c r="F2730" s="15" t="n">
        <v>13.9</v>
      </c>
      <c r="G2730" s="16" t="n">
        <f aca="false">IF(A2730="2025",INDEX(Products!$C$2:$C$13,MATCH(D2730,Products!$A$2:$A$13,0)),INDEX(Products!$E$2:$E$13,MATCH(D2730,Products!$A$2:$A$13,0)))</f>
        <v>3885</v>
      </c>
      <c r="H2730" s="13" t="n">
        <f aca="false">IF(A2730="2025",INDEX(Customers!$D$2:$D$41,MATCH(C2730,Customers!$A$2:$A$41,0)),INDEX(Customers!$F$2:$F$41,MATCH(C2730,Customers!$A$2:$A$41,0)))</f>
        <v>0.068</v>
      </c>
      <c r="I2730" s="16" t="n">
        <f aca="false">F2730*G2730</f>
        <v>54001.5</v>
      </c>
      <c r="J2730" s="16" t="n">
        <f aca="false">I2730*(1-H2730)</f>
        <v>50329.398</v>
      </c>
      <c r="K2730" s="16" t="n">
        <f aca="false">J2730*INDEX(Customers!$G$2:$G$41,MATCH(C2730,Customers!$A$2:$A$41,0))</f>
        <v>0</v>
      </c>
      <c r="L2730" s="16" t="n">
        <f aca="false">F2730*INDEX(Customers!$H$2:$H$41,MATCH(C2730,Customers!$A$2:$A$41,0))</f>
        <v>4865</v>
      </c>
      <c r="M2730" s="16" t="n">
        <f aca="false">J2730*INDEX(Customers!$I$2:$I$41,MATCH(C2730,Customers!$A$2:$A$41,0))/365*Assumptions!$B$6</f>
        <v>330.933027945205</v>
      </c>
      <c r="N2730" s="16" t="n">
        <f aca="false">J2730-K2730-L2730-M2730</f>
        <v>45133.4649720548</v>
      </c>
      <c r="O2730" s="16" t="n">
        <f aca="false">F2730*IF(A2730="2025",INDEX(Products!$D$2:$D$13,MATCH(D2730,Products!$A$2:$A$13,0)),INDEX(Products!$F$2:$F$13,MATCH(D2730,Products!$A$2:$A$13,0)))</f>
        <v>34360.8</v>
      </c>
      <c r="P2730" s="16" t="n">
        <f aca="false">N2730-O2730</f>
        <v>10772.6649720548</v>
      </c>
    </row>
    <row r="2731" customFormat="false" ht="15" hidden="false" customHeight="false" outlineLevel="0" collapsed="false">
      <c r="A2731" s="2" t="s">
        <v>119</v>
      </c>
      <c r="B2731" s="2" t="n">
        <v>6</v>
      </c>
      <c r="C2731" s="2" t="s">
        <v>102</v>
      </c>
      <c r="D2731" s="2" t="s">
        <v>36</v>
      </c>
      <c r="E2731" s="2" t="str">
        <f aca="false">INDEX(Products!$B$2:$B$13,MATCH(D2731,Products!$A$2:$A$13,0))</f>
        <v>FCC</v>
      </c>
      <c r="F2731" s="15" t="n">
        <v>13.9</v>
      </c>
      <c r="G2731" s="16" t="n">
        <f aca="false">IF(A2731="2025",INDEX(Products!$C$2:$C$13,MATCH(D2731,Products!$A$2:$A$13,0)),INDEX(Products!$E$2:$E$13,MATCH(D2731,Products!$A$2:$A$13,0)))</f>
        <v>3885</v>
      </c>
      <c r="H2731" s="13" t="n">
        <f aca="false">IF(A2731="2025",INDEX(Customers!$D$2:$D$41,MATCH(C2731,Customers!$A$2:$A$41,0)),INDEX(Customers!$F$2:$F$41,MATCH(C2731,Customers!$A$2:$A$41,0)))</f>
        <v>0.068</v>
      </c>
      <c r="I2731" s="16" t="n">
        <f aca="false">F2731*G2731</f>
        <v>54001.5</v>
      </c>
      <c r="J2731" s="16" t="n">
        <f aca="false">I2731*(1-H2731)</f>
        <v>50329.398</v>
      </c>
      <c r="K2731" s="16" t="n">
        <f aca="false">J2731*INDEX(Customers!$G$2:$G$41,MATCH(C2731,Customers!$A$2:$A$41,0))</f>
        <v>0</v>
      </c>
      <c r="L2731" s="16" t="n">
        <f aca="false">F2731*INDEX(Customers!$H$2:$H$41,MATCH(C2731,Customers!$A$2:$A$41,0))</f>
        <v>4865</v>
      </c>
      <c r="M2731" s="16" t="n">
        <f aca="false">J2731*INDEX(Customers!$I$2:$I$41,MATCH(C2731,Customers!$A$2:$A$41,0))/365*Assumptions!$B$6</f>
        <v>330.933027945205</v>
      </c>
      <c r="N2731" s="16" t="n">
        <f aca="false">J2731-K2731-L2731-M2731</f>
        <v>45133.4649720548</v>
      </c>
      <c r="O2731" s="16" t="n">
        <f aca="false">F2731*IF(A2731="2025",INDEX(Products!$D$2:$D$13,MATCH(D2731,Products!$A$2:$A$13,0)),INDEX(Products!$F$2:$F$13,MATCH(D2731,Products!$A$2:$A$13,0)))</f>
        <v>34360.8</v>
      </c>
      <c r="P2731" s="16" t="n">
        <f aca="false">N2731-O2731</f>
        <v>10772.6649720548</v>
      </c>
    </row>
    <row r="2732" customFormat="false" ht="15" hidden="false" customHeight="false" outlineLevel="0" collapsed="false">
      <c r="A2732" s="2" t="s">
        <v>119</v>
      </c>
      <c r="B2732" s="2" t="n">
        <v>7</v>
      </c>
      <c r="C2732" s="2" t="s">
        <v>102</v>
      </c>
      <c r="D2732" s="2" t="s">
        <v>36</v>
      </c>
      <c r="E2732" s="2" t="str">
        <f aca="false">INDEX(Products!$B$2:$B$13,MATCH(D2732,Products!$A$2:$A$13,0))</f>
        <v>FCC</v>
      </c>
      <c r="F2732" s="15" t="n">
        <v>17.6</v>
      </c>
      <c r="G2732" s="16" t="n">
        <f aca="false">IF(A2732="2025",INDEX(Products!$C$2:$C$13,MATCH(D2732,Products!$A$2:$A$13,0)),INDEX(Products!$E$2:$E$13,MATCH(D2732,Products!$A$2:$A$13,0)))</f>
        <v>3885</v>
      </c>
      <c r="H2732" s="13" t="n">
        <f aca="false">IF(A2732="2025",INDEX(Customers!$D$2:$D$41,MATCH(C2732,Customers!$A$2:$A$41,0)),INDEX(Customers!$F$2:$F$41,MATCH(C2732,Customers!$A$2:$A$41,0)))</f>
        <v>0.068</v>
      </c>
      <c r="I2732" s="16" t="n">
        <f aca="false">F2732*G2732</f>
        <v>68376</v>
      </c>
      <c r="J2732" s="16" t="n">
        <f aca="false">I2732*(1-H2732)</f>
        <v>63726.432</v>
      </c>
      <c r="K2732" s="16" t="n">
        <f aca="false">J2732*INDEX(Customers!$G$2:$G$41,MATCH(C2732,Customers!$A$2:$A$41,0))</f>
        <v>0</v>
      </c>
      <c r="L2732" s="16" t="n">
        <f aca="false">F2732*INDEX(Customers!$H$2:$H$41,MATCH(C2732,Customers!$A$2:$A$41,0))</f>
        <v>6160</v>
      </c>
      <c r="M2732" s="16" t="n">
        <f aca="false">J2732*INDEX(Customers!$I$2:$I$41,MATCH(C2732,Customers!$A$2:$A$41,0))/365*Assumptions!$B$6</f>
        <v>419.023114520548</v>
      </c>
      <c r="N2732" s="16" t="n">
        <f aca="false">J2732-K2732-L2732-M2732</f>
        <v>57147.4088854794</v>
      </c>
      <c r="O2732" s="16" t="n">
        <f aca="false">F2732*IF(A2732="2025",INDEX(Products!$D$2:$D$13,MATCH(D2732,Products!$A$2:$A$13,0)),INDEX(Products!$F$2:$F$13,MATCH(D2732,Products!$A$2:$A$13,0)))</f>
        <v>43507.2</v>
      </c>
      <c r="P2732" s="16" t="n">
        <f aca="false">N2732-O2732</f>
        <v>13640.2088854794</v>
      </c>
    </row>
    <row r="2733" customFormat="false" ht="15" hidden="false" customHeight="false" outlineLevel="0" collapsed="false">
      <c r="A2733" s="2" t="s">
        <v>119</v>
      </c>
      <c r="B2733" s="2" t="n">
        <v>8</v>
      </c>
      <c r="C2733" s="2" t="s">
        <v>102</v>
      </c>
      <c r="D2733" s="2" t="s">
        <v>36</v>
      </c>
      <c r="E2733" s="2" t="str">
        <f aca="false">INDEX(Products!$B$2:$B$13,MATCH(D2733,Products!$A$2:$A$13,0))</f>
        <v>FCC</v>
      </c>
      <c r="F2733" s="15" t="n">
        <v>17.4</v>
      </c>
      <c r="G2733" s="16" t="n">
        <f aca="false">IF(A2733="2025",INDEX(Products!$C$2:$C$13,MATCH(D2733,Products!$A$2:$A$13,0)),INDEX(Products!$E$2:$E$13,MATCH(D2733,Products!$A$2:$A$13,0)))</f>
        <v>3885</v>
      </c>
      <c r="H2733" s="13" t="n">
        <f aca="false">IF(A2733="2025",INDEX(Customers!$D$2:$D$41,MATCH(C2733,Customers!$A$2:$A$41,0)),INDEX(Customers!$F$2:$F$41,MATCH(C2733,Customers!$A$2:$A$41,0)))</f>
        <v>0.068</v>
      </c>
      <c r="I2733" s="16" t="n">
        <f aca="false">F2733*G2733</f>
        <v>67599</v>
      </c>
      <c r="J2733" s="16" t="n">
        <f aca="false">I2733*(1-H2733)</f>
        <v>63002.268</v>
      </c>
      <c r="K2733" s="16" t="n">
        <f aca="false">J2733*INDEX(Customers!$G$2:$G$41,MATCH(C2733,Customers!$A$2:$A$41,0))</f>
        <v>0</v>
      </c>
      <c r="L2733" s="16" t="n">
        <f aca="false">F2733*INDEX(Customers!$H$2:$H$41,MATCH(C2733,Customers!$A$2:$A$41,0))</f>
        <v>6090</v>
      </c>
      <c r="M2733" s="16" t="n">
        <f aca="false">J2733*INDEX(Customers!$I$2:$I$41,MATCH(C2733,Customers!$A$2:$A$41,0))/365*Assumptions!$B$6</f>
        <v>414.261488219178</v>
      </c>
      <c r="N2733" s="16" t="n">
        <f aca="false">J2733-K2733-L2733-M2733</f>
        <v>56498.0065117808</v>
      </c>
      <c r="O2733" s="16" t="n">
        <f aca="false">F2733*IF(A2733="2025",INDEX(Products!$D$2:$D$13,MATCH(D2733,Products!$A$2:$A$13,0)),INDEX(Products!$F$2:$F$13,MATCH(D2733,Products!$A$2:$A$13,0)))</f>
        <v>43012.8</v>
      </c>
      <c r="P2733" s="16" t="n">
        <f aca="false">N2733-O2733</f>
        <v>13485.2065117808</v>
      </c>
    </row>
    <row r="2734" customFormat="false" ht="15" hidden="false" customHeight="false" outlineLevel="0" collapsed="false">
      <c r="A2734" s="2" t="s">
        <v>119</v>
      </c>
      <c r="B2734" s="2" t="n">
        <v>9</v>
      </c>
      <c r="C2734" s="2" t="s">
        <v>102</v>
      </c>
      <c r="D2734" s="2" t="s">
        <v>36</v>
      </c>
      <c r="E2734" s="2" t="str">
        <f aca="false">INDEX(Products!$B$2:$B$13,MATCH(D2734,Products!$A$2:$A$13,0))</f>
        <v>FCC</v>
      </c>
      <c r="F2734" s="15" t="n">
        <v>13.5</v>
      </c>
      <c r="G2734" s="16" t="n">
        <f aca="false">IF(A2734="2025",INDEX(Products!$C$2:$C$13,MATCH(D2734,Products!$A$2:$A$13,0)),INDEX(Products!$E$2:$E$13,MATCH(D2734,Products!$A$2:$A$13,0)))</f>
        <v>3885</v>
      </c>
      <c r="H2734" s="13" t="n">
        <f aca="false">IF(A2734="2025",INDEX(Customers!$D$2:$D$41,MATCH(C2734,Customers!$A$2:$A$41,0)),INDEX(Customers!$F$2:$F$41,MATCH(C2734,Customers!$A$2:$A$41,0)))</f>
        <v>0.068</v>
      </c>
      <c r="I2734" s="16" t="n">
        <f aca="false">F2734*G2734</f>
        <v>52447.5</v>
      </c>
      <c r="J2734" s="16" t="n">
        <f aca="false">I2734*(1-H2734)</f>
        <v>48881.07</v>
      </c>
      <c r="K2734" s="16" t="n">
        <f aca="false">J2734*INDEX(Customers!$G$2:$G$41,MATCH(C2734,Customers!$A$2:$A$41,0))</f>
        <v>0</v>
      </c>
      <c r="L2734" s="16" t="n">
        <f aca="false">F2734*INDEX(Customers!$H$2:$H$41,MATCH(C2734,Customers!$A$2:$A$41,0))</f>
        <v>4725</v>
      </c>
      <c r="M2734" s="16" t="n">
        <f aca="false">J2734*INDEX(Customers!$I$2:$I$41,MATCH(C2734,Customers!$A$2:$A$41,0))/365*Assumptions!$B$6</f>
        <v>321.409775342466</v>
      </c>
      <c r="N2734" s="16" t="n">
        <f aca="false">J2734-K2734-L2734-M2734</f>
        <v>43834.6602246575</v>
      </c>
      <c r="O2734" s="16" t="n">
        <f aca="false">F2734*IF(A2734="2025",INDEX(Products!$D$2:$D$13,MATCH(D2734,Products!$A$2:$A$13,0)),INDEX(Products!$F$2:$F$13,MATCH(D2734,Products!$A$2:$A$13,0)))</f>
        <v>33372</v>
      </c>
      <c r="P2734" s="16" t="n">
        <f aca="false">N2734-O2734</f>
        <v>10462.6602246575</v>
      </c>
    </row>
    <row r="2735" customFormat="false" ht="15" hidden="false" customHeight="false" outlineLevel="0" collapsed="false">
      <c r="A2735" s="2" t="s">
        <v>119</v>
      </c>
      <c r="B2735" s="2" t="n">
        <v>10</v>
      </c>
      <c r="C2735" s="2" t="s">
        <v>102</v>
      </c>
      <c r="D2735" s="2" t="s">
        <v>36</v>
      </c>
      <c r="E2735" s="2" t="str">
        <f aca="false">INDEX(Products!$B$2:$B$13,MATCH(D2735,Products!$A$2:$A$13,0))</f>
        <v>FCC</v>
      </c>
      <c r="F2735" s="15" t="n">
        <v>12.7</v>
      </c>
      <c r="G2735" s="16" t="n">
        <f aca="false">IF(A2735="2025",INDEX(Products!$C$2:$C$13,MATCH(D2735,Products!$A$2:$A$13,0)),INDEX(Products!$E$2:$E$13,MATCH(D2735,Products!$A$2:$A$13,0)))</f>
        <v>3885</v>
      </c>
      <c r="H2735" s="13" t="n">
        <f aca="false">IF(A2735="2025",INDEX(Customers!$D$2:$D$41,MATCH(C2735,Customers!$A$2:$A$41,0)),INDEX(Customers!$F$2:$F$41,MATCH(C2735,Customers!$A$2:$A$41,0)))</f>
        <v>0.068</v>
      </c>
      <c r="I2735" s="16" t="n">
        <f aca="false">F2735*G2735</f>
        <v>49339.5</v>
      </c>
      <c r="J2735" s="16" t="n">
        <f aca="false">I2735*(1-H2735)</f>
        <v>45984.414</v>
      </c>
      <c r="K2735" s="16" t="n">
        <f aca="false">J2735*INDEX(Customers!$G$2:$G$41,MATCH(C2735,Customers!$A$2:$A$41,0))</f>
        <v>0</v>
      </c>
      <c r="L2735" s="16" t="n">
        <f aca="false">F2735*INDEX(Customers!$H$2:$H$41,MATCH(C2735,Customers!$A$2:$A$41,0))</f>
        <v>4445</v>
      </c>
      <c r="M2735" s="16" t="n">
        <f aca="false">J2735*INDEX(Customers!$I$2:$I$41,MATCH(C2735,Customers!$A$2:$A$41,0))/365*Assumptions!$B$6</f>
        <v>302.363270136986</v>
      </c>
      <c r="N2735" s="16" t="n">
        <f aca="false">J2735-K2735-L2735-M2735</f>
        <v>41237.050729863</v>
      </c>
      <c r="O2735" s="16" t="n">
        <f aca="false">F2735*IF(A2735="2025",INDEX(Products!$D$2:$D$13,MATCH(D2735,Products!$A$2:$A$13,0)),INDEX(Products!$F$2:$F$13,MATCH(D2735,Products!$A$2:$A$13,0)))</f>
        <v>31394.4</v>
      </c>
      <c r="P2735" s="16" t="n">
        <f aca="false">N2735-O2735</f>
        <v>9842.65072986301</v>
      </c>
    </row>
    <row r="2736" customFormat="false" ht="15" hidden="false" customHeight="false" outlineLevel="0" collapsed="false">
      <c r="A2736" s="2" t="s">
        <v>119</v>
      </c>
      <c r="B2736" s="2" t="n">
        <v>11</v>
      </c>
      <c r="C2736" s="2" t="s">
        <v>102</v>
      </c>
      <c r="D2736" s="2" t="s">
        <v>36</v>
      </c>
      <c r="E2736" s="2" t="str">
        <f aca="false">INDEX(Products!$B$2:$B$13,MATCH(D2736,Products!$A$2:$A$13,0))</f>
        <v>FCC</v>
      </c>
      <c r="F2736" s="15" t="n">
        <v>14.6</v>
      </c>
      <c r="G2736" s="16" t="n">
        <f aca="false">IF(A2736="2025",INDEX(Products!$C$2:$C$13,MATCH(D2736,Products!$A$2:$A$13,0)),INDEX(Products!$E$2:$E$13,MATCH(D2736,Products!$A$2:$A$13,0)))</f>
        <v>3885</v>
      </c>
      <c r="H2736" s="13" t="n">
        <f aca="false">IF(A2736="2025",INDEX(Customers!$D$2:$D$41,MATCH(C2736,Customers!$A$2:$A$41,0)),INDEX(Customers!$F$2:$F$41,MATCH(C2736,Customers!$A$2:$A$41,0)))</f>
        <v>0.068</v>
      </c>
      <c r="I2736" s="16" t="n">
        <f aca="false">F2736*G2736</f>
        <v>56721</v>
      </c>
      <c r="J2736" s="16" t="n">
        <f aca="false">I2736*(1-H2736)</f>
        <v>52863.972</v>
      </c>
      <c r="K2736" s="16" t="n">
        <f aca="false">J2736*INDEX(Customers!$G$2:$G$41,MATCH(C2736,Customers!$A$2:$A$41,0))</f>
        <v>0</v>
      </c>
      <c r="L2736" s="16" t="n">
        <f aca="false">F2736*INDEX(Customers!$H$2:$H$41,MATCH(C2736,Customers!$A$2:$A$41,0))</f>
        <v>5110</v>
      </c>
      <c r="M2736" s="16" t="n">
        <f aca="false">J2736*INDEX(Customers!$I$2:$I$41,MATCH(C2736,Customers!$A$2:$A$41,0))/365*Assumptions!$B$6</f>
        <v>347.59872</v>
      </c>
      <c r="N2736" s="16" t="n">
        <f aca="false">J2736-K2736-L2736-M2736</f>
        <v>47406.37328</v>
      </c>
      <c r="O2736" s="16" t="n">
        <f aca="false">F2736*IF(A2736="2025",INDEX(Products!$D$2:$D$13,MATCH(D2736,Products!$A$2:$A$13,0)),INDEX(Products!$F$2:$F$13,MATCH(D2736,Products!$A$2:$A$13,0)))</f>
        <v>36091.2</v>
      </c>
      <c r="P2736" s="16" t="n">
        <f aca="false">N2736-O2736</f>
        <v>11315.17328</v>
      </c>
    </row>
    <row r="2737" customFormat="false" ht="15" hidden="false" customHeight="false" outlineLevel="0" collapsed="false">
      <c r="A2737" s="2" t="s">
        <v>119</v>
      </c>
      <c r="B2737" s="2" t="n">
        <v>12</v>
      </c>
      <c r="C2737" s="2" t="s">
        <v>102</v>
      </c>
      <c r="D2737" s="2" t="s">
        <v>36</v>
      </c>
      <c r="E2737" s="2" t="str">
        <f aca="false">INDEX(Products!$B$2:$B$13,MATCH(D2737,Products!$A$2:$A$13,0))</f>
        <v>FCC</v>
      </c>
      <c r="F2737" s="15" t="n">
        <v>20.8</v>
      </c>
      <c r="G2737" s="16" t="n">
        <f aca="false">IF(A2737="2025",INDEX(Products!$C$2:$C$13,MATCH(D2737,Products!$A$2:$A$13,0)),INDEX(Products!$E$2:$E$13,MATCH(D2737,Products!$A$2:$A$13,0)))</f>
        <v>3885</v>
      </c>
      <c r="H2737" s="13" t="n">
        <f aca="false">IF(A2737="2025",INDEX(Customers!$D$2:$D$41,MATCH(C2737,Customers!$A$2:$A$41,0)),INDEX(Customers!$F$2:$F$41,MATCH(C2737,Customers!$A$2:$A$41,0)))</f>
        <v>0.068</v>
      </c>
      <c r="I2737" s="16" t="n">
        <f aca="false">F2737*G2737</f>
        <v>80808</v>
      </c>
      <c r="J2737" s="16" t="n">
        <f aca="false">I2737*(1-H2737)</f>
        <v>75313.056</v>
      </c>
      <c r="K2737" s="16" t="n">
        <f aca="false">J2737*INDEX(Customers!$G$2:$G$41,MATCH(C2737,Customers!$A$2:$A$41,0))</f>
        <v>0</v>
      </c>
      <c r="L2737" s="16" t="n">
        <f aca="false">F2737*INDEX(Customers!$H$2:$H$41,MATCH(C2737,Customers!$A$2:$A$41,0))</f>
        <v>7280</v>
      </c>
      <c r="M2737" s="16" t="n">
        <f aca="false">J2737*INDEX(Customers!$I$2:$I$41,MATCH(C2737,Customers!$A$2:$A$41,0))/365*Assumptions!$B$6</f>
        <v>495.209135342466</v>
      </c>
      <c r="N2737" s="16" t="n">
        <f aca="false">J2737-K2737-L2737-M2737</f>
        <v>67537.8468646575</v>
      </c>
      <c r="O2737" s="16" t="n">
        <f aca="false">F2737*IF(A2737="2025",INDEX(Products!$D$2:$D$13,MATCH(D2737,Products!$A$2:$A$13,0)),INDEX(Products!$F$2:$F$13,MATCH(D2737,Products!$A$2:$A$13,0)))</f>
        <v>51417.6</v>
      </c>
      <c r="P2737" s="16" t="n">
        <f aca="false">N2737-O2737</f>
        <v>16120.2468646575</v>
      </c>
    </row>
    <row r="2738" customFormat="false" ht="15" hidden="false" customHeight="false" outlineLevel="0" collapsed="false">
      <c r="A2738" s="2" t="s">
        <v>118</v>
      </c>
      <c r="B2738" s="2" t="n">
        <v>1</v>
      </c>
      <c r="C2738" s="2" t="s">
        <v>102</v>
      </c>
      <c r="D2738" s="2" t="s">
        <v>34</v>
      </c>
      <c r="E2738" s="2" t="str">
        <f aca="false">INDEX(Products!$B$2:$B$13,MATCH(D2738,Products!$A$2:$A$13,0))</f>
        <v>FCC</v>
      </c>
      <c r="F2738" s="15" t="n">
        <v>20.2</v>
      </c>
      <c r="G2738" s="16" t="n">
        <f aca="false">IF(A2738="2025",INDEX(Products!$C$2:$C$13,MATCH(D2738,Products!$A$2:$A$13,0)),INDEX(Products!$E$2:$E$13,MATCH(D2738,Products!$A$2:$A$13,0)))</f>
        <v>3270</v>
      </c>
      <c r="H2738" s="13" t="n">
        <f aca="false">IF(A2738="2025",INDEX(Customers!$D$2:$D$41,MATCH(C2738,Customers!$A$2:$A$41,0)),INDEX(Customers!$F$2:$F$41,MATCH(C2738,Customers!$A$2:$A$41,0)))</f>
        <v>0.062</v>
      </c>
      <c r="I2738" s="16" t="n">
        <f aca="false">F2738*G2738</f>
        <v>66054</v>
      </c>
      <c r="J2738" s="16" t="n">
        <f aca="false">I2738*(1-H2738)</f>
        <v>61958.652</v>
      </c>
      <c r="K2738" s="16" t="n">
        <f aca="false">J2738*INDEX(Customers!$G$2:$G$41,MATCH(C2738,Customers!$A$2:$A$41,0))</f>
        <v>0</v>
      </c>
      <c r="L2738" s="16" t="n">
        <f aca="false">F2738*INDEX(Customers!$H$2:$H$41,MATCH(C2738,Customers!$A$2:$A$41,0))</f>
        <v>7070</v>
      </c>
      <c r="M2738" s="16" t="n">
        <f aca="false">J2738*INDEX(Customers!$I$2:$I$41,MATCH(C2738,Customers!$A$2:$A$41,0))/365*Assumptions!$B$6</f>
        <v>407.399355616438</v>
      </c>
      <c r="N2738" s="16" t="n">
        <f aca="false">J2738-K2738-L2738-M2738</f>
        <v>54481.2526443836</v>
      </c>
      <c r="O2738" s="16" t="n">
        <f aca="false">F2738*IF(A2738="2025",INDEX(Products!$D$2:$D$13,MATCH(D2738,Products!$A$2:$A$13,0)),INDEX(Products!$F$2:$F$13,MATCH(D2738,Products!$A$2:$A$13,0)))</f>
        <v>44238</v>
      </c>
      <c r="P2738" s="16" t="n">
        <f aca="false">N2738-O2738</f>
        <v>10243.2526443836</v>
      </c>
    </row>
    <row r="2739" customFormat="false" ht="15" hidden="false" customHeight="false" outlineLevel="0" collapsed="false">
      <c r="A2739" s="2" t="s">
        <v>118</v>
      </c>
      <c r="B2739" s="2" t="n">
        <v>2</v>
      </c>
      <c r="C2739" s="2" t="s">
        <v>102</v>
      </c>
      <c r="D2739" s="2" t="s">
        <v>34</v>
      </c>
      <c r="E2739" s="2" t="str">
        <f aca="false">INDEX(Products!$B$2:$B$13,MATCH(D2739,Products!$A$2:$A$13,0))</f>
        <v>FCC</v>
      </c>
      <c r="F2739" s="15" t="n">
        <v>21.3</v>
      </c>
      <c r="G2739" s="16" t="n">
        <f aca="false">IF(A2739="2025",INDEX(Products!$C$2:$C$13,MATCH(D2739,Products!$A$2:$A$13,0)),INDEX(Products!$E$2:$E$13,MATCH(D2739,Products!$A$2:$A$13,0)))</f>
        <v>3270</v>
      </c>
      <c r="H2739" s="13" t="n">
        <f aca="false">IF(A2739="2025",INDEX(Customers!$D$2:$D$41,MATCH(C2739,Customers!$A$2:$A$41,0)),INDEX(Customers!$F$2:$F$41,MATCH(C2739,Customers!$A$2:$A$41,0)))</f>
        <v>0.062</v>
      </c>
      <c r="I2739" s="16" t="n">
        <f aca="false">F2739*G2739</f>
        <v>69651</v>
      </c>
      <c r="J2739" s="16" t="n">
        <f aca="false">I2739*(1-H2739)</f>
        <v>65332.638</v>
      </c>
      <c r="K2739" s="16" t="n">
        <f aca="false">J2739*INDEX(Customers!$G$2:$G$41,MATCH(C2739,Customers!$A$2:$A$41,0))</f>
        <v>0</v>
      </c>
      <c r="L2739" s="16" t="n">
        <f aca="false">F2739*INDEX(Customers!$H$2:$H$41,MATCH(C2739,Customers!$A$2:$A$41,0))</f>
        <v>7455</v>
      </c>
      <c r="M2739" s="16" t="n">
        <f aca="false">J2739*INDEX(Customers!$I$2:$I$41,MATCH(C2739,Customers!$A$2:$A$41,0))/365*Assumptions!$B$6</f>
        <v>429.584469041096</v>
      </c>
      <c r="N2739" s="16" t="n">
        <f aca="false">J2739-K2739-L2739-M2739</f>
        <v>57448.0535309589</v>
      </c>
      <c r="O2739" s="16" t="n">
        <f aca="false">F2739*IF(A2739="2025",INDEX(Products!$D$2:$D$13,MATCH(D2739,Products!$A$2:$A$13,0)),INDEX(Products!$F$2:$F$13,MATCH(D2739,Products!$A$2:$A$13,0)))</f>
        <v>46647</v>
      </c>
      <c r="P2739" s="16" t="n">
        <f aca="false">N2739-O2739</f>
        <v>10801.0535309589</v>
      </c>
    </row>
    <row r="2740" customFormat="false" ht="15" hidden="false" customHeight="false" outlineLevel="0" collapsed="false">
      <c r="A2740" s="2" t="s">
        <v>118</v>
      </c>
      <c r="B2740" s="2" t="n">
        <v>3</v>
      </c>
      <c r="C2740" s="2" t="s">
        <v>102</v>
      </c>
      <c r="D2740" s="2" t="s">
        <v>34</v>
      </c>
      <c r="E2740" s="2" t="str">
        <f aca="false">INDEX(Products!$B$2:$B$13,MATCH(D2740,Products!$A$2:$A$13,0))</f>
        <v>FCC</v>
      </c>
      <c r="F2740" s="15" t="n">
        <v>18.9</v>
      </c>
      <c r="G2740" s="16" t="n">
        <f aca="false">IF(A2740="2025",INDEX(Products!$C$2:$C$13,MATCH(D2740,Products!$A$2:$A$13,0)),INDEX(Products!$E$2:$E$13,MATCH(D2740,Products!$A$2:$A$13,0)))</f>
        <v>3270</v>
      </c>
      <c r="H2740" s="13" t="n">
        <f aca="false">IF(A2740="2025",INDEX(Customers!$D$2:$D$41,MATCH(C2740,Customers!$A$2:$A$41,0)),INDEX(Customers!$F$2:$F$41,MATCH(C2740,Customers!$A$2:$A$41,0)))</f>
        <v>0.062</v>
      </c>
      <c r="I2740" s="16" t="n">
        <f aca="false">F2740*G2740</f>
        <v>61803</v>
      </c>
      <c r="J2740" s="16" t="n">
        <f aca="false">I2740*(1-H2740)</f>
        <v>57971.214</v>
      </c>
      <c r="K2740" s="16" t="n">
        <f aca="false">J2740*INDEX(Customers!$G$2:$G$41,MATCH(C2740,Customers!$A$2:$A$41,0))</f>
        <v>0</v>
      </c>
      <c r="L2740" s="16" t="n">
        <f aca="false">F2740*INDEX(Customers!$H$2:$H$41,MATCH(C2740,Customers!$A$2:$A$41,0))</f>
        <v>6615</v>
      </c>
      <c r="M2740" s="16" t="n">
        <f aca="false">J2740*INDEX(Customers!$I$2:$I$41,MATCH(C2740,Customers!$A$2:$A$41,0))/365*Assumptions!$B$6</f>
        <v>381.180585205479</v>
      </c>
      <c r="N2740" s="16" t="n">
        <f aca="false">J2740-K2740-L2740-M2740</f>
        <v>50975.0334147945</v>
      </c>
      <c r="O2740" s="16" t="n">
        <f aca="false">F2740*IF(A2740="2025",INDEX(Products!$D$2:$D$13,MATCH(D2740,Products!$A$2:$A$13,0)),INDEX(Products!$F$2:$F$13,MATCH(D2740,Products!$A$2:$A$13,0)))</f>
        <v>41391</v>
      </c>
      <c r="P2740" s="16" t="n">
        <f aca="false">N2740-O2740</f>
        <v>9584.03341479451</v>
      </c>
    </row>
    <row r="2741" customFormat="false" ht="15" hidden="false" customHeight="false" outlineLevel="0" collapsed="false">
      <c r="A2741" s="2" t="s">
        <v>118</v>
      </c>
      <c r="B2741" s="2" t="n">
        <v>4</v>
      </c>
      <c r="C2741" s="2" t="s">
        <v>102</v>
      </c>
      <c r="D2741" s="2" t="s">
        <v>34</v>
      </c>
      <c r="E2741" s="2" t="str">
        <f aca="false">INDEX(Products!$B$2:$B$13,MATCH(D2741,Products!$A$2:$A$13,0))</f>
        <v>FCC</v>
      </c>
      <c r="F2741" s="15" t="n">
        <v>20.4</v>
      </c>
      <c r="G2741" s="16" t="n">
        <f aca="false">IF(A2741="2025",INDEX(Products!$C$2:$C$13,MATCH(D2741,Products!$A$2:$A$13,0)),INDEX(Products!$E$2:$E$13,MATCH(D2741,Products!$A$2:$A$13,0)))</f>
        <v>3270</v>
      </c>
      <c r="H2741" s="13" t="n">
        <f aca="false">IF(A2741="2025",INDEX(Customers!$D$2:$D$41,MATCH(C2741,Customers!$A$2:$A$41,0)),INDEX(Customers!$F$2:$F$41,MATCH(C2741,Customers!$A$2:$A$41,0)))</f>
        <v>0.062</v>
      </c>
      <c r="I2741" s="16" t="n">
        <f aca="false">F2741*G2741</f>
        <v>66708</v>
      </c>
      <c r="J2741" s="16" t="n">
        <f aca="false">I2741*(1-H2741)</f>
        <v>62572.104</v>
      </c>
      <c r="K2741" s="16" t="n">
        <f aca="false">J2741*INDEX(Customers!$G$2:$G$41,MATCH(C2741,Customers!$A$2:$A$41,0))</f>
        <v>0</v>
      </c>
      <c r="L2741" s="16" t="n">
        <f aca="false">F2741*INDEX(Customers!$H$2:$H$41,MATCH(C2741,Customers!$A$2:$A$41,0))</f>
        <v>7140</v>
      </c>
      <c r="M2741" s="16" t="n">
        <f aca="false">J2741*INDEX(Customers!$I$2:$I$41,MATCH(C2741,Customers!$A$2:$A$41,0))/365*Assumptions!$B$6</f>
        <v>411.43301260274</v>
      </c>
      <c r="N2741" s="16" t="n">
        <f aca="false">J2741-K2741-L2741-M2741</f>
        <v>55020.6709873973</v>
      </c>
      <c r="O2741" s="16" t="n">
        <f aca="false">F2741*IF(A2741="2025",INDEX(Products!$D$2:$D$13,MATCH(D2741,Products!$A$2:$A$13,0)),INDEX(Products!$F$2:$F$13,MATCH(D2741,Products!$A$2:$A$13,0)))</f>
        <v>44676</v>
      </c>
      <c r="P2741" s="16" t="n">
        <f aca="false">N2741-O2741</f>
        <v>10344.6709873973</v>
      </c>
    </row>
    <row r="2742" customFormat="false" ht="15" hidden="false" customHeight="false" outlineLevel="0" collapsed="false">
      <c r="A2742" s="2" t="s">
        <v>118</v>
      </c>
      <c r="B2742" s="2" t="n">
        <v>5</v>
      </c>
      <c r="C2742" s="2" t="s">
        <v>102</v>
      </c>
      <c r="D2742" s="2" t="s">
        <v>34</v>
      </c>
      <c r="E2742" s="2" t="str">
        <f aca="false">INDEX(Products!$B$2:$B$13,MATCH(D2742,Products!$A$2:$A$13,0))</f>
        <v>FCC</v>
      </c>
      <c r="F2742" s="15" t="n">
        <v>22.1</v>
      </c>
      <c r="G2742" s="16" t="n">
        <f aca="false">IF(A2742="2025",INDEX(Products!$C$2:$C$13,MATCH(D2742,Products!$A$2:$A$13,0)),INDEX(Products!$E$2:$E$13,MATCH(D2742,Products!$A$2:$A$13,0)))</f>
        <v>3270</v>
      </c>
      <c r="H2742" s="13" t="n">
        <f aca="false">IF(A2742="2025",INDEX(Customers!$D$2:$D$41,MATCH(C2742,Customers!$A$2:$A$41,0)),INDEX(Customers!$F$2:$F$41,MATCH(C2742,Customers!$A$2:$A$41,0)))</f>
        <v>0.062</v>
      </c>
      <c r="I2742" s="16" t="n">
        <f aca="false">F2742*G2742</f>
        <v>72267</v>
      </c>
      <c r="J2742" s="16" t="n">
        <f aca="false">I2742*(1-H2742)</f>
        <v>67786.446</v>
      </c>
      <c r="K2742" s="16" t="n">
        <f aca="false">J2742*INDEX(Customers!$G$2:$G$41,MATCH(C2742,Customers!$A$2:$A$41,0))</f>
        <v>0</v>
      </c>
      <c r="L2742" s="16" t="n">
        <f aca="false">F2742*INDEX(Customers!$H$2:$H$41,MATCH(C2742,Customers!$A$2:$A$41,0))</f>
        <v>7735</v>
      </c>
      <c r="M2742" s="16" t="n">
        <f aca="false">J2742*INDEX(Customers!$I$2:$I$41,MATCH(C2742,Customers!$A$2:$A$41,0))/365*Assumptions!$B$6</f>
        <v>445.719096986301</v>
      </c>
      <c r="N2742" s="16" t="n">
        <f aca="false">J2742-K2742-L2742-M2742</f>
        <v>59605.7269030137</v>
      </c>
      <c r="O2742" s="16" t="n">
        <f aca="false">F2742*IF(A2742="2025",INDEX(Products!$D$2:$D$13,MATCH(D2742,Products!$A$2:$A$13,0)),INDEX(Products!$F$2:$F$13,MATCH(D2742,Products!$A$2:$A$13,0)))</f>
        <v>48399</v>
      </c>
      <c r="P2742" s="16" t="n">
        <f aca="false">N2742-O2742</f>
        <v>11206.7269030137</v>
      </c>
    </row>
    <row r="2743" customFormat="false" ht="15" hidden="false" customHeight="false" outlineLevel="0" collapsed="false">
      <c r="A2743" s="2" t="s">
        <v>118</v>
      </c>
      <c r="B2743" s="2" t="n">
        <v>6</v>
      </c>
      <c r="C2743" s="2" t="s">
        <v>102</v>
      </c>
      <c r="D2743" s="2" t="s">
        <v>34</v>
      </c>
      <c r="E2743" s="2" t="str">
        <f aca="false">INDEX(Products!$B$2:$B$13,MATCH(D2743,Products!$A$2:$A$13,0))</f>
        <v>FCC</v>
      </c>
      <c r="F2743" s="15" t="n">
        <v>20.2</v>
      </c>
      <c r="G2743" s="16" t="n">
        <f aca="false">IF(A2743="2025",INDEX(Products!$C$2:$C$13,MATCH(D2743,Products!$A$2:$A$13,0)),INDEX(Products!$E$2:$E$13,MATCH(D2743,Products!$A$2:$A$13,0)))</f>
        <v>3270</v>
      </c>
      <c r="H2743" s="13" t="n">
        <f aca="false">IF(A2743="2025",INDEX(Customers!$D$2:$D$41,MATCH(C2743,Customers!$A$2:$A$41,0)),INDEX(Customers!$F$2:$F$41,MATCH(C2743,Customers!$A$2:$A$41,0)))</f>
        <v>0.062</v>
      </c>
      <c r="I2743" s="16" t="n">
        <f aca="false">F2743*G2743</f>
        <v>66054</v>
      </c>
      <c r="J2743" s="16" t="n">
        <f aca="false">I2743*(1-H2743)</f>
        <v>61958.652</v>
      </c>
      <c r="K2743" s="16" t="n">
        <f aca="false">J2743*INDEX(Customers!$G$2:$G$41,MATCH(C2743,Customers!$A$2:$A$41,0))</f>
        <v>0</v>
      </c>
      <c r="L2743" s="16" t="n">
        <f aca="false">F2743*INDEX(Customers!$H$2:$H$41,MATCH(C2743,Customers!$A$2:$A$41,0))</f>
        <v>7070</v>
      </c>
      <c r="M2743" s="16" t="n">
        <f aca="false">J2743*INDEX(Customers!$I$2:$I$41,MATCH(C2743,Customers!$A$2:$A$41,0))/365*Assumptions!$B$6</f>
        <v>407.399355616438</v>
      </c>
      <c r="N2743" s="16" t="n">
        <f aca="false">J2743-K2743-L2743-M2743</f>
        <v>54481.2526443836</v>
      </c>
      <c r="O2743" s="16" t="n">
        <f aca="false">F2743*IF(A2743="2025",INDEX(Products!$D$2:$D$13,MATCH(D2743,Products!$A$2:$A$13,0)),INDEX(Products!$F$2:$F$13,MATCH(D2743,Products!$A$2:$A$13,0)))</f>
        <v>44238</v>
      </c>
      <c r="P2743" s="16" t="n">
        <f aca="false">N2743-O2743</f>
        <v>10243.2526443836</v>
      </c>
    </row>
    <row r="2744" customFormat="false" ht="15" hidden="false" customHeight="false" outlineLevel="0" collapsed="false">
      <c r="A2744" s="2" t="s">
        <v>118</v>
      </c>
      <c r="B2744" s="2" t="n">
        <v>7</v>
      </c>
      <c r="C2744" s="2" t="s">
        <v>102</v>
      </c>
      <c r="D2744" s="2" t="s">
        <v>34</v>
      </c>
      <c r="E2744" s="2" t="str">
        <f aca="false">INDEX(Products!$B$2:$B$13,MATCH(D2744,Products!$A$2:$A$13,0))</f>
        <v>FCC</v>
      </c>
      <c r="F2744" s="15" t="n">
        <v>14.7</v>
      </c>
      <c r="G2744" s="16" t="n">
        <f aca="false">IF(A2744="2025",INDEX(Products!$C$2:$C$13,MATCH(D2744,Products!$A$2:$A$13,0)),INDEX(Products!$E$2:$E$13,MATCH(D2744,Products!$A$2:$A$13,0)))</f>
        <v>3270</v>
      </c>
      <c r="H2744" s="13" t="n">
        <f aca="false">IF(A2744="2025",INDEX(Customers!$D$2:$D$41,MATCH(C2744,Customers!$A$2:$A$41,0)),INDEX(Customers!$F$2:$F$41,MATCH(C2744,Customers!$A$2:$A$41,0)))</f>
        <v>0.062</v>
      </c>
      <c r="I2744" s="16" t="n">
        <f aca="false">F2744*G2744</f>
        <v>48069</v>
      </c>
      <c r="J2744" s="16" t="n">
        <f aca="false">I2744*(1-H2744)</f>
        <v>45088.722</v>
      </c>
      <c r="K2744" s="16" t="n">
        <f aca="false">J2744*INDEX(Customers!$G$2:$G$41,MATCH(C2744,Customers!$A$2:$A$41,0))</f>
        <v>0</v>
      </c>
      <c r="L2744" s="16" t="n">
        <f aca="false">F2744*INDEX(Customers!$H$2:$H$41,MATCH(C2744,Customers!$A$2:$A$41,0))</f>
        <v>5145</v>
      </c>
      <c r="M2744" s="16" t="n">
        <f aca="false">J2744*INDEX(Customers!$I$2:$I$41,MATCH(C2744,Customers!$A$2:$A$41,0))/365*Assumptions!$B$6</f>
        <v>296.473788493151</v>
      </c>
      <c r="N2744" s="16" t="n">
        <f aca="false">J2744-K2744-L2744-M2744</f>
        <v>39647.2482115068</v>
      </c>
      <c r="O2744" s="16" t="n">
        <f aca="false">F2744*IF(A2744="2025",INDEX(Products!$D$2:$D$13,MATCH(D2744,Products!$A$2:$A$13,0)),INDEX(Products!$F$2:$F$13,MATCH(D2744,Products!$A$2:$A$13,0)))</f>
        <v>32193</v>
      </c>
      <c r="P2744" s="16" t="n">
        <f aca="false">N2744-O2744</f>
        <v>7454.24821150684</v>
      </c>
    </row>
    <row r="2745" customFormat="false" ht="15" hidden="false" customHeight="false" outlineLevel="0" collapsed="false">
      <c r="A2745" s="2" t="s">
        <v>118</v>
      </c>
      <c r="B2745" s="2" t="n">
        <v>8</v>
      </c>
      <c r="C2745" s="2" t="s">
        <v>102</v>
      </c>
      <c r="D2745" s="2" t="s">
        <v>34</v>
      </c>
      <c r="E2745" s="2" t="str">
        <f aca="false">INDEX(Products!$B$2:$B$13,MATCH(D2745,Products!$A$2:$A$13,0))</f>
        <v>FCC</v>
      </c>
      <c r="F2745" s="15" t="n">
        <v>12.6</v>
      </c>
      <c r="G2745" s="16" t="n">
        <f aca="false">IF(A2745="2025",INDEX(Products!$C$2:$C$13,MATCH(D2745,Products!$A$2:$A$13,0)),INDEX(Products!$E$2:$E$13,MATCH(D2745,Products!$A$2:$A$13,0)))</f>
        <v>3270</v>
      </c>
      <c r="H2745" s="13" t="n">
        <f aca="false">IF(A2745="2025",INDEX(Customers!$D$2:$D$41,MATCH(C2745,Customers!$A$2:$A$41,0)),INDEX(Customers!$F$2:$F$41,MATCH(C2745,Customers!$A$2:$A$41,0)))</f>
        <v>0.062</v>
      </c>
      <c r="I2745" s="16" t="n">
        <f aca="false">F2745*G2745</f>
        <v>41202</v>
      </c>
      <c r="J2745" s="16" t="n">
        <f aca="false">I2745*(1-H2745)</f>
        <v>38647.476</v>
      </c>
      <c r="K2745" s="16" t="n">
        <f aca="false">J2745*INDEX(Customers!$G$2:$G$41,MATCH(C2745,Customers!$A$2:$A$41,0))</f>
        <v>0</v>
      </c>
      <c r="L2745" s="16" t="n">
        <f aca="false">F2745*INDEX(Customers!$H$2:$H$41,MATCH(C2745,Customers!$A$2:$A$41,0))</f>
        <v>4410</v>
      </c>
      <c r="M2745" s="16" t="n">
        <f aca="false">J2745*INDEX(Customers!$I$2:$I$41,MATCH(C2745,Customers!$A$2:$A$41,0))/365*Assumptions!$B$6</f>
        <v>254.120390136986</v>
      </c>
      <c r="N2745" s="16" t="n">
        <f aca="false">J2745-K2745-L2745-M2745</f>
        <v>33983.355609863</v>
      </c>
      <c r="O2745" s="16" t="n">
        <f aca="false">F2745*IF(A2745="2025",INDEX(Products!$D$2:$D$13,MATCH(D2745,Products!$A$2:$A$13,0)),INDEX(Products!$F$2:$F$13,MATCH(D2745,Products!$A$2:$A$13,0)))</f>
        <v>27594</v>
      </c>
      <c r="P2745" s="16" t="n">
        <f aca="false">N2745-O2745</f>
        <v>6389.35560986301</v>
      </c>
    </row>
    <row r="2746" customFormat="false" ht="15" hidden="false" customHeight="false" outlineLevel="0" collapsed="false">
      <c r="A2746" s="2" t="s">
        <v>118</v>
      </c>
      <c r="B2746" s="2" t="n">
        <v>9</v>
      </c>
      <c r="C2746" s="2" t="s">
        <v>102</v>
      </c>
      <c r="D2746" s="2" t="s">
        <v>34</v>
      </c>
      <c r="E2746" s="2" t="str">
        <f aca="false">INDEX(Products!$B$2:$B$13,MATCH(D2746,Products!$A$2:$A$13,0))</f>
        <v>FCC</v>
      </c>
      <c r="F2746" s="15" t="n">
        <v>20.2</v>
      </c>
      <c r="G2746" s="16" t="n">
        <f aca="false">IF(A2746="2025",INDEX(Products!$C$2:$C$13,MATCH(D2746,Products!$A$2:$A$13,0)),INDEX(Products!$E$2:$E$13,MATCH(D2746,Products!$A$2:$A$13,0)))</f>
        <v>3270</v>
      </c>
      <c r="H2746" s="13" t="n">
        <f aca="false">IF(A2746="2025",INDEX(Customers!$D$2:$D$41,MATCH(C2746,Customers!$A$2:$A$41,0)),INDEX(Customers!$F$2:$F$41,MATCH(C2746,Customers!$A$2:$A$41,0)))</f>
        <v>0.062</v>
      </c>
      <c r="I2746" s="16" t="n">
        <f aca="false">F2746*G2746</f>
        <v>66054</v>
      </c>
      <c r="J2746" s="16" t="n">
        <f aca="false">I2746*(1-H2746)</f>
        <v>61958.652</v>
      </c>
      <c r="K2746" s="16" t="n">
        <f aca="false">J2746*INDEX(Customers!$G$2:$G$41,MATCH(C2746,Customers!$A$2:$A$41,0))</f>
        <v>0</v>
      </c>
      <c r="L2746" s="16" t="n">
        <f aca="false">F2746*INDEX(Customers!$H$2:$H$41,MATCH(C2746,Customers!$A$2:$A$41,0))</f>
        <v>7070</v>
      </c>
      <c r="M2746" s="16" t="n">
        <f aca="false">J2746*INDEX(Customers!$I$2:$I$41,MATCH(C2746,Customers!$A$2:$A$41,0))/365*Assumptions!$B$6</f>
        <v>407.399355616438</v>
      </c>
      <c r="N2746" s="16" t="n">
        <f aca="false">J2746-K2746-L2746-M2746</f>
        <v>54481.2526443836</v>
      </c>
      <c r="O2746" s="16" t="n">
        <f aca="false">F2746*IF(A2746="2025",INDEX(Products!$D$2:$D$13,MATCH(D2746,Products!$A$2:$A$13,0)),INDEX(Products!$F$2:$F$13,MATCH(D2746,Products!$A$2:$A$13,0)))</f>
        <v>44238</v>
      </c>
      <c r="P2746" s="16" t="n">
        <f aca="false">N2746-O2746</f>
        <v>10243.2526443836</v>
      </c>
    </row>
    <row r="2747" customFormat="false" ht="15" hidden="false" customHeight="false" outlineLevel="0" collapsed="false">
      <c r="A2747" s="2" t="s">
        <v>118</v>
      </c>
      <c r="B2747" s="2" t="n">
        <v>10</v>
      </c>
      <c r="C2747" s="2" t="s">
        <v>102</v>
      </c>
      <c r="D2747" s="2" t="s">
        <v>34</v>
      </c>
      <c r="E2747" s="2" t="str">
        <f aca="false">INDEX(Products!$B$2:$B$13,MATCH(D2747,Products!$A$2:$A$13,0))</f>
        <v>FCC</v>
      </c>
      <c r="F2747" s="15" t="n">
        <v>21.8</v>
      </c>
      <c r="G2747" s="16" t="n">
        <f aca="false">IF(A2747="2025",INDEX(Products!$C$2:$C$13,MATCH(D2747,Products!$A$2:$A$13,0)),INDEX(Products!$E$2:$E$13,MATCH(D2747,Products!$A$2:$A$13,0)))</f>
        <v>3270</v>
      </c>
      <c r="H2747" s="13" t="n">
        <f aca="false">IF(A2747="2025",INDEX(Customers!$D$2:$D$41,MATCH(C2747,Customers!$A$2:$A$41,0)),INDEX(Customers!$F$2:$F$41,MATCH(C2747,Customers!$A$2:$A$41,0)))</f>
        <v>0.062</v>
      </c>
      <c r="I2747" s="16" t="n">
        <f aca="false">F2747*G2747</f>
        <v>71286</v>
      </c>
      <c r="J2747" s="16" t="n">
        <f aca="false">I2747*(1-H2747)</f>
        <v>66866.268</v>
      </c>
      <c r="K2747" s="16" t="n">
        <f aca="false">J2747*INDEX(Customers!$G$2:$G$41,MATCH(C2747,Customers!$A$2:$A$41,0))</f>
        <v>0</v>
      </c>
      <c r="L2747" s="16" t="n">
        <f aca="false">F2747*INDEX(Customers!$H$2:$H$41,MATCH(C2747,Customers!$A$2:$A$41,0))</f>
        <v>7630</v>
      </c>
      <c r="M2747" s="16" t="n">
        <f aca="false">J2747*INDEX(Customers!$I$2:$I$41,MATCH(C2747,Customers!$A$2:$A$41,0))/365*Assumptions!$B$6</f>
        <v>439.668611506849</v>
      </c>
      <c r="N2747" s="16" t="n">
        <f aca="false">J2747-K2747-L2747-M2747</f>
        <v>58796.5993884931</v>
      </c>
      <c r="O2747" s="16" t="n">
        <f aca="false">F2747*IF(A2747="2025",INDEX(Products!$D$2:$D$13,MATCH(D2747,Products!$A$2:$A$13,0)),INDEX(Products!$F$2:$F$13,MATCH(D2747,Products!$A$2:$A$13,0)))</f>
        <v>47742</v>
      </c>
      <c r="P2747" s="16" t="n">
        <f aca="false">N2747-O2747</f>
        <v>11054.5993884931</v>
      </c>
    </row>
    <row r="2748" customFormat="false" ht="15" hidden="false" customHeight="false" outlineLevel="0" collapsed="false">
      <c r="A2748" s="2" t="s">
        <v>118</v>
      </c>
      <c r="B2748" s="2" t="n">
        <v>11</v>
      </c>
      <c r="C2748" s="2" t="s">
        <v>102</v>
      </c>
      <c r="D2748" s="2" t="s">
        <v>34</v>
      </c>
      <c r="E2748" s="2" t="str">
        <f aca="false">INDEX(Products!$B$2:$B$13,MATCH(D2748,Products!$A$2:$A$13,0))</f>
        <v>FCC</v>
      </c>
      <c r="F2748" s="15" t="n">
        <v>15.3</v>
      </c>
      <c r="G2748" s="16" t="n">
        <f aca="false">IF(A2748="2025",INDEX(Products!$C$2:$C$13,MATCH(D2748,Products!$A$2:$A$13,0)),INDEX(Products!$E$2:$E$13,MATCH(D2748,Products!$A$2:$A$13,0)))</f>
        <v>3270</v>
      </c>
      <c r="H2748" s="13" t="n">
        <f aca="false">IF(A2748="2025",INDEX(Customers!$D$2:$D$41,MATCH(C2748,Customers!$A$2:$A$41,0)),INDEX(Customers!$F$2:$F$41,MATCH(C2748,Customers!$A$2:$A$41,0)))</f>
        <v>0.062</v>
      </c>
      <c r="I2748" s="16" t="n">
        <f aca="false">F2748*G2748</f>
        <v>50031</v>
      </c>
      <c r="J2748" s="16" t="n">
        <f aca="false">I2748*(1-H2748)</f>
        <v>46929.078</v>
      </c>
      <c r="K2748" s="16" t="n">
        <f aca="false">J2748*INDEX(Customers!$G$2:$G$41,MATCH(C2748,Customers!$A$2:$A$41,0))</f>
        <v>0</v>
      </c>
      <c r="L2748" s="16" t="n">
        <f aca="false">F2748*INDEX(Customers!$H$2:$H$41,MATCH(C2748,Customers!$A$2:$A$41,0))</f>
        <v>5355</v>
      </c>
      <c r="M2748" s="16" t="n">
        <f aca="false">J2748*INDEX(Customers!$I$2:$I$41,MATCH(C2748,Customers!$A$2:$A$41,0))/365*Assumptions!$B$6</f>
        <v>308.574759452055</v>
      </c>
      <c r="N2748" s="16" t="n">
        <f aca="false">J2748-K2748-L2748-M2748</f>
        <v>41265.5032405479</v>
      </c>
      <c r="O2748" s="16" t="n">
        <f aca="false">F2748*IF(A2748="2025",INDEX(Products!$D$2:$D$13,MATCH(D2748,Products!$A$2:$A$13,0)),INDEX(Products!$F$2:$F$13,MATCH(D2748,Products!$A$2:$A$13,0)))</f>
        <v>33507</v>
      </c>
      <c r="P2748" s="16" t="n">
        <f aca="false">N2748-O2748</f>
        <v>7758.50324054794</v>
      </c>
    </row>
    <row r="2749" customFormat="false" ht="15" hidden="false" customHeight="false" outlineLevel="0" collapsed="false">
      <c r="A2749" s="2" t="s">
        <v>118</v>
      </c>
      <c r="B2749" s="2" t="n">
        <v>12</v>
      </c>
      <c r="C2749" s="2" t="s">
        <v>102</v>
      </c>
      <c r="D2749" s="2" t="s">
        <v>34</v>
      </c>
      <c r="E2749" s="2" t="str">
        <f aca="false">INDEX(Products!$B$2:$B$13,MATCH(D2749,Products!$A$2:$A$13,0))</f>
        <v>FCC</v>
      </c>
      <c r="F2749" s="15" t="n">
        <v>18.6</v>
      </c>
      <c r="G2749" s="16" t="n">
        <f aca="false">IF(A2749="2025",INDEX(Products!$C$2:$C$13,MATCH(D2749,Products!$A$2:$A$13,0)),INDEX(Products!$E$2:$E$13,MATCH(D2749,Products!$A$2:$A$13,0)))</f>
        <v>3270</v>
      </c>
      <c r="H2749" s="13" t="n">
        <f aca="false">IF(A2749="2025",INDEX(Customers!$D$2:$D$41,MATCH(C2749,Customers!$A$2:$A$41,0)),INDEX(Customers!$F$2:$F$41,MATCH(C2749,Customers!$A$2:$A$41,0)))</f>
        <v>0.062</v>
      </c>
      <c r="I2749" s="16" t="n">
        <f aca="false">F2749*G2749</f>
        <v>60822</v>
      </c>
      <c r="J2749" s="16" t="n">
        <f aca="false">I2749*(1-H2749)</f>
        <v>57051.036</v>
      </c>
      <c r="K2749" s="16" t="n">
        <f aca="false">J2749*INDEX(Customers!$G$2:$G$41,MATCH(C2749,Customers!$A$2:$A$41,0))</f>
        <v>0</v>
      </c>
      <c r="L2749" s="16" t="n">
        <f aca="false">F2749*INDEX(Customers!$H$2:$H$41,MATCH(C2749,Customers!$A$2:$A$41,0))</f>
        <v>6510</v>
      </c>
      <c r="M2749" s="16" t="n">
        <f aca="false">J2749*INDEX(Customers!$I$2:$I$41,MATCH(C2749,Customers!$A$2:$A$41,0))/365*Assumptions!$B$6</f>
        <v>375.130099726027</v>
      </c>
      <c r="N2749" s="16" t="n">
        <f aca="false">J2749-K2749-L2749-M2749</f>
        <v>50165.905900274</v>
      </c>
      <c r="O2749" s="16" t="n">
        <f aca="false">F2749*IF(A2749="2025",INDEX(Products!$D$2:$D$13,MATCH(D2749,Products!$A$2:$A$13,0)),INDEX(Products!$F$2:$F$13,MATCH(D2749,Products!$A$2:$A$13,0)))</f>
        <v>40734</v>
      </c>
      <c r="P2749" s="16" t="n">
        <f aca="false">N2749-O2749</f>
        <v>9431.90590027397</v>
      </c>
    </row>
    <row r="2750" customFormat="false" ht="15" hidden="false" customHeight="false" outlineLevel="0" collapsed="false">
      <c r="A2750" s="2" t="s">
        <v>119</v>
      </c>
      <c r="B2750" s="2" t="n">
        <v>1</v>
      </c>
      <c r="C2750" s="2" t="s">
        <v>102</v>
      </c>
      <c r="D2750" s="2" t="s">
        <v>34</v>
      </c>
      <c r="E2750" s="2" t="str">
        <f aca="false">INDEX(Products!$B$2:$B$13,MATCH(D2750,Products!$A$2:$A$13,0))</f>
        <v>FCC</v>
      </c>
      <c r="F2750" s="15" t="n">
        <v>15</v>
      </c>
      <c r="G2750" s="16" t="n">
        <f aca="false">IF(A2750="2025",INDEX(Products!$C$2:$C$13,MATCH(D2750,Products!$A$2:$A$13,0)),INDEX(Products!$E$2:$E$13,MATCH(D2750,Products!$A$2:$A$13,0)))</f>
        <v>3433.5</v>
      </c>
      <c r="H2750" s="13" t="n">
        <f aca="false">IF(A2750="2025",INDEX(Customers!$D$2:$D$41,MATCH(C2750,Customers!$A$2:$A$41,0)),INDEX(Customers!$F$2:$F$41,MATCH(C2750,Customers!$A$2:$A$41,0)))</f>
        <v>0.068</v>
      </c>
      <c r="I2750" s="16" t="n">
        <f aca="false">F2750*G2750</f>
        <v>51502.5</v>
      </c>
      <c r="J2750" s="16" t="n">
        <f aca="false">I2750*(1-H2750)</f>
        <v>48000.33</v>
      </c>
      <c r="K2750" s="16" t="n">
        <f aca="false">J2750*INDEX(Customers!$G$2:$G$41,MATCH(C2750,Customers!$A$2:$A$41,0))</f>
        <v>0</v>
      </c>
      <c r="L2750" s="16" t="n">
        <f aca="false">F2750*INDEX(Customers!$H$2:$H$41,MATCH(C2750,Customers!$A$2:$A$41,0))</f>
        <v>5250</v>
      </c>
      <c r="M2750" s="16" t="n">
        <f aca="false">J2750*INDEX(Customers!$I$2:$I$41,MATCH(C2750,Customers!$A$2:$A$41,0))/365*Assumptions!$B$6</f>
        <v>315.618608219178</v>
      </c>
      <c r="N2750" s="16" t="n">
        <f aca="false">J2750-K2750-L2750-M2750</f>
        <v>42434.7113917808</v>
      </c>
      <c r="O2750" s="16" t="n">
        <f aca="false">F2750*IF(A2750="2025",INDEX(Products!$D$2:$D$13,MATCH(D2750,Products!$A$2:$A$13,0)),INDEX(Products!$F$2:$F$13,MATCH(D2750,Products!$A$2:$A$13,0)))</f>
        <v>33835.5</v>
      </c>
      <c r="P2750" s="16" t="n">
        <f aca="false">N2750-O2750</f>
        <v>8599.21139178081</v>
      </c>
    </row>
    <row r="2751" customFormat="false" ht="15" hidden="false" customHeight="false" outlineLevel="0" collapsed="false">
      <c r="A2751" s="2" t="s">
        <v>119</v>
      </c>
      <c r="B2751" s="2" t="n">
        <v>2</v>
      </c>
      <c r="C2751" s="2" t="s">
        <v>102</v>
      </c>
      <c r="D2751" s="2" t="s">
        <v>34</v>
      </c>
      <c r="E2751" s="2" t="str">
        <f aca="false">INDEX(Products!$B$2:$B$13,MATCH(D2751,Products!$A$2:$A$13,0))</f>
        <v>FCC</v>
      </c>
      <c r="F2751" s="15" t="n">
        <v>19.5</v>
      </c>
      <c r="G2751" s="16" t="n">
        <f aca="false">IF(A2751="2025",INDEX(Products!$C$2:$C$13,MATCH(D2751,Products!$A$2:$A$13,0)),INDEX(Products!$E$2:$E$13,MATCH(D2751,Products!$A$2:$A$13,0)))</f>
        <v>3433.5</v>
      </c>
      <c r="H2751" s="13" t="n">
        <f aca="false">IF(A2751="2025",INDEX(Customers!$D$2:$D$41,MATCH(C2751,Customers!$A$2:$A$41,0)),INDEX(Customers!$F$2:$F$41,MATCH(C2751,Customers!$A$2:$A$41,0)))</f>
        <v>0.068</v>
      </c>
      <c r="I2751" s="16" t="n">
        <f aca="false">F2751*G2751</f>
        <v>66953.25</v>
      </c>
      <c r="J2751" s="16" t="n">
        <f aca="false">I2751*(1-H2751)</f>
        <v>62400.429</v>
      </c>
      <c r="K2751" s="16" t="n">
        <f aca="false">J2751*INDEX(Customers!$G$2:$G$41,MATCH(C2751,Customers!$A$2:$A$41,0))</f>
        <v>0</v>
      </c>
      <c r="L2751" s="16" t="n">
        <f aca="false">F2751*INDEX(Customers!$H$2:$H$41,MATCH(C2751,Customers!$A$2:$A$41,0))</f>
        <v>6825</v>
      </c>
      <c r="M2751" s="16" t="n">
        <f aca="false">J2751*INDEX(Customers!$I$2:$I$41,MATCH(C2751,Customers!$A$2:$A$41,0))/365*Assumptions!$B$6</f>
        <v>410.304190684932</v>
      </c>
      <c r="N2751" s="16" t="n">
        <f aca="false">J2751-K2751-L2751-M2751</f>
        <v>55165.1248093151</v>
      </c>
      <c r="O2751" s="16" t="n">
        <f aca="false">F2751*IF(A2751="2025",INDEX(Products!$D$2:$D$13,MATCH(D2751,Products!$A$2:$A$13,0)),INDEX(Products!$F$2:$F$13,MATCH(D2751,Products!$A$2:$A$13,0)))</f>
        <v>43986.15</v>
      </c>
      <c r="P2751" s="16" t="n">
        <f aca="false">N2751-O2751</f>
        <v>11178.9748093151</v>
      </c>
    </row>
    <row r="2752" customFormat="false" ht="15" hidden="false" customHeight="false" outlineLevel="0" collapsed="false">
      <c r="A2752" s="2" t="s">
        <v>119</v>
      </c>
      <c r="B2752" s="2" t="n">
        <v>3</v>
      </c>
      <c r="C2752" s="2" t="s">
        <v>102</v>
      </c>
      <c r="D2752" s="2" t="s">
        <v>34</v>
      </c>
      <c r="E2752" s="2" t="str">
        <f aca="false">INDEX(Products!$B$2:$B$13,MATCH(D2752,Products!$A$2:$A$13,0))</f>
        <v>FCC</v>
      </c>
      <c r="F2752" s="15" t="n">
        <v>13.4</v>
      </c>
      <c r="G2752" s="16" t="n">
        <f aca="false">IF(A2752="2025",INDEX(Products!$C$2:$C$13,MATCH(D2752,Products!$A$2:$A$13,0)),INDEX(Products!$E$2:$E$13,MATCH(D2752,Products!$A$2:$A$13,0)))</f>
        <v>3433.5</v>
      </c>
      <c r="H2752" s="13" t="n">
        <f aca="false">IF(A2752="2025",INDEX(Customers!$D$2:$D$41,MATCH(C2752,Customers!$A$2:$A$41,0)),INDEX(Customers!$F$2:$F$41,MATCH(C2752,Customers!$A$2:$A$41,0)))</f>
        <v>0.068</v>
      </c>
      <c r="I2752" s="16" t="n">
        <f aca="false">F2752*G2752</f>
        <v>46008.9</v>
      </c>
      <c r="J2752" s="16" t="n">
        <f aca="false">I2752*(1-H2752)</f>
        <v>42880.2948</v>
      </c>
      <c r="K2752" s="16" t="n">
        <f aca="false">J2752*INDEX(Customers!$G$2:$G$41,MATCH(C2752,Customers!$A$2:$A$41,0))</f>
        <v>0</v>
      </c>
      <c r="L2752" s="16" t="n">
        <f aca="false">F2752*INDEX(Customers!$H$2:$H$41,MATCH(C2752,Customers!$A$2:$A$41,0))</f>
        <v>4690</v>
      </c>
      <c r="M2752" s="16" t="n">
        <f aca="false">J2752*INDEX(Customers!$I$2:$I$41,MATCH(C2752,Customers!$A$2:$A$41,0))/365*Assumptions!$B$6</f>
        <v>281.952623342466</v>
      </c>
      <c r="N2752" s="16" t="n">
        <f aca="false">J2752-K2752-L2752-M2752</f>
        <v>37908.3421766575</v>
      </c>
      <c r="O2752" s="16" t="n">
        <f aca="false">F2752*IF(A2752="2025",INDEX(Products!$D$2:$D$13,MATCH(D2752,Products!$A$2:$A$13,0)),INDEX(Products!$F$2:$F$13,MATCH(D2752,Products!$A$2:$A$13,0)))</f>
        <v>30226.38</v>
      </c>
      <c r="P2752" s="16" t="n">
        <f aca="false">N2752-O2752</f>
        <v>7681.96217665753</v>
      </c>
    </row>
    <row r="2753" customFormat="false" ht="15" hidden="false" customHeight="false" outlineLevel="0" collapsed="false">
      <c r="A2753" s="2" t="s">
        <v>119</v>
      </c>
      <c r="B2753" s="2" t="n">
        <v>4</v>
      </c>
      <c r="C2753" s="2" t="s">
        <v>102</v>
      </c>
      <c r="D2753" s="2" t="s">
        <v>34</v>
      </c>
      <c r="E2753" s="2" t="str">
        <f aca="false">INDEX(Products!$B$2:$B$13,MATCH(D2753,Products!$A$2:$A$13,0))</f>
        <v>FCC</v>
      </c>
      <c r="F2753" s="15" t="n">
        <v>14</v>
      </c>
      <c r="G2753" s="16" t="n">
        <f aca="false">IF(A2753="2025",INDEX(Products!$C$2:$C$13,MATCH(D2753,Products!$A$2:$A$13,0)),INDEX(Products!$E$2:$E$13,MATCH(D2753,Products!$A$2:$A$13,0)))</f>
        <v>3433.5</v>
      </c>
      <c r="H2753" s="13" t="n">
        <f aca="false">IF(A2753="2025",INDEX(Customers!$D$2:$D$41,MATCH(C2753,Customers!$A$2:$A$41,0)),INDEX(Customers!$F$2:$F$41,MATCH(C2753,Customers!$A$2:$A$41,0)))</f>
        <v>0.068</v>
      </c>
      <c r="I2753" s="16" t="n">
        <f aca="false">F2753*G2753</f>
        <v>48069</v>
      </c>
      <c r="J2753" s="16" t="n">
        <f aca="false">I2753*(1-H2753)</f>
        <v>44800.308</v>
      </c>
      <c r="K2753" s="16" t="n">
        <f aca="false">J2753*INDEX(Customers!$G$2:$G$41,MATCH(C2753,Customers!$A$2:$A$41,0))</f>
        <v>0</v>
      </c>
      <c r="L2753" s="16" t="n">
        <f aca="false">F2753*INDEX(Customers!$H$2:$H$41,MATCH(C2753,Customers!$A$2:$A$41,0))</f>
        <v>4900</v>
      </c>
      <c r="M2753" s="16" t="n">
        <f aca="false">J2753*INDEX(Customers!$I$2:$I$41,MATCH(C2753,Customers!$A$2:$A$41,0))/365*Assumptions!$B$6</f>
        <v>294.577367671233</v>
      </c>
      <c r="N2753" s="16" t="n">
        <f aca="false">J2753-K2753-L2753-M2753</f>
        <v>39605.7306323288</v>
      </c>
      <c r="O2753" s="16" t="n">
        <f aca="false">F2753*IF(A2753="2025",INDEX(Products!$D$2:$D$13,MATCH(D2753,Products!$A$2:$A$13,0)),INDEX(Products!$F$2:$F$13,MATCH(D2753,Products!$A$2:$A$13,0)))</f>
        <v>31579.8</v>
      </c>
      <c r="P2753" s="16" t="n">
        <f aca="false">N2753-O2753</f>
        <v>8025.93063232876</v>
      </c>
    </row>
    <row r="2754" customFormat="false" ht="15" hidden="false" customHeight="false" outlineLevel="0" collapsed="false">
      <c r="A2754" s="2" t="s">
        <v>119</v>
      </c>
      <c r="B2754" s="2" t="n">
        <v>5</v>
      </c>
      <c r="C2754" s="2" t="s">
        <v>102</v>
      </c>
      <c r="D2754" s="2" t="s">
        <v>34</v>
      </c>
      <c r="E2754" s="2" t="str">
        <f aca="false">INDEX(Products!$B$2:$B$13,MATCH(D2754,Products!$A$2:$A$13,0))</f>
        <v>FCC</v>
      </c>
      <c r="F2754" s="15" t="n">
        <v>21.5</v>
      </c>
      <c r="G2754" s="16" t="n">
        <f aca="false">IF(A2754="2025",INDEX(Products!$C$2:$C$13,MATCH(D2754,Products!$A$2:$A$13,0)),INDEX(Products!$E$2:$E$13,MATCH(D2754,Products!$A$2:$A$13,0)))</f>
        <v>3433.5</v>
      </c>
      <c r="H2754" s="13" t="n">
        <f aca="false">IF(A2754="2025",INDEX(Customers!$D$2:$D$41,MATCH(C2754,Customers!$A$2:$A$41,0)),INDEX(Customers!$F$2:$F$41,MATCH(C2754,Customers!$A$2:$A$41,0)))</f>
        <v>0.068</v>
      </c>
      <c r="I2754" s="16" t="n">
        <f aca="false">F2754*G2754</f>
        <v>73820.25</v>
      </c>
      <c r="J2754" s="16" t="n">
        <f aca="false">I2754*(1-H2754)</f>
        <v>68800.473</v>
      </c>
      <c r="K2754" s="16" t="n">
        <f aca="false">J2754*INDEX(Customers!$G$2:$G$41,MATCH(C2754,Customers!$A$2:$A$41,0))</f>
        <v>0</v>
      </c>
      <c r="L2754" s="16" t="n">
        <f aca="false">F2754*INDEX(Customers!$H$2:$H$41,MATCH(C2754,Customers!$A$2:$A$41,0))</f>
        <v>7525</v>
      </c>
      <c r="M2754" s="16" t="n">
        <f aca="false">J2754*INDEX(Customers!$I$2:$I$41,MATCH(C2754,Customers!$A$2:$A$41,0))/365*Assumptions!$B$6</f>
        <v>452.386671780822</v>
      </c>
      <c r="N2754" s="16" t="n">
        <f aca="false">J2754-K2754-L2754-M2754</f>
        <v>60823.0863282192</v>
      </c>
      <c r="O2754" s="16" t="n">
        <f aca="false">F2754*IF(A2754="2025",INDEX(Products!$D$2:$D$13,MATCH(D2754,Products!$A$2:$A$13,0)),INDEX(Products!$F$2:$F$13,MATCH(D2754,Products!$A$2:$A$13,0)))</f>
        <v>48497.55</v>
      </c>
      <c r="P2754" s="16" t="n">
        <f aca="false">N2754-O2754</f>
        <v>12325.5363282192</v>
      </c>
    </row>
    <row r="2755" customFormat="false" ht="15" hidden="false" customHeight="false" outlineLevel="0" collapsed="false">
      <c r="A2755" s="2" t="s">
        <v>119</v>
      </c>
      <c r="B2755" s="2" t="n">
        <v>6</v>
      </c>
      <c r="C2755" s="2" t="s">
        <v>102</v>
      </c>
      <c r="D2755" s="2" t="s">
        <v>34</v>
      </c>
      <c r="E2755" s="2" t="str">
        <f aca="false">INDEX(Products!$B$2:$B$13,MATCH(D2755,Products!$A$2:$A$13,0))</f>
        <v>FCC</v>
      </c>
      <c r="F2755" s="15" t="n">
        <v>19.2</v>
      </c>
      <c r="G2755" s="16" t="n">
        <f aca="false">IF(A2755="2025",INDEX(Products!$C$2:$C$13,MATCH(D2755,Products!$A$2:$A$13,0)),INDEX(Products!$E$2:$E$13,MATCH(D2755,Products!$A$2:$A$13,0)))</f>
        <v>3433.5</v>
      </c>
      <c r="H2755" s="13" t="n">
        <f aca="false">IF(A2755="2025",INDEX(Customers!$D$2:$D$41,MATCH(C2755,Customers!$A$2:$A$41,0)),INDEX(Customers!$F$2:$F$41,MATCH(C2755,Customers!$A$2:$A$41,0)))</f>
        <v>0.068</v>
      </c>
      <c r="I2755" s="16" t="n">
        <f aca="false">F2755*G2755</f>
        <v>65923.2</v>
      </c>
      <c r="J2755" s="16" t="n">
        <f aca="false">I2755*(1-H2755)</f>
        <v>61440.4224</v>
      </c>
      <c r="K2755" s="16" t="n">
        <f aca="false">J2755*INDEX(Customers!$G$2:$G$41,MATCH(C2755,Customers!$A$2:$A$41,0))</f>
        <v>0</v>
      </c>
      <c r="L2755" s="16" t="n">
        <f aca="false">F2755*INDEX(Customers!$H$2:$H$41,MATCH(C2755,Customers!$A$2:$A$41,0))</f>
        <v>6720</v>
      </c>
      <c r="M2755" s="16" t="n">
        <f aca="false">J2755*INDEX(Customers!$I$2:$I$41,MATCH(C2755,Customers!$A$2:$A$41,0))/365*Assumptions!$B$6</f>
        <v>403.991818520548</v>
      </c>
      <c r="N2755" s="16" t="n">
        <f aca="false">J2755-K2755-L2755-M2755</f>
        <v>54316.4305814795</v>
      </c>
      <c r="O2755" s="16" t="n">
        <f aca="false">F2755*IF(A2755="2025",INDEX(Products!$D$2:$D$13,MATCH(D2755,Products!$A$2:$A$13,0)),INDEX(Products!$F$2:$F$13,MATCH(D2755,Products!$A$2:$A$13,0)))</f>
        <v>43309.44</v>
      </c>
      <c r="P2755" s="16" t="n">
        <f aca="false">N2755-O2755</f>
        <v>11006.9905814794</v>
      </c>
    </row>
    <row r="2756" customFormat="false" ht="15" hidden="false" customHeight="false" outlineLevel="0" collapsed="false">
      <c r="A2756" s="2" t="s">
        <v>119</v>
      </c>
      <c r="B2756" s="2" t="n">
        <v>7</v>
      </c>
      <c r="C2756" s="2" t="s">
        <v>102</v>
      </c>
      <c r="D2756" s="2" t="s">
        <v>34</v>
      </c>
      <c r="E2756" s="2" t="str">
        <f aca="false">INDEX(Products!$B$2:$B$13,MATCH(D2756,Products!$A$2:$A$13,0))</f>
        <v>FCC</v>
      </c>
      <c r="F2756" s="15" t="n">
        <v>20.4</v>
      </c>
      <c r="G2756" s="16" t="n">
        <f aca="false">IF(A2756="2025",INDEX(Products!$C$2:$C$13,MATCH(D2756,Products!$A$2:$A$13,0)),INDEX(Products!$E$2:$E$13,MATCH(D2756,Products!$A$2:$A$13,0)))</f>
        <v>3433.5</v>
      </c>
      <c r="H2756" s="13" t="n">
        <f aca="false">IF(A2756="2025",INDEX(Customers!$D$2:$D$41,MATCH(C2756,Customers!$A$2:$A$41,0)),INDEX(Customers!$F$2:$F$41,MATCH(C2756,Customers!$A$2:$A$41,0)))</f>
        <v>0.068</v>
      </c>
      <c r="I2756" s="16" t="n">
        <f aca="false">F2756*G2756</f>
        <v>70043.4</v>
      </c>
      <c r="J2756" s="16" t="n">
        <f aca="false">I2756*(1-H2756)</f>
        <v>65280.4488</v>
      </c>
      <c r="K2756" s="16" t="n">
        <f aca="false">J2756*INDEX(Customers!$G$2:$G$41,MATCH(C2756,Customers!$A$2:$A$41,0))</f>
        <v>0</v>
      </c>
      <c r="L2756" s="16" t="n">
        <f aca="false">F2756*INDEX(Customers!$H$2:$H$41,MATCH(C2756,Customers!$A$2:$A$41,0))</f>
        <v>7140</v>
      </c>
      <c r="M2756" s="16" t="n">
        <f aca="false">J2756*INDEX(Customers!$I$2:$I$41,MATCH(C2756,Customers!$A$2:$A$41,0))/365*Assumptions!$B$6</f>
        <v>429.241307178082</v>
      </c>
      <c r="N2756" s="16" t="n">
        <f aca="false">J2756-K2756-L2756-M2756</f>
        <v>57711.2074928219</v>
      </c>
      <c r="O2756" s="16" t="n">
        <f aca="false">F2756*IF(A2756="2025",INDEX(Products!$D$2:$D$13,MATCH(D2756,Products!$A$2:$A$13,0)),INDEX(Products!$F$2:$F$13,MATCH(D2756,Products!$A$2:$A$13,0)))</f>
        <v>46016.28</v>
      </c>
      <c r="P2756" s="16" t="n">
        <f aca="false">N2756-O2756</f>
        <v>11694.9274928219</v>
      </c>
    </row>
    <row r="2757" customFormat="false" ht="15" hidden="false" customHeight="false" outlineLevel="0" collapsed="false">
      <c r="A2757" s="2" t="s">
        <v>119</v>
      </c>
      <c r="B2757" s="2" t="n">
        <v>8</v>
      </c>
      <c r="C2757" s="2" t="s">
        <v>102</v>
      </c>
      <c r="D2757" s="2" t="s">
        <v>34</v>
      </c>
      <c r="E2757" s="2" t="str">
        <f aca="false">INDEX(Products!$B$2:$B$13,MATCH(D2757,Products!$A$2:$A$13,0))</f>
        <v>FCC</v>
      </c>
      <c r="F2757" s="15" t="n">
        <v>16.6</v>
      </c>
      <c r="G2757" s="16" t="n">
        <f aca="false">IF(A2757="2025",INDEX(Products!$C$2:$C$13,MATCH(D2757,Products!$A$2:$A$13,0)),INDEX(Products!$E$2:$E$13,MATCH(D2757,Products!$A$2:$A$13,0)))</f>
        <v>3433.5</v>
      </c>
      <c r="H2757" s="13" t="n">
        <f aca="false">IF(A2757="2025",INDEX(Customers!$D$2:$D$41,MATCH(C2757,Customers!$A$2:$A$41,0)),INDEX(Customers!$F$2:$F$41,MATCH(C2757,Customers!$A$2:$A$41,0)))</f>
        <v>0.068</v>
      </c>
      <c r="I2757" s="16" t="n">
        <f aca="false">F2757*G2757</f>
        <v>56996.1</v>
      </c>
      <c r="J2757" s="16" t="n">
        <f aca="false">I2757*(1-H2757)</f>
        <v>53120.3652</v>
      </c>
      <c r="K2757" s="16" t="n">
        <f aca="false">J2757*INDEX(Customers!$G$2:$G$41,MATCH(C2757,Customers!$A$2:$A$41,0))</f>
        <v>0</v>
      </c>
      <c r="L2757" s="16" t="n">
        <f aca="false">F2757*INDEX(Customers!$H$2:$H$41,MATCH(C2757,Customers!$A$2:$A$41,0))</f>
        <v>5810</v>
      </c>
      <c r="M2757" s="16" t="n">
        <f aca="false">J2757*INDEX(Customers!$I$2:$I$41,MATCH(C2757,Customers!$A$2:$A$41,0))/365*Assumptions!$B$6</f>
        <v>349.28459309589</v>
      </c>
      <c r="N2757" s="16" t="n">
        <f aca="false">J2757-K2757-L2757-M2757</f>
        <v>46961.0806069041</v>
      </c>
      <c r="O2757" s="16" t="n">
        <f aca="false">F2757*IF(A2757="2025",INDEX(Products!$D$2:$D$13,MATCH(D2757,Products!$A$2:$A$13,0)),INDEX(Products!$F$2:$F$13,MATCH(D2757,Products!$A$2:$A$13,0)))</f>
        <v>37444.62</v>
      </c>
      <c r="P2757" s="16" t="n">
        <f aca="false">N2757-O2757</f>
        <v>9516.4606069041</v>
      </c>
    </row>
    <row r="2758" customFormat="false" ht="15" hidden="false" customHeight="false" outlineLevel="0" collapsed="false">
      <c r="A2758" s="2" t="s">
        <v>119</v>
      </c>
      <c r="B2758" s="2" t="n">
        <v>9</v>
      </c>
      <c r="C2758" s="2" t="s">
        <v>102</v>
      </c>
      <c r="D2758" s="2" t="s">
        <v>34</v>
      </c>
      <c r="E2758" s="2" t="str">
        <f aca="false">INDEX(Products!$B$2:$B$13,MATCH(D2758,Products!$A$2:$A$13,0))</f>
        <v>FCC</v>
      </c>
      <c r="F2758" s="15" t="n">
        <v>21.9</v>
      </c>
      <c r="G2758" s="16" t="n">
        <f aca="false">IF(A2758="2025",INDEX(Products!$C$2:$C$13,MATCH(D2758,Products!$A$2:$A$13,0)),INDEX(Products!$E$2:$E$13,MATCH(D2758,Products!$A$2:$A$13,0)))</f>
        <v>3433.5</v>
      </c>
      <c r="H2758" s="13" t="n">
        <f aca="false">IF(A2758="2025",INDEX(Customers!$D$2:$D$41,MATCH(C2758,Customers!$A$2:$A$41,0)),INDEX(Customers!$F$2:$F$41,MATCH(C2758,Customers!$A$2:$A$41,0)))</f>
        <v>0.068</v>
      </c>
      <c r="I2758" s="16" t="n">
        <f aca="false">F2758*G2758</f>
        <v>75193.65</v>
      </c>
      <c r="J2758" s="16" t="n">
        <f aca="false">I2758*(1-H2758)</f>
        <v>70080.4818</v>
      </c>
      <c r="K2758" s="16" t="n">
        <f aca="false">J2758*INDEX(Customers!$G$2:$G$41,MATCH(C2758,Customers!$A$2:$A$41,0))</f>
        <v>0</v>
      </c>
      <c r="L2758" s="16" t="n">
        <f aca="false">F2758*INDEX(Customers!$H$2:$H$41,MATCH(C2758,Customers!$A$2:$A$41,0))</f>
        <v>7665</v>
      </c>
      <c r="M2758" s="16" t="n">
        <f aca="false">J2758*INDEX(Customers!$I$2:$I$41,MATCH(C2758,Customers!$A$2:$A$41,0))/365*Assumptions!$B$6</f>
        <v>460.803168</v>
      </c>
      <c r="N2758" s="16" t="n">
        <f aca="false">J2758-K2758-L2758-M2758</f>
        <v>61954.678632</v>
      </c>
      <c r="O2758" s="16" t="n">
        <f aca="false">F2758*IF(A2758="2025",INDEX(Products!$D$2:$D$13,MATCH(D2758,Products!$A$2:$A$13,0)),INDEX(Products!$F$2:$F$13,MATCH(D2758,Products!$A$2:$A$13,0)))</f>
        <v>49399.83</v>
      </c>
      <c r="P2758" s="16" t="n">
        <f aca="false">N2758-O2758</f>
        <v>12554.848632</v>
      </c>
    </row>
    <row r="2759" customFormat="false" ht="15" hidden="false" customHeight="false" outlineLevel="0" collapsed="false">
      <c r="A2759" s="2" t="s">
        <v>119</v>
      </c>
      <c r="B2759" s="2" t="n">
        <v>10</v>
      </c>
      <c r="C2759" s="2" t="s">
        <v>102</v>
      </c>
      <c r="D2759" s="2" t="s">
        <v>34</v>
      </c>
      <c r="E2759" s="2" t="str">
        <f aca="false">INDEX(Products!$B$2:$B$13,MATCH(D2759,Products!$A$2:$A$13,0))</f>
        <v>FCC</v>
      </c>
      <c r="F2759" s="15" t="n">
        <v>15.8</v>
      </c>
      <c r="G2759" s="16" t="n">
        <f aca="false">IF(A2759="2025",INDEX(Products!$C$2:$C$13,MATCH(D2759,Products!$A$2:$A$13,0)),INDEX(Products!$E$2:$E$13,MATCH(D2759,Products!$A$2:$A$13,0)))</f>
        <v>3433.5</v>
      </c>
      <c r="H2759" s="13" t="n">
        <f aca="false">IF(A2759="2025",INDEX(Customers!$D$2:$D$41,MATCH(C2759,Customers!$A$2:$A$41,0)),INDEX(Customers!$F$2:$F$41,MATCH(C2759,Customers!$A$2:$A$41,0)))</f>
        <v>0.068</v>
      </c>
      <c r="I2759" s="16" t="n">
        <f aca="false">F2759*G2759</f>
        <v>54249.3</v>
      </c>
      <c r="J2759" s="16" t="n">
        <f aca="false">I2759*(1-H2759)</f>
        <v>50560.3476</v>
      </c>
      <c r="K2759" s="16" t="n">
        <f aca="false">J2759*INDEX(Customers!$G$2:$G$41,MATCH(C2759,Customers!$A$2:$A$41,0))</f>
        <v>0</v>
      </c>
      <c r="L2759" s="16" t="n">
        <f aca="false">F2759*INDEX(Customers!$H$2:$H$41,MATCH(C2759,Customers!$A$2:$A$41,0))</f>
        <v>5530</v>
      </c>
      <c r="M2759" s="16" t="n">
        <f aca="false">J2759*INDEX(Customers!$I$2:$I$41,MATCH(C2759,Customers!$A$2:$A$41,0))/365*Assumptions!$B$6</f>
        <v>332.451600657534</v>
      </c>
      <c r="N2759" s="16" t="n">
        <f aca="false">J2759-K2759-L2759-M2759</f>
        <v>44697.8959993425</v>
      </c>
      <c r="O2759" s="16" t="n">
        <f aca="false">F2759*IF(A2759="2025",INDEX(Products!$D$2:$D$13,MATCH(D2759,Products!$A$2:$A$13,0)),INDEX(Products!$F$2:$F$13,MATCH(D2759,Products!$A$2:$A$13,0)))</f>
        <v>35640.06</v>
      </c>
      <c r="P2759" s="16" t="n">
        <f aca="false">N2759-O2759</f>
        <v>9057.83599934246</v>
      </c>
    </row>
    <row r="2760" customFormat="false" ht="15" hidden="false" customHeight="false" outlineLevel="0" collapsed="false">
      <c r="A2760" s="2" t="s">
        <v>119</v>
      </c>
      <c r="B2760" s="2" t="n">
        <v>11</v>
      </c>
      <c r="C2760" s="2" t="s">
        <v>102</v>
      </c>
      <c r="D2760" s="2" t="s">
        <v>34</v>
      </c>
      <c r="E2760" s="2" t="str">
        <f aca="false">INDEX(Products!$B$2:$B$13,MATCH(D2760,Products!$A$2:$A$13,0))</f>
        <v>FCC</v>
      </c>
      <c r="F2760" s="15" t="n">
        <v>14.1</v>
      </c>
      <c r="G2760" s="16" t="n">
        <f aca="false">IF(A2760="2025",INDEX(Products!$C$2:$C$13,MATCH(D2760,Products!$A$2:$A$13,0)),INDEX(Products!$E$2:$E$13,MATCH(D2760,Products!$A$2:$A$13,0)))</f>
        <v>3433.5</v>
      </c>
      <c r="H2760" s="13" t="n">
        <f aca="false">IF(A2760="2025",INDEX(Customers!$D$2:$D$41,MATCH(C2760,Customers!$A$2:$A$41,0)),INDEX(Customers!$F$2:$F$41,MATCH(C2760,Customers!$A$2:$A$41,0)))</f>
        <v>0.068</v>
      </c>
      <c r="I2760" s="16" t="n">
        <f aca="false">F2760*G2760</f>
        <v>48412.35</v>
      </c>
      <c r="J2760" s="16" t="n">
        <f aca="false">I2760*(1-H2760)</f>
        <v>45120.3102</v>
      </c>
      <c r="K2760" s="16" t="n">
        <f aca="false">J2760*INDEX(Customers!$G$2:$G$41,MATCH(C2760,Customers!$A$2:$A$41,0))</f>
        <v>0</v>
      </c>
      <c r="L2760" s="16" t="n">
        <f aca="false">F2760*INDEX(Customers!$H$2:$H$41,MATCH(C2760,Customers!$A$2:$A$41,0))</f>
        <v>4935</v>
      </c>
      <c r="M2760" s="16" t="n">
        <f aca="false">J2760*INDEX(Customers!$I$2:$I$41,MATCH(C2760,Customers!$A$2:$A$41,0))/365*Assumptions!$B$6</f>
        <v>296.681491726027</v>
      </c>
      <c r="N2760" s="16" t="n">
        <f aca="false">J2760-K2760-L2760-M2760</f>
        <v>39888.628708274</v>
      </c>
      <c r="O2760" s="16" t="n">
        <f aca="false">F2760*IF(A2760="2025",INDEX(Products!$D$2:$D$13,MATCH(D2760,Products!$A$2:$A$13,0)),INDEX(Products!$F$2:$F$13,MATCH(D2760,Products!$A$2:$A$13,0)))</f>
        <v>31805.37</v>
      </c>
      <c r="P2760" s="16" t="n">
        <f aca="false">N2760-O2760</f>
        <v>8083.25870827396</v>
      </c>
    </row>
    <row r="2761" customFormat="false" ht="15" hidden="false" customHeight="false" outlineLevel="0" collapsed="false">
      <c r="A2761" s="2" t="s">
        <v>119</v>
      </c>
      <c r="B2761" s="2" t="n">
        <v>12</v>
      </c>
      <c r="C2761" s="2" t="s">
        <v>102</v>
      </c>
      <c r="D2761" s="2" t="s">
        <v>34</v>
      </c>
      <c r="E2761" s="2" t="str">
        <f aca="false">INDEX(Products!$B$2:$B$13,MATCH(D2761,Products!$A$2:$A$13,0))</f>
        <v>FCC</v>
      </c>
      <c r="F2761" s="15" t="n">
        <v>14.4</v>
      </c>
      <c r="G2761" s="16" t="n">
        <f aca="false">IF(A2761="2025",INDEX(Products!$C$2:$C$13,MATCH(D2761,Products!$A$2:$A$13,0)),INDEX(Products!$E$2:$E$13,MATCH(D2761,Products!$A$2:$A$13,0)))</f>
        <v>3433.5</v>
      </c>
      <c r="H2761" s="13" t="n">
        <f aca="false">IF(A2761="2025",INDEX(Customers!$D$2:$D$41,MATCH(C2761,Customers!$A$2:$A$41,0)),INDEX(Customers!$F$2:$F$41,MATCH(C2761,Customers!$A$2:$A$41,0)))</f>
        <v>0.068</v>
      </c>
      <c r="I2761" s="16" t="n">
        <f aca="false">F2761*G2761</f>
        <v>49442.4</v>
      </c>
      <c r="J2761" s="16" t="n">
        <f aca="false">I2761*(1-H2761)</f>
        <v>46080.3168</v>
      </c>
      <c r="K2761" s="16" t="n">
        <f aca="false">J2761*INDEX(Customers!$G$2:$G$41,MATCH(C2761,Customers!$A$2:$A$41,0))</f>
        <v>0</v>
      </c>
      <c r="L2761" s="16" t="n">
        <f aca="false">F2761*INDEX(Customers!$H$2:$H$41,MATCH(C2761,Customers!$A$2:$A$41,0))</f>
        <v>5040</v>
      </c>
      <c r="M2761" s="16" t="n">
        <f aca="false">J2761*INDEX(Customers!$I$2:$I$41,MATCH(C2761,Customers!$A$2:$A$41,0))/365*Assumptions!$B$6</f>
        <v>302.993863890411</v>
      </c>
      <c r="N2761" s="16" t="n">
        <f aca="false">J2761-K2761-L2761-M2761</f>
        <v>40737.3229361096</v>
      </c>
      <c r="O2761" s="16" t="n">
        <f aca="false">F2761*IF(A2761="2025",INDEX(Products!$D$2:$D$13,MATCH(D2761,Products!$A$2:$A$13,0)),INDEX(Products!$F$2:$F$13,MATCH(D2761,Products!$A$2:$A$13,0)))</f>
        <v>32482.08</v>
      </c>
      <c r="P2761" s="16" t="n">
        <f aca="false">N2761-O2761</f>
        <v>8255.24293610958</v>
      </c>
    </row>
    <row r="2762" customFormat="false" ht="15" hidden="false" customHeight="false" outlineLevel="0" collapsed="false">
      <c r="A2762" s="2" t="s">
        <v>118</v>
      </c>
      <c r="B2762" s="2" t="n">
        <v>1</v>
      </c>
      <c r="C2762" s="2" t="s">
        <v>102</v>
      </c>
      <c r="D2762" s="2" t="s">
        <v>39</v>
      </c>
      <c r="E2762" s="2" t="str">
        <f aca="false">INDEX(Products!$B$2:$B$13,MATCH(D2762,Products!$A$2:$A$13,0))</f>
        <v>Hydroprocessing</v>
      </c>
      <c r="F2762" s="15" t="n">
        <v>6</v>
      </c>
      <c r="G2762" s="16" t="n">
        <f aca="false">IF(A2762="2025",INDEX(Products!$C$2:$C$13,MATCH(D2762,Products!$A$2:$A$13,0)),INDEX(Products!$E$2:$E$13,MATCH(D2762,Products!$A$2:$A$13,0)))</f>
        <v>12570</v>
      </c>
      <c r="H2762" s="13" t="n">
        <f aca="false">IF(A2762="2025",INDEX(Customers!$D$2:$D$41,MATCH(C2762,Customers!$A$2:$A$41,0)),INDEX(Customers!$F$2:$F$41,MATCH(C2762,Customers!$A$2:$A$41,0)))</f>
        <v>0.062</v>
      </c>
      <c r="I2762" s="16" t="n">
        <f aca="false">F2762*G2762</f>
        <v>75420</v>
      </c>
      <c r="J2762" s="16" t="n">
        <f aca="false">I2762*(1-H2762)</f>
        <v>70743.96</v>
      </c>
      <c r="K2762" s="16" t="n">
        <f aca="false">J2762*INDEX(Customers!$G$2:$G$41,MATCH(C2762,Customers!$A$2:$A$41,0))</f>
        <v>0</v>
      </c>
      <c r="L2762" s="16" t="n">
        <f aca="false">F2762*INDEX(Customers!$H$2:$H$41,MATCH(C2762,Customers!$A$2:$A$41,0))</f>
        <v>2100</v>
      </c>
      <c r="M2762" s="16" t="n">
        <f aca="false">J2762*INDEX(Customers!$I$2:$I$41,MATCH(C2762,Customers!$A$2:$A$41,0))/365*Assumptions!$B$6</f>
        <v>465.165764383562</v>
      </c>
      <c r="N2762" s="16" t="n">
        <f aca="false">J2762-K2762-L2762-M2762</f>
        <v>68178.7942356164</v>
      </c>
      <c r="O2762" s="16" t="n">
        <f aca="false">F2762*IF(A2762="2025",INDEX(Products!$D$2:$D$13,MATCH(D2762,Products!$A$2:$A$13,0)),INDEX(Products!$F$2:$F$13,MATCH(D2762,Products!$A$2:$A$13,0)))</f>
        <v>43740</v>
      </c>
      <c r="P2762" s="16" t="n">
        <f aca="false">N2762-O2762</f>
        <v>24438.7942356164</v>
      </c>
    </row>
    <row r="2763" customFormat="false" ht="15" hidden="false" customHeight="false" outlineLevel="0" collapsed="false">
      <c r="A2763" s="2" t="s">
        <v>118</v>
      </c>
      <c r="B2763" s="2" t="n">
        <v>2</v>
      </c>
      <c r="C2763" s="2" t="s">
        <v>102</v>
      </c>
      <c r="D2763" s="2" t="s">
        <v>39</v>
      </c>
      <c r="E2763" s="2" t="str">
        <f aca="false">INDEX(Products!$B$2:$B$13,MATCH(D2763,Products!$A$2:$A$13,0))</f>
        <v>Hydroprocessing</v>
      </c>
      <c r="F2763" s="15" t="n">
        <v>8.6</v>
      </c>
      <c r="G2763" s="16" t="n">
        <f aca="false">IF(A2763="2025",INDEX(Products!$C$2:$C$13,MATCH(D2763,Products!$A$2:$A$13,0)),INDEX(Products!$E$2:$E$13,MATCH(D2763,Products!$A$2:$A$13,0)))</f>
        <v>12570</v>
      </c>
      <c r="H2763" s="13" t="n">
        <f aca="false">IF(A2763="2025",INDEX(Customers!$D$2:$D$41,MATCH(C2763,Customers!$A$2:$A$41,0)),INDEX(Customers!$F$2:$F$41,MATCH(C2763,Customers!$A$2:$A$41,0)))</f>
        <v>0.062</v>
      </c>
      <c r="I2763" s="16" t="n">
        <f aca="false">F2763*G2763</f>
        <v>108102</v>
      </c>
      <c r="J2763" s="16" t="n">
        <f aca="false">I2763*(1-H2763)</f>
        <v>101399.676</v>
      </c>
      <c r="K2763" s="16" t="n">
        <f aca="false">J2763*INDEX(Customers!$G$2:$G$41,MATCH(C2763,Customers!$A$2:$A$41,0))</f>
        <v>0</v>
      </c>
      <c r="L2763" s="16" t="n">
        <f aca="false">F2763*INDEX(Customers!$H$2:$H$41,MATCH(C2763,Customers!$A$2:$A$41,0))</f>
        <v>3010</v>
      </c>
      <c r="M2763" s="16" t="n">
        <f aca="false">J2763*INDEX(Customers!$I$2:$I$41,MATCH(C2763,Customers!$A$2:$A$41,0))/365*Assumptions!$B$6</f>
        <v>666.737595616438</v>
      </c>
      <c r="N2763" s="16" t="n">
        <f aca="false">J2763-K2763-L2763-M2763</f>
        <v>97722.9384043836</v>
      </c>
      <c r="O2763" s="16" t="n">
        <f aca="false">F2763*IF(A2763="2025",INDEX(Products!$D$2:$D$13,MATCH(D2763,Products!$A$2:$A$13,0)),INDEX(Products!$F$2:$F$13,MATCH(D2763,Products!$A$2:$A$13,0)))</f>
        <v>62694</v>
      </c>
      <c r="P2763" s="16" t="n">
        <f aca="false">N2763-O2763</f>
        <v>35028.9384043836</v>
      </c>
    </row>
    <row r="2764" customFormat="false" ht="15" hidden="false" customHeight="false" outlineLevel="0" collapsed="false">
      <c r="A2764" s="2" t="s">
        <v>118</v>
      </c>
      <c r="B2764" s="2" t="n">
        <v>3</v>
      </c>
      <c r="C2764" s="2" t="s">
        <v>102</v>
      </c>
      <c r="D2764" s="2" t="s">
        <v>39</v>
      </c>
      <c r="E2764" s="2" t="str">
        <f aca="false">INDEX(Products!$B$2:$B$13,MATCH(D2764,Products!$A$2:$A$13,0))</f>
        <v>Hydroprocessing</v>
      </c>
      <c r="F2764" s="15" t="n">
        <v>9.9</v>
      </c>
      <c r="G2764" s="16" t="n">
        <f aca="false">IF(A2764="2025",INDEX(Products!$C$2:$C$13,MATCH(D2764,Products!$A$2:$A$13,0)),INDEX(Products!$E$2:$E$13,MATCH(D2764,Products!$A$2:$A$13,0)))</f>
        <v>12570</v>
      </c>
      <c r="H2764" s="13" t="n">
        <f aca="false">IF(A2764="2025",INDEX(Customers!$D$2:$D$41,MATCH(C2764,Customers!$A$2:$A$41,0)),INDEX(Customers!$F$2:$F$41,MATCH(C2764,Customers!$A$2:$A$41,0)))</f>
        <v>0.062</v>
      </c>
      <c r="I2764" s="16" t="n">
        <f aca="false">F2764*G2764</f>
        <v>124443</v>
      </c>
      <c r="J2764" s="16" t="n">
        <f aca="false">I2764*(1-H2764)</f>
        <v>116727.534</v>
      </c>
      <c r="K2764" s="16" t="n">
        <f aca="false">J2764*INDEX(Customers!$G$2:$G$41,MATCH(C2764,Customers!$A$2:$A$41,0))</f>
        <v>0</v>
      </c>
      <c r="L2764" s="16" t="n">
        <f aca="false">F2764*INDEX(Customers!$H$2:$H$41,MATCH(C2764,Customers!$A$2:$A$41,0))</f>
        <v>3465</v>
      </c>
      <c r="M2764" s="16" t="n">
        <f aca="false">J2764*INDEX(Customers!$I$2:$I$41,MATCH(C2764,Customers!$A$2:$A$41,0))/365*Assumptions!$B$6</f>
        <v>767.523511232877</v>
      </c>
      <c r="N2764" s="16" t="n">
        <f aca="false">J2764-K2764-L2764-M2764</f>
        <v>112495.010488767</v>
      </c>
      <c r="O2764" s="16" t="n">
        <f aca="false">F2764*IF(A2764="2025",INDEX(Products!$D$2:$D$13,MATCH(D2764,Products!$A$2:$A$13,0)),INDEX(Products!$F$2:$F$13,MATCH(D2764,Products!$A$2:$A$13,0)))</f>
        <v>72171</v>
      </c>
      <c r="P2764" s="16" t="n">
        <f aca="false">N2764-O2764</f>
        <v>40324.0104887671</v>
      </c>
    </row>
    <row r="2765" customFormat="false" ht="15" hidden="false" customHeight="false" outlineLevel="0" collapsed="false">
      <c r="A2765" s="2" t="s">
        <v>118</v>
      </c>
      <c r="B2765" s="2" t="n">
        <v>4</v>
      </c>
      <c r="C2765" s="2" t="s">
        <v>102</v>
      </c>
      <c r="D2765" s="2" t="s">
        <v>39</v>
      </c>
      <c r="E2765" s="2" t="str">
        <f aca="false">INDEX(Products!$B$2:$B$13,MATCH(D2765,Products!$A$2:$A$13,0))</f>
        <v>Hydroprocessing</v>
      </c>
      <c r="F2765" s="15" t="n">
        <v>7.8</v>
      </c>
      <c r="G2765" s="16" t="n">
        <f aca="false">IF(A2765="2025",INDEX(Products!$C$2:$C$13,MATCH(D2765,Products!$A$2:$A$13,0)),INDEX(Products!$E$2:$E$13,MATCH(D2765,Products!$A$2:$A$13,0)))</f>
        <v>12570</v>
      </c>
      <c r="H2765" s="13" t="n">
        <f aca="false">IF(A2765="2025",INDEX(Customers!$D$2:$D$41,MATCH(C2765,Customers!$A$2:$A$41,0)),INDEX(Customers!$F$2:$F$41,MATCH(C2765,Customers!$A$2:$A$41,0)))</f>
        <v>0.062</v>
      </c>
      <c r="I2765" s="16" t="n">
        <f aca="false">F2765*G2765</f>
        <v>98046</v>
      </c>
      <c r="J2765" s="16" t="n">
        <f aca="false">I2765*(1-H2765)</f>
        <v>91967.148</v>
      </c>
      <c r="K2765" s="16" t="n">
        <f aca="false">J2765*INDEX(Customers!$G$2:$G$41,MATCH(C2765,Customers!$A$2:$A$41,0))</f>
        <v>0</v>
      </c>
      <c r="L2765" s="16" t="n">
        <f aca="false">F2765*INDEX(Customers!$H$2:$H$41,MATCH(C2765,Customers!$A$2:$A$41,0))</f>
        <v>2730</v>
      </c>
      <c r="M2765" s="16" t="n">
        <f aca="false">J2765*INDEX(Customers!$I$2:$I$41,MATCH(C2765,Customers!$A$2:$A$41,0))/365*Assumptions!$B$6</f>
        <v>604.71549369863</v>
      </c>
      <c r="N2765" s="16" t="n">
        <f aca="false">J2765-K2765-L2765-M2765</f>
        <v>88632.4325063014</v>
      </c>
      <c r="O2765" s="16" t="n">
        <f aca="false">F2765*IF(A2765="2025",INDEX(Products!$D$2:$D$13,MATCH(D2765,Products!$A$2:$A$13,0)),INDEX(Products!$F$2:$F$13,MATCH(D2765,Products!$A$2:$A$13,0)))</f>
        <v>56862</v>
      </c>
      <c r="P2765" s="16" t="n">
        <f aca="false">N2765-O2765</f>
        <v>31770.4325063014</v>
      </c>
    </row>
    <row r="2766" customFormat="false" ht="15" hidden="false" customHeight="false" outlineLevel="0" collapsed="false">
      <c r="A2766" s="2" t="s">
        <v>118</v>
      </c>
      <c r="B2766" s="2" t="n">
        <v>5</v>
      </c>
      <c r="C2766" s="2" t="s">
        <v>102</v>
      </c>
      <c r="D2766" s="2" t="s">
        <v>39</v>
      </c>
      <c r="E2766" s="2" t="str">
        <f aca="false">INDEX(Products!$B$2:$B$13,MATCH(D2766,Products!$A$2:$A$13,0))</f>
        <v>Hydroprocessing</v>
      </c>
      <c r="F2766" s="15" t="n">
        <v>6.6</v>
      </c>
      <c r="G2766" s="16" t="n">
        <f aca="false">IF(A2766="2025",INDEX(Products!$C$2:$C$13,MATCH(D2766,Products!$A$2:$A$13,0)),INDEX(Products!$E$2:$E$13,MATCH(D2766,Products!$A$2:$A$13,0)))</f>
        <v>12570</v>
      </c>
      <c r="H2766" s="13" t="n">
        <f aca="false">IF(A2766="2025",INDEX(Customers!$D$2:$D$41,MATCH(C2766,Customers!$A$2:$A$41,0)),INDEX(Customers!$F$2:$F$41,MATCH(C2766,Customers!$A$2:$A$41,0)))</f>
        <v>0.062</v>
      </c>
      <c r="I2766" s="16" t="n">
        <f aca="false">F2766*G2766</f>
        <v>82962</v>
      </c>
      <c r="J2766" s="16" t="n">
        <f aca="false">I2766*(1-H2766)</f>
        <v>77818.356</v>
      </c>
      <c r="K2766" s="16" t="n">
        <f aca="false">J2766*INDEX(Customers!$G$2:$G$41,MATCH(C2766,Customers!$A$2:$A$41,0))</f>
        <v>0</v>
      </c>
      <c r="L2766" s="16" t="n">
        <f aca="false">F2766*INDEX(Customers!$H$2:$H$41,MATCH(C2766,Customers!$A$2:$A$41,0))</f>
        <v>2310</v>
      </c>
      <c r="M2766" s="16" t="n">
        <f aca="false">J2766*INDEX(Customers!$I$2:$I$41,MATCH(C2766,Customers!$A$2:$A$41,0))/365*Assumptions!$B$6</f>
        <v>511.682340821918</v>
      </c>
      <c r="N2766" s="16" t="n">
        <f aca="false">J2766-K2766-L2766-M2766</f>
        <v>74996.6736591781</v>
      </c>
      <c r="O2766" s="16" t="n">
        <f aca="false">F2766*IF(A2766="2025",INDEX(Products!$D$2:$D$13,MATCH(D2766,Products!$A$2:$A$13,0)),INDEX(Products!$F$2:$F$13,MATCH(D2766,Products!$A$2:$A$13,0)))</f>
        <v>48114</v>
      </c>
      <c r="P2766" s="16" t="n">
        <f aca="false">N2766-O2766</f>
        <v>26882.6736591781</v>
      </c>
    </row>
    <row r="2767" customFormat="false" ht="15" hidden="false" customHeight="false" outlineLevel="0" collapsed="false">
      <c r="A2767" s="2" t="s">
        <v>118</v>
      </c>
      <c r="B2767" s="2" t="n">
        <v>6</v>
      </c>
      <c r="C2767" s="2" t="s">
        <v>102</v>
      </c>
      <c r="D2767" s="2" t="s">
        <v>39</v>
      </c>
      <c r="E2767" s="2" t="str">
        <f aca="false">INDEX(Products!$B$2:$B$13,MATCH(D2767,Products!$A$2:$A$13,0))</f>
        <v>Hydroprocessing</v>
      </c>
      <c r="F2767" s="15" t="n">
        <v>5.5</v>
      </c>
      <c r="G2767" s="16" t="n">
        <f aca="false">IF(A2767="2025",INDEX(Products!$C$2:$C$13,MATCH(D2767,Products!$A$2:$A$13,0)),INDEX(Products!$E$2:$E$13,MATCH(D2767,Products!$A$2:$A$13,0)))</f>
        <v>12570</v>
      </c>
      <c r="H2767" s="13" t="n">
        <f aca="false">IF(A2767="2025",INDEX(Customers!$D$2:$D$41,MATCH(C2767,Customers!$A$2:$A$41,0)),INDEX(Customers!$F$2:$F$41,MATCH(C2767,Customers!$A$2:$A$41,0)))</f>
        <v>0.062</v>
      </c>
      <c r="I2767" s="16" t="n">
        <f aca="false">F2767*G2767</f>
        <v>69135</v>
      </c>
      <c r="J2767" s="16" t="n">
        <f aca="false">I2767*(1-H2767)</f>
        <v>64848.63</v>
      </c>
      <c r="K2767" s="16" t="n">
        <f aca="false">J2767*INDEX(Customers!$G$2:$G$41,MATCH(C2767,Customers!$A$2:$A$41,0))</f>
        <v>0</v>
      </c>
      <c r="L2767" s="16" t="n">
        <f aca="false">F2767*INDEX(Customers!$H$2:$H$41,MATCH(C2767,Customers!$A$2:$A$41,0))</f>
        <v>1925</v>
      </c>
      <c r="M2767" s="16" t="n">
        <f aca="false">J2767*INDEX(Customers!$I$2:$I$41,MATCH(C2767,Customers!$A$2:$A$41,0))/365*Assumptions!$B$6</f>
        <v>426.401950684932</v>
      </c>
      <c r="N2767" s="16" t="n">
        <f aca="false">J2767-K2767-L2767-M2767</f>
        <v>62497.2280493151</v>
      </c>
      <c r="O2767" s="16" t="n">
        <f aca="false">F2767*IF(A2767="2025",INDEX(Products!$D$2:$D$13,MATCH(D2767,Products!$A$2:$A$13,0)),INDEX(Products!$F$2:$F$13,MATCH(D2767,Products!$A$2:$A$13,0)))</f>
        <v>40095</v>
      </c>
      <c r="P2767" s="16" t="n">
        <f aca="false">N2767-O2767</f>
        <v>22402.2280493151</v>
      </c>
    </row>
    <row r="2768" customFormat="false" ht="15" hidden="false" customHeight="false" outlineLevel="0" collapsed="false">
      <c r="A2768" s="2" t="s">
        <v>118</v>
      </c>
      <c r="B2768" s="2" t="n">
        <v>7</v>
      </c>
      <c r="C2768" s="2" t="s">
        <v>102</v>
      </c>
      <c r="D2768" s="2" t="s">
        <v>39</v>
      </c>
      <c r="E2768" s="2" t="str">
        <f aca="false">INDEX(Products!$B$2:$B$13,MATCH(D2768,Products!$A$2:$A$13,0))</f>
        <v>Hydroprocessing</v>
      </c>
      <c r="F2768" s="15" t="n">
        <v>9</v>
      </c>
      <c r="G2768" s="16" t="n">
        <f aca="false">IF(A2768="2025",INDEX(Products!$C$2:$C$13,MATCH(D2768,Products!$A$2:$A$13,0)),INDEX(Products!$E$2:$E$13,MATCH(D2768,Products!$A$2:$A$13,0)))</f>
        <v>12570</v>
      </c>
      <c r="H2768" s="13" t="n">
        <f aca="false">IF(A2768="2025",INDEX(Customers!$D$2:$D$41,MATCH(C2768,Customers!$A$2:$A$41,0)),INDEX(Customers!$F$2:$F$41,MATCH(C2768,Customers!$A$2:$A$41,0)))</f>
        <v>0.062</v>
      </c>
      <c r="I2768" s="16" t="n">
        <f aca="false">F2768*G2768</f>
        <v>113130</v>
      </c>
      <c r="J2768" s="16" t="n">
        <f aca="false">I2768*(1-H2768)</f>
        <v>106115.94</v>
      </c>
      <c r="K2768" s="16" t="n">
        <f aca="false">J2768*INDEX(Customers!$G$2:$G$41,MATCH(C2768,Customers!$A$2:$A$41,0))</f>
        <v>0</v>
      </c>
      <c r="L2768" s="16" t="n">
        <f aca="false">F2768*INDEX(Customers!$H$2:$H$41,MATCH(C2768,Customers!$A$2:$A$41,0))</f>
        <v>3150</v>
      </c>
      <c r="M2768" s="16" t="n">
        <f aca="false">J2768*INDEX(Customers!$I$2:$I$41,MATCH(C2768,Customers!$A$2:$A$41,0))/365*Assumptions!$B$6</f>
        <v>697.748646575343</v>
      </c>
      <c r="N2768" s="16" t="n">
        <f aca="false">J2768-K2768-L2768-M2768</f>
        <v>102268.191353425</v>
      </c>
      <c r="O2768" s="16" t="n">
        <f aca="false">F2768*IF(A2768="2025",INDEX(Products!$D$2:$D$13,MATCH(D2768,Products!$A$2:$A$13,0)),INDEX(Products!$F$2:$F$13,MATCH(D2768,Products!$A$2:$A$13,0)))</f>
        <v>65610</v>
      </c>
      <c r="P2768" s="16" t="n">
        <f aca="false">N2768-O2768</f>
        <v>36658.1913534246</v>
      </c>
    </row>
    <row r="2769" customFormat="false" ht="15" hidden="false" customHeight="false" outlineLevel="0" collapsed="false">
      <c r="A2769" s="2" t="s">
        <v>118</v>
      </c>
      <c r="B2769" s="2" t="n">
        <v>8</v>
      </c>
      <c r="C2769" s="2" t="s">
        <v>102</v>
      </c>
      <c r="D2769" s="2" t="s">
        <v>39</v>
      </c>
      <c r="E2769" s="2" t="str">
        <f aca="false">INDEX(Products!$B$2:$B$13,MATCH(D2769,Products!$A$2:$A$13,0))</f>
        <v>Hydroprocessing</v>
      </c>
      <c r="F2769" s="15" t="n">
        <v>6.2</v>
      </c>
      <c r="G2769" s="16" t="n">
        <f aca="false">IF(A2769="2025",INDEX(Products!$C$2:$C$13,MATCH(D2769,Products!$A$2:$A$13,0)),INDEX(Products!$E$2:$E$13,MATCH(D2769,Products!$A$2:$A$13,0)))</f>
        <v>12570</v>
      </c>
      <c r="H2769" s="13" t="n">
        <f aca="false">IF(A2769="2025",INDEX(Customers!$D$2:$D$41,MATCH(C2769,Customers!$A$2:$A$41,0)),INDEX(Customers!$F$2:$F$41,MATCH(C2769,Customers!$A$2:$A$41,0)))</f>
        <v>0.062</v>
      </c>
      <c r="I2769" s="16" t="n">
        <f aca="false">F2769*G2769</f>
        <v>77934</v>
      </c>
      <c r="J2769" s="16" t="n">
        <f aca="false">I2769*(1-H2769)</f>
        <v>73102.092</v>
      </c>
      <c r="K2769" s="16" t="n">
        <f aca="false">J2769*INDEX(Customers!$G$2:$G$41,MATCH(C2769,Customers!$A$2:$A$41,0))</f>
        <v>0</v>
      </c>
      <c r="L2769" s="16" t="n">
        <f aca="false">F2769*INDEX(Customers!$H$2:$H$41,MATCH(C2769,Customers!$A$2:$A$41,0))</f>
        <v>2170</v>
      </c>
      <c r="M2769" s="16" t="n">
        <f aca="false">J2769*INDEX(Customers!$I$2:$I$41,MATCH(C2769,Customers!$A$2:$A$41,0))/365*Assumptions!$B$6</f>
        <v>480.671289863014</v>
      </c>
      <c r="N2769" s="16" t="n">
        <f aca="false">J2769-K2769-L2769-M2769</f>
        <v>70451.420710137</v>
      </c>
      <c r="O2769" s="16" t="n">
        <f aca="false">F2769*IF(A2769="2025",INDEX(Products!$D$2:$D$13,MATCH(D2769,Products!$A$2:$A$13,0)),INDEX(Products!$F$2:$F$13,MATCH(D2769,Products!$A$2:$A$13,0)))</f>
        <v>45198</v>
      </c>
      <c r="P2769" s="16" t="n">
        <f aca="false">N2769-O2769</f>
        <v>25253.420710137</v>
      </c>
    </row>
    <row r="2770" customFormat="false" ht="15" hidden="false" customHeight="false" outlineLevel="0" collapsed="false">
      <c r="A2770" s="2" t="s">
        <v>118</v>
      </c>
      <c r="B2770" s="2" t="n">
        <v>9</v>
      </c>
      <c r="C2770" s="2" t="s">
        <v>102</v>
      </c>
      <c r="D2770" s="2" t="s">
        <v>39</v>
      </c>
      <c r="E2770" s="2" t="str">
        <f aca="false">INDEX(Products!$B$2:$B$13,MATCH(D2770,Products!$A$2:$A$13,0))</f>
        <v>Hydroprocessing</v>
      </c>
      <c r="F2770" s="15" t="n">
        <v>8.6</v>
      </c>
      <c r="G2770" s="16" t="n">
        <f aca="false">IF(A2770="2025",INDEX(Products!$C$2:$C$13,MATCH(D2770,Products!$A$2:$A$13,0)),INDEX(Products!$E$2:$E$13,MATCH(D2770,Products!$A$2:$A$13,0)))</f>
        <v>12570</v>
      </c>
      <c r="H2770" s="13" t="n">
        <f aca="false">IF(A2770="2025",INDEX(Customers!$D$2:$D$41,MATCH(C2770,Customers!$A$2:$A$41,0)),INDEX(Customers!$F$2:$F$41,MATCH(C2770,Customers!$A$2:$A$41,0)))</f>
        <v>0.062</v>
      </c>
      <c r="I2770" s="16" t="n">
        <f aca="false">F2770*G2770</f>
        <v>108102</v>
      </c>
      <c r="J2770" s="16" t="n">
        <f aca="false">I2770*(1-H2770)</f>
        <v>101399.676</v>
      </c>
      <c r="K2770" s="16" t="n">
        <f aca="false">J2770*INDEX(Customers!$G$2:$G$41,MATCH(C2770,Customers!$A$2:$A$41,0))</f>
        <v>0</v>
      </c>
      <c r="L2770" s="16" t="n">
        <f aca="false">F2770*INDEX(Customers!$H$2:$H$41,MATCH(C2770,Customers!$A$2:$A$41,0))</f>
        <v>3010</v>
      </c>
      <c r="M2770" s="16" t="n">
        <f aca="false">J2770*INDEX(Customers!$I$2:$I$41,MATCH(C2770,Customers!$A$2:$A$41,0))/365*Assumptions!$B$6</f>
        <v>666.737595616438</v>
      </c>
      <c r="N2770" s="16" t="n">
        <f aca="false">J2770-K2770-L2770-M2770</f>
        <v>97722.9384043836</v>
      </c>
      <c r="O2770" s="16" t="n">
        <f aca="false">F2770*IF(A2770="2025",INDEX(Products!$D$2:$D$13,MATCH(D2770,Products!$A$2:$A$13,0)),INDEX(Products!$F$2:$F$13,MATCH(D2770,Products!$A$2:$A$13,0)))</f>
        <v>62694</v>
      </c>
      <c r="P2770" s="16" t="n">
        <f aca="false">N2770-O2770</f>
        <v>35028.9384043836</v>
      </c>
    </row>
    <row r="2771" customFormat="false" ht="15" hidden="false" customHeight="false" outlineLevel="0" collapsed="false">
      <c r="A2771" s="2" t="s">
        <v>118</v>
      </c>
      <c r="B2771" s="2" t="n">
        <v>10</v>
      </c>
      <c r="C2771" s="2" t="s">
        <v>102</v>
      </c>
      <c r="D2771" s="2" t="s">
        <v>39</v>
      </c>
      <c r="E2771" s="2" t="str">
        <f aca="false">INDEX(Products!$B$2:$B$13,MATCH(D2771,Products!$A$2:$A$13,0))</f>
        <v>Hydroprocessing</v>
      </c>
      <c r="F2771" s="15" t="n">
        <v>6.6</v>
      </c>
      <c r="G2771" s="16" t="n">
        <f aca="false">IF(A2771="2025",INDEX(Products!$C$2:$C$13,MATCH(D2771,Products!$A$2:$A$13,0)),INDEX(Products!$E$2:$E$13,MATCH(D2771,Products!$A$2:$A$13,0)))</f>
        <v>12570</v>
      </c>
      <c r="H2771" s="13" t="n">
        <f aca="false">IF(A2771="2025",INDEX(Customers!$D$2:$D$41,MATCH(C2771,Customers!$A$2:$A$41,0)),INDEX(Customers!$F$2:$F$41,MATCH(C2771,Customers!$A$2:$A$41,0)))</f>
        <v>0.062</v>
      </c>
      <c r="I2771" s="16" t="n">
        <f aca="false">F2771*G2771</f>
        <v>82962</v>
      </c>
      <c r="J2771" s="16" t="n">
        <f aca="false">I2771*(1-H2771)</f>
        <v>77818.356</v>
      </c>
      <c r="K2771" s="16" t="n">
        <f aca="false">J2771*INDEX(Customers!$G$2:$G$41,MATCH(C2771,Customers!$A$2:$A$41,0))</f>
        <v>0</v>
      </c>
      <c r="L2771" s="16" t="n">
        <f aca="false">F2771*INDEX(Customers!$H$2:$H$41,MATCH(C2771,Customers!$A$2:$A$41,0))</f>
        <v>2310</v>
      </c>
      <c r="M2771" s="16" t="n">
        <f aca="false">J2771*INDEX(Customers!$I$2:$I$41,MATCH(C2771,Customers!$A$2:$A$41,0))/365*Assumptions!$B$6</f>
        <v>511.682340821918</v>
      </c>
      <c r="N2771" s="16" t="n">
        <f aca="false">J2771-K2771-L2771-M2771</f>
        <v>74996.6736591781</v>
      </c>
      <c r="O2771" s="16" t="n">
        <f aca="false">F2771*IF(A2771="2025",INDEX(Products!$D$2:$D$13,MATCH(D2771,Products!$A$2:$A$13,0)),INDEX(Products!$F$2:$F$13,MATCH(D2771,Products!$A$2:$A$13,0)))</f>
        <v>48114</v>
      </c>
      <c r="P2771" s="16" t="n">
        <f aca="false">N2771-O2771</f>
        <v>26882.6736591781</v>
      </c>
    </row>
    <row r="2772" customFormat="false" ht="15" hidden="false" customHeight="false" outlineLevel="0" collapsed="false">
      <c r="A2772" s="2" t="s">
        <v>118</v>
      </c>
      <c r="B2772" s="2" t="n">
        <v>11</v>
      </c>
      <c r="C2772" s="2" t="s">
        <v>102</v>
      </c>
      <c r="D2772" s="2" t="s">
        <v>39</v>
      </c>
      <c r="E2772" s="2" t="str">
        <f aca="false">INDEX(Products!$B$2:$B$13,MATCH(D2772,Products!$A$2:$A$13,0))</f>
        <v>Hydroprocessing</v>
      </c>
      <c r="F2772" s="15" t="n">
        <v>8.9</v>
      </c>
      <c r="G2772" s="16" t="n">
        <f aca="false">IF(A2772="2025",INDEX(Products!$C$2:$C$13,MATCH(D2772,Products!$A$2:$A$13,0)),INDEX(Products!$E$2:$E$13,MATCH(D2772,Products!$A$2:$A$13,0)))</f>
        <v>12570</v>
      </c>
      <c r="H2772" s="13" t="n">
        <f aca="false">IF(A2772="2025",INDEX(Customers!$D$2:$D$41,MATCH(C2772,Customers!$A$2:$A$41,0)),INDEX(Customers!$F$2:$F$41,MATCH(C2772,Customers!$A$2:$A$41,0)))</f>
        <v>0.062</v>
      </c>
      <c r="I2772" s="16" t="n">
        <f aca="false">F2772*G2772</f>
        <v>111873</v>
      </c>
      <c r="J2772" s="16" t="n">
        <f aca="false">I2772*(1-H2772)</f>
        <v>104936.874</v>
      </c>
      <c r="K2772" s="16" t="n">
        <f aca="false">J2772*INDEX(Customers!$G$2:$G$41,MATCH(C2772,Customers!$A$2:$A$41,0))</f>
        <v>0</v>
      </c>
      <c r="L2772" s="16" t="n">
        <f aca="false">F2772*INDEX(Customers!$H$2:$H$41,MATCH(C2772,Customers!$A$2:$A$41,0))</f>
        <v>3115</v>
      </c>
      <c r="M2772" s="16" t="n">
        <f aca="false">J2772*INDEX(Customers!$I$2:$I$41,MATCH(C2772,Customers!$A$2:$A$41,0))/365*Assumptions!$B$6</f>
        <v>689.995883835616</v>
      </c>
      <c r="N2772" s="16" t="n">
        <f aca="false">J2772-K2772-L2772-M2772</f>
        <v>101131.878116164</v>
      </c>
      <c r="O2772" s="16" t="n">
        <f aca="false">F2772*IF(A2772="2025",INDEX(Products!$D$2:$D$13,MATCH(D2772,Products!$A$2:$A$13,0)),INDEX(Products!$F$2:$F$13,MATCH(D2772,Products!$A$2:$A$13,0)))</f>
        <v>64881</v>
      </c>
      <c r="P2772" s="16" t="n">
        <f aca="false">N2772-O2772</f>
        <v>36250.8781161644</v>
      </c>
    </row>
    <row r="2773" customFormat="false" ht="15" hidden="false" customHeight="false" outlineLevel="0" collapsed="false">
      <c r="A2773" s="2" t="s">
        <v>118</v>
      </c>
      <c r="B2773" s="2" t="n">
        <v>12</v>
      </c>
      <c r="C2773" s="2" t="s">
        <v>102</v>
      </c>
      <c r="D2773" s="2" t="s">
        <v>39</v>
      </c>
      <c r="E2773" s="2" t="str">
        <f aca="false">INDEX(Products!$B$2:$B$13,MATCH(D2773,Products!$A$2:$A$13,0))</f>
        <v>Hydroprocessing</v>
      </c>
      <c r="F2773" s="15" t="n">
        <v>8.2</v>
      </c>
      <c r="G2773" s="16" t="n">
        <f aca="false">IF(A2773="2025",INDEX(Products!$C$2:$C$13,MATCH(D2773,Products!$A$2:$A$13,0)),INDEX(Products!$E$2:$E$13,MATCH(D2773,Products!$A$2:$A$13,0)))</f>
        <v>12570</v>
      </c>
      <c r="H2773" s="13" t="n">
        <f aca="false">IF(A2773="2025",INDEX(Customers!$D$2:$D$41,MATCH(C2773,Customers!$A$2:$A$41,0)),INDEX(Customers!$F$2:$F$41,MATCH(C2773,Customers!$A$2:$A$41,0)))</f>
        <v>0.062</v>
      </c>
      <c r="I2773" s="16" t="n">
        <f aca="false">F2773*G2773</f>
        <v>103074</v>
      </c>
      <c r="J2773" s="16" t="n">
        <f aca="false">I2773*(1-H2773)</f>
        <v>96683.412</v>
      </c>
      <c r="K2773" s="16" t="n">
        <f aca="false">J2773*INDEX(Customers!$G$2:$G$41,MATCH(C2773,Customers!$A$2:$A$41,0))</f>
        <v>0</v>
      </c>
      <c r="L2773" s="16" t="n">
        <f aca="false">F2773*INDEX(Customers!$H$2:$H$41,MATCH(C2773,Customers!$A$2:$A$41,0))</f>
        <v>2870</v>
      </c>
      <c r="M2773" s="16" t="n">
        <f aca="false">J2773*INDEX(Customers!$I$2:$I$41,MATCH(C2773,Customers!$A$2:$A$41,0))/365*Assumptions!$B$6</f>
        <v>635.726544657534</v>
      </c>
      <c r="N2773" s="16" t="n">
        <f aca="false">J2773-K2773-L2773-M2773</f>
        <v>93177.6854553425</v>
      </c>
      <c r="O2773" s="16" t="n">
        <f aca="false">F2773*IF(A2773="2025",INDEX(Products!$D$2:$D$13,MATCH(D2773,Products!$A$2:$A$13,0)),INDEX(Products!$F$2:$F$13,MATCH(D2773,Products!$A$2:$A$13,0)))</f>
        <v>59778</v>
      </c>
      <c r="P2773" s="16" t="n">
        <f aca="false">N2773-O2773</f>
        <v>33399.6854553425</v>
      </c>
    </row>
    <row r="2774" customFormat="false" ht="15" hidden="false" customHeight="false" outlineLevel="0" collapsed="false">
      <c r="A2774" s="2" t="s">
        <v>119</v>
      </c>
      <c r="B2774" s="2" t="n">
        <v>1</v>
      </c>
      <c r="C2774" s="2" t="s">
        <v>102</v>
      </c>
      <c r="D2774" s="2" t="s">
        <v>39</v>
      </c>
      <c r="E2774" s="2" t="str">
        <f aca="false">INDEX(Products!$B$2:$B$13,MATCH(D2774,Products!$A$2:$A$13,0))</f>
        <v>Hydroprocessing</v>
      </c>
      <c r="F2774" s="15" t="n">
        <v>7.7</v>
      </c>
      <c r="G2774" s="16" t="n">
        <f aca="false">IF(A2774="2025",INDEX(Products!$C$2:$C$13,MATCH(D2774,Products!$A$2:$A$13,0)),INDEX(Products!$E$2:$E$13,MATCH(D2774,Products!$A$2:$A$13,0)))</f>
        <v>13198.5</v>
      </c>
      <c r="H2774" s="13" t="n">
        <f aca="false">IF(A2774="2025",INDEX(Customers!$D$2:$D$41,MATCH(C2774,Customers!$A$2:$A$41,0)),INDEX(Customers!$F$2:$F$41,MATCH(C2774,Customers!$A$2:$A$41,0)))</f>
        <v>0.068</v>
      </c>
      <c r="I2774" s="16" t="n">
        <f aca="false">F2774*G2774</f>
        <v>101628.45</v>
      </c>
      <c r="J2774" s="16" t="n">
        <f aca="false">I2774*(1-H2774)</f>
        <v>94717.7154</v>
      </c>
      <c r="K2774" s="16" t="n">
        <f aca="false">J2774*INDEX(Customers!$G$2:$G$41,MATCH(C2774,Customers!$A$2:$A$41,0))</f>
        <v>0</v>
      </c>
      <c r="L2774" s="16" t="n">
        <f aca="false">F2774*INDEX(Customers!$H$2:$H$41,MATCH(C2774,Customers!$A$2:$A$41,0))</f>
        <v>2695</v>
      </c>
      <c r="M2774" s="16" t="n">
        <f aca="false">J2774*INDEX(Customers!$I$2:$I$41,MATCH(C2774,Customers!$A$2:$A$41,0))/365*Assumptions!$B$6</f>
        <v>622.801416328767</v>
      </c>
      <c r="N2774" s="16" t="n">
        <f aca="false">J2774-K2774-L2774-M2774</f>
        <v>91399.9139836712</v>
      </c>
      <c r="O2774" s="16" t="n">
        <f aca="false">F2774*IF(A2774="2025",INDEX(Products!$D$2:$D$13,MATCH(D2774,Products!$A$2:$A$13,0)),INDEX(Products!$F$2:$F$13,MATCH(D2774,Products!$A$2:$A$13,0)))</f>
        <v>57816.99</v>
      </c>
      <c r="P2774" s="16" t="n">
        <f aca="false">N2774-O2774</f>
        <v>33582.9239836712</v>
      </c>
    </row>
    <row r="2775" customFormat="false" ht="15" hidden="false" customHeight="false" outlineLevel="0" collapsed="false">
      <c r="A2775" s="2" t="s">
        <v>119</v>
      </c>
      <c r="B2775" s="2" t="n">
        <v>2</v>
      </c>
      <c r="C2775" s="2" t="s">
        <v>102</v>
      </c>
      <c r="D2775" s="2" t="s">
        <v>39</v>
      </c>
      <c r="E2775" s="2" t="str">
        <f aca="false">INDEX(Products!$B$2:$B$13,MATCH(D2775,Products!$A$2:$A$13,0))</f>
        <v>Hydroprocessing</v>
      </c>
      <c r="F2775" s="15" t="n">
        <v>6.9</v>
      </c>
      <c r="G2775" s="16" t="n">
        <f aca="false">IF(A2775="2025",INDEX(Products!$C$2:$C$13,MATCH(D2775,Products!$A$2:$A$13,0)),INDEX(Products!$E$2:$E$13,MATCH(D2775,Products!$A$2:$A$13,0)))</f>
        <v>13198.5</v>
      </c>
      <c r="H2775" s="13" t="n">
        <f aca="false">IF(A2775="2025",INDEX(Customers!$D$2:$D$41,MATCH(C2775,Customers!$A$2:$A$41,0)),INDEX(Customers!$F$2:$F$41,MATCH(C2775,Customers!$A$2:$A$41,0)))</f>
        <v>0.068</v>
      </c>
      <c r="I2775" s="16" t="n">
        <f aca="false">F2775*G2775</f>
        <v>91069.65</v>
      </c>
      <c r="J2775" s="16" t="n">
        <f aca="false">I2775*(1-H2775)</f>
        <v>84876.9138</v>
      </c>
      <c r="K2775" s="16" t="n">
        <f aca="false">J2775*INDEX(Customers!$G$2:$G$41,MATCH(C2775,Customers!$A$2:$A$41,0))</f>
        <v>0</v>
      </c>
      <c r="L2775" s="16" t="n">
        <f aca="false">F2775*INDEX(Customers!$H$2:$H$41,MATCH(C2775,Customers!$A$2:$A$41,0))</f>
        <v>2415</v>
      </c>
      <c r="M2775" s="16" t="n">
        <f aca="false">J2775*INDEX(Customers!$I$2:$I$41,MATCH(C2775,Customers!$A$2:$A$41,0))/365*Assumptions!$B$6</f>
        <v>558.094775671233</v>
      </c>
      <c r="N2775" s="16" t="n">
        <f aca="false">J2775-K2775-L2775-M2775</f>
        <v>81903.8190243288</v>
      </c>
      <c r="O2775" s="16" t="n">
        <f aca="false">F2775*IF(A2775="2025",INDEX(Products!$D$2:$D$13,MATCH(D2775,Products!$A$2:$A$13,0)),INDEX(Products!$F$2:$F$13,MATCH(D2775,Products!$A$2:$A$13,0)))</f>
        <v>51810.03</v>
      </c>
      <c r="P2775" s="16" t="n">
        <f aca="false">N2775-O2775</f>
        <v>30093.7890243288</v>
      </c>
    </row>
    <row r="2776" customFormat="false" ht="15" hidden="false" customHeight="false" outlineLevel="0" collapsed="false">
      <c r="A2776" s="2" t="s">
        <v>119</v>
      </c>
      <c r="B2776" s="2" t="n">
        <v>3</v>
      </c>
      <c r="C2776" s="2" t="s">
        <v>102</v>
      </c>
      <c r="D2776" s="2" t="s">
        <v>39</v>
      </c>
      <c r="E2776" s="2" t="str">
        <f aca="false">INDEX(Products!$B$2:$B$13,MATCH(D2776,Products!$A$2:$A$13,0))</f>
        <v>Hydroprocessing</v>
      </c>
      <c r="F2776" s="15" t="n">
        <v>8.4</v>
      </c>
      <c r="G2776" s="16" t="n">
        <f aca="false">IF(A2776="2025",INDEX(Products!$C$2:$C$13,MATCH(D2776,Products!$A$2:$A$13,0)),INDEX(Products!$E$2:$E$13,MATCH(D2776,Products!$A$2:$A$13,0)))</f>
        <v>13198.5</v>
      </c>
      <c r="H2776" s="13" t="n">
        <f aca="false">IF(A2776="2025",INDEX(Customers!$D$2:$D$41,MATCH(C2776,Customers!$A$2:$A$41,0)),INDEX(Customers!$F$2:$F$41,MATCH(C2776,Customers!$A$2:$A$41,0)))</f>
        <v>0.068</v>
      </c>
      <c r="I2776" s="16" t="n">
        <f aca="false">F2776*G2776</f>
        <v>110867.4</v>
      </c>
      <c r="J2776" s="16" t="n">
        <f aca="false">I2776*(1-H2776)</f>
        <v>103328.4168</v>
      </c>
      <c r="K2776" s="16" t="n">
        <f aca="false">J2776*INDEX(Customers!$G$2:$G$41,MATCH(C2776,Customers!$A$2:$A$41,0))</f>
        <v>0</v>
      </c>
      <c r="L2776" s="16" t="n">
        <f aca="false">F2776*INDEX(Customers!$H$2:$H$41,MATCH(C2776,Customers!$A$2:$A$41,0))</f>
        <v>2940</v>
      </c>
      <c r="M2776" s="16" t="n">
        <f aca="false">J2776*INDEX(Customers!$I$2:$I$41,MATCH(C2776,Customers!$A$2:$A$41,0))/365*Assumptions!$B$6</f>
        <v>679.41972690411</v>
      </c>
      <c r="N2776" s="16" t="n">
        <f aca="false">J2776-K2776-L2776-M2776</f>
        <v>99708.9970730959</v>
      </c>
      <c r="O2776" s="16" t="n">
        <f aca="false">F2776*IF(A2776="2025",INDEX(Products!$D$2:$D$13,MATCH(D2776,Products!$A$2:$A$13,0)),INDEX(Products!$F$2:$F$13,MATCH(D2776,Products!$A$2:$A$13,0)))</f>
        <v>63073.08</v>
      </c>
      <c r="P2776" s="16" t="n">
        <f aca="false">N2776-O2776</f>
        <v>36635.9170730959</v>
      </c>
    </row>
    <row r="2777" customFormat="false" ht="15" hidden="false" customHeight="false" outlineLevel="0" collapsed="false">
      <c r="A2777" s="2" t="s">
        <v>119</v>
      </c>
      <c r="B2777" s="2" t="n">
        <v>4</v>
      </c>
      <c r="C2777" s="2" t="s">
        <v>102</v>
      </c>
      <c r="D2777" s="2" t="s">
        <v>39</v>
      </c>
      <c r="E2777" s="2" t="str">
        <f aca="false">INDEX(Products!$B$2:$B$13,MATCH(D2777,Products!$A$2:$A$13,0))</f>
        <v>Hydroprocessing</v>
      </c>
      <c r="F2777" s="15" t="n">
        <v>9</v>
      </c>
      <c r="G2777" s="16" t="n">
        <f aca="false">IF(A2777="2025",INDEX(Products!$C$2:$C$13,MATCH(D2777,Products!$A$2:$A$13,0)),INDEX(Products!$E$2:$E$13,MATCH(D2777,Products!$A$2:$A$13,0)))</f>
        <v>13198.5</v>
      </c>
      <c r="H2777" s="13" t="n">
        <f aca="false">IF(A2777="2025",INDEX(Customers!$D$2:$D$41,MATCH(C2777,Customers!$A$2:$A$41,0)),INDEX(Customers!$F$2:$F$41,MATCH(C2777,Customers!$A$2:$A$41,0)))</f>
        <v>0.068</v>
      </c>
      <c r="I2777" s="16" t="n">
        <f aca="false">F2777*G2777</f>
        <v>118786.5</v>
      </c>
      <c r="J2777" s="16" t="n">
        <f aca="false">I2777*(1-H2777)</f>
        <v>110709.018</v>
      </c>
      <c r="K2777" s="16" t="n">
        <f aca="false">J2777*INDEX(Customers!$G$2:$G$41,MATCH(C2777,Customers!$A$2:$A$41,0))</f>
        <v>0</v>
      </c>
      <c r="L2777" s="16" t="n">
        <f aca="false">F2777*INDEX(Customers!$H$2:$H$41,MATCH(C2777,Customers!$A$2:$A$41,0))</f>
        <v>3150</v>
      </c>
      <c r="M2777" s="16" t="n">
        <f aca="false">J2777*INDEX(Customers!$I$2:$I$41,MATCH(C2777,Customers!$A$2:$A$41,0))/365*Assumptions!$B$6</f>
        <v>727.94970739726</v>
      </c>
      <c r="N2777" s="16" t="n">
        <f aca="false">J2777-K2777-L2777-M2777</f>
        <v>106831.068292603</v>
      </c>
      <c r="O2777" s="16" t="n">
        <f aca="false">F2777*IF(A2777="2025",INDEX(Products!$D$2:$D$13,MATCH(D2777,Products!$A$2:$A$13,0)),INDEX(Products!$F$2:$F$13,MATCH(D2777,Products!$A$2:$A$13,0)))</f>
        <v>67578.3</v>
      </c>
      <c r="P2777" s="16" t="n">
        <f aca="false">N2777-O2777</f>
        <v>39252.7682926027</v>
      </c>
    </row>
    <row r="2778" customFormat="false" ht="15" hidden="false" customHeight="false" outlineLevel="0" collapsed="false">
      <c r="A2778" s="2" t="s">
        <v>119</v>
      </c>
      <c r="B2778" s="2" t="n">
        <v>5</v>
      </c>
      <c r="C2778" s="2" t="s">
        <v>102</v>
      </c>
      <c r="D2778" s="2" t="s">
        <v>39</v>
      </c>
      <c r="E2778" s="2" t="str">
        <f aca="false">INDEX(Products!$B$2:$B$13,MATCH(D2778,Products!$A$2:$A$13,0))</f>
        <v>Hydroprocessing</v>
      </c>
      <c r="F2778" s="15" t="n">
        <v>5.8</v>
      </c>
      <c r="G2778" s="16" t="n">
        <f aca="false">IF(A2778="2025",INDEX(Products!$C$2:$C$13,MATCH(D2778,Products!$A$2:$A$13,0)),INDEX(Products!$E$2:$E$13,MATCH(D2778,Products!$A$2:$A$13,0)))</f>
        <v>13198.5</v>
      </c>
      <c r="H2778" s="13" t="n">
        <f aca="false">IF(A2778="2025",INDEX(Customers!$D$2:$D$41,MATCH(C2778,Customers!$A$2:$A$41,0)),INDEX(Customers!$F$2:$F$41,MATCH(C2778,Customers!$A$2:$A$41,0)))</f>
        <v>0.068</v>
      </c>
      <c r="I2778" s="16" t="n">
        <f aca="false">F2778*G2778</f>
        <v>76551.3</v>
      </c>
      <c r="J2778" s="16" t="n">
        <f aca="false">I2778*(1-H2778)</f>
        <v>71345.8116</v>
      </c>
      <c r="K2778" s="16" t="n">
        <f aca="false">J2778*INDEX(Customers!$G$2:$G$41,MATCH(C2778,Customers!$A$2:$A$41,0))</f>
        <v>0</v>
      </c>
      <c r="L2778" s="16" t="n">
        <f aca="false">F2778*INDEX(Customers!$H$2:$H$41,MATCH(C2778,Customers!$A$2:$A$41,0))</f>
        <v>2030</v>
      </c>
      <c r="M2778" s="16" t="n">
        <f aca="false">J2778*INDEX(Customers!$I$2:$I$41,MATCH(C2778,Customers!$A$2:$A$41,0))/365*Assumptions!$B$6</f>
        <v>469.123144767123</v>
      </c>
      <c r="N2778" s="16" t="n">
        <f aca="false">J2778-K2778-L2778-M2778</f>
        <v>68846.6884552329</v>
      </c>
      <c r="O2778" s="16" t="n">
        <f aca="false">F2778*IF(A2778="2025",INDEX(Products!$D$2:$D$13,MATCH(D2778,Products!$A$2:$A$13,0)),INDEX(Products!$F$2:$F$13,MATCH(D2778,Products!$A$2:$A$13,0)))</f>
        <v>43550.46</v>
      </c>
      <c r="P2778" s="16" t="n">
        <f aca="false">N2778-O2778</f>
        <v>25296.2284552329</v>
      </c>
    </row>
    <row r="2779" customFormat="false" ht="15" hidden="false" customHeight="false" outlineLevel="0" collapsed="false">
      <c r="A2779" s="2" t="s">
        <v>119</v>
      </c>
      <c r="B2779" s="2" t="n">
        <v>6</v>
      </c>
      <c r="C2779" s="2" t="s">
        <v>102</v>
      </c>
      <c r="D2779" s="2" t="s">
        <v>39</v>
      </c>
      <c r="E2779" s="2" t="str">
        <f aca="false">INDEX(Products!$B$2:$B$13,MATCH(D2779,Products!$A$2:$A$13,0))</f>
        <v>Hydroprocessing</v>
      </c>
      <c r="F2779" s="15" t="n">
        <v>7.1</v>
      </c>
      <c r="G2779" s="16" t="n">
        <f aca="false">IF(A2779="2025",INDEX(Products!$C$2:$C$13,MATCH(D2779,Products!$A$2:$A$13,0)),INDEX(Products!$E$2:$E$13,MATCH(D2779,Products!$A$2:$A$13,0)))</f>
        <v>13198.5</v>
      </c>
      <c r="H2779" s="13" t="n">
        <f aca="false">IF(A2779="2025",INDEX(Customers!$D$2:$D$41,MATCH(C2779,Customers!$A$2:$A$41,0)),INDEX(Customers!$F$2:$F$41,MATCH(C2779,Customers!$A$2:$A$41,0)))</f>
        <v>0.068</v>
      </c>
      <c r="I2779" s="16" t="n">
        <f aca="false">F2779*G2779</f>
        <v>93709.35</v>
      </c>
      <c r="J2779" s="16" t="n">
        <f aca="false">I2779*(1-H2779)</f>
        <v>87337.1142</v>
      </c>
      <c r="K2779" s="16" t="n">
        <f aca="false">J2779*INDEX(Customers!$G$2:$G$41,MATCH(C2779,Customers!$A$2:$A$41,0))</f>
        <v>0</v>
      </c>
      <c r="L2779" s="16" t="n">
        <f aca="false">F2779*INDEX(Customers!$H$2:$H$41,MATCH(C2779,Customers!$A$2:$A$41,0))</f>
        <v>2485</v>
      </c>
      <c r="M2779" s="16" t="n">
        <f aca="false">J2779*INDEX(Customers!$I$2:$I$41,MATCH(C2779,Customers!$A$2:$A$41,0))/365*Assumptions!$B$6</f>
        <v>574.271435835616</v>
      </c>
      <c r="N2779" s="16" t="n">
        <f aca="false">J2779-K2779-L2779-M2779</f>
        <v>84277.8427641644</v>
      </c>
      <c r="O2779" s="16" t="n">
        <f aca="false">F2779*IF(A2779="2025",INDEX(Products!$D$2:$D$13,MATCH(D2779,Products!$A$2:$A$13,0)),INDEX(Products!$F$2:$F$13,MATCH(D2779,Products!$A$2:$A$13,0)))</f>
        <v>53311.77</v>
      </c>
      <c r="P2779" s="16" t="n">
        <f aca="false">N2779-O2779</f>
        <v>30966.0727641644</v>
      </c>
    </row>
    <row r="2780" customFormat="false" ht="15" hidden="false" customHeight="false" outlineLevel="0" collapsed="false">
      <c r="A2780" s="2" t="s">
        <v>119</v>
      </c>
      <c r="B2780" s="2" t="n">
        <v>7</v>
      </c>
      <c r="C2780" s="2" t="s">
        <v>102</v>
      </c>
      <c r="D2780" s="2" t="s">
        <v>39</v>
      </c>
      <c r="E2780" s="2" t="str">
        <f aca="false">INDEX(Products!$B$2:$B$13,MATCH(D2780,Products!$A$2:$A$13,0))</f>
        <v>Hydroprocessing</v>
      </c>
      <c r="F2780" s="15" t="n">
        <v>9.3</v>
      </c>
      <c r="G2780" s="16" t="n">
        <f aca="false">IF(A2780="2025",INDEX(Products!$C$2:$C$13,MATCH(D2780,Products!$A$2:$A$13,0)),INDEX(Products!$E$2:$E$13,MATCH(D2780,Products!$A$2:$A$13,0)))</f>
        <v>13198.5</v>
      </c>
      <c r="H2780" s="13" t="n">
        <f aca="false">IF(A2780="2025",INDEX(Customers!$D$2:$D$41,MATCH(C2780,Customers!$A$2:$A$41,0)),INDEX(Customers!$F$2:$F$41,MATCH(C2780,Customers!$A$2:$A$41,0)))</f>
        <v>0.068</v>
      </c>
      <c r="I2780" s="16" t="n">
        <f aca="false">F2780*G2780</f>
        <v>122746.05</v>
      </c>
      <c r="J2780" s="16" t="n">
        <f aca="false">I2780*(1-H2780)</f>
        <v>114399.3186</v>
      </c>
      <c r="K2780" s="16" t="n">
        <f aca="false">J2780*INDEX(Customers!$G$2:$G$41,MATCH(C2780,Customers!$A$2:$A$41,0))</f>
        <v>0</v>
      </c>
      <c r="L2780" s="16" t="n">
        <f aca="false">F2780*INDEX(Customers!$H$2:$H$41,MATCH(C2780,Customers!$A$2:$A$41,0))</f>
        <v>3255</v>
      </c>
      <c r="M2780" s="16" t="n">
        <f aca="false">J2780*INDEX(Customers!$I$2:$I$41,MATCH(C2780,Customers!$A$2:$A$41,0))/365*Assumptions!$B$6</f>
        <v>752.214697643836</v>
      </c>
      <c r="N2780" s="16" t="n">
        <f aca="false">J2780-K2780-L2780-M2780</f>
        <v>110392.103902356</v>
      </c>
      <c r="O2780" s="16" t="n">
        <f aca="false">F2780*IF(A2780="2025",INDEX(Products!$D$2:$D$13,MATCH(D2780,Products!$A$2:$A$13,0)),INDEX(Products!$F$2:$F$13,MATCH(D2780,Products!$A$2:$A$13,0)))</f>
        <v>69830.91</v>
      </c>
      <c r="P2780" s="16" t="n">
        <f aca="false">N2780-O2780</f>
        <v>40561.1939023562</v>
      </c>
    </row>
    <row r="2781" customFormat="false" ht="15" hidden="false" customHeight="false" outlineLevel="0" collapsed="false">
      <c r="A2781" s="2" t="s">
        <v>119</v>
      </c>
      <c r="B2781" s="2" t="n">
        <v>8</v>
      </c>
      <c r="C2781" s="2" t="s">
        <v>102</v>
      </c>
      <c r="D2781" s="2" t="s">
        <v>39</v>
      </c>
      <c r="E2781" s="2" t="str">
        <f aca="false">INDEX(Products!$B$2:$B$13,MATCH(D2781,Products!$A$2:$A$13,0))</f>
        <v>Hydroprocessing</v>
      </c>
      <c r="F2781" s="15" t="n">
        <v>6.9</v>
      </c>
      <c r="G2781" s="16" t="n">
        <f aca="false">IF(A2781="2025",INDEX(Products!$C$2:$C$13,MATCH(D2781,Products!$A$2:$A$13,0)),INDEX(Products!$E$2:$E$13,MATCH(D2781,Products!$A$2:$A$13,0)))</f>
        <v>13198.5</v>
      </c>
      <c r="H2781" s="13" t="n">
        <f aca="false">IF(A2781="2025",INDEX(Customers!$D$2:$D$41,MATCH(C2781,Customers!$A$2:$A$41,0)),INDEX(Customers!$F$2:$F$41,MATCH(C2781,Customers!$A$2:$A$41,0)))</f>
        <v>0.068</v>
      </c>
      <c r="I2781" s="16" t="n">
        <f aca="false">F2781*G2781</f>
        <v>91069.65</v>
      </c>
      <c r="J2781" s="16" t="n">
        <f aca="false">I2781*(1-H2781)</f>
        <v>84876.9138</v>
      </c>
      <c r="K2781" s="16" t="n">
        <f aca="false">J2781*INDEX(Customers!$G$2:$G$41,MATCH(C2781,Customers!$A$2:$A$41,0))</f>
        <v>0</v>
      </c>
      <c r="L2781" s="16" t="n">
        <f aca="false">F2781*INDEX(Customers!$H$2:$H$41,MATCH(C2781,Customers!$A$2:$A$41,0))</f>
        <v>2415</v>
      </c>
      <c r="M2781" s="16" t="n">
        <f aca="false">J2781*INDEX(Customers!$I$2:$I$41,MATCH(C2781,Customers!$A$2:$A$41,0))/365*Assumptions!$B$6</f>
        <v>558.094775671233</v>
      </c>
      <c r="N2781" s="16" t="n">
        <f aca="false">J2781-K2781-L2781-M2781</f>
        <v>81903.8190243288</v>
      </c>
      <c r="O2781" s="16" t="n">
        <f aca="false">F2781*IF(A2781="2025",INDEX(Products!$D$2:$D$13,MATCH(D2781,Products!$A$2:$A$13,0)),INDEX(Products!$F$2:$F$13,MATCH(D2781,Products!$A$2:$A$13,0)))</f>
        <v>51810.03</v>
      </c>
      <c r="P2781" s="16" t="n">
        <f aca="false">N2781-O2781</f>
        <v>30093.7890243288</v>
      </c>
    </row>
    <row r="2782" customFormat="false" ht="15" hidden="false" customHeight="false" outlineLevel="0" collapsed="false">
      <c r="A2782" s="2" t="s">
        <v>119</v>
      </c>
      <c r="B2782" s="2" t="n">
        <v>9</v>
      </c>
      <c r="C2782" s="2" t="s">
        <v>102</v>
      </c>
      <c r="D2782" s="2" t="s">
        <v>39</v>
      </c>
      <c r="E2782" s="2" t="str">
        <f aca="false">INDEX(Products!$B$2:$B$13,MATCH(D2782,Products!$A$2:$A$13,0))</f>
        <v>Hydroprocessing</v>
      </c>
      <c r="F2782" s="15" t="n">
        <v>9.1</v>
      </c>
      <c r="G2782" s="16" t="n">
        <f aca="false">IF(A2782="2025",INDEX(Products!$C$2:$C$13,MATCH(D2782,Products!$A$2:$A$13,0)),INDEX(Products!$E$2:$E$13,MATCH(D2782,Products!$A$2:$A$13,0)))</f>
        <v>13198.5</v>
      </c>
      <c r="H2782" s="13" t="n">
        <f aca="false">IF(A2782="2025",INDEX(Customers!$D$2:$D$41,MATCH(C2782,Customers!$A$2:$A$41,0)),INDEX(Customers!$F$2:$F$41,MATCH(C2782,Customers!$A$2:$A$41,0)))</f>
        <v>0.068</v>
      </c>
      <c r="I2782" s="16" t="n">
        <f aca="false">F2782*G2782</f>
        <v>120106.35</v>
      </c>
      <c r="J2782" s="16" t="n">
        <f aca="false">I2782*(1-H2782)</f>
        <v>111939.1182</v>
      </c>
      <c r="K2782" s="16" t="n">
        <f aca="false">J2782*INDEX(Customers!$G$2:$G$41,MATCH(C2782,Customers!$A$2:$A$41,0))</f>
        <v>0</v>
      </c>
      <c r="L2782" s="16" t="n">
        <f aca="false">F2782*INDEX(Customers!$H$2:$H$41,MATCH(C2782,Customers!$A$2:$A$41,0))</f>
        <v>3185</v>
      </c>
      <c r="M2782" s="16" t="n">
        <f aca="false">J2782*INDEX(Customers!$I$2:$I$41,MATCH(C2782,Customers!$A$2:$A$41,0))/365*Assumptions!$B$6</f>
        <v>736.038037479452</v>
      </c>
      <c r="N2782" s="16" t="n">
        <f aca="false">J2782-K2782-L2782-M2782</f>
        <v>108018.080162521</v>
      </c>
      <c r="O2782" s="16" t="n">
        <f aca="false">F2782*IF(A2782="2025",INDEX(Products!$D$2:$D$13,MATCH(D2782,Products!$A$2:$A$13,0)),INDEX(Products!$F$2:$F$13,MATCH(D2782,Products!$A$2:$A$13,0)))</f>
        <v>68329.17</v>
      </c>
      <c r="P2782" s="16" t="n">
        <f aca="false">N2782-O2782</f>
        <v>39688.9101625205</v>
      </c>
    </row>
    <row r="2783" customFormat="false" ht="15" hidden="false" customHeight="false" outlineLevel="0" collapsed="false">
      <c r="A2783" s="2" t="s">
        <v>119</v>
      </c>
      <c r="B2783" s="2" t="n">
        <v>10</v>
      </c>
      <c r="C2783" s="2" t="s">
        <v>102</v>
      </c>
      <c r="D2783" s="2" t="s">
        <v>39</v>
      </c>
      <c r="E2783" s="2" t="str">
        <f aca="false">INDEX(Products!$B$2:$B$13,MATCH(D2783,Products!$A$2:$A$13,0))</f>
        <v>Hydroprocessing</v>
      </c>
      <c r="F2783" s="15" t="n">
        <v>7.6</v>
      </c>
      <c r="G2783" s="16" t="n">
        <f aca="false">IF(A2783="2025",INDEX(Products!$C$2:$C$13,MATCH(D2783,Products!$A$2:$A$13,0)),INDEX(Products!$E$2:$E$13,MATCH(D2783,Products!$A$2:$A$13,0)))</f>
        <v>13198.5</v>
      </c>
      <c r="H2783" s="13" t="n">
        <f aca="false">IF(A2783="2025",INDEX(Customers!$D$2:$D$41,MATCH(C2783,Customers!$A$2:$A$41,0)),INDEX(Customers!$F$2:$F$41,MATCH(C2783,Customers!$A$2:$A$41,0)))</f>
        <v>0.068</v>
      </c>
      <c r="I2783" s="16" t="n">
        <f aca="false">F2783*G2783</f>
        <v>100308.6</v>
      </c>
      <c r="J2783" s="16" t="n">
        <f aca="false">I2783*(1-H2783)</f>
        <v>93487.6152</v>
      </c>
      <c r="K2783" s="16" t="n">
        <f aca="false">J2783*INDEX(Customers!$G$2:$G$41,MATCH(C2783,Customers!$A$2:$A$41,0))</f>
        <v>0</v>
      </c>
      <c r="L2783" s="16" t="n">
        <f aca="false">F2783*INDEX(Customers!$H$2:$H$41,MATCH(C2783,Customers!$A$2:$A$41,0))</f>
        <v>2660</v>
      </c>
      <c r="M2783" s="16" t="n">
        <f aca="false">J2783*INDEX(Customers!$I$2:$I$41,MATCH(C2783,Customers!$A$2:$A$41,0))/365*Assumptions!$B$6</f>
        <v>614.713086246575</v>
      </c>
      <c r="N2783" s="16" t="n">
        <f aca="false">J2783-K2783-L2783-M2783</f>
        <v>90212.9021137534</v>
      </c>
      <c r="O2783" s="16" t="n">
        <f aca="false">F2783*IF(A2783="2025",INDEX(Products!$D$2:$D$13,MATCH(D2783,Products!$A$2:$A$13,0)),INDEX(Products!$F$2:$F$13,MATCH(D2783,Products!$A$2:$A$13,0)))</f>
        <v>57066.12</v>
      </c>
      <c r="P2783" s="16" t="n">
        <f aca="false">N2783-O2783</f>
        <v>33146.7821137534</v>
      </c>
    </row>
    <row r="2784" customFormat="false" ht="15" hidden="false" customHeight="false" outlineLevel="0" collapsed="false">
      <c r="A2784" s="2" t="s">
        <v>119</v>
      </c>
      <c r="B2784" s="2" t="n">
        <v>11</v>
      </c>
      <c r="C2784" s="2" t="s">
        <v>102</v>
      </c>
      <c r="D2784" s="2" t="s">
        <v>39</v>
      </c>
      <c r="E2784" s="2" t="str">
        <f aca="false">INDEX(Products!$B$2:$B$13,MATCH(D2784,Products!$A$2:$A$13,0))</f>
        <v>Hydroprocessing</v>
      </c>
      <c r="F2784" s="15" t="n">
        <v>8.9</v>
      </c>
      <c r="G2784" s="16" t="n">
        <f aca="false">IF(A2784="2025",INDEX(Products!$C$2:$C$13,MATCH(D2784,Products!$A$2:$A$13,0)),INDEX(Products!$E$2:$E$13,MATCH(D2784,Products!$A$2:$A$13,0)))</f>
        <v>13198.5</v>
      </c>
      <c r="H2784" s="13" t="n">
        <f aca="false">IF(A2784="2025",INDEX(Customers!$D$2:$D$41,MATCH(C2784,Customers!$A$2:$A$41,0)),INDEX(Customers!$F$2:$F$41,MATCH(C2784,Customers!$A$2:$A$41,0)))</f>
        <v>0.068</v>
      </c>
      <c r="I2784" s="16" t="n">
        <f aca="false">F2784*G2784</f>
        <v>117466.65</v>
      </c>
      <c r="J2784" s="16" t="n">
        <f aca="false">I2784*(1-H2784)</f>
        <v>109478.9178</v>
      </c>
      <c r="K2784" s="16" t="n">
        <f aca="false">J2784*INDEX(Customers!$G$2:$G$41,MATCH(C2784,Customers!$A$2:$A$41,0))</f>
        <v>0</v>
      </c>
      <c r="L2784" s="16" t="n">
        <f aca="false">F2784*INDEX(Customers!$H$2:$H$41,MATCH(C2784,Customers!$A$2:$A$41,0))</f>
        <v>3115</v>
      </c>
      <c r="M2784" s="16" t="n">
        <f aca="false">J2784*INDEX(Customers!$I$2:$I$41,MATCH(C2784,Customers!$A$2:$A$41,0))/365*Assumptions!$B$6</f>
        <v>719.861377315069</v>
      </c>
      <c r="N2784" s="16" t="n">
        <f aca="false">J2784-K2784-L2784-M2784</f>
        <v>105644.056422685</v>
      </c>
      <c r="O2784" s="16" t="n">
        <f aca="false">F2784*IF(A2784="2025",INDEX(Products!$D$2:$D$13,MATCH(D2784,Products!$A$2:$A$13,0)),INDEX(Products!$F$2:$F$13,MATCH(D2784,Products!$A$2:$A$13,0)))</f>
        <v>66827.43</v>
      </c>
      <c r="P2784" s="16" t="n">
        <f aca="false">N2784-O2784</f>
        <v>38816.6264226849</v>
      </c>
    </row>
    <row r="2785" customFormat="false" ht="15" hidden="false" customHeight="false" outlineLevel="0" collapsed="false">
      <c r="A2785" s="2" t="s">
        <v>119</v>
      </c>
      <c r="B2785" s="2" t="n">
        <v>12</v>
      </c>
      <c r="C2785" s="2" t="s">
        <v>102</v>
      </c>
      <c r="D2785" s="2" t="s">
        <v>39</v>
      </c>
      <c r="E2785" s="2" t="str">
        <f aca="false">INDEX(Products!$B$2:$B$13,MATCH(D2785,Products!$A$2:$A$13,0))</f>
        <v>Hydroprocessing</v>
      </c>
      <c r="F2785" s="15" t="n">
        <v>10.1</v>
      </c>
      <c r="G2785" s="16" t="n">
        <f aca="false">IF(A2785="2025",INDEX(Products!$C$2:$C$13,MATCH(D2785,Products!$A$2:$A$13,0)),INDEX(Products!$E$2:$E$13,MATCH(D2785,Products!$A$2:$A$13,0)))</f>
        <v>13198.5</v>
      </c>
      <c r="H2785" s="13" t="n">
        <f aca="false">IF(A2785="2025",INDEX(Customers!$D$2:$D$41,MATCH(C2785,Customers!$A$2:$A$41,0)),INDEX(Customers!$F$2:$F$41,MATCH(C2785,Customers!$A$2:$A$41,0)))</f>
        <v>0.068</v>
      </c>
      <c r="I2785" s="16" t="n">
        <f aca="false">F2785*G2785</f>
        <v>133304.85</v>
      </c>
      <c r="J2785" s="16" t="n">
        <f aca="false">I2785*(1-H2785)</f>
        <v>124240.1202</v>
      </c>
      <c r="K2785" s="16" t="n">
        <f aca="false">J2785*INDEX(Customers!$G$2:$G$41,MATCH(C2785,Customers!$A$2:$A$41,0))</f>
        <v>0</v>
      </c>
      <c r="L2785" s="16" t="n">
        <f aca="false">F2785*INDEX(Customers!$H$2:$H$41,MATCH(C2785,Customers!$A$2:$A$41,0))</f>
        <v>3535</v>
      </c>
      <c r="M2785" s="16" t="n">
        <f aca="false">J2785*INDEX(Customers!$I$2:$I$41,MATCH(C2785,Customers!$A$2:$A$41,0))/365*Assumptions!$B$6</f>
        <v>816.92133830137</v>
      </c>
      <c r="N2785" s="16" t="n">
        <f aca="false">J2785-K2785-L2785-M2785</f>
        <v>119888.198861699</v>
      </c>
      <c r="O2785" s="16" t="n">
        <f aca="false">F2785*IF(A2785="2025",INDEX(Products!$D$2:$D$13,MATCH(D2785,Products!$A$2:$A$13,0)),INDEX(Products!$F$2:$F$13,MATCH(D2785,Products!$A$2:$A$13,0)))</f>
        <v>75837.87</v>
      </c>
      <c r="P2785" s="16" t="n">
        <f aca="false">N2785-O2785</f>
        <v>44050.3288616986</v>
      </c>
    </row>
    <row r="2786" customFormat="false" ht="15" hidden="false" customHeight="false" outlineLevel="0" collapsed="false">
      <c r="A2786" s="2" t="s">
        <v>118</v>
      </c>
      <c r="B2786" s="2" t="n">
        <v>1</v>
      </c>
      <c r="C2786" s="2" t="s">
        <v>103</v>
      </c>
      <c r="D2786" s="2" t="s">
        <v>37</v>
      </c>
      <c r="E2786" s="2" t="str">
        <f aca="false">INDEX(Products!$B$2:$B$13,MATCH(D2786,Products!$A$2:$A$13,0))</f>
        <v>FCC</v>
      </c>
      <c r="F2786" s="15" t="n">
        <v>20.9</v>
      </c>
      <c r="G2786" s="16" t="n">
        <f aca="false">IF(A2786="2025",INDEX(Products!$C$2:$C$13,MATCH(D2786,Products!$A$2:$A$13,0)),INDEX(Products!$E$2:$E$13,MATCH(D2786,Products!$A$2:$A$13,0)))</f>
        <v>3530</v>
      </c>
      <c r="H2786" s="13" t="n">
        <f aca="false">IF(A2786="2025",INDEX(Customers!$D$2:$D$41,MATCH(C2786,Customers!$A$2:$A$41,0)),INDEX(Customers!$F$2:$F$41,MATCH(C2786,Customers!$A$2:$A$41,0)))</f>
        <v>0.035</v>
      </c>
      <c r="I2786" s="16" t="n">
        <f aca="false">F2786*G2786</f>
        <v>73777</v>
      </c>
      <c r="J2786" s="16" t="n">
        <f aca="false">I2786*(1-H2786)</f>
        <v>71194.805</v>
      </c>
      <c r="K2786" s="16" t="n">
        <f aca="false">J2786*INDEX(Customers!$G$2:$G$41,MATCH(C2786,Customers!$A$2:$A$41,0))</f>
        <v>711.94805</v>
      </c>
      <c r="L2786" s="16" t="n">
        <f aca="false">F2786*INDEX(Customers!$H$2:$H$41,MATCH(C2786,Customers!$A$2:$A$41,0))</f>
        <v>3762</v>
      </c>
      <c r="M2786" s="16" t="n">
        <f aca="false">J2786*INDEX(Customers!$I$2:$I$41,MATCH(C2786,Customers!$A$2:$A$41,0))/365*Assumptions!$B$6</f>
        <v>936.260449315068</v>
      </c>
      <c r="N2786" s="16" t="n">
        <f aca="false">J2786-K2786-L2786-M2786</f>
        <v>65784.5965006849</v>
      </c>
      <c r="O2786" s="16" t="n">
        <f aca="false">F2786*IF(A2786="2025",INDEX(Products!$D$2:$D$13,MATCH(D2786,Products!$A$2:$A$13,0)),INDEX(Products!$F$2:$F$13,MATCH(D2786,Products!$A$2:$A$13,0)))</f>
        <v>50369</v>
      </c>
      <c r="P2786" s="16" t="n">
        <f aca="false">N2786-O2786</f>
        <v>15415.5965006849</v>
      </c>
    </row>
    <row r="2787" customFormat="false" ht="15" hidden="false" customHeight="false" outlineLevel="0" collapsed="false">
      <c r="A2787" s="2" t="s">
        <v>118</v>
      </c>
      <c r="B2787" s="2" t="n">
        <v>2</v>
      </c>
      <c r="C2787" s="2" t="s">
        <v>103</v>
      </c>
      <c r="D2787" s="2" t="s">
        <v>37</v>
      </c>
      <c r="E2787" s="2" t="str">
        <f aca="false">INDEX(Products!$B$2:$B$13,MATCH(D2787,Products!$A$2:$A$13,0))</f>
        <v>FCC</v>
      </c>
      <c r="F2787" s="15" t="n">
        <v>17</v>
      </c>
      <c r="G2787" s="16" t="n">
        <f aca="false">IF(A2787="2025",INDEX(Products!$C$2:$C$13,MATCH(D2787,Products!$A$2:$A$13,0)),INDEX(Products!$E$2:$E$13,MATCH(D2787,Products!$A$2:$A$13,0)))</f>
        <v>3530</v>
      </c>
      <c r="H2787" s="13" t="n">
        <f aca="false">IF(A2787="2025",INDEX(Customers!$D$2:$D$41,MATCH(C2787,Customers!$A$2:$A$41,0)),INDEX(Customers!$F$2:$F$41,MATCH(C2787,Customers!$A$2:$A$41,0)))</f>
        <v>0.035</v>
      </c>
      <c r="I2787" s="16" t="n">
        <f aca="false">F2787*G2787</f>
        <v>60010</v>
      </c>
      <c r="J2787" s="16" t="n">
        <f aca="false">I2787*(1-H2787)</f>
        <v>57909.65</v>
      </c>
      <c r="K2787" s="16" t="n">
        <f aca="false">J2787*INDEX(Customers!$G$2:$G$41,MATCH(C2787,Customers!$A$2:$A$41,0))</f>
        <v>579.0965</v>
      </c>
      <c r="L2787" s="16" t="n">
        <f aca="false">F2787*INDEX(Customers!$H$2:$H$41,MATCH(C2787,Customers!$A$2:$A$41,0))</f>
        <v>3060</v>
      </c>
      <c r="M2787" s="16" t="n">
        <f aca="false">J2787*INDEX(Customers!$I$2:$I$41,MATCH(C2787,Customers!$A$2:$A$41,0))/365*Assumptions!$B$6</f>
        <v>761.551561643836</v>
      </c>
      <c r="N2787" s="16" t="n">
        <f aca="false">J2787-K2787-L2787-M2787</f>
        <v>53509.0019383562</v>
      </c>
      <c r="O2787" s="16" t="n">
        <f aca="false">F2787*IF(A2787="2025",INDEX(Products!$D$2:$D$13,MATCH(D2787,Products!$A$2:$A$13,0)),INDEX(Products!$F$2:$F$13,MATCH(D2787,Products!$A$2:$A$13,0)))</f>
        <v>40970</v>
      </c>
      <c r="P2787" s="16" t="n">
        <f aca="false">N2787-O2787</f>
        <v>12539.0019383562</v>
      </c>
    </row>
    <row r="2788" customFormat="false" ht="15" hidden="false" customHeight="false" outlineLevel="0" collapsed="false">
      <c r="A2788" s="2" t="s">
        <v>118</v>
      </c>
      <c r="B2788" s="2" t="n">
        <v>3</v>
      </c>
      <c r="C2788" s="2" t="s">
        <v>103</v>
      </c>
      <c r="D2788" s="2" t="s">
        <v>37</v>
      </c>
      <c r="E2788" s="2" t="str">
        <f aca="false">INDEX(Products!$B$2:$B$13,MATCH(D2788,Products!$A$2:$A$13,0))</f>
        <v>FCC</v>
      </c>
      <c r="F2788" s="15" t="n">
        <v>12.3</v>
      </c>
      <c r="G2788" s="16" t="n">
        <f aca="false">IF(A2788="2025",INDEX(Products!$C$2:$C$13,MATCH(D2788,Products!$A$2:$A$13,0)),INDEX(Products!$E$2:$E$13,MATCH(D2788,Products!$A$2:$A$13,0)))</f>
        <v>3530</v>
      </c>
      <c r="H2788" s="13" t="n">
        <f aca="false">IF(A2788="2025",INDEX(Customers!$D$2:$D$41,MATCH(C2788,Customers!$A$2:$A$41,0)),INDEX(Customers!$F$2:$F$41,MATCH(C2788,Customers!$A$2:$A$41,0)))</f>
        <v>0.035</v>
      </c>
      <c r="I2788" s="16" t="n">
        <f aca="false">F2788*G2788</f>
        <v>43419</v>
      </c>
      <c r="J2788" s="16" t="n">
        <f aca="false">I2788*(1-H2788)</f>
        <v>41899.335</v>
      </c>
      <c r="K2788" s="16" t="n">
        <f aca="false">J2788*INDEX(Customers!$G$2:$G$41,MATCH(C2788,Customers!$A$2:$A$41,0))</f>
        <v>418.99335</v>
      </c>
      <c r="L2788" s="16" t="n">
        <f aca="false">F2788*INDEX(Customers!$H$2:$H$41,MATCH(C2788,Customers!$A$2:$A$41,0))</f>
        <v>2214</v>
      </c>
      <c r="M2788" s="16" t="n">
        <f aca="false">J2788*INDEX(Customers!$I$2:$I$41,MATCH(C2788,Customers!$A$2:$A$41,0))/365*Assumptions!$B$6</f>
        <v>551.004953424658</v>
      </c>
      <c r="N2788" s="16" t="n">
        <f aca="false">J2788-K2788-L2788-M2788</f>
        <v>38715.3366965753</v>
      </c>
      <c r="O2788" s="16" t="n">
        <f aca="false">F2788*IF(A2788="2025",INDEX(Products!$D$2:$D$13,MATCH(D2788,Products!$A$2:$A$13,0)),INDEX(Products!$F$2:$F$13,MATCH(D2788,Products!$A$2:$A$13,0)))</f>
        <v>29643</v>
      </c>
      <c r="P2788" s="16" t="n">
        <f aca="false">N2788-O2788</f>
        <v>9072.33669657535</v>
      </c>
    </row>
    <row r="2789" customFormat="false" ht="15" hidden="false" customHeight="false" outlineLevel="0" collapsed="false">
      <c r="A2789" s="2" t="s">
        <v>118</v>
      </c>
      <c r="B2789" s="2" t="n">
        <v>4</v>
      </c>
      <c r="C2789" s="2" t="s">
        <v>103</v>
      </c>
      <c r="D2789" s="2" t="s">
        <v>37</v>
      </c>
      <c r="E2789" s="2" t="str">
        <f aca="false">INDEX(Products!$B$2:$B$13,MATCH(D2789,Products!$A$2:$A$13,0))</f>
        <v>FCC</v>
      </c>
      <c r="F2789" s="15" t="n">
        <v>20</v>
      </c>
      <c r="G2789" s="16" t="n">
        <f aca="false">IF(A2789="2025",INDEX(Products!$C$2:$C$13,MATCH(D2789,Products!$A$2:$A$13,0)),INDEX(Products!$E$2:$E$13,MATCH(D2789,Products!$A$2:$A$13,0)))</f>
        <v>3530</v>
      </c>
      <c r="H2789" s="13" t="n">
        <f aca="false">IF(A2789="2025",INDEX(Customers!$D$2:$D$41,MATCH(C2789,Customers!$A$2:$A$41,0)),INDEX(Customers!$F$2:$F$41,MATCH(C2789,Customers!$A$2:$A$41,0)))</f>
        <v>0.035</v>
      </c>
      <c r="I2789" s="16" t="n">
        <f aca="false">F2789*G2789</f>
        <v>70600</v>
      </c>
      <c r="J2789" s="16" t="n">
        <f aca="false">I2789*(1-H2789)</f>
        <v>68129</v>
      </c>
      <c r="K2789" s="16" t="n">
        <f aca="false">J2789*INDEX(Customers!$G$2:$G$41,MATCH(C2789,Customers!$A$2:$A$41,0))</f>
        <v>681.29</v>
      </c>
      <c r="L2789" s="16" t="n">
        <f aca="false">F2789*INDEX(Customers!$H$2:$H$41,MATCH(C2789,Customers!$A$2:$A$41,0))</f>
        <v>3600</v>
      </c>
      <c r="M2789" s="16" t="n">
        <f aca="false">J2789*INDEX(Customers!$I$2:$I$41,MATCH(C2789,Customers!$A$2:$A$41,0))/365*Assumptions!$B$6</f>
        <v>895.94301369863</v>
      </c>
      <c r="N2789" s="16" t="n">
        <f aca="false">J2789-K2789-L2789-M2789</f>
        <v>62951.7669863014</v>
      </c>
      <c r="O2789" s="16" t="n">
        <f aca="false">F2789*IF(A2789="2025",INDEX(Products!$D$2:$D$13,MATCH(D2789,Products!$A$2:$A$13,0)),INDEX(Products!$F$2:$F$13,MATCH(D2789,Products!$A$2:$A$13,0)))</f>
        <v>48200</v>
      </c>
      <c r="P2789" s="16" t="n">
        <f aca="false">N2789-O2789</f>
        <v>14751.7669863014</v>
      </c>
    </row>
    <row r="2790" customFormat="false" ht="15" hidden="false" customHeight="false" outlineLevel="0" collapsed="false">
      <c r="A2790" s="2" t="s">
        <v>118</v>
      </c>
      <c r="B2790" s="2" t="n">
        <v>5</v>
      </c>
      <c r="C2790" s="2" t="s">
        <v>103</v>
      </c>
      <c r="D2790" s="2" t="s">
        <v>37</v>
      </c>
      <c r="E2790" s="2" t="str">
        <f aca="false">INDEX(Products!$B$2:$B$13,MATCH(D2790,Products!$A$2:$A$13,0))</f>
        <v>FCC</v>
      </c>
      <c r="F2790" s="15" t="n">
        <v>17.8</v>
      </c>
      <c r="G2790" s="16" t="n">
        <f aca="false">IF(A2790="2025",INDEX(Products!$C$2:$C$13,MATCH(D2790,Products!$A$2:$A$13,0)),INDEX(Products!$E$2:$E$13,MATCH(D2790,Products!$A$2:$A$13,0)))</f>
        <v>3530</v>
      </c>
      <c r="H2790" s="13" t="n">
        <f aca="false">IF(A2790="2025",INDEX(Customers!$D$2:$D$41,MATCH(C2790,Customers!$A$2:$A$41,0)),INDEX(Customers!$F$2:$F$41,MATCH(C2790,Customers!$A$2:$A$41,0)))</f>
        <v>0.035</v>
      </c>
      <c r="I2790" s="16" t="n">
        <f aca="false">F2790*G2790</f>
        <v>62834</v>
      </c>
      <c r="J2790" s="16" t="n">
        <f aca="false">I2790*(1-H2790)</f>
        <v>60634.81</v>
      </c>
      <c r="K2790" s="16" t="n">
        <f aca="false">J2790*INDEX(Customers!$G$2:$G$41,MATCH(C2790,Customers!$A$2:$A$41,0))</f>
        <v>606.3481</v>
      </c>
      <c r="L2790" s="16" t="n">
        <f aca="false">F2790*INDEX(Customers!$H$2:$H$41,MATCH(C2790,Customers!$A$2:$A$41,0))</f>
        <v>3204</v>
      </c>
      <c r="M2790" s="16" t="n">
        <f aca="false">J2790*INDEX(Customers!$I$2:$I$41,MATCH(C2790,Customers!$A$2:$A$41,0))/365*Assumptions!$B$6</f>
        <v>797.389282191781</v>
      </c>
      <c r="N2790" s="16" t="n">
        <f aca="false">J2790-K2790-L2790-M2790</f>
        <v>56027.0726178082</v>
      </c>
      <c r="O2790" s="16" t="n">
        <f aca="false">F2790*IF(A2790="2025",INDEX(Products!$D$2:$D$13,MATCH(D2790,Products!$A$2:$A$13,0)),INDEX(Products!$F$2:$F$13,MATCH(D2790,Products!$A$2:$A$13,0)))</f>
        <v>42898</v>
      </c>
      <c r="P2790" s="16" t="n">
        <f aca="false">N2790-O2790</f>
        <v>13129.0726178082</v>
      </c>
    </row>
    <row r="2791" customFormat="false" ht="15" hidden="false" customHeight="false" outlineLevel="0" collapsed="false">
      <c r="A2791" s="2" t="s">
        <v>118</v>
      </c>
      <c r="B2791" s="2" t="n">
        <v>6</v>
      </c>
      <c r="C2791" s="2" t="s">
        <v>103</v>
      </c>
      <c r="D2791" s="2" t="s">
        <v>37</v>
      </c>
      <c r="E2791" s="2" t="str">
        <f aca="false">INDEX(Products!$B$2:$B$13,MATCH(D2791,Products!$A$2:$A$13,0))</f>
        <v>FCC</v>
      </c>
      <c r="F2791" s="15" t="n">
        <v>15</v>
      </c>
      <c r="G2791" s="16" t="n">
        <f aca="false">IF(A2791="2025",INDEX(Products!$C$2:$C$13,MATCH(D2791,Products!$A$2:$A$13,0)),INDEX(Products!$E$2:$E$13,MATCH(D2791,Products!$A$2:$A$13,0)))</f>
        <v>3530</v>
      </c>
      <c r="H2791" s="13" t="n">
        <f aca="false">IF(A2791="2025",INDEX(Customers!$D$2:$D$41,MATCH(C2791,Customers!$A$2:$A$41,0)),INDEX(Customers!$F$2:$F$41,MATCH(C2791,Customers!$A$2:$A$41,0)))</f>
        <v>0.035</v>
      </c>
      <c r="I2791" s="16" t="n">
        <f aca="false">F2791*G2791</f>
        <v>52950</v>
      </c>
      <c r="J2791" s="16" t="n">
        <f aca="false">I2791*(1-H2791)</f>
        <v>51096.75</v>
      </c>
      <c r="K2791" s="16" t="n">
        <f aca="false">J2791*INDEX(Customers!$G$2:$G$41,MATCH(C2791,Customers!$A$2:$A$41,0))</f>
        <v>510.9675</v>
      </c>
      <c r="L2791" s="16" t="n">
        <f aca="false">F2791*INDEX(Customers!$H$2:$H$41,MATCH(C2791,Customers!$A$2:$A$41,0))</f>
        <v>2700</v>
      </c>
      <c r="M2791" s="16" t="n">
        <f aca="false">J2791*INDEX(Customers!$I$2:$I$41,MATCH(C2791,Customers!$A$2:$A$41,0))/365*Assumptions!$B$6</f>
        <v>671.957260273973</v>
      </c>
      <c r="N2791" s="16" t="n">
        <f aca="false">J2791-K2791-L2791-M2791</f>
        <v>47213.825239726</v>
      </c>
      <c r="O2791" s="16" t="n">
        <f aca="false">F2791*IF(A2791="2025",INDEX(Products!$D$2:$D$13,MATCH(D2791,Products!$A$2:$A$13,0)),INDEX(Products!$F$2:$F$13,MATCH(D2791,Products!$A$2:$A$13,0)))</f>
        <v>36150</v>
      </c>
      <c r="P2791" s="16" t="n">
        <f aca="false">N2791-O2791</f>
        <v>11063.825239726</v>
      </c>
    </row>
    <row r="2792" customFormat="false" ht="15" hidden="false" customHeight="false" outlineLevel="0" collapsed="false">
      <c r="A2792" s="2" t="s">
        <v>118</v>
      </c>
      <c r="B2792" s="2" t="n">
        <v>7</v>
      </c>
      <c r="C2792" s="2" t="s">
        <v>103</v>
      </c>
      <c r="D2792" s="2" t="s">
        <v>37</v>
      </c>
      <c r="E2792" s="2" t="str">
        <f aca="false">INDEX(Products!$B$2:$B$13,MATCH(D2792,Products!$A$2:$A$13,0))</f>
        <v>FCC</v>
      </c>
      <c r="F2792" s="15" t="n">
        <v>12.3</v>
      </c>
      <c r="G2792" s="16" t="n">
        <f aca="false">IF(A2792="2025",INDEX(Products!$C$2:$C$13,MATCH(D2792,Products!$A$2:$A$13,0)),INDEX(Products!$E$2:$E$13,MATCH(D2792,Products!$A$2:$A$13,0)))</f>
        <v>3530</v>
      </c>
      <c r="H2792" s="13" t="n">
        <f aca="false">IF(A2792="2025",INDEX(Customers!$D$2:$D$41,MATCH(C2792,Customers!$A$2:$A$41,0)),INDEX(Customers!$F$2:$F$41,MATCH(C2792,Customers!$A$2:$A$41,0)))</f>
        <v>0.035</v>
      </c>
      <c r="I2792" s="16" t="n">
        <f aca="false">F2792*G2792</f>
        <v>43419</v>
      </c>
      <c r="J2792" s="16" t="n">
        <f aca="false">I2792*(1-H2792)</f>
        <v>41899.335</v>
      </c>
      <c r="K2792" s="16" t="n">
        <f aca="false">J2792*INDEX(Customers!$G$2:$G$41,MATCH(C2792,Customers!$A$2:$A$41,0))</f>
        <v>418.99335</v>
      </c>
      <c r="L2792" s="16" t="n">
        <f aca="false">F2792*INDEX(Customers!$H$2:$H$41,MATCH(C2792,Customers!$A$2:$A$41,0))</f>
        <v>2214</v>
      </c>
      <c r="M2792" s="16" t="n">
        <f aca="false">J2792*INDEX(Customers!$I$2:$I$41,MATCH(C2792,Customers!$A$2:$A$41,0))/365*Assumptions!$B$6</f>
        <v>551.004953424658</v>
      </c>
      <c r="N2792" s="16" t="n">
        <f aca="false">J2792-K2792-L2792-M2792</f>
        <v>38715.3366965753</v>
      </c>
      <c r="O2792" s="16" t="n">
        <f aca="false">F2792*IF(A2792="2025",INDEX(Products!$D$2:$D$13,MATCH(D2792,Products!$A$2:$A$13,0)),INDEX(Products!$F$2:$F$13,MATCH(D2792,Products!$A$2:$A$13,0)))</f>
        <v>29643</v>
      </c>
      <c r="P2792" s="16" t="n">
        <f aca="false">N2792-O2792</f>
        <v>9072.33669657535</v>
      </c>
    </row>
    <row r="2793" customFormat="false" ht="15" hidden="false" customHeight="false" outlineLevel="0" collapsed="false">
      <c r="A2793" s="2" t="s">
        <v>118</v>
      </c>
      <c r="B2793" s="2" t="n">
        <v>8</v>
      </c>
      <c r="C2793" s="2" t="s">
        <v>103</v>
      </c>
      <c r="D2793" s="2" t="s">
        <v>37</v>
      </c>
      <c r="E2793" s="2" t="str">
        <f aca="false">INDEX(Products!$B$2:$B$13,MATCH(D2793,Products!$A$2:$A$13,0))</f>
        <v>FCC</v>
      </c>
      <c r="F2793" s="15" t="n">
        <v>15.8</v>
      </c>
      <c r="G2793" s="16" t="n">
        <f aca="false">IF(A2793="2025",INDEX(Products!$C$2:$C$13,MATCH(D2793,Products!$A$2:$A$13,0)),INDEX(Products!$E$2:$E$13,MATCH(D2793,Products!$A$2:$A$13,0)))</f>
        <v>3530</v>
      </c>
      <c r="H2793" s="13" t="n">
        <f aca="false">IF(A2793="2025",INDEX(Customers!$D$2:$D$41,MATCH(C2793,Customers!$A$2:$A$41,0)),INDEX(Customers!$F$2:$F$41,MATCH(C2793,Customers!$A$2:$A$41,0)))</f>
        <v>0.035</v>
      </c>
      <c r="I2793" s="16" t="n">
        <f aca="false">F2793*G2793</f>
        <v>55774</v>
      </c>
      <c r="J2793" s="16" t="n">
        <f aca="false">I2793*(1-H2793)</f>
        <v>53821.91</v>
      </c>
      <c r="K2793" s="16" t="n">
        <f aca="false">J2793*INDEX(Customers!$G$2:$G$41,MATCH(C2793,Customers!$A$2:$A$41,0))</f>
        <v>538.2191</v>
      </c>
      <c r="L2793" s="16" t="n">
        <f aca="false">F2793*INDEX(Customers!$H$2:$H$41,MATCH(C2793,Customers!$A$2:$A$41,0))</f>
        <v>2844</v>
      </c>
      <c r="M2793" s="16" t="n">
        <f aca="false">J2793*INDEX(Customers!$I$2:$I$41,MATCH(C2793,Customers!$A$2:$A$41,0))/365*Assumptions!$B$6</f>
        <v>707.794980821918</v>
      </c>
      <c r="N2793" s="16" t="n">
        <f aca="false">J2793-K2793-L2793-M2793</f>
        <v>49731.8959191781</v>
      </c>
      <c r="O2793" s="16" t="n">
        <f aca="false">F2793*IF(A2793="2025",INDEX(Products!$D$2:$D$13,MATCH(D2793,Products!$A$2:$A$13,0)),INDEX(Products!$F$2:$F$13,MATCH(D2793,Products!$A$2:$A$13,0)))</f>
        <v>38078</v>
      </c>
      <c r="P2793" s="16" t="n">
        <f aca="false">N2793-O2793</f>
        <v>11653.8959191781</v>
      </c>
    </row>
    <row r="2794" customFormat="false" ht="15" hidden="false" customHeight="false" outlineLevel="0" collapsed="false">
      <c r="A2794" s="2" t="s">
        <v>118</v>
      </c>
      <c r="B2794" s="2" t="n">
        <v>9</v>
      </c>
      <c r="C2794" s="2" t="s">
        <v>103</v>
      </c>
      <c r="D2794" s="2" t="s">
        <v>37</v>
      </c>
      <c r="E2794" s="2" t="str">
        <f aca="false">INDEX(Products!$B$2:$B$13,MATCH(D2794,Products!$A$2:$A$13,0))</f>
        <v>FCC</v>
      </c>
      <c r="F2794" s="15" t="n">
        <v>12.6</v>
      </c>
      <c r="G2794" s="16" t="n">
        <f aca="false">IF(A2794="2025",INDEX(Products!$C$2:$C$13,MATCH(D2794,Products!$A$2:$A$13,0)),INDEX(Products!$E$2:$E$13,MATCH(D2794,Products!$A$2:$A$13,0)))</f>
        <v>3530</v>
      </c>
      <c r="H2794" s="13" t="n">
        <f aca="false">IF(A2794="2025",INDEX(Customers!$D$2:$D$41,MATCH(C2794,Customers!$A$2:$A$41,0)),INDEX(Customers!$F$2:$F$41,MATCH(C2794,Customers!$A$2:$A$41,0)))</f>
        <v>0.035</v>
      </c>
      <c r="I2794" s="16" t="n">
        <f aca="false">F2794*G2794</f>
        <v>44478</v>
      </c>
      <c r="J2794" s="16" t="n">
        <f aca="false">I2794*(1-H2794)</f>
        <v>42921.27</v>
      </c>
      <c r="K2794" s="16" t="n">
        <f aca="false">J2794*INDEX(Customers!$G$2:$G$41,MATCH(C2794,Customers!$A$2:$A$41,0))</f>
        <v>429.2127</v>
      </c>
      <c r="L2794" s="16" t="n">
        <f aca="false">F2794*INDEX(Customers!$H$2:$H$41,MATCH(C2794,Customers!$A$2:$A$41,0))</f>
        <v>2268</v>
      </c>
      <c r="M2794" s="16" t="n">
        <f aca="false">J2794*INDEX(Customers!$I$2:$I$41,MATCH(C2794,Customers!$A$2:$A$41,0))/365*Assumptions!$B$6</f>
        <v>564.444098630137</v>
      </c>
      <c r="N2794" s="16" t="n">
        <f aca="false">J2794-K2794-L2794-M2794</f>
        <v>39659.6132013699</v>
      </c>
      <c r="O2794" s="16" t="n">
        <f aca="false">F2794*IF(A2794="2025",INDEX(Products!$D$2:$D$13,MATCH(D2794,Products!$A$2:$A$13,0)),INDEX(Products!$F$2:$F$13,MATCH(D2794,Products!$A$2:$A$13,0)))</f>
        <v>30366</v>
      </c>
      <c r="P2794" s="16" t="n">
        <f aca="false">N2794-O2794</f>
        <v>9293.61320136987</v>
      </c>
    </row>
    <row r="2795" customFormat="false" ht="15" hidden="false" customHeight="false" outlineLevel="0" collapsed="false">
      <c r="A2795" s="2" t="s">
        <v>118</v>
      </c>
      <c r="B2795" s="2" t="n">
        <v>10</v>
      </c>
      <c r="C2795" s="2" t="s">
        <v>103</v>
      </c>
      <c r="D2795" s="2" t="s">
        <v>37</v>
      </c>
      <c r="E2795" s="2" t="str">
        <f aca="false">INDEX(Products!$B$2:$B$13,MATCH(D2795,Products!$A$2:$A$13,0))</f>
        <v>FCC</v>
      </c>
      <c r="F2795" s="15" t="n">
        <v>16.4</v>
      </c>
      <c r="G2795" s="16" t="n">
        <f aca="false">IF(A2795="2025",INDEX(Products!$C$2:$C$13,MATCH(D2795,Products!$A$2:$A$13,0)),INDEX(Products!$E$2:$E$13,MATCH(D2795,Products!$A$2:$A$13,0)))</f>
        <v>3530</v>
      </c>
      <c r="H2795" s="13" t="n">
        <f aca="false">IF(A2795="2025",INDEX(Customers!$D$2:$D$41,MATCH(C2795,Customers!$A$2:$A$41,0)),INDEX(Customers!$F$2:$F$41,MATCH(C2795,Customers!$A$2:$A$41,0)))</f>
        <v>0.035</v>
      </c>
      <c r="I2795" s="16" t="n">
        <f aca="false">F2795*G2795</f>
        <v>57892</v>
      </c>
      <c r="J2795" s="16" t="n">
        <f aca="false">I2795*(1-H2795)</f>
        <v>55865.78</v>
      </c>
      <c r="K2795" s="16" t="n">
        <f aca="false">J2795*INDEX(Customers!$G$2:$G$41,MATCH(C2795,Customers!$A$2:$A$41,0))</f>
        <v>558.6578</v>
      </c>
      <c r="L2795" s="16" t="n">
        <f aca="false">F2795*INDEX(Customers!$H$2:$H$41,MATCH(C2795,Customers!$A$2:$A$41,0))</f>
        <v>2952</v>
      </c>
      <c r="M2795" s="16" t="n">
        <f aca="false">J2795*INDEX(Customers!$I$2:$I$41,MATCH(C2795,Customers!$A$2:$A$41,0))/365*Assumptions!$B$6</f>
        <v>734.673271232877</v>
      </c>
      <c r="N2795" s="16" t="n">
        <f aca="false">J2795-K2795-L2795-M2795</f>
        <v>51620.4489287671</v>
      </c>
      <c r="O2795" s="16" t="n">
        <f aca="false">F2795*IF(A2795="2025",INDEX(Products!$D$2:$D$13,MATCH(D2795,Products!$A$2:$A$13,0)),INDEX(Products!$F$2:$F$13,MATCH(D2795,Products!$A$2:$A$13,0)))</f>
        <v>39524</v>
      </c>
      <c r="P2795" s="16" t="n">
        <f aca="false">N2795-O2795</f>
        <v>12096.4489287671</v>
      </c>
    </row>
    <row r="2796" customFormat="false" ht="15" hidden="false" customHeight="false" outlineLevel="0" collapsed="false">
      <c r="A2796" s="2" t="s">
        <v>118</v>
      </c>
      <c r="B2796" s="2" t="n">
        <v>11</v>
      </c>
      <c r="C2796" s="2" t="s">
        <v>103</v>
      </c>
      <c r="D2796" s="2" t="s">
        <v>37</v>
      </c>
      <c r="E2796" s="2" t="str">
        <f aca="false">INDEX(Products!$B$2:$B$13,MATCH(D2796,Products!$A$2:$A$13,0))</f>
        <v>FCC</v>
      </c>
      <c r="F2796" s="15" t="n">
        <v>12.5</v>
      </c>
      <c r="G2796" s="16" t="n">
        <f aca="false">IF(A2796="2025",INDEX(Products!$C$2:$C$13,MATCH(D2796,Products!$A$2:$A$13,0)),INDEX(Products!$E$2:$E$13,MATCH(D2796,Products!$A$2:$A$13,0)))</f>
        <v>3530</v>
      </c>
      <c r="H2796" s="13" t="n">
        <f aca="false">IF(A2796="2025",INDEX(Customers!$D$2:$D$41,MATCH(C2796,Customers!$A$2:$A$41,0)),INDEX(Customers!$F$2:$F$41,MATCH(C2796,Customers!$A$2:$A$41,0)))</f>
        <v>0.035</v>
      </c>
      <c r="I2796" s="16" t="n">
        <f aca="false">F2796*G2796</f>
        <v>44125</v>
      </c>
      <c r="J2796" s="16" t="n">
        <f aca="false">I2796*(1-H2796)</f>
        <v>42580.625</v>
      </c>
      <c r="K2796" s="16" t="n">
        <f aca="false">J2796*INDEX(Customers!$G$2:$G$41,MATCH(C2796,Customers!$A$2:$A$41,0))</f>
        <v>425.80625</v>
      </c>
      <c r="L2796" s="16" t="n">
        <f aca="false">F2796*INDEX(Customers!$H$2:$H$41,MATCH(C2796,Customers!$A$2:$A$41,0))</f>
        <v>2250</v>
      </c>
      <c r="M2796" s="16" t="n">
        <f aca="false">J2796*INDEX(Customers!$I$2:$I$41,MATCH(C2796,Customers!$A$2:$A$41,0))/365*Assumptions!$B$6</f>
        <v>559.964383561644</v>
      </c>
      <c r="N2796" s="16" t="n">
        <f aca="false">J2796-K2796-L2796-M2796</f>
        <v>39344.8543664384</v>
      </c>
      <c r="O2796" s="16" t="n">
        <f aca="false">F2796*IF(A2796="2025",INDEX(Products!$D$2:$D$13,MATCH(D2796,Products!$A$2:$A$13,0)),INDEX(Products!$F$2:$F$13,MATCH(D2796,Products!$A$2:$A$13,0)))</f>
        <v>30125</v>
      </c>
      <c r="P2796" s="16" t="n">
        <f aca="false">N2796-O2796</f>
        <v>9219.85436643835</v>
      </c>
    </row>
    <row r="2797" customFormat="false" ht="15" hidden="false" customHeight="false" outlineLevel="0" collapsed="false">
      <c r="A2797" s="2" t="s">
        <v>118</v>
      </c>
      <c r="B2797" s="2" t="n">
        <v>12</v>
      </c>
      <c r="C2797" s="2" t="s">
        <v>103</v>
      </c>
      <c r="D2797" s="2" t="s">
        <v>37</v>
      </c>
      <c r="E2797" s="2" t="str">
        <f aca="false">INDEX(Products!$B$2:$B$13,MATCH(D2797,Products!$A$2:$A$13,0))</f>
        <v>FCC</v>
      </c>
      <c r="F2797" s="15" t="n">
        <v>18.6</v>
      </c>
      <c r="G2797" s="16" t="n">
        <f aca="false">IF(A2797="2025",INDEX(Products!$C$2:$C$13,MATCH(D2797,Products!$A$2:$A$13,0)),INDEX(Products!$E$2:$E$13,MATCH(D2797,Products!$A$2:$A$13,0)))</f>
        <v>3530</v>
      </c>
      <c r="H2797" s="13" t="n">
        <f aca="false">IF(A2797="2025",INDEX(Customers!$D$2:$D$41,MATCH(C2797,Customers!$A$2:$A$41,0)),INDEX(Customers!$F$2:$F$41,MATCH(C2797,Customers!$A$2:$A$41,0)))</f>
        <v>0.035</v>
      </c>
      <c r="I2797" s="16" t="n">
        <f aca="false">F2797*G2797</f>
        <v>65658</v>
      </c>
      <c r="J2797" s="16" t="n">
        <f aca="false">I2797*(1-H2797)</f>
        <v>63359.97</v>
      </c>
      <c r="K2797" s="16" t="n">
        <f aca="false">J2797*INDEX(Customers!$G$2:$G$41,MATCH(C2797,Customers!$A$2:$A$41,0))</f>
        <v>633.5997</v>
      </c>
      <c r="L2797" s="16" t="n">
        <f aca="false">F2797*INDEX(Customers!$H$2:$H$41,MATCH(C2797,Customers!$A$2:$A$41,0))</f>
        <v>3348</v>
      </c>
      <c r="M2797" s="16" t="n">
        <f aca="false">J2797*INDEX(Customers!$I$2:$I$41,MATCH(C2797,Customers!$A$2:$A$41,0))/365*Assumptions!$B$6</f>
        <v>833.227002739726</v>
      </c>
      <c r="N2797" s="16" t="n">
        <f aca="false">J2797-K2797-L2797-M2797</f>
        <v>58545.1432972603</v>
      </c>
      <c r="O2797" s="16" t="n">
        <f aca="false">F2797*IF(A2797="2025",INDEX(Products!$D$2:$D$13,MATCH(D2797,Products!$A$2:$A$13,0)),INDEX(Products!$F$2:$F$13,MATCH(D2797,Products!$A$2:$A$13,0)))</f>
        <v>44826</v>
      </c>
      <c r="P2797" s="16" t="n">
        <f aca="false">N2797-O2797</f>
        <v>13719.1432972603</v>
      </c>
    </row>
    <row r="2798" customFormat="false" ht="15" hidden="false" customHeight="false" outlineLevel="0" collapsed="false">
      <c r="A2798" s="2" t="s">
        <v>119</v>
      </c>
      <c r="B2798" s="2" t="n">
        <v>1</v>
      </c>
      <c r="C2798" s="2" t="s">
        <v>103</v>
      </c>
      <c r="D2798" s="2" t="s">
        <v>37</v>
      </c>
      <c r="E2798" s="2" t="str">
        <f aca="false">INDEX(Products!$B$2:$B$13,MATCH(D2798,Products!$A$2:$A$13,0))</f>
        <v>FCC</v>
      </c>
      <c r="F2798" s="15" t="n">
        <v>17.1</v>
      </c>
      <c r="G2798" s="16" t="n">
        <f aca="false">IF(A2798="2025",INDEX(Products!$C$2:$C$13,MATCH(D2798,Products!$A$2:$A$13,0)),INDEX(Products!$E$2:$E$13,MATCH(D2798,Products!$A$2:$A$13,0)))</f>
        <v>3706.5</v>
      </c>
      <c r="H2798" s="13" t="n">
        <f aca="false">IF(A2798="2025",INDEX(Customers!$D$2:$D$41,MATCH(C2798,Customers!$A$2:$A$41,0)),INDEX(Customers!$F$2:$F$41,MATCH(C2798,Customers!$A$2:$A$41,0)))</f>
        <v>0.043</v>
      </c>
      <c r="I2798" s="16" t="n">
        <f aca="false">F2798*G2798</f>
        <v>63381.15</v>
      </c>
      <c r="J2798" s="16" t="n">
        <f aca="false">I2798*(1-H2798)</f>
        <v>60655.76055</v>
      </c>
      <c r="K2798" s="16" t="n">
        <f aca="false">J2798*INDEX(Customers!$G$2:$G$41,MATCH(C2798,Customers!$A$2:$A$41,0))</f>
        <v>606.5576055</v>
      </c>
      <c r="L2798" s="16" t="n">
        <f aca="false">F2798*INDEX(Customers!$H$2:$H$41,MATCH(C2798,Customers!$A$2:$A$41,0))</f>
        <v>3078</v>
      </c>
      <c r="M2798" s="16" t="n">
        <f aca="false">J2798*INDEX(Customers!$I$2:$I$41,MATCH(C2798,Customers!$A$2:$A$41,0))/365*Assumptions!$B$6</f>
        <v>797.664796273973</v>
      </c>
      <c r="N2798" s="16" t="n">
        <f aca="false">J2798-K2798-L2798-M2798</f>
        <v>56173.538148226</v>
      </c>
      <c r="O2798" s="16" t="n">
        <f aca="false">F2798*IF(A2798="2025",INDEX(Products!$D$2:$D$13,MATCH(D2798,Products!$A$2:$A$13,0)),INDEX(Products!$F$2:$F$13,MATCH(D2798,Products!$A$2:$A$13,0)))</f>
        <v>42447.33</v>
      </c>
      <c r="P2798" s="16" t="n">
        <f aca="false">N2798-O2798</f>
        <v>13726.208148226</v>
      </c>
    </row>
    <row r="2799" customFormat="false" ht="15" hidden="false" customHeight="false" outlineLevel="0" collapsed="false">
      <c r="A2799" s="2" t="s">
        <v>119</v>
      </c>
      <c r="B2799" s="2" t="n">
        <v>2</v>
      </c>
      <c r="C2799" s="2" t="s">
        <v>103</v>
      </c>
      <c r="D2799" s="2" t="s">
        <v>37</v>
      </c>
      <c r="E2799" s="2" t="str">
        <f aca="false">INDEX(Products!$B$2:$B$13,MATCH(D2799,Products!$A$2:$A$13,0))</f>
        <v>FCC</v>
      </c>
      <c r="F2799" s="15" t="n">
        <v>13.4</v>
      </c>
      <c r="G2799" s="16" t="n">
        <f aca="false">IF(A2799="2025",INDEX(Products!$C$2:$C$13,MATCH(D2799,Products!$A$2:$A$13,0)),INDEX(Products!$E$2:$E$13,MATCH(D2799,Products!$A$2:$A$13,0)))</f>
        <v>3706.5</v>
      </c>
      <c r="H2799" s="13" t="n">
        <f aca="false">IF(A2799="2025",INDEX(Customers!$D$2:$D$41,MATCH(C2799,Customers!$A$2:$A$41,0)),INDEX(Customers!$F$2:$F$41,MATCH(C2799,Customers!$A$2:$A$41,0)))</f>
        <v>0.043</v>
      </c>
      <c r="I2799" s="16" t="n">
        <f aca="false">F2799*G2799</f>
        <v>49667.1</v>
      </c>
      <c r="J2799" s="16" t="n">
        <f aca="false">I2799*(1-H2799)</f>
        <v>47531.4147</v>
      </c>
      <c r="K2799" s="16" t="n">
        <f aca="false">J2799*INDEX(Customers!$G$2:$G$41,MATCH(C2799,Customers!$A$2:$A$41,0))</f>
        <v>475.314147</v>
      </c>
      <c r="L2799" s="16" t="n">
        <f aca="false">F2799*INDEX(Customers!$H$2:$H$41,MATCH(C2799,Customers!$A$2:$A$41,0))</f>
        <v>2412</v>
      </c>
      <c r="M2799" s="16" t="n">
        <f aca="false">J2799*INDEX(Customers!$I$2:$I$41,MATCH(C2799,Customers!$A$2:$A$41,0))/365*Assumptions!$B$6</f>
        <v>625.070659068493</v>
      </c>
      <c r="N2799" s="16" t="n">
        <f aca="false">J2799-K2799-L2799-M2799</f>
        <v>44019.0298939315</v>
      </c>
      <c r="O2799" s="16" t="n">
        <f aca="false">F2799*IF(A2799="2025",INDEX(Products!$D$2:$D$13,MATCH(D2799,Products!$A$2:$A$13,0)),INDEX(Products!$F$2:$F$13,MATCH(D2799,Products!$A$2:$A$13,0)))</f>
        <v>33262.82</v>
      </c>
      <c r="P2799" s="16" t="n">
        <f aca="false">N2799-O2799</f>
        <v>10756.2098939315</v>
      </c>
    </row>
    <row r="2800" customFormat="false" ht="15" hidden="false" customHeight="false" outlineLevel="0" collapsed="false">
      <c r="A2800" s="2" t="s">
        <v>119</v>
      </c>
      <c r="B2800" s="2" t="n">
        <v>3</v>
      </c>
      <c r="C2800" s="2" t="s">
        <v>103</v>
      </c>
      <c r="D2800" s="2" t="s">
        <v>37</v>
      </c>
      <c r="E2800" s="2" t="str">
        <f aca="false">INDEX(Products!$B$2:$B$13,MATCH(D2800,Products!$A$2:$A$13,0))</f>
        <v>FCC</v>
      </c>
      <c r="F2800" s="15" t="n">
        <v>17.2</v>
      </c>
      <c r="G2800" s="16" t="n">
        <f aca="false">IF(A2800="2025",INDEX(Products!$C$2:$C$13,MATCH(D2800,Products!$A$2:$A$13,0)),INDEX(Products!$E$2:$E$13,MATCH(D2800,Products!$A$2:$A$13,0)))</f>
        <v>3706.5</v>
      </c>
      <c r="H2800" s="13" t="n">
        <f aca="false">IF(A2800="2025",INDEX(Customers!$D$2:$D$41,MATCH(C2800,Customers!$A$2:$A$41,0)),INDEX(Customers!$F$2:$F$41,MATCH(C2800,Customers!$A$2:$A$41,0)))</f>
        <v>0.043</v>
      </c>
      <c r="I2800" s="16" t="n">
        <f aca="false">F2800*G2800</f>
        <v>63751.8</v>
      </c>
      <c r="J2800" s="16" t="n">
        <f aca="false">I2800*(1-H2800)</f>
        <v>61010.4726</v>
      </c>
      <c r="K2800" s="16" t="n">
        <f aca="false">J2800*INDEX(Customers!$G$2:$G$41,MATCH(C2800,Customers!$A$2:$A$41,0))</f>
        <v>610.104726</v>
      </c>
      <c r="L2800" s="16" t="n">
        <f aca="false">F2800*INDEX(Customers!$H$2:$H$41,MATCH(C2800,Customers!$A$2:$A$41,0))</f>
        <v>3096</v>
      </c>
      <c r="M2800" s="16" t="n">
        <f aca="false">J2800*INDEX(Customers!$I$2:$I$41,MATCH(C2800,Customers!$A$2:$A$41,0))/365*Assumptions!$B$6</f>
        <v>802.329502684932</v>
      </c>
      <c r="N2800" s="16" t="n">
        <f aca="false">J2800-K2800-L2800-M2800</f>
        <v>56502.0383713151</v>
      </c>
      <c r="O2800" s="16" t="n">
        <f aca="false">F2800*IF(A2800="2025",INDEX(Products!$D$2:$D$13,MATCH(D2800,Products!$A$2:$A$13,0)),INDEX(Products!$F$2:$F$13,MATCH(D2800,Products!$A$2:$A$13,0)))</f>
        <v>42695.56</v>
      </c>
      <c r="P2800" s="16" t="n">
        <f aca="false">N2800-O2800</f>
        <v>13806.4783713151</v>
      </c>
    </row>
    <row r="2801" customFormat="false" ht="15" hidden="false" customHeight="false" outlineLevel="0" collapsed="false">
      <c r="A2801" s="2" t="s">
        <v>119</v>
      </c>
      <c r="B2801" s="2" t="n">
        <v>4</v>
      </c>
      <c r="C2801" s="2" t="s">
        <v>103</v>
      </c>
      <c r="D2801" s="2" t="s">
        <v>37</v>
      </c>
      <c r="E2801" s="2" t="str">
        <f aca="false">INDEX(Products!$B$2:$B$13,MATCH(D2801,Products!$A$2:$A$13,0))</f>
        <v>FCC</v>
      </c>
      <c r="F2801" s="15" t="n">
        <v>12.8</v>
      </c>
      <c r="G2801" s="16" t="n">
        <f aca="false">IF(A2801="2025",INDEX(Products!$C$2:$C$13,MATCH(D2801,Products!$A$2:$A$13,0)),INDEX(Products!$E$2:$E$13,MATCH(D2801,Products!$A$2:$A$13,0)))</f>
        <v>3706.5</v>
      </c>
      <c r="H2801" s="13" t="n">
        <f aca="false">IF(A2801="2025",INDEX(Customers!$D$2:$D$41,MATCH(C2801,Customers!$A$2:$A$41,0)),INDEX(Customers!$F$2:$F$41,MATCH(C2801,Customers!$A$2:$A$41,0)))</f>
        <v>0.043</v>
      </c>
      <c r="I2801" s="16" t="n">
        <f aca="false">F2801*G2801</f>
        <v>47443.2</v>
      </c>
      <c r="J2801" s="16" t="n">
        <f aca="false">I2801*(1-H2801)</f>
        <v>45403.1424</v>
      </c>
      <c r="K2801" s="16" t="n">
        <f aca="false">J2801*INDEX(Customers!$G$2:$G$41,MATCH(C2801,Customers!$A$2:$A$41,0))</f>
        <v>454.031424</v>
      </c>
      <c r="L2801" s="16" t="n">
        <f aca="false">F2801*INDEX(Customers!$H$2:$H$41,MATCH(C2801,Customers!$A$2:$A$41,0))</f>
        <v>2304</v>
      </c>
      <c r="M2801" s="16" t="n">
        <f aca="false">J2801*INDEX(Customers!$I$2:$I$41,MATCH(C2801,Customers!$A$2:$A$41,0))/365*Assumptions!$B$6</f>
        <v>597.08242060274</v>
      </c>
      <c r="N2801" s="16" t="n">
        <f aca="false">J2801-K2801-L2801-M2801</f>
        <v>42048.0285553973</v>
      </c>
      <c r="O2801" s="16" t="n">
        <f aca="false">F2801*IF(A2801="2025",INDEX(Products!$D$2:$D$13,MATCH(D2801,Products!$A$2:$A$13,0)),INDEX(Products!$F$2:$F$13,MATCH(D2801,Products!$A$2:$A$13,0)))</f>
        <v>31773.44</v>
      </c>
      <c r="P2801" s="16" t="n">
        <f aca="false">N2801-O2801</f>
        <v>10274.5885553973</v>
      </c>
    </row>
    <row r="2802" customFormat="false" ht="15" hidden="false" customHeight="false" outlineLevel="0" collapsed="false">
      <c r="A2802" s="2" t="s">
        <v>119</v>
      </c>
      <c r="B2802" s="2" t="n">
        <v>5</v>
      </c>
      <c r="C2802" s="2" t="s">
        <v>103</v>
      </c>
      <c r="D2802" s="2" t="s">
        <v>37</v>
      </c>
      <c r="E2802" s="2" t="str">
        <f aca="false">INDEX(Products!$B$2:$B$13,MATCH(D2802,Products!$A$2:$A$13,0))</f>
        <v>FCC</v>
      </c>
      <c r="F2802" s="15" t="n">
        <v>12.4</v>
      </c>
      <c r="G2802" s="16" t="n">
        <f aca="false">IF(A2802="2025",INDEX(Products!$C$2:$C$13,MATCH(D2802,Products!$A$2:$A$13,0)),INDEX(Products!$E$2:$E$13,MATCH(D2802,Products!$A$2:$A$13,0)))</f>
        <v>3706.5</v>
      </c>
      <c r="H2802" s="13" t="n">
        <f aca="false">IF(A2802="2025",INDEX(Customers!$D$2:$D$41,MATCH(C2802,Customers!$A$2:$A$41,0)),INDEX(Customers!$F$2:$F$41,MATCH(C2802,Customers!$A$2:$A$41,0)))</f>
        <v>0.043</v>
      </c>
      <c r="I2802" s="16" t="n">
        <f aca="false">F2802*G2802</f>
        <v>45960.6</v>
      </c>
      <c r="J2802" s="16" t="n">
        <f aca="false">I2802*(1-H2802)</f>
        <v>43984.2942</v>
      </c>
      <c r="K2802" s="16" t="n">
        <f aca="false">J2802*INDEX(Customers!$G$2:$G$41,MATCH(C2802,Customers!$A$2:$A$41,0))</f>
        <v>439.842942</v>
      </c>
      <c r="L2802" s="16" t="n">
        <f aca="false">F2802*INDEX(Customers!$H$2:$H$41,MATCH(C2802,Customers!$A$2:$A$41,0))</f>
        <v>2232</v>
      </c>
      <c r="M2802" s="16" t="n">
        <f aca="false">J2802*INDEX(Customers!$I$2:$I$41,MATCH(C2802,Customers!$A$2:$A$41,0))/365*Assumptions!$B$6</f>
        <v>578.423594958904</v>
      </c>
      <c r="N2802" s="16" t="n">
        <f aca="false">J2802-K2802-L2802-M2802</f>
        <v>40734.0276630411</v>
      </c>
      <c r="O2802" s="16" t="n">
        <f aca="false">F2802*IF(A2802="2025",INDEX(Products!$D$2:$D$13,MATCH(D2802,Products!$A$2:$A$13,0)),INDEX(Products!$F$2:$F$13,MATCH(D2802,Products!$A$2:$A$13,0)))</f>
        <v>30780.52</v>
      </c>
      <c r="P2802" s="16" t="n">
        <f aca="false">N2802-O2802</f>
        <v>9953.50766304108</v>
      </c>
    </row>
    <row r="2803" customFormat="false" ht="15" hidden="false" customHeight="false" outlineLevel="0" collapsed="false">
      <c r="A2803" s="2" t="s">
        <v>119</v>
      </c>
      <c r="B2803" s="2" t="n">
        <v>6</v>
      </c>
      <c r="C2803" s="2" t="s">
        <v>103</v>
      </c>
      <c r="D2803" s="2" t="s">
        <v>37</v>
      </c>
      <c r="E2803" s="2" t="str">
        <f aca="false">INDEX(Products!$B$2:$B$13,MATCH(D2803,Products!$A$2:$A$13,0))</f>
        <v>FCC</v>
      </c>
      <c r="F2803" s="15" t="n">
        <v>14.6</v>
      </c>
      <c r="G2803" s="16" t="n">
        <f aca="false">IF(A2803="2025",INDEX(Products!$C$2:$C$13,MATCH(D2803,Products!$A$2:$A$13,0)),INDEX(Products!$E$2:$E$13,MATCH(D2803,Products!$A$2:$A$13,0)))</f>
        <v>3706.5</v>
      </c>
      <c r="H2803" s="13" t="n">
        <f aca="false">IF(A2803="2025",INDEX(Customers!$D$2:$D$41,MATCH(C2803,Customers!$A$2:$A$41,0)),INDEX(Customers!$F$2:$F$41,MATCH(C2803,Customers!$A$2:$A$41,0)))</f>
        <v>0.043</v>
      </c>
      <c r="I2803" s="16" t="n">
        <f aca="false">F2803*G2803</f>
        <v>54114.9</v>
      </c>
      <c r="J2803" s="16" t="n">
        <f aca="false">I2803*(1-H2803)</f>
        <v>51787.9593</v>
      </c>
      <c r="K2803" s="16" t="n">
        <f aca="false">J2803*INDEX(Customers!$G$2:$G$41,MATCH(C2803,Customers!$A$2:$A$41,0))</f>
        <v>517.879593</v>
      </c>
      <c r="L2803" s="16" t="n">
        <f aca="false">F2803*INDEX(Customers!$H$2:$H$41,MATCH(C2803,Customers!$A$2:$A$41,0))</f>
        <v>2628</v>
      </c>
      <c r="M2803" s="16" t="n">
        <f aca="false">J2803*INDEX(Customers!$I$2:$I$41,MATCH(C2803,Customers!$A$2:$A$41,0))/365*Assumptions!$B$6</f>
        <v>681.047136</v>
      </c>
      <c r="N2803" s="16" t="n">
        <f aca="false">J2803-K2803-L2803-M2803</f>
        <v>47961.032571</v>
      </c>
      <c r="O2803" s="16" t="n">
        <f aca="false">F2803*IF(A2803="2025",INDEX(Products!$D$2:$D$13,MATCH(D2803,Products!$A$2:$A$13,0)),INDEX(Products!$F$2:$F$13,MATCH(D2803,Products!$A$2:$A$13,0)))</f>
        <v>36241.58</v>
      </c>
      <c r="P2803" s="16" t="n">
        <f aca="false">N2803-O2803</f>
        <v>11719.452571</v>
      </c>
    </row>
    <row r="2804" customFormat="false" ht="15" hidden="false" customHeight="false" outlineLevel="0" collapsed="false">
      <c r="A2804" s="2" t="s">
        <v>119</v>
      </c>
      <c r="B2804" s="2" t="n">
        <v>7</v>
      </c>
      <c r="C2804" s="2" t="s">
        <v>103</v>
      </c>
      <c r="D2804" s="2" t="s">
        <v>37</v>
      </c>
      <c r="E2804" s="2" t="str">
        <f aca="false">INDEX(Products!$B$2:$B$13,MATCH(D2804,Products!$A$2:$A$13,0))</f>
        <v>FCC</v>
      </c>
      <c r="F2804" s="15" t="n">
        <v>12.9</v>
      </c>
      <c r="G2804" s="16" t="n">
        <f aca="false">IF(A2804="2025",INDEX(Products!$C$2:$C$13,MATCH(D2804,Products!$A$2:$A$13,0)),INDEX(Products!$E$2:$E$13,MATCH(D2804,Products!$A$2:$A$13,0)))</f>
        <v>3706.5</v>
      </c>
      <c r="H2804" s="13" t="n">
        <f aca="false">IF(A2804="2025",INDEX(Customers!$D$2:$D$41,MATCH(C2804,Customers!$A$2:$A$41,0)),INDEX(Customers!$F$2:$F$41,MATCH(C2804,Customers!$A$2:$A$41,0)))</f>
        <v>0.043</v>
      </c>
      <c r="I2804" s="16" t="n">
        <f aca="false">F2804*G2804</f>
        <v>47813.85</v>
      </c>
      <c r="J2804" s="16" t="n">
        <f aca="false">I2804*(1-H2804)</f>
        <v>45757.85445</v>
      </c>
      <c r="K2804" s="16" t="n">
        <f aca="false">J2804*INDEX(Customers!$G$2:$G$41,MATCH(C2804,Customers!$A$2:$A$41,0))</f>
        <v>457.5785445</v>
      </c>
      <c r="L2804" s="16" t="n">
        <f aca="false">F2804*INDEX(Customers!$H$2:$H$41,MATCH(C2804,Customers!$A$2:$A$41,0))</f>
        <v>2322</v>
      </c>
      <c r="M2804" s="16" t="n">
        <f aca="false">J2804*INDEX(Customers!$I$2:$I$41,MATCH(C2804,Customers!$A$2:$A$41,0))/365*Assumptions!$B$6</f>
        <v>601.747127013699</v>
      </c>
      <c r="N2804" s="16" t="n">
        <f aca="false">J2804-K2804-L2804-M2804</f>
        <v>42376.5287784863</v>
      </c>
      <c r="O2804" s="16" t="n">
        <f aca="false">F2804*IF(A2804="2025",INDEX(Products!$D$2:$D$13,MATCH(D2804,Products!$A$2:$A$13,0)),INDEX(Products!$F$2:$F$13,MATCH(D2804,Products!$A$2:$A$13,0)))</f>
        <v>32021.67</v>
      </c>
      <c r="P2804" s="16" t="n">
        <f aca="false">N2804-O2804</f>
        <v>10354.8587784863</v>
      </c>
    </row>
    <row r="2805" customFormat="false" ht="15" hidden="false" customHeight="false" outlineLevel="0" collapsed="false">
      <c r="A2805" s="2" t="s">
        <v>119</v>
      </c>
      <c r="B2805" s="2" t="n">
        <v>8</v>
      </c>
      <c r="C2805" s="2" t="s">
        <v>103</v>
      </c>
      <c r="D2805" s="2" t="s">
        <v>37</v>
      </c>
      <c r="E2805" s="2" t="str">
        <f aca="false">INDEX(Products!$B$2:$B$13,MATCH(D2805,Products!$A$2:$A$13,0))</f>
        <v>FCC</v>
      </c>
      <c r="F2805" s="15" t="n">
        <v>15.6</v>
      </c>
      <c r="G2805" s="16" t="n">
        <f aca="false">IF(A2805="2025",INDEX(Products!$C$2:$C$13,MATCH(D2805,Products!$A$2:$A$13,0)),INDEX(Products!$E$2:$E$13,MATCH(D2805,Products!$A$2:$A$13,0)))</f>
        <v>3706.5</v>
      </c>
      <c r="H2805" s="13" t="n">
        <f aca="false">IF(A2805="2025",INDEX(Customers!$D$2:$D$41,MATCH(C2805,Customers!$A$2:$A$41,0)),INDEX(Customers!$F$2:$F$41,MATCH(C2805,Customers!$A$2:$A$41,0)))</f>
        <v>0.043</v>
      </c>
      <c r="I2805" s="16" t="n">
        <f aca="false">F2805*G2805</f>
        <v>57821.4</v>
      </c>
      <c r="J2805" s="16" t="n">
        <f aca="false">I2805*(1-H2805)</f>
        <v>55335.0798</v>
      </c>
      <c r="K2805" s="16" t="n">
        <f aca="false">J2805*INDEX(Customers!$G$2:$G$41,MATCH(C2805,Customers!$A$2:$A$41,0))</f>
        <v>553.350798</v>
      </c>
      <c r="L2805" s="16" t="n">
        <f aca="false">F2805*INDEX(Customers!$H$2:$H$41,MATCH(C2805,Customers!$A$2:$A$41,0))</f>
        <v>2808</v>
      </c>
      <c r="M2805" s="16" t="n">
        <f aca="false">J2805*INDEX(Customers!$I$2:$I$41,MATCH(C2805,Customers!$A$2:$A$41,0))/365*Assumptions!$B$6</f>
        <v>727.694200109589</v>
      </c>
      <c r="N2805" s="16" t="n">
        <f aca="false">J2805-K2805-L2805-M2805</f>
        <v>51246.0348018904</v>
      </c>
      <c r="O2805" s="16" t="n">
        <f aca="false">F2805*IF(A2805="2025",INDEX(Products!$D$2:$D$13,MATCH(D2805,Products!$A$2:$A$13,0)),INDEX(Products!$F$2:$F$13,MATCH(D2805,Products!$A$2:$A$13,0)))</f>
        <v>38723.88</v>
      </c>
      <c r="P2805" s="16" t="n">
        <f aca="false">N2805-O2805</f>
        <v>12522.1548018904</v>
      </c>
    </row>
    <row r="2806" customFormat="false" ht="15" hidden="false" customHeight="false" outlineLevel="0" collapsed="false">
      <c r="A2806" s="2" t="s">
        <v>119</v>
      </c>
      <c r="B2806" s="2" t="n">
        <v>9</v>
      </c>
      <c r="C2806" s="2" t="s">
        <v>103</v>
      </c>
      <c r="D2806" s="2" t="s">
        <v>37</v>
      </c>
      <c r="E2806" s="2" t="str">
        <f aca="false">INDEX(Products!$B$2:$B$13,MATCH(D2806,Products!$A$2:$A$13,0))</f>
        <v>FCC</v>
      </c>
      <c r="F2806" s="15" t="n">
        <v>16.6</v>
      </c>
      <c r="G2806" s="16" t="n">
        <f aca="false">IF(A2806="2025",INDEX(Products!$C$2:$C$13,MATCH(D2806,Products!$A$2:$A$13,0)),INDEX(Products!$E$2:$E$13,MATCH(D2806,Products!$A$2:$A$13,0)))</f>
        <v>3706.5</v>
      </c>
      <c r="H2806" s="13" t="n">
        <f aca="false">IF(A2806="2025",INDEX(Customers!$D$2:$D$41,MATCH(C2806,Customers!$A$2:$A$41,0)),INDEX(Customers!$F$2:$F$41,MATCH(C2806,Customers!$A$2:$A$41,0)))</f>
        <v>0.043</v>
      </c>
      <c r="I2806" s="16" t="n">
        <f aca="false">F2806*G2806</f>
        <v>61527.9</v>
      </c>
      <c r="J2806" s="16" t="n">
        <f aca="false">I2806*(1-H2806)</f>
        <v>58882.2003</v>
      </c>
      <c r="K2806" s="16" t="n">
        <f aca="false">J2806*INDEX(Customers!$G$2:$G$41,MATCH(C2806,Customers!$A$2:$A$41,0))</f>
        <v>588.822003</v>
      </c>
      <c r="L2806" s="16" t="n">
        <f aca="false">F2806*INDEX(Customers!$H$2:$H$41,MATCH(C2806,Customers!$A$2:$A$41,0))</f>
        <v>2988</v>
      </c>
      <c r="M2806" s="16" t="n">
        <f aca="false">J2806*INDEX(Customers!$I$2:$I$41,MATCH(C2806,Customers!$A$2:$A$41,0))/365*Assumptions!$B$6</f>
        <v>774.341264219178</v>
      </c>
      <c r="N2806" s="16" t="n">
        <f aca="false">J2806-K2806-L2806-M2806</f>
        <v>54531.0370327808</v>
      </c>
      <c r="O2806" s="16" t="n">
        <f aca="false">F2806*IF(A2806="2025",INDEX(Products!$D$2:$D$13,MATCH(D2806,Products!$A$2:$A$13,0)),INDEX(Products!$F$2:$F$13,MATCH(D2806,Products!$A$2:$A$13,0)))</f>
        <v>41206.18</v>
      </c>
      <c r="P2806" s="16" t="n">
        <f aca="false">N2806-O2806</f>
        <v>13324.8570327808</v>
      </c>
    </row>
    <row r="2807" customFormat="false" ht="15" hidden="false" customHeight="false" outlineLevel="0" collapsed="false">
      <c r="A2807" s="2" t="s">
        <v>119</v>
      </c>
      <c r="B2807" s="2" t="n">
        <v>10</v>
      </c>
      <c r="C2807" s="2" t="s">
        <v>103</v>
      </c>
      <c r="D2807" s="2" t="s">
        <v>37</v>
      </c>
      <c r="E2807" s="2" t="str">
        <f aca="false">INDEX(Products!$B$2:$B$13,MATCH(D2807,Products!$A$2:$A$13,0))</f>
        <v>FCC</v>
      </c>
      <c r="F2807" s="15" t="n">
        <v>15.6</v>
      </c>
      <c r="G2807" s="16" t="n">
        <f aca="false">IF(A2807="2025",INDEX(Products!$C$2:$C$13,MATCH(D2807,Products!$A$2:$A$13,0)),INDEX(Products!$E$2:$E$13,MATCH(D2807,Products!$A$2:$A$13,0)))</f>
        <v>3706.5</v>
      </c>
      <c r="H2807" s="13" t="n">
        <f aca="false">IF(A2807="2025",INDEX(Customers!$D$2:$D$41,MATCH(C2807,Customers!$A$2:$A$41,0)),INDEX(Customers!$F$2:$F$41,MATCH(C2807,Customers!$A$2:$A$41,0)))</f>
        <v>0.043</v>
      </c>
      <c r="I2807" s="16" t="n">
        <f aca="false">F2807*G2807</f>
        <v>57821.4</v>
      </c>
      <c r="J2807" s="16" t="n">
        <f aca="false">I2807*(1-H2807)</f>
        <v>55335.0798</v>
      </c>
      <c r="K2807" s="16" t="n">
        <f aca="false">J2807*INDEX(Customers!$G$2:$G$41,MATCH(C2807,Customers!$A$2:$A$41,0))</f>
        <v>553.350798</v>
      </c>
      <c r="L2807" s="16" t="n">
        <f aca="false">F2807*INDEX(Customers!$H$2:$H$41,MATCH(C2807,Customers!$A$2:$A$41,0))</f>
        <v>2808</v>
      </c>
      <c r="M2807" s="16" t="n">
        <f aca="false">J2807*INDEX(Customers!$I$2:$I$41,MATCH(C2807,Customers!$A$2:$A$41,0))/365*Assumptions!$B$6</f>
        <v>727.694200109589</v>
      </c>
      <c r="N2807" s="16" t="n">
        <f aca="false">J2807-K2807-L2807-M2807</f>
        <v>51246.0348018904</v>
      </c>
      <c r="O2807" s="16" t="n">
        <f aca="false">F2807*IF(A2807="2025",INDEX(Products!$D$2:$D$13,MATCH(D2807,Products!$A$2:$A$13,0)),INDEX(Products!$F$2:$F$13,MATCH(D2807,Products!$A$2:$A$13,0)))</f>
        <v>38723.88</v>
      </c>
      <c r="P2807" s="16" t="n">
        <f aca="false">N2807-O2807</f>
        <v>12522.1548018904</v>
      </c>
    </row>
    <row r="2808" customFormat="false" ht="15" hidden="false" customHeight="false" outlineLevel="0" collapsed="false">
      <c r="A2808" s="2" t="s">
        <v>119</v>
      </c>
      <c r="B2808" s="2" t="n">
        <v>11</v>
      </c>
      <c r="C2808" s="2" t="s">
        <v>103</v>
      </c>
      <c r="D2808" s="2" t="s">
        <v>37</v>
      </c>
      <c r="E2808" s="2" t="str">
        <f aca="false">INDEX(Products!$B$2:$B$13,MATCH(D2808,Products!$A$2:$A$13,0))</f>
        <v>FCC</v>
      </c>
      <c r="F2808" s="15" t="n">
        <v>16.3</v>
      </c>
      <c r="G2808" s="16" t="n">
        <f aca="false">IF(A2808="2025",INDEX(Products!$C$2:$C$13,MATCH(D2808,Products!$A$2:$A$13,0)),INDEX(Products!$E$2:$E$13,MATCH(D2808,Products!$A$2:$A$13,0)))</f>
        <v>3706.5</v>
      </c>
      <c r="H2808" s="13" t="n">
        <f aca="false">IF(A2808="2025",INDEX(Customers!$D$2:$D$41,MATCH(C2808,Customers!$A$2:$A$41,0)),INDEX(Customers!$F$2:$F$41,MATCH(C2808,Customers!$A$2:$A$41,0)))</f>
        <v>0.043</v>
      </c>
      <c r="I2808" s="16" t="n">
        <f aca="false">F2808*G2808</f>
        <v>60415.95</v>
      </c>
      <c r="J2808" s="16" t="n">
        <f aca="false">I2808*(1-H2808)</f>
        <v>57818.06415</v>
      </c>
      <c r="K2808" s="16" t="n">
        <f aca="false">J2808*INDEX(Customers!$G$2:$G$41,MATCH(C2808,Customers!$A$2:$A$41,0))</f>
        <v>578.1806415</v>
      </c>
      <c r="L2808" s="16" t="n">
        <f aca="false">F2808*INDEX(Customers!$H$2:$H$41,MATCH(C2808,Customers!$A$2:$A$41,0))</f>
        <v>2934</v>
      </c>
      <c r="M2808" s="16" t="n">
        <f aca="false">J2808*INDEX(Customers!$I$2:$I$41,MATCH(C2808,Customers!$A$2:$A$41,0))/365*Assumptions!$B$6</f>
        <v>760.347144986301</v>
      </c>
      <c r="N2808" s="16" t="n">
        <f aca="false">J2808-K2808-L2808-M2808</f>
        <v>53545.5363635137</v>
      </c>
      <c r="O2808" s="16" t="n">
        <f aca="false">F2808*IF(A2808="2025",INDEX(Products!$D$2:$D$13,MATCH(D2808,Products!$A$2:$A$13,0)),INDEX(Products!$F$2:$F$13,MATCH(D2808,Products!$A$2:$A$13,0)))</f>
        <v>40461.49</v>
      </c>
      <c r="P2808" s="16" t="n">
        <f aca="false">N2808-O2808</f>
        <v>13084.0463635137</v>
      </c>
    </row>
    <row r="2809" customFormat="false" ht="15" hidden="false" customHeight="false" outlineLevel="0" collapsed="false">
      <c r="A2809" s="2" t="s">
        <v>119</v>
      </c>
      <c r="B2809" s="2" t="n">
        <v>12</v>
      </c>
      <c r="C2809" s="2" t="s">
        <v>103</v>
      </c>
      <c r="D2809" s="2" t="s">
        <v>37</v>
      </c>
      <c r="E2809" s="2" t="str">
        <f aca="false">INDEX(Products!$B$2:$B$13,MATCH(D2809,Products!$A$2:$A$13,0))</f>
        <v>FCC</v>
      </c>
      <c r="F2809" s="15" t="n">
        <v>19.3</v>
      </c>
      <c r="G2809" s="16" t="n">
        <f aca="false">IF(A2809="2025",INDEX(Products!$C$2:$C$13,MATCH(D2809,Products!$A$2:$A$13,0)),INDEX(Products!$E$2:$E$13,MATCH(D2809,Products!$A$2:$A$13,0)))</f>
        <v>3706.5</v>
      </c>
      <c r="H2809" s="13" t="n">
        <f aca="false">IF(A2809="2025",INDEX(Customers!$D$2:$D$41,MATCH(C2809,Customers!$A$2:$A$41,0)),INDEX(Customers!$F$2:$F$41,MATCH(C2809,Customers!$A$2:$A$41,0)))</f>
        <v>0.043</v>
      </c>
      <c r="I2809" s="16" t="n">
        <f aca="false">F2809*G2809</f>
        <v>71535.45</v>
      </c>
      <c r="J2809" s="16" t="n">
        <f aca="false">I2809*(1-H2809)</f>
        <v>68459.42565</v>
      </c>
      <c r="K2809" s="16" t="n">
        <f aca="false">J2809*INDEX(Customers!$G$2:$G$41,MATCH(C2809,Customers!$A$2:$A$41,0))</f>
        <v>684.5942565</v>
      </c>
      <c r="L2809" s="16" t="n">
        <f aca="false">F2809*INDEX(Customers!$H$2:$H$41,MATCH(C2809,Customers!$A$2:$A$41,0))</f>
        <v>3474</v>
      </c>
      <c r="M2809" s="16" t="n">
        <f aca="false">J2809*INDEX(Customers!$I$2:$I$41,MATCH(C2809,Customers!$A$2:$A$41,0))/365*Assumptions!$B$6</f>
        <v>900.288337315068</v>
      </c>
      <c r="N2809" s="16" t="n">
        <f aca="false">J2809-K2809-L2809-M2809</f>
        <v>63400.5430561849</v>
      </c>
      <c r="O2809" s="16" t="n">
        <f aca="false">F2809*IF(A2809="2025",INDEX(Products!$D$2:$D$13,MATCH(D2809,Products!$A$2:$A$13,0)),INDEX(Products!$F$2:$F$13,MATCH(D2809,Products!$A$2:$A$13,0)))</f>
        <v>47908.39</v>
      </c>
      <c r="P2809" s="16" t="n">
        <f aca="false">N2809-O2809</f>
        <v>15492.1530561849</v>
      </c>
    </row>
    <row r="2810" customFormat="false" ht="15" hidden="false" customHeight="false" outlineLevel="0" collapsed="false">
      <c r="A2810" s="2" t="s">
        <v>118</v>
      </c>
      <c r="B2810" s="2" t="n">
        <v>1</v>
      </c>
      <c r="C2810" s="2" t="s">
        <v>103</v>
      </c>
      <c r="D2810" s="2" t="s">
        <v>44</v>
      </c>
      <c r="E2810" s="2" t="str">
        <f aca="false">INDEX(Products!$B$2:$B$13,MATCH(D2810,Products!$A$2:$A$13,0))</f>
        <v>Specialty</v>
      </c>
      <c r="F2810" s="15" t="n">
        <v>6.2</v>
      </c>
      <c r="G2810" s="16" t="n">
        <f aca="false">IF(A2810="2025",INDEX(Products!$C$2:$C$13,MATCH(D2810,Products!$A$2:$A$13,0)),INDEX(Products!$E$2:$E$13,MATCH(D2810,Products!$A$2:$A$13,0)))</f>
        <v>28970</v>
      </c>
      <c r="H2810" s="13" t="n">
        <f aca="false">IF(A2810="2025",INDEX(Customers!$D$2:$D$41,MATCH(C2810,Customers!$A$2:$A$41,0)),INDEX(Customers!$F$2:$F$41,MATCH(C2810,Customers!$A$2:$A$41,0)))</f>
        <v>0.035</v>
      </c>
      <c r="I2810" s="16" t="n">
        <f aca="false">F2810*G2810</f>
        <v>179614</v>
      </c>
      <c r="J2810" s="16" t="n">
        <f aca="false">I2810*(1-H2810)</f>
        <v>173327.51</v>
      </c>
      <c r="K2810" s="16" t="n">
        <f aca="false">J2810*INDEX(Customers!$G$2:$G$41,MATCH(C2810,Customers!$A$2:$A$41,0))</f>
        <v>1733.2751</v>
      </c>
      <c r="L2810" s="16" t="n">
        <f aca="false">F2810*INDEX(Customers!$H$2:$H$41,MATCH(C2810,Customers!$A$2:$A$41,0))</f>
        <v>1116</v>
      </c>
      <c r="M2810" s="16" t="n">
        <f aca="false">J2810*INDEX(Customers!$I$2:$I$41,MATCH(C2810,Customers!$A$2:$A$41,0))/365*Assumptions!$B$6</f>
        <v>2279.3754739726</v>
      </c>
      <c r="N2810" s="16" t="n">
        <f aca="false">J2810-K2810-L2810-M2810</f>
        <v>168198.859426027</v>
      </c>
      <c r="O2810" s="16" t="n">
        <f aca="false">F2810*IF(A2810="2025",INDEX(Products!$D$2:$D$13,MATCH(D2810,Products!$A$2:$A$13,0)),INDEX(Products!$F$2:$F$13,MATCH(D2810,Products!$A$2:$A$13,0)))</f>
        <v>88722</v>
      </c>
      <c r="P2810" s="16" t="n">
        <f aca="false">N2810-O2810</f>
        <v>79476.8594260274</v>
      </c>
    </row>
    <row r="2811" customFormat="false" ht="15" hidden="false" customHeight="false" outlineLevel="0" collapsed="false">
      <c r="A2811" s="2" t="s">
        <v>118</v>
      </c>
      <c r="B2811" s="2" t="n">
        <v>2</v>
      </c>
      <c r="C2811" s="2" t="s">
        <v>103</v>
      </c>
      <c r="D2811" s="2" t="s">
        <v>44</v>
      </c>
      <c r="E2811" s="2" t="str">
        <f aca="false">INDEX(Products!$B$2:$B$13,MATCH(D2811,Products!$A$2:$A$13,0))</f>
        <v>Specialty</v>
      </c>
      <c r="F2811" s="15" t="n">
        <v>3.6</v>
      </c>
      <c r="G2811" s="16" t="n">
        <f aca="false">IF(A2811="2025",INDEX(Products!$C$2:$C$13,MATCH(D2811,Products!$A$2:$A$13,0)),INDEX(Products!$E$2:$E$13,MATCH(D2811,Products!$A$2:$A$13,0)))</f>
        <v>28970</v>
      </c>
      <c r="H2811" s="13" t="n">
        <f aca="false">IF(A2811="2025",INDEX(Customers!$D$2:$D$41,MATCH(C2811,Customers!$A$2:$A$41,0)),INDEX(Customers!$F$2:$F$41,MATCH(C2811,Customers!$A$2:$A$41,0)))</f>
        <v>0.035</v>
      </c>
      <c r="I2811" s="16" t="n">
        <f aca="false">F2811*G2811</f>
        <v>104292</v>
      </c>
      <c r="J2811" s="16" t="n">
        <f aca="false">I2811*(1-H2811)</f>
        <v>100641.78</v>
      </c>
      <c r="K2811" s="16" t="n">
        <f aca="false">J2811*INDEX(Customers!$G$2:$G$41,MATCH(C2811,Customers!$A$2:$A$41,0))</f>
        <v>1006.4178</v>
      </c>
      <c r="L2811" s="16" t="n">
        <f aca="false">F2811*INDEX(Customers!$H$2:$H$41,MATCH(C2811,Customers!$A$2:$A$41,0))</f>
        <v>648</v>
      </c>
      <c r="M2811" s="16" t="n">
        <f aca="false">J2811*INDEX(Customers!$I$2:$I$41,MATCH(C2811,Customers!$A$2:$A$41,0))/365*Assumptions!$B$6</f>
        <v>1323.50833972603</v>
      </c>
      <c r="N2811" s="16" t="n">
        <f aca="false">J2811-K2811-L2811-M2811</f>
        <v>97663.853860274</v>
      </c>
      <c r="O2811" s="16" t="n">
        <f aca="false">F2811*IF(A2811="2025",INDEX(Products!$D$2:$D$13,MATCH(D2811,Products!$A$2:$A$13,0)),INDEX(Products!$F$2:$F$13,MATCH(D2811,Products!$A$2:$A$13,0)))</f>
        <v>51516</v>
      </c>
      <c r="P2811" s="16" t="n">
        <f aca="false">N2811-O2811</f>
        <v>46147.853860274</v>
      </c>
    </row>
    <row r="2812" customFormat="false" ht="15" hidden="false" customHeight="false" outlineLevel="0" collapsed="false">
      <c r="A2812" s="2" t="s">
        <v>118</v>
      </c>
      <c r="B2812" s="2" t="n">
        <v>3</v>
      </c>
      <c r="C2812" s="2" t="s">
        <v>103</v>
      </c>
      <c r="D2812" s="2" t="s">
        <v>44</v>
      </c>
      <c r="E2812" s="2" t="str">
        <f aca="false">INDEX(Products!$B$2:$B$13,MATCH(D2812,Products!$A$2:$A$13,0))</f>
        <v>Specialty</v>
      </c>
      <c r="F2812" s="15" t="n">
        <v>5.1</v>
      </c>
      <c r="G2812" s="16" t="n">
        <f aca="false">IF(A2812="2025",INDEX(Products!$C$2:$C$13,MATCH(D2812,Products!$A$2:$A$13,0)),INDEX(Products!$E$2:$E$13,MATCH(D2812,Products!$A$2:$A$13,0)))</f>
        <v>28970</v>
      </c>
      <c r="H2812" s="13" t="n">
        <f aca="false">IF(A2812="2025",INDEX(Customers!$D$2:$D$41,MATCH(C2812,Customers!$A$2:$A$41,0)),INDEX(Customers!$F$2:$F$41,MATCH(C2812,Customers!$A$2:$A$41,0)))</f>
        <v>0.035</v>
      </c>
      <c r="I2812" s="16" t="n">
        <f aca="false">F2812*G2812</f>
        <v>147747</v>
      </c>
      <c r="J2812" s="16" t="n">
        <f aca="false">I2812*(1-H2812)</f>
        <v>142575.855</v>
      </c>
      <c r="K2812" s="16" t="n">
        <f aca="false">J2812*INDEX(Customers!$G$2:$G$41,MATCH(C2812,Customers!$A$2:$A$41,0))</f>
        <v>1425.75855</v>
      </c>
      <c r="L2812" s="16" t="n">
        <f aca="false">F2812*INDEX(Customers!$H$2:$H$41,MATCH(C2812,Customers!$A$2:$A$41,0))</f>
        <v>918</v>
      </c>
      <c r="M2812" s="16" t="n">
        <f aca="false">J2812*INDEX(Customers!$I$2:$I$41,MATCH(C2812,Customers!$A$2:$A$41,0))/365*Assumptions!$B$6</f>
        <v>1874.97014794521</v>
      </c>
      <c r="N2812" s="16" t="n">
        <f aca="false">J2812-K2812-L2812-M2812</f>
        <v>138357.126302055</v>
      </c>
      <c r="O2812" s="16" t="n">
        <f aca="false">F2812*IF(A2812="2025",INDEX(Products!$D$2:$D$13,MATCH(D2812,Products!$A$2:$A$13,0)),INDEX(Products!$F$2:$F$13,MATCH(D2812,Products!$A$2:$A$13,0)))</f>
        <v>72981</v>
      </c>
      <c r="P2812" s="16" t="n">
        <f aca="false">N2812-O2812</f>
        <v>65376.1263020548</v>
      </c>
    </row>
    <row r="2813" customFormat="false" ht="15" hidden="false" customHeight="false" outlineLevel="0" collapsed="false">
      <c r="A2813" s="2" t="s">
        <v>118</v>
      </c>
      <c r="B2813" s="2" t="n">
        <v>4</v>
      </c>
      <c r="C2813" s="2" t="s">
        <v>103</v>
      </c>
      <c r="D2813" s="2" t="s">
        <v>44</v>
      </c>
      <c r="E2813" s="2" t="str">
        <f aca="false">INDEX(Products!$B$2:$B$13,MATCH(D2813,Products!$A$2:$A$13,0))</f>
        <v>Specialty</v>
      </c>
      <c r="F2813" s="15" t="n">
        <v>3.4</v>
      </c>
      <c r="G2813" s="16" t="n">
        <f aca="false">IF(A2813="2025",INDEX(Products!$C$2:$C$13,MATCH(D2813,Products!$A$2:$A$13,0)),INDEX(Products!$E$2:$E$13,MATCH(D2813,Products!$A$2:$A$13,0)))</f>
        <v>28970</v>
      </c>
      <c r="H2813" s="13" t="n">
        <f aca="false">IF(A2813="2025",INDEX(Customers!$D$2:$D$41,MATCH(C2813,Customers!$A$2:$A$41,0)),INDEX(Customers!$F$2:$F$41,MATCH(C2813,Customers!$A$2:$A$41,0)))</f>
        <v>0.035</v>
      </c>
      <c r="I2813" s="16" t="n">
        <f aca="false">F2813*G2813</f>
        <v>98498</v>
      </c>
      <c r="J2813" s="16" t="n">
        <f aca="false">I2813*(1-H2813)</f>
        <v>95050.57</v>
      </c>
      <c r="K2813" s="16" t="n">
        <f aca="false">J2813*INDEX(Customers!$G$2:$G$41,MATCH(C2813,Customers!$A$2:$A$41,0))</f>
        <v>950.5057</v>
      </c>
      <c r="L2813" s="16" t="n">
        <f aca="false">F2813*INDEX(Customers!$H$2:$H$41,MATCH(C2813,Customers!$A$2:$A$41,0))</f>
        <v>612</v>
      </c>
      <c r="M2813" s="16" t="n">
        <f aca="false">J2813*INDEX(Customers!$I$2:$I$41,MATCH(C2813,Customers!$A$2:$A$41,0))/365*Assumptions!$B$6</f>
        <v>1249.98009863014</v>
      </c>
      <c r="N2813" s="16" t="n">
        <f aca="false">J2813-K2813-L2813-M2813</f>
        <v>92238.0842013699</v>
      </c>
      <c r="O2813" s="16" t="n">
        <f aca="false">F2813*IF(A2813="2025",INDEX(Products!$D$2:$D$13,MATCH(D2813,Products!$A$2:$A$13,0)),INDEX(Products!$F$2:$F$13,MATCH(D2813,Products!$A$2:$A$13,0)))</f>
        <v>48654</v>
      </c>
      <c r="P2813" s="16" t="n">
        <f aca="false">N2813-O2813</f>
        <v>43584.0842013699</v>
      </c>
    </row>
    <row r="2814" customFormat="false" ht="15" hidden="false" customHeight="false" outlineLevel="0" collapsed="false">
      <c r="A2814" s="2" t="s">
        <v>118</v>
      </c>
      <c r="B2814" s="2" t="n">
        <v>5</v>
      </c>
      <c r="C2814" s="2" t="s">
        <v>103</v>
      </c>
      <c r="D2814" s="2" t="s">
        <v>44</v>
      </c>
      <c r="E2814" s="2" t="str">
        <f aca="false">INDEX(Products!$B$2:$B$13,MATCH(D2814,Products!$A$2:$A$13,0))</f>
        <v>Specialty</v>
      </c>
      <c r="F2814" s="15" t="n">
        <v>4.8</v>
      </c>
      <c r="G2814" s="16" t="n">
        <f aca="false">IF(A2814="2025",INDEX(Products!$C$2:$C$13,MATCH(D2814,Products!$A$2:$A$13,0)),INDEX(Products!$E$2:$E$13,MATCH(D2814,Products!$A$2:$A$13,0)))</f>
        <v>28970</v>
      </c>
      <c r="H2814" s="13" t="n">
        <f aca="false">IF(A2814="2025",INDEX(Customers!$D$2:$D$41,MATCH(C2814,Customers!$A$2:$A$41,0)),INDEX(Customers!$F$2:$F$41,MATCH(C2814,Customers!$A$2:$A$41,0)))</f>
        <v>0.035</v>
      </c>
      <c r="I2814" s="16" t="n">
        <f aca="false">F2814*G2814</f>
        <v>139056</v>
      </c>
      <c r="J2814" s="16" t="n">
        <f aca="false">I2814*(1-H2814)</f>
        <v>134189.04</v>
      </c>
      <c r="K2814" s="16" t="n">
        <f aca="false">J2814*INDEX(Customers!$G$2:$G$41,MATCH(C2814,Customers!$A$2:$A$41,0))</f>
        <v>1341.8904</v>
      </c>
      <c r="L2814" s="16" t="n">
        <f aca="false">F2814*INDEX(Customers!$H$2:$H$41,MATCH(C2814,Customers!$A$2:$A$41,0))</f>
        <v>864</v>
      </c>
      <c r="M2814" s="16" t="n">
        <f aca="false">J2814*INDEX(Customers!$I$2:$I$41,MATCH(C2814,Customers!$A$2:$A$41,0))/365*Assumptions!$B$6</f>
        <v>1764.67778630137</v>
      </c>
      <c r="N2814" s="16" t="n">
        <f aca="false">J2814-K2814-L2814-M2814</f>
        <v>130218.471813699</v>
      </c>
      <c r="O2814" s="16" t="n">
        <f aca="false">F2814*IF(A2814="2025",INDEX(Products!$D$2:$D$13,MATCH(D2814,Products!$A$2:$A$13,0)),INDEX(Products!$F$2:$F$13,MATCH(D2814,Products!$A$2:$A$13,0)))</f>
        <v>68688</v>
      </c>
      <c r="P2814" s="16" t="n">
        <f aca="false">N2814-O2814</f>
        <v>61530.4718136986</v>
      </c>
    </row>
    <row r="2815" customFormat="false" ht="15" hidden="false" customHeight="false" outlineLevel="0" collapsed="false">
      <c r="A2815" s="2" t="s">
        <v>118</v>
      </c>
      <c r="B2815" s="2" t="n">
        <v>6</v>
      </c>
      <c r="C2815" s="2" t="s">
        <v>103</v>
      </c>
      <c r="D2815" s="2" t="s">
        <v>44</v>
      </c>
      <c r="E2815" s="2" t="str">
        <f aca="false">INDEX(Products!$B$2:$B$13,MATCH(D2815,Products!$A$2:$A$13,0))</f>
        <v>Specialty</v>
      </c>
      <c r="F2815" s="15" t="n">
        <v>4.5</v>
      </c>
      <c r="G2815" s="16" t="n">
        <f aca="false">IF(A2815="2025",INDEX(Products!$C$2:$C$13,MATCH(D2815,Products!$A$2:$A$13,0)),INDEX(Products!$E$2:$E$13,MATCH(D2815,Products!$A$2:$A$13,0)))</f>
        <v>28970</v>
      </c>
      <c r="H2815" s="13" t="n">
        <f aca="false">IF(A2815="2025",INDEX(Customers!$D$2:$D$41,MATCH(C2815,Customers!$A$2:$A$41,0)),INDEX(Customers!$F$2:$F$41,MATCH(C2815,Customers!$A$2:$A$41,0)))</f>
        <v>0.035</v>
      </c>
      <c r="I2815" s="16" t="n">
        <f aca="false">F2815*G2815</f>
        <v>130365</v>
      </c>
      <c r="J2815" s="16" t="n">
        <f aca="false">I2815*(1-H2815)</f>
        <v>125802.225</v>
      </c>
      <c r="K2815" s="16" t="n">
        <f aca="false">J2815*INDEX(Customers!$G$2:$G$41,MATCH(C2815,Customers!$A$2:$A$41,0))</f>
        <v>1258.02225</v>
      </c>
      <c r="L2815" s="16" t="n">
        <f aca="false">F2815*INDEX(Customers!$H$2:$H$41,MATCH(C2815,Customers!$A$2:$A$41,0))</f>
        <v>810</v>
      </c>
      <c r="M2815" s="16" t="n">
        <f aca="false">J2815*INDEX(Customers!$I$2:$I$41,MATCH(C2815,Customers!$A$2:$A$41,0))/365*Assumptions!$B$6</f>
        <v>1654.38542465753</v>
      </c>
      <c r="N2815" s="16" t="n">
        <f aca="false">J2815-K2815-L2815-M2815</f>
        <v>122079.817325342</v>
      </c>
      <c r="O2815" s="16" t="n">
        <f aca="false">F2815*IF(A2815="2025",INDEX(Products!$D$2:$D$13,MATCH(D2815,Products!$A$2:$A$13,0)),INDEX(Products!$F$2:$F$13,MATCH(D2815,Products!$A$2:$A$13,0)))</f>
        <v>64395</v>
      </c>
      <c r="P2815" s="16" t="n">
        <f aca="false">N2815-O2815</f>
        <v>57684.8173253425</v>
      </c>
    </row>
    <row r="2816" customFormat="false" ht="15" hidden="false" customHeight="false" outlineLevel="0" collapsed="false">
      <c r="A2816" s="2" t="s">
        <v>118</v>
      </c>
      <c r="B2816" s="2" t="n">
        <v>7</v>
      </c>
      <c r="C2816" s="2" t="s">
        <v>103</v>
      </c>
      <c r="D2816" s="2" t="s">
        <v>44</v>
      </c>
      <c r="E2816" s="2" t="str">
        <f aca="false">INDEX(Products!$B$2:$B$13,MATCH(D2816,Products!$A$2:$A$13,0))</f>
        <v>Specialty</v>
      </c>
      <c r="F2816" s="15" t="n">
        <v>3.4</v>
      </c>
      <c r="G2816" s="16" t="n">
        <f aca="false">IF(A2816="2025",INDEX(Products!$C$2:$C$13,MATCH(D2816,Products!$A$2:$A$13,0)),INDEX(Products!$E$2:$E$13,MATCH(D2816,Products!$A$2:$A$13,0)))</f>
        <v>28970</v>
      </c>
      <c r="H2816" s="13" t="n">
        <f aca="false">IF(A2816="2025",INDEX(Customers!$D$2:$D$41,MATCH(C2816,Customers!$A$2:$A$41,0)),INDEX(Customers!$F$2:$F$41,MATCH(C2816,Customers!$A$2:$A$41,0)))</f>
        <v>0.035</v>
      </c>
      <c r="I2816" s="16" t="n">
        <f aca="false">F2816*G2816</f>
        <v>98498</v>
      </c>
      <c r="J2816" s="16" t="n">
        <f aca="false">I2816*(1-H2816)</f>
        <v>95050.57</v>
      </c>
      <c r="K2816" s="16" t="n">
        <f aca="false">J2816*INDEX(Customers!$G$2:$G$41,MATCH(C2816,Customers!$A$2:$A$41,0))</f>
        <v>950.5057</v>
      </c>
      <c r="L2816" s="16" t="n">
        <f aca="false">F2816*INDEX(Customers!$H$2:$H$41,MATCH(C2816,Customers!$A$2:$A$41,0))</f>
        <v>612</v>
      </c>
      <c r="M2816" s="16" t="n">
        <f aca="false">J2816*INDEX(Customers!$I$2:$I$41,MATCH(C2816,Customers!$A$2:$A$41,0))/365*Assumptions!$B$6</f>
        <v>1249.98009863014</v>
      </c>
      <c r="N2816" s="16" t="n">
        <f aca="false">J2816-K2816-L2816-M2816</f>
        <v>92238.0842013699</v>
      </c>
      <c r="O2816" s="16" t="n">
        <f aca="false">F2816*IF(A2816="2025",INDEX(Products!$D$2:$D$13,MATCH(D2816,Products!$A$2:$A$13,0)),INDEX(Products!$F$2:$F$13,MATCH(D2816,Products!$A$2:$A$13,0)))</f>
        <v>48654</v>
      </c>
      <c r="P2816" s="16" t="n">
        <f aca="false">N2816-O2816</f>
        <v>43584.0842013699</v>
      </c>
    </row>
    <row r="2817" customFormat="false" ht="15" hidden="false" customHeight="false" outlineLevel="0" collapsed="false">
      <c r="A2817" s="2" t="s">
        <v>118</v>
      </c>
      <c r="B2817" s="2" t="n">
        <v>8</v>
      </c>
      <c r="C2817" s="2" t="s">
        <v>103</v>
      </c>
      <c r="D2817" s="2" t="s">
        <v>44</v>
      </c>
      <c r="E2817" s="2" t="str">
        <f aca="false">INDEX(Products!$B$2:$B$13,MATCH(D2817,Products!$A$2:$A$13,0))</f>
        <v>Specialty</v>
      </c>
      <c r="F2817" s="15" t="n">
        <v>6</v>
      </c>
      <c r="G2817" s="16" t="n">
        <f aca="false">IF(A2817="2025",INDEX(Products!$C$2:$C$13,MATCH(D2817,Products!$A$2:$A$13,0)),INDEX(Products!$E$2:$E$13,MATCH(D2817,Products!$A$2:$A$13,0)))</f>
        <v>28970</v>
      </c>
      <c r="H2817" s="13" t="n">
        <f aca="false">IF(A2817="2025",INDEX(Customers!$D$2:$D$41,MATCH(C2817,Customers!$A$2:$A$41,0)),INDEX(Customers!$F$2:$F$41,MATCH(C2817,Customers!$A$2:$A$41,0)))</f>
        <v>0.035</v>
      </c>
      <c r="I2817" s="16" t="n">
        <f aca="false">F2817*G2817</f>
        <v>173820</v>
      </c>
      <c r="J2817" s="16" t="n">
        <f aca="false">I2817*(1-H2817)</f>
        <v>167736.3</v>
      </c>
      <c r="K2817" s="16" t="n">
        <f aca="false">J2817*INDEX(Customers!$G$2:$G$41,MATCH(C2817,Customers!$A$2:$A$41,0))</f>
        <v>1677.363</v>
      </c>
      <c r="L2817" s="16" t="n">
        <f aca="false">F2817*INDEX(Customers!$H$2:$H$41,MATCH(C2817,Customers!$A$2:$A$41,0))</f>
        <v>1080</v>
      </c>
      <c r="M2817" s="16" t="n">
        <f aca="false">J2817*INDEX(Customers!$I$2:$I$41,MATCH(C2817,Customers!$A$2:$A$41,0))/365*Assumptions!$B$6</f>
        <v>2205.84723287671</v>
      </c>
      <c r="N2817" s="16" t="n">
        <f aca="false">J2817-K2817-L2817-M2817</f>
        <v>162773.089767123</v>
      </c>
      <c r="O2817" s="16" t="n">
        <f aca="false">F2817*IF(A2817="2025",INDEX(Products!$D$2:$D$13,MATCH(D2817,Products!$A$2:$A$13,0)),INDEX(Products!$F$2:$F$13,MATCH(D2817,Products!$A$2:$A$13,0)))</f>
        <v>85860</v>
      </c>
      <c r="P2817" s="16" t="n">
        <f aca="false">N2817-O2817</f>
        <v>76913.0897671233</v>
      </c>
    </row>
    <row r="2818" customFormat="false" ht="15" hidden="false" customHeight="false" outlineLevel="0" collapsed="false">
      <c r="A2818" s="2" t="s">
        <v>118</v>
      </c>
      <c r="B2818" s="2" t="n">
        <v>9</v>
      </c>
      <c r="C2818" s="2" t="s">
        <v>103</v>
      </c>
      <c r="D2818" s="2" t="s">
        <v>44</v>
      </c>
      <c r="E2818" s="2" t="str">
        <f aca="false">INDEX(Products!$B$2:$B$13,MATCH(D2818,Products!$A$2:$A$13,0))</f>
        <v>Specialty</v>
      </c>
      <c r="F2818" s="15" t="n">
        <v>4.5</v>
      </c>
      <c r="G2818" s="16" t="n">
        <f aca="false">IF(A2818="2025",INDEX(Products!$C$2:$C$13,MATCH(D2818,Products!$A$2:$A$13,0)),INDEX(Products!$E$2:$E$13,MATCH(D2818,Products!$A$2:$A$13,0)))</f>
        <v>28970</v>
      </c>
      <c r="H2818" s="13" t="n">
        <f aca="false">IF(A2818="2025",INDEX(Customers!$D$2:$D$41,MATCH(C2818,Customers!$A$2:$A$41,0)),INDEX(Customers!$F$2:$F$41,MATCH(C2818,Customers!$A$2:$A$41,0)))</f>
        <v>0.035</v>
      </c>
      <c r="I2818" s="16" t="n">
        <f aca="false">F2818*G2818</f>
        <v>130365</v>
      </c>
      <c r="J2818" s="16" t="n">
        <f aca="false">I2818*(1-H2818)</f>
        <v>125802.225</v>
      </c>
      <c r="K2818" s="16" t="n">
        <f aca="false">J2818*INDEX(Customers!$G$2:$G$41,MATCH(C2818,Customers!$A$2:$A$41,0))</f>
        <v>1258.02225</v>
      </c>
      <c r="L2818" s="16" t="n">
        <f aca="false">F2818*INDEX(Customers!$H$2:$H$41,MATCH(C2818,Customers!$A$2:$A$41,0))</f>
        <v>810</v>
      </c>
      <c r="M2818" s="16" t="n">
        <f aca="false">J2818*INDEX(Customers!$I$2:$I$41,MATCH(C2818,Customers!$A$2:$A$41,0))/365*Assumptions!$B$6</f>
        <v>1654.38542465753</v>
      </c>
      <c r="N2818" s="16" t="n">
        <f aca="false">J2818-K2818-L2818-M2818</f>
        <v>122079.817325342</v>
      </c>
      <c r="O2818" s="16" t="n">
        <f aca="false">F2818*IF(A2818="2025",INDEX(Products!$D$2:$D$13,MATCH(D2818,Products!$A$2:$A$13,0)),INDEX(Products!$F$2:$F$13,MATCH(D2818,Products!$A$2:$A$13,0)))</f>
        <v>64395</v>
      </c>
      <c r="P2818" s="16" t="n">
        <f aca="false">N2818-O2818</f>
        <v>57684.8173253425</v>
      </c>
    </row>
    <row r="2819" customFormat="false" ht="15" hidden="false" customHeight="false" outlineLevel="0" collapsed="false">
      <c r="A2819" s="2" t="s">
        <v>118</v>
      </c>
      <c r="B2819" s="2" t="n">
        <v>10</v>
      </c>
      <c r="C2819" s="2" t="s">
        <v>103</v>
      </c>
      <c r="D2819" s="2" t="s">
        <v>44</v>
      </c>
      <c r="E2819" s="2" t="str">
        <f aca="false">INDEX(Products!$B$2:$B$13,MATCH(D2819,Products!$A$2:$A$13,0))</f>
        <v>Specialty</v>
      </c>
      <c r="F2819" s="15" t="n">
        <v>4.8</v>
      </c>
      <c r="G2819" s="16" t="n">
        <f aca="false">IF(A2819="2025",INDEX(Products!$C$2:$C$13,MATCH(D2819,Products!$A$2:$A$13,0)),INDEX(Products!$E$2:$E$13,MATCH(D2819,Products!$A$2:$A$13,0)))</f>
        <v>28970</v>
      </c>
      <c r="H2819" s="13" t="n">
        <f aca="false">IF(A2819="2025",INDEX(Customers!$D$2:$D$41,MATCH(C2819,Customers!$A$2:$A$41,0)),INDEX(Customers!$F$2:$F$41,MATCH(C2819,Customers!$A$2:$A$41,0)))</f>
        <v>0.035</v>
      </c>
      <c r="I2819" s="16" t="n">
        <f aca="false">F2819*G2819</f>
        <v>139056</v>
      </c>
      <c r="J2819" s="16" t="n">
        <f aca="false">I2819*(1-H2819)</f>
        <v>134189.04</v>
      </c>
      <c r="K2819" s="16" t="n">
        <f aca="false">J2819*INDEX(Customers!$G$2:$G$41,MATCH(C2819,Customers!$A$2:$A$41,0))</f>
        <v>1341.8904</v>
      </c>
      <c r="L2819" s="16" t="n">
        <f aca="false">F2819*INDEX(Customers!$H$2:$H$41,MATCH(C2819,Customers!$A$2:$A$41,0))</f>
        <v>864</v>
      </c>
      <c r="M2819" s="16" t="n">
        <f aca="false">J2819*INDEX(Customers!$I$2:$I$41,MATCH(C2819,Customers!$A$2:$A$41,0))/365*Assumptions!$B$6</f>
        <v>1764.67778630137</v>
      </c>
      <c r="N2819" s="16" t="n">
        <f aca="false">J2819-K2819-L2819-M2819</f>
        <v>130218.471813699</v>
      </c>
      <c r="O2819" s="16" t="n">
        <f aca="false">F2819*IF(A2819="2025",INDEX(Products!$D$2:$D$13,MATCH(D2819,Products!$A$2:$A$13,0)),INDEX(Products!$F$2:$F$13,MATCH(D2819,Products!$A$2:$A$13,0)))</f>
        <v>68688</v>
      </c>
      <c r="P2819" s="16" t="n">
        <f aca="false">N2819-O2819</f>
        <v>61530.4718136986</v>
      </c>
    </row>
    <row r="2820" customFormat="false" ht="15" hidden="false" customHeight="false" outlineLevel="0" collapsed="false">
      <c r="A2820" s="2" t="s">
        <v>118</v>
      </c>
      <c r="B2820" s="2" t="n">
        <v>11</v>
      </c>
      <c r="C2820" s="2" t="s">
        <v>103</v>
      </c>
      <c r="D2820" s="2" t="s">
        <v>44</v>
      </c>
      <c r="E2820" s="2" t="str">
        <f aca="false">INDEX(Products!$B$2:$B$13,MATCH(D2820,Products!$A$2:$A$13,0))</f>
        <v>Specialty</v>
      </c>
      <c r="F2820" s="15" t="n">
        <v>5.5</v>
      </c>
      <c r="G2820" s="16" t="n">
        <f aca="false">IF(A2820="2025",INDEX(Products!$C$2:$C$13,MATCH(D2820,Products!$A$2:$A$13,0)),INDEX(Products!$E$2:$E$13,MATCH(D2820,Products!$A$2:$A$13,0)))</f>
        <v>28970</v>
      </c>
      <c r="H2820" s="13" t="n">
        <f aca="false">IF(A2820="2025",INDEX(Customers!$D$2:$D$41,MATCH(C2820,Customers!$A$2:$A$41,0)),INDEX(Customers!$F$2:$F$41,MATCH(C2820,Customers!$A$2:$A$41,0)))</f>
        <v>0.035</v>
      </c>
      <c r="I2820" s="16" t="n">
        <f aca="false">F2820*G2820</f>
        <v>159335</v>
      </c>
      <c r="J2820" s="16" t="n">
        <f aca="false">I2820*(1-H2820)</f>
        <v>153758.275</v>
      </c>
      <c r="K2820" s="16" t="n">
        <f aca="false">J2820*INDEX(Customers!$G$2:$G$41,MATCH(C2820,Customers!$A$2:$A$41,0))</f>
        <v>1537.58275</v>
      </c>
      <c r="L2820" s="16" t="n">
        <f aca="false">F2820*INDEX(Customers!$H$2:$H$41,MATCH(C2820,Customers!$A$2:$A$41,0))</f>
        <v>990</v>
      </c>
      <c r="M2820" s="16" t="n">
        <f aca="false">J2820*INDEX(Customers!$I$2:$I$41,MATCH(C2820,Customers!$A$2:$A$41,0))/365*Assumptions!$B$6</f>
        <v>2022.02663013699</v>
      </c>
      <c r="N2820" s="16" t="n">
        <f aca="false">J2820-K2820-L2820-M2820</f>
        <v>149208.665619863</v>
      </c>
      <c r="O2820" s="16" t="n">
        <f aca="false">F2820*IF(A2820="2025",INDEX(Products!$D$2:$D$13,MATCH(D2820,Products!$A$2:$A$13,0)),INDEX(Products!$F$2:$F$13,MATCH(D2820,Products!$A$2:$A$13,0)))</f>
        <v>78705</v>
      </c>
      <c r="P2820" s="16" t="n">
        <f aca="false">N2820-O2820</f>
        <v>70503.665619863</v>
      </c>
    </row>
    <row r="2821" customFormat="false" ht="15" hidden="false" customHeight="false" outlineLevel="0" collapsed="false">
      <c r="A2821" s="2" t="s">
        <v>118</v>
      </c>
      <c r="B2821" s="2" t="n">
        <v>12</v>
      </c>
      <c r="C2821" s="2" t="s">
        <v>103</v>
      </c>
      <c r="D2821" s="2" t="s">
        <v>44</v>
      </c>
      <c r="E2821" s="2" t="str">
        <f aca="false">INDEX(Products!$B$2:$B$13,MATCH(D2821,Products!$A$2:$A$13,0))</f>
        <v>Specialty</v>
      </c>
      <c r="F2821" s="15" t="n">
        <v>5</v>
      </c>
      <c r="G2821" s="16" t="n">
        <f aca="false">IF(A2821="2025",INDEX(Products!$C$2:$C$13,MATCH(D2821,Products!$A$2:$A$13,0)),INDEX(Products!$E$2:$E$13,MATCH(D2821,Products!$A$2:$A$13,0)))</f>
        <v>28970</v>
      </c>
      <c r="H2821" s="13" t="n">
        <f aca="false">IF(A2821="2025",INDEX(Customers!$D$2:$D$41,MATCH(C2821,Customers!$A$2:$A$41,0)),INDEX(Customers!$F$2:$F$41,MATCH(C2821,Customers!$A$2:$A$41,0)))</f>
        <v>0.035</v>
      </c>
      <c r="I2821" s="16" t="n">
        <f aca="false">F2821*G2821</f>
        <v>144850</v>
      </c>
      <c r="J2821" s="16" t="n">
        <f aca="false">I2821*(1-H2821)</f>
        <v>139780.25</v>
      </c>
      <c r="K2821" s="16" t="n">
        <f aca="false">J2821*INDEX(Customers!$G$2:$G$41,MATCH(C2821,Customers!$A$2:$A$41,0))</f>
        <v>1397.8025</v>
      </c>
      <c r="L2821" s="16" t="n">
        <f aca="false">F2821*INDEX(Customers!$H$2:$H$41,MATCH(C2821,Customers!$A$2:$A$41,0))</f>
        <v>900</v>
      </c>
      <c r="M2821" s="16" t="n">
        <f aca="false">J2821*INDEX(Customers!$I$2:$I$41,MATCH(C2821,Customers!$A$2:$A$41,0))/365*Assumptions!$B$6</f>
        <v>1838.20602739726</v>
      </c>
      <c r="N2821" s="16" t="n">
        <f aca="false">J2821-K2821-L2821-M2821</f>
        <v>135644.241472603</v>
      </c>
      <c r="O2821" s="16" t="n">
        <f aca="false">F2821*IF(A2821="2025",INDEX(Products!$D$2:$D$13,MATCH(D2821,Products!$A$2:$A$13,0)),INDEX(Products!$F$2:$F$13,MATCH(D2821,Products!$A$2:$A$13,0)))</f>
        <v>71550</v>
      </c>
      <c r="P2821" s="16" t="n">
        <f aca="false">N2821-O2821</f>
        <v>64094.2414726028</v>
      </c>
    </row>
    <row r="2822" customFormat="false" ht="15" hidden="false" customHeight="false" outlineLevel="0" collapsed="false">
      <c r="A2822" s="2" t="s">
        <v>119</v>
      </c>
      <c r="B2822" s="2" t="n">
        <v>1</v>
      </c>
      <c r="C2822" s="2" t="s">
        <v>103</v>
      </c>
      <c r="D2822" s="2" t="s">
        <v>44</v>
      </c>
      <c r="E2822" s="2" t="str">
        <f aca="false">INDEX(Products!$B$2:$B$13,MATCH(D2822,Products!$A$2:$A$13,0))</f>
        <v>Specialty</v>
      </c>
      <c r="F2822" s="15" t="n">
        <v>6.3</v>
      </c>
      <c r="G2822" s="16" t="n">
        <f aca="false">IF(A2822="2025",INDEX(Products!$C$2:$C$13,MATCH(D2822,Products!$A$2:$A$13,0)),INDEX(Products!$E$2:$E$13,MATCH(D2822,Products!$A$2:$A$13,0)))</f>
        <v>30418.5</v>
      </c>
      <c r="H2822" s="13" t="n">
        <f aca="false">IF(A2822="2025",INDEX(Customers!$D$2:$D$41,MATCH(C2822,Customers!$A$2:$A$41,0)),INDEX(Customers!$F$2:$F$41,MATCH(C2822,Customers!$A$2:$A$41,0)))</f>
        <v>0.043</v>
      </c>
      <c r="I2822" s="16" t="n">
        <f aca="false">F2822*G2822</f>
        <v>191636.55</v>
      </c>
      <c r="J2822" s="16" t="n">
        <f aca="false">I2822*(1-H2822)</f>
        <v>183396.17835</v>
      </c>
      <c r="K2822" s="16" t="n">
        <f aca="false">J2822*INDEX(Customers!$G$2:$G$41,MATCH(C2822,Customers!$A$2:$A$41,0))</f>
        <v>1833.9617835</v>
      </c>
      <c r="L2822" s="16" t="n">
        <f aca="false">F2822*INDEX(Customers!$H$2:$H$41,MATCH(C2822,Customers!$A$2:$A$41,0))</f>
        <v>1134</v>
      </c>
      <c r="M2822" s="16" t="n">
        <f aca="false">J2822*INDEX(Customers!$I$2:$I$41,MATCH(C2822,Customers!$A$2:$A$41,0))/365*Assumptions!$B$6</f>
        <v>2411.78535912329</v>
      </c>
      <c r="N2822" s="16" t="n">
        <f aca="false">J2822-K2822-L2822-M2822</f>
        <v>178016.431207377</v>
      </c>
      <c r="O2822" s="16" t="n">
        <f aca="false">F2822*IF(A2822="2025",INDEX(Products!$D$2:$D$13,MATCH(D2822,Products!$A$2:$A$13,0)),INDEX(Products!$F$2:$F$13,MATCH(D2822,Products!$A$2:$A$13,0)))</f>
        <v>92857.59</v>
      </c>
      <c r="P2822" s="16" t="n">
        <f aca="false">N2822-O2822</f>
        <v>85158.8412073767</v>
      </c>
    </row>
    <row r="2823" customFormat="false" ht="15" hidden="false" customHeight="false" outlineLevel="0" collapsed="false">
      <c r="A2823" s="2" t="s">
        <v>119</v>
      </c>
      <c r="B2823" s="2" t="n">
        <v>2</v>
      </c>
      <c r="C2823" s="2" t="s">
        <v>103</v>
      </c>
      <c r="D2823" s="2" t="s">
        <v>44</v>
      </c>
      <c r="E2823" s="2" t="str">
        <f aca="false">INDEX(Products!$B$2:$B$13,MATCH(D2823,Products!$A$2:$A$13,0))</f>
        <v>Specialty</v>
      </c>
      <c r="F2823" s="15" t="n">
        <v>3.8</v>
      </c>
      <c r="G2823" s="16" t="n">
        <f aca="false">IF(A2823="2025",INDEX(Products!$C$2:$C$13,MATCH(D2823,Products!$A$2:$A$13,0)),INDEX(Products!$E$2:$E$13,MATCH(D2823,Products!$A$2:$A$13,0)))</f>
        <v>30418.5</v>
      </c>
      <c r="H2823" s="13" t="n">
        <f aca="false">IF(A2823="2025",INDEX(Customers!$D$2:$D$41,MATCH(C2823,Customers!$A$2:$A$41,0)),INDEX(Customers!$F$2:$F$41,MATCH(C2823,Customers!$A$2:$A$41,0)))</f>
        <v>0.043</v>
      </c>
      <c r="I2823" s="16" t="n">
        <f aca="false">F2823*G2823</f>
        <v>115590.3</v>
      </c>
      <c r="J2823" s="16" t="n">
        <f aca="false">I2823*(1-H2823)</f>
        <v>110619.9171</v>
      </c>
      <c r="K2823" s="16" t="n">
        <f aca="false">J2823*INDEX(Customers!$G$2:$G$41,MATCH(C2823,Customers!$A$2:$A$41,0))</f>
        <v>1106.199171</v>
      </c>
      <c r="L2823" s="16" t="n">
        <f aca="false">F2823*INDEX(Customers!$H$2:$H$41,MATCH(C2823,Customers!$A$2:$A$41,0))</f>
        <v>684</v>
      </c>
      <c r="M2823" s="16" t="n">
        <f aca="false">J2823*INDEX(Customers!$I$2:$I$41,MATCH(C2823,Customers!$A$2:$A$41,0))/365*Assumptions!$B$6</f>
        <v>1454.72767693151</v>
      </c>
      <c r="N2823" s="16" t="n">
        <f aca="false">J2823-K2823-L2823-M2823</f>
        <v>107374.990252068</v>
      </c>
      <c r="O2823" s="16" t="n">
        <f aca="false">F2823*IF(A2823="2025",INDEX(Products!$D$2:$D$13,MATCH(D2823,Products!$A$2:$A$13,0)),INDEX(Products!$F$2:$F$13,MATCH(D2823,Products!$A$2:$A$13,0)))</f>
        <v>56009.34</v>
      </c>
      <c r="P2823" s="16" t="n">
        <f aca="false">N2823-O2823</f>
        <v>51365.6502520685</v>
      </c>
    </row>
    <row r="2824" customFormat="false" ht="15" hidden="false" customHeight="false" outlineLevel="0" collapsed="false">
      <c r="A2824" s="2" t="s">
        <v>119</v>
      </c>
      <c r="B2824" s="2" t="n">
        <v>3</v>
      </c>
      <c r="C2824" s="2" t="s">
        <v>103</v>
      </c>
      <c r="D2824" s="2" t="s">
        <v>44</v>
      </c>
      <c r="E2824" s="2" t="str">
        <f aca="false">INDEX(Products!$B$2:$B$13,MATCH(D2824,Products!$A$2:$A$13,0))</f>
        <v>Specialty</v>
      </c>
      <c r="F2824" s="15" t="n">
        <v>3.7</v>
      </c>
      <c r="G2824" s="16" t="n">
        <f aca="false">IF(A2824="2025",INDEX(Products!$C$2:$C$13,MATCH(D2824,Products!$A$2:$A$13,0)),INDEX(Products!$E$2:$E$13,MATCH(D2824,Products!$A$2:$A$13,0)))</f>
        <v>30418.5</v>
      </c>
      <c r="H2824" s="13" t="n">
        <f aca="false">IF(A2824="2025",INDEX(Customers!$D$2:$D$41,MATCH(C2824,Customers!$A$2:$A$41,0)),INDEX(Customers!$F$2:$F$41,MATCH(C2824,Customers!$A$2:$A$41,0)))</f>
        <v>0.043</v>
      </c>
      <c r="I2824" s="16" t="n">
        <f aca="false">F2824*G2824</f>
        <v>112548.45</v>
      </c>
      <c r="J2824" s="16" t="n">
        <f aca="false">I2824*(1-H2824)</f>
        <v>107708.86665</v>
      </c>
      <c r="K2824" s="16" t="n">
        <f aca="false">J2824*INDEX(Customers!$G$2:$G$41,MATCH(C2824,Customers!$A$2:$A$41,0))</f>
        <v>1077.0886665</v>
      </c>
      <c r="L2824" s="16" t="n">
        <f aca="false">F2824*INDEX(Customers!$H$2:$H$41,MATCH(C2824,Customers!$A$2:$A$41,0))</f>
        <v>666</v>
      </c>
      <c r="M2824" s="16" t="n">
        <f aca="false">J2824*INDEX(Customers!$I$2:$I$41,MATCH(C2824,Customers!$A$2:$A$41,0))/365*Assumptions!$B$6</f>
        <v>1416.44536964384</v>
      </c>
      <c r="N2824" s="16" t="n">
        <f aca="false">J2824-K2824-L2824-M2824</f>
        <v>104549.332613856</v>
      </c>
      <c r="O2824" s="16" t="n">
        <f aca="false">F2824*IF(A2824="2025",INDEX(Products!$D$2:$D$13,MATCH(D2824,Products!$A$2:$A$13,0)),INDEX(Products!$F$2:$F$13,MATCH(D2824,Products!$A$2:$A$13,0)))</f>
        <v>54535.41</v>
      </c>
      <c r="P2824" s="16" t="n">
        <f aca="false">N2824-O2824</f>
        <v>50013.9226138562</v>
      </c>
    </row>
    <row r="2825" customFormat="false" ht="15" hidden="false" customHeight="false" outlineLevel="0" collapsed="false">
      <c r="A2825" s="2" t="s">
        <v>119</v>
      </c>
      <c r="B2825" s="2" t="n">
        <v>4</v>
      </c>
      <c r="C2825" s="2" t="s">
        <v>103</v>
      </c>
      <c r="D2825" s="2" t="s">
        <v>44</v>
      </c>
      <c r="E2825" s="2" t="str">
        <f aca="false">INDEX(Products!$B$2:$B$13,MATCH(D2825,Products!$A$2:$A$13,0))</f>
        <v>Specialty</v>
      </c>
      <c r="F2825" s="15" t="n">
        <v>4.2</v>
      </c>
      <c r="G2825" s="16" t="n">
        <f aca="false">IF(A2825="2025",INDEX(Products!$C$2:$C$13,MATCH(D2825,Products!$A$2:$A$13,0)),INDEX(Products!$E$2:$E$13,MATCH(D2825,Products!$A$2:$A$13,0)))</f>
        <v>30418.5</v>
      </c>
      <c r="H2825" s="13" t="n">
        <f aca="false">IF(A2825="2025",INDEX(Customers!$D$2:$D$41,MATCH(C2825,Customers!$A$2:$A$41,0)),INDEX(Customers!$F$2:$F$41,MATCH(C2825,Customers!$A$2:$A$41,0)))</f>
        <v>0.043</v>
      </c>
      <c r="I2825" s="16" t="n">
        <f aca="false">F2825*G2825</f>
        <v>127757.7</v>
      </c>
      <c r="J2825" s="16" t="n">
        <f aca="false">I2825*(1-H2825)</f>
        <v>122264.1189</v>
      </c>
      <c r="K2825" s="16" t="n">
        <f aca="false">J2825*INDEX(Customers!$G$2:$G$41,MATCH(C2825,Customers!$A$2:$A$41,0))</f>
        <v>1222.641189</v>
      </c>
      <c r="L2825" s="16" t="n">
        <f aca="false">F2825*INDEX(Customers!$H$2:$H$41,MATCH(C2825,Customers!$A$2:$A$41,0))</f>
        <v>756</v>
      </c>
      <c r="M2825" s="16" t="n">
        <f aca="false">J2825*INDEX(Customers!$I$2:$I$41,MATCH(C2825,Customers!$A$2:$A$41,0))/365*Assumptions!$B$6</f>
        <v>1607.85690608219</v>
      </c>
      <c r="N2825" s="16" t="n">
        <f aca="false">J2825-K2825-L2825-M2825</f>
        <v>118677.620804918</v>
      </c>
      <c r="O2825" s="16" t="n">
        <f aca="false">F2825*IF(A2825="2025",INDEX(Products!$D$2:$D$13,MATCH(D2825,Products!$A$2:$A$13,0)),INDEX(Products!$F$2:$F$13,MATCH(D2825,Products!$A$2:$A$13,0)))</f>
        <v>61905.06</v>
      </c>
      <c r="P2825" s="16" t="n">
        <f aca="false">N2825-O2825</f>
        <v>56772.5608049178</v>
      </c>
    </row>
    <row r="2826" customFormat="false" ht="15" hidden="false" customHeight="false" outlineLevel="0" collapsed="false">
      <c r="A2826" s="2" t="s">
        <v>119</v>
      </c>
      <c r="B2826" s="2" t="n">
        <v>5</v>
      </c>
      <c r="C2826" s="2" t="s">
        <v>103</v>
      </c>
      <c r="D2826" s="2" t="s">
        <v>44</v>
      </c>
      <c r="E2826" s="2" t="str">
        <f aca="false">INDEX(Products!$B$2:$B$13,MATCH(D2826,Products!$A$2:$A$13,0))</f>
        <v>Specialty</v>
      </c>
      <c r="F2826" s="15" t="n">
        <v>5.6</v>
      </c>
      <c r="G2826" s="16" t="n">
        <f aca="false">IF(A2826="2025",INDEX(Products!$C$2:$C$13,MATCH(D2826,Products!$A$2:$A$13,0)),INDEX(Products!$E$2:$E$13,MATCH(D2826,Products!$A$2:$A$13,0)))</f>
        <v>30418.5</v>
      </c>
      <c r="H2826" s="13" t="n">
        <f aca="false">IF(A2826="2025",INDEX(Customers!$D$2:$D$41,MATCH(C2826,Customers!$A$2:$A$41,0)),INDEX(Customers!$F$2:$F$41,MATCH(C2826,Customers!$A$2:$A$41,0)))</f>
        <v>0.043</v>
      </c>
      <c r="I2826" s="16" t="n">
        <f aca="false">F2826*G2826</f>
        <v>170343.6</v>
      </c>
      <c r="J2826" s="16" t="n">
        <f aca="false">I2826*(1-H2826)</f>
        <v>163018.8252</v>
      </c>
      <c r="K2826" s="16" t="n">
        <f aca="false">J2826*INDEX(Customers!$G$2:$G$41,MATCH(C2826,Customers!$A$2:$A$41,0))</f>
        <v>1630.188252</v>
      </c>
      <c r="L2826" s="16" t="n">
        <f aca="false">F2826*INDEX(Customers!$H$2:$H$41,MATCH(C2826,Customers!$A$2:$A$41,0))</f>
        <v>1008</v>
      </c>
      <c r="M2826" s="16" t="n">
        <f aca="false">J2826*INDEX(Customers!$I$2:$I$41,MATCH(C2826,Customers!$A$2:$A$41,0))/365*Assumptions!$B$6</f>
        <v>2143.80920810959</v>
      </c>
      <c r="N2826" s="16" t="n">
        <f aca="false">J2826-K2826-L2826-M2826</f>
        <v>158236.82773989</v>
      </c>
      <c r="O2826" s="16" t="n">
        <f aca="false">F2826*IF(A2826="2025",INDEX(Products!$D$2:$D$13,MATCH(D2826,Products!$A$2:$A$13,0)),INDEX(Products!$F$2:$F$13,MATCH(D2826,Products!$A$2:$A$13,0)))</f>
        <v>82540.08</v>
      </c>
      <c r="P2826" s="16" t="n">
        <f aca="false">N2826-O2826</f>
        <v>75696.7477398904</v>
      </c>
    </row>
    <row r="2827" customFormat="false" ht="15" hidden="false" customHeight="false" outlineLevel="0" collapsed="false">
      <c r="A2827" s="2" t="s">
        <v>119</v>
      </c>
      <c r="B2827" s="2" t="n">
        <v>6</v>
      </c>
      <c r="C2827" s="2" t="s">
        <v>103</v>
      </c>
      <c r="D2827" s="2" t="s">
        <v>44</v>
      </c>
      <c r="E2827" s="2" t="str">
        <f aca="false">INDEX(Products!$B$2:$B$13,MATCH(D2827,Products!$A$2:$A$13,0))</f>
        <v>Specialty</v>
      </c>
      <c r="F2827" s="15" t="n">
        <v>5.6</v>
      </c>
      <c r="G2827" s="16" t="n">
        <f aca="false">IF(A2827="2025",INDEX(Products!$C$2:$C$13,MATCH(D2827,Products!$A$2:$A$13,0)),INDEX(Products!$E$2:$E$13,MATCH(D2827,Products!$A$2:$A$13,0)))</f>
        <v>30418.5</v>
      </c>
      <c r="H2827" s="13" t="n">
        <f aca="false">IF(A2827="2025",INDEX(Customers!$D$2:$D$41,MATCH(C2827,Customers!$A$2:$A$41,0)),INDEX(Customers!$F$2:$F$41,MATCH(C2827,Customers!$A$2:$A$41,0)))</f>
        <v>0.043</v>
      </c>
      <c r="I2827" s="16" t="n">
        <f aca="false">F2827*G2827</f>
        <v>170343.6</v>
      </c>
      <c r="J2827" s="16" t="n">
        <f aca="false">I2827*(1-H2827)</f>
        <v>163018.8252</v>
      </c>
      <c r="K2827" s="16" t="n">
        <f aca="false">J2827*INDEX(Customers!$G$2:$G$41,MATCH(C2827,Customers!$A$2:$A$41,0))</f>
        <v>1630.188252</v>
      </c>
      <c r="L2827" s="16" t="n">
        <f aca="false">F2827*INDEX(Customers!$H$2:$H$41,MATCH(C2827,Customers!$A$2:$A$41,0))</f>
        <v>1008</v>
      </c>
      <c r="M2827" s="16" t="n">
        <f aca="false">J2827*INDEX(Customers!$I$2:$I$41,MATCH(C2827,Customers!$A$2:$A$41,0))/365*Assumptions!$B$6</f>
        <v>2143.80920810959</v>
      </c>
      <c r="N2827" s="16" t="n">
        <f aca="false">J2827-K2827-L2827-M2827</f>
        <v>158236.82773989</v>
      </c>
      <c r="O2827" s="16" t="n">
        <f aca="false">F2827*IF(A2827="2025",INDEX(Products!$D$2:$D$13,MATCH(D2827,Products!$A$2:$A$13,0)),INDEX(Products!$F$2:$F$13,MATCH(D2827,Products!$A$2:$A$13,0)))</f>
        <v>82540.08</v>
      </c>
      <c r="P2827" s="16" t="n">
        <f aca="false">N2827-O2827</f>
        <v>75696.7477398904</v>
      </c>
    </row>
    <row r="2828" customFormat="false" ht="15" hidden="false" customHeight="false" outlineLevel="0" collapsed="false">
      <c r="A2828" s="2" t="s">
        <v>119</v>
      </c>
      <c r="B2828" s="2" t="n">
        <v>7</v>
      </c>
      <c r="C2828" s="2" t="s">
        <v>103</v>
      </c>
      <c r="D2828" s="2" t="s">
        <v>44</v>
      </c>
      <c r="E2828" s="2" t="str">
        <f aca="false">INDEX(Products!$B$2:$B$13,MATCH(D2828,Products!$A$2:$A$13,0))</f>
        <v>Specialty</v>
      </c>
      <c r="F2828" s="15" t="n">
        <v>4.2</v>
      </c>
      <c r="G2828" s="16" t="n">
        <f aca="false">IF(A2828="2025",INDEX(Products!$C$2:$C$13,MATCH(D2828,Products!$A$2:$A$13,0)),INDEX(Products!$E$2:$E$13,MATCH(D2828,Products!$A$2:$A$13,0)))</f>
        <v>30418.5</v>
      </c>
      <c r="H2828" s="13" t="n">
        <f aca="false">IF(A2828="2025",INDEX(Customers!$D$2:$D$41,MATCH(C2828,Customers!$A$2:$A$41,0)),INDEX(Customers!$F$2:$F$41,MATCH(C2828,Customers!$A$2:$A$41,0)))</f>
        <v>0.043</v>
      </c>
      <c r="I2828" s="16" t="n">
        <f aca="false">F2828*G2828</f>
        <v>127757.7</v>
      </c>
      <c r="J2828" s="16" t="n">
        <f aca="false">I2828*(1-H2828)</f>
        <v>122264.1189</v>
      </c>
      <c r="K2828" s="16" t="n">
        <f aca="false">J2828*INDEX(Customers!$G$2:$G$41,MATCH(C2828,Customers!$A$2:$A$41,0))</f>
        <v>1222.641189</v>
      </c>
      <c r="L2828" s="16" t="n">
        <f aca="false">F2828*INDEX(Customers!$H$2:$H$41,MATCH(C2828,Customers!$A$2:$A$41,0))</f>
        <v>756</v>
      </c>
      <c r="M2828" s="16" t="n">
        <f aca="false">J2828*INDEX(Customers!$I$2:$I$41,MATCH(C2828,Customers!$A$2:$A$41,0))/365*Assumptions!$B$6</f>
        <v>1607.85690608219</v>
      </c>
      <c r="N2828" s="16" t="n">
        <f aca="false">J2828-K2828-L2828-M2828</f>
        <v>118677.620804918</v>
      </c>
      <c r="O2828" s="16" t="n">
        <f aca="false">F2828*IF(A2828="2025",INDEX(Products!$D$2:$D$13,MATCH(D2828,Products!$A$2:$A$13,0)),INDEX(Products!$F$2:$F$13,MATCH(D2828,Products!$A$2:$A$13,0)))</f>
        <v>61905.06</v>
      </c>
      <c r="P2828" s="16" t="n">
        <f aca="false">N2828-O2828</f>
        <v>56772.5608049178</v>
      </c>
    </row>
    <row r="2829" customFormat="false" ht="15" hidden="false" customHeight="false" outlineLevel="0" collapsed="false">
      <c r="A2829" s="2" t="s">
        <v>119</v>
      </c>
      <c r="B2829" s="2" t="n">
        <v>8</v>
      </c>
      <c r="C2829" s="2" t="s">
        <v>103</v>
      </c>
      <c r="D2829" s="2" t="s">
        <v>44</v>
      </c>
      <c r="E2829" s="2" t="str">
        <f aca="false">INDEX(Products!$B$2:$B$13,MATCH(D2829,Products!$A$2:$A$13,0))</f>
        <v>Specialty</v>
      </c>
      <c r="F2829" s="15" t="n">
        <v>3.8</v>
      </c>
      <c r="G2829" s="16" t="n">
        <f aca="false">IF(A2829="2025",INDEX(Products!$C$2:$C$13,MATCH(D2829,Products!$A$2:$A$13,0)),INDEX(Products!$E$2:$E$13,MATCH(D2829,Products!$A$2:$A$13,0)))</f>
        <v>30418.5</v>
      </c>
      <c r="H2829" s="13" t="n">
        <f aca="false">IF(A2829="2025",INDEX(Customers!$D$2:$D$41,MATCH(C2829,Customers!$A$2:$A$41,0)),INDEX(Customers!$F$2:$F$41,MATCH(C2829,Customers!$A$2:$A$41,0)))</f>
        <v>0.043</v>
      </c>
      <c r="I2829" s="16" t="n">
        <f aca="false">F2829*G2829</f>
        <v>115590.3</v>
      </c>
      <c r="J2829" s="16" t="n">
        <f aca="false">I2829*(1-H2829)</f>
        <v>110619.9171</v>
      </c>
      <c r="K2829" s="16" t="n">
        <f aca="false">J2829*INDEX(Customers!$G$2:$G$41,MATCH(C2829,Customers!$A$2:$A$41,0))</f>
        <v>1106.199171</v>
      </c>
      <c r="L2829" s="16" t="n">
        <f aca="false">F2829*INDEX(Customers!$H$2:$H$41,MATCH(C2829,Customers!$A$2:$A$41,0))</f>
        <v>684</v>
      </c>
      <c r="M2829" s="16" t="n">
        <f aca="false">J2829*INDEX(Customers!$I$2:$I$41,MATCH(C2829,Customers!$A$2:$A$41,0))/365*Assumptions!$B$6</f>
        <v>1454.72767693151</v>
      </c>
      <c r="N2829" s="16" t="n">
        <f aca="false">J2829-K2829-L2829-M2829</f>
        <v>107374.990252068</v>
      </c>
      <c r="O2829" s="16" t="n">
        <f aca="false">F2829*IF(A2829="2025",INDEX(Products!$D$2:$D$13,MATCH(D2829,Products!$A$2:$A$13,0)),INDEX(Products!$F$2:$F$13,MATCH(D2829,Products!$A$2:$A$13,0)))</f>
        <v>56009.34</v>
      </c>
      <c r="P2829" s="16" t="n">
        <f aca="false">N2829-O2829</f>
        <v>51365.6502520685</v>
      </c>
    </row>
    <row r="2830" customFormat="false" ht="15" hidden="false" customHeight="false" outlineLevel="0" collapsed="false">
      <c r="A2830" s="2" t="s">
        <v>119</v>
      </c>
      <c r="B2830" s="2" t="n">
        <v>9</v>
      </c>
      <c r="C2830" s="2" t="s">
        <v>103</v>
      </c>
      <c r="D2830" s="2" t="s">
        <v>44</v>
      </c>
      <c r="E2830" s="2" t="str">
        <f aca="false">INDEX(Products!$B$2:$B$13,MATCH(D2830,Products!$A$2:$A$13,0))</f>
        <v>Specialty</v>
      </c>
      <c r="F2830" s="15" t="n">
        <v>5.3</v>
      </c>
      <c r="G2830" s="16" t="n">
        <f aca="false">IF(A2830="2025",INDEX(Products!$C$2:$C$13,MATCH(D2830,Products!$A$2:$A$13,0)),INDEX(Products!$E$2:$E$13,MATCH(D2830,Products!$A$2:$A$13,0)))</f>
        <v>30418.5</v>
      </c>
      <c r="H2830" s="13" t="n">
        <f aca="false">IF(A2830="2025",INDEX(Customers!$D$2:$D$41,MATCH(C2830,Customers!$A$2:$A$41,0)),INDEX(Customers!$F$2:$F$41,MATCH(C2830,Customers!$A$2:$A$41,0)))</f>
        <v>0.043</v>
      </c>
      <c r="I2830" s="16" t="n">
        <f aca="false">F2830*G2830</f>
        <v>161218.05</v>
      </c>
      <c r="J2830" s="16" t="n">
        <f aca="false">I2830*(1-H2830)</f>
        <v>154285.67385</v>
      </c>
      <c r="K2830" s="16" t="n">
        <f aca="false">J2830*INDEX(Customers!$G$2:$G$41,MATCH(C2830,Customers!$A$2:$A$41,0))</f>
        <v>1542.8567385</v>
      </c>
      <c r="L2830" s="16" t="n">
        <f aca="false">F2830*INDEX(Customers!$H$2:$H$41,MATCH(C2830,Customers!$A$2:$A$41,0))</f>
        <v>954</v>
      </c>
      <c r="M2830" s="16" t="n">
        <f aca="false">J2830*INDEX(Customers!$I$2:$I$41,MATCH(C2830,Customers!$A$2:$A$41,0))/365*Assumptions!$B$6</f>
        <v>2028.96228624658</v>
      </c>
      <c r="N2830" s="16" t="n">
        <f aca="false">J2830-K2830-L2830-M2830</f>
        <v>149759.854825253</v>
      </c>
      <c r="O2830" s="16" t="n">
        <f aca="false">F2830*IF(A2830="2025",INDEX(Products!$D$2:$D$13,MATCH(D2830,Products!$A$2:$A$13,0)),INDEX(Products!$F$2:$F$13,MATCH(D2830,Products!$A$2:$A$13,0)))</f>
        <v>78118.29</v>
      </c>
      <c r="P2830" s="16" t="n">
        <f aca="false">N2830-O2830</f>
        <v>71641.5648252534</v>
      </c>
    </row>
    <row r="2831" customFormat="false" ht="15" hidden="false" customHeight="false" outlineLevel="0" collapsed="false">
      <c r="A2831" s="2" t="s">
        <v>119</v>
      </c>
      <c r="B2831" s="2" t="n">
        <v>10</v>
      </c>
      <c r="C2831" s="2" t="s">
        <v>103</v>
      </c>
      <c r="D2831" s="2" t="s">
        <v>44</v>
      </c>
      <c r="E2831" s="2" t="str">
        <f aca="false">INDEX(Products!$B$2:$B$13,MATCH(D2831,Products!$A$2:$A$13,0))</f>
        <v>Specialty</v>
      </c>
      <c r="F2831" s="15" t="n">
        <v>6.5</v>
      </c>
      <c r="G2831" s="16" t="n">
        <f aca="false">IF(A2831="2025",INDEX(Products!$C$2:$C$13,MATCH(D2831,Products!$A$2:$A$13,0)),INDEX(Products!$E$2:$E$13,MATCH(D2831,Products!$A$2:$A$13,0)))</f>
        <v>30418.5</v>
      </c>
      <c r="H2831" s="13" t="n">
        <f aca="false">IF(A2831="2025",INDEX(Customers!$D$2:$D$41,MATCH(C2831,Customers!$A$2:$A$41,0)),INDEX(Customers!$F$2:$F$41,MATCH(C2831,Customers!$A$2:$A$41,0)))</f>
        <v>0.043</v>
      </c>
      <c r="I2831" s="16" t="n">
        <f aca="false">F2831*G2831</f>
        <v>197720.25</v>
      </c>
      <c r="J2831" s="16" t="n">
        <f aca="false">I2831*(1-H2831)</f>
        <v>189218.27925</v>
      </c>
      <c r="K2831" s="16" t="n">
        <f aca="false">J2831*INDEX(Customers!$G$2:$G$41,MATCH(C2831,Customers!$A$2:$A$41,0))</f>
        <v>1892.1827925</v>
      </c>
      <c r="L2831" s="16" t="n">
        <f aca="false">F2831*INDEX(Customers!$H$2:$H$41,MATCH(C2831,Customers!$A$2:$A$41,0))</f>
        <v>1170</v>
      </c>
      <c r="M2831" s="16" t="n">
        <f aca="false">J2831*INDEX(Customers!$I$2:$I$41,MATCH(C2831,Customers!$A$2:$A$41,0))/365*Assumptions!$B$6</f>
        <v>2488.34997369863</v>
      </c>
      <c r="N2831" s="16" t="n">
        <f aca="false">J2831-K2831-L2831-M2831</f>
        <v>183667.746483801</v>
      </c>
      <c r="O2831" s="16" t="n">
        <f aca="false">F2831*IF(A2831="2025",INDEX(Products!$D$2:$D$13,MATCH(D2831,Products!$A$2:$A$13,0)),INDEX(Products!$F$2:$F$13,MATCH(D2831,Products!$A$2:$A$13,0)))</f>
        <v>95805.45</v>
      </c>
      <c r="P2831" s="16" t="n">
        <f aca="false">N2831-O2831</f>
        <v>87862.2964838013</v>
      </c>
    </row>
    <row r="2832" customFormat="false" ht="15" hidden="false" customHeight="false" outlineLevel="0" collapsed="false">
      <c r="A2832" s="2" t="s">
        <v>119</v>
      </c>
      <c r="B2832" s="2" t="n">
        <v>11</v>
      </c>
      <c r="C2832" s="2" t="s">
        <v>103</v>
      </c>
      <c r="D2832" s="2" t="s">
        <v>44</v>
      </c>
      <c r="E2832" s="2" t="str">
        <f aca="false">INDEX(Products!$B$2:$B$13,MATCH(D2832,Products!$A$2:$A$13,0))</f>
        <v>Specialty</v>
      </c>
      <c r="F2832" s="15" t="n">
        <v>4.2</v>
      </c>
      <c r="G2832" s="16" t="n">
        <f aca="false">IF(A2832="2025",INDEX(Products!$C$2:$C$13,MATCH(D2832,Products!$A$2:$A$13,0)),INDEX(Products!$E$2:$E$13,MATCH(D2832,Products!$A$2:$A$13,0)))</f>
        <v>30418.5</v>
      </c>
      <c r="H2832" s="13" t="n">
        <f aca="false">IF(A2832="2025",INDEX(Customers!$D$2:$D$41,MATCH(C2832,Customers!$A$2:$A$41,0)),INDEX(Customers!$F$2:$F$41,MATCH(C2832,Customers!$A$2:$A$41,0)))</f>
        <v>0.043</v>
      </c>
      <c r="I2832" s="16" t="n">
        <f aca="false">F2832*G2832</f>
        <v>127757.7</v>
      </c>
      <c r="J2832" s="16" t="n">
        <f aca="false">I2832*(1-H2832)</f>
        <v>122264.1189</v>
      </c>
      <c r="K2832" s="16" t="n">
        <f aca="false">J2832*INDEX(Customers!$G$2:$G$41,MATCH(C2832,Customers!$A$2:$A$41,0))</f>
        <v>1222.641189</v>
      </c>
      <c r="L2832" s="16" t="n">
        <f aca="false">F2832*INDEX(Customers!$H$2:$H$41,MATCH(C2832,Customers!$A$2:$A$41,0))</f>
        <v>756</v>
      </c>
      <c r="M2832" s="16" t="n">
        <f aca="false">J2832*INDEX(Customers!$I$2:$I$41,MATCH(C2832,Customers!$A$2:$A$41,0))/365*Assumptions!$B$6</f>
        <v>1607.85690608219</v>
      </c>
      <c r="N2832" s="16" t="n">
        <f aca="false">J2832-K2832-L2832-M2832</f>
        <v>118677.620804918</v>
      </c>
      <c r="O2832" s="16" t="n">
        <f aca="false">F2832*IF(A2832="2025",INDEX(Products!$D$2:$D$13,MATCH(D2832,Products!$A$2:$A$13,0)),INDEX(Products!$F$2:$F$13,MATCH(D2832,Products!$A$2:$A$13,0)))</f>
        <v>61905.06</v>
      </c>
      <c r="P2832" s="16" t="n">
        <f aca="false">N2832-O2832</f>
        <v>56772.5608049178</v>
      </c>
    </row>
    <row r="2833" customFormat="false" ht="15" hidden="false" customHeight="false" outlineLevel="0" collapsed="false">
      <c r="A2833" s="2" t="s">
        <v>119</v>
      </c>
      <c r="B2833" s="2" t="n">
        <v>12</v>
      </c>
      <c r="C2833" s="2" t="s">
        <v>103</v>
      </c>
      <c r="D2833" s="2" t="s">
        <v>44</v>
      </c>
      <c r="E2833" s="2" t="str">
        <f aca="false">INDEX(Products!$B$2:$B$13,MATCH(D2833,Products!$A$2:$A$13,0))</f>
        <v>Specialty</v>
      </c>
      <c r="F2833" s="15" t="n">
        <v>5</v>
      </c>
      <c r="G2833" s="16" t="n">
        <f aca="false">IF(A2833="2025",INDEX(Products!$C$2:$C$13,MATCH(D2833,Products!$A$2:$A$13,0)),INDEX(Products!$E$2:$E$13,MATCH(D2833,Products!$A$2:$A$13,0)))</f>
        <v>30418.5</v>
      </c>
      <c r="H2833" s="13" t="n">
        <f aca="false">IF(A2833="2025",INDEX(Customers!$D$2:$D$41,MATCH(C2833,Customers!$A$2:$A$41,0)),INDEX(Customers!$F$2:$F$41,MATCH(C2833,Customers!$A$2:$A$41,0)))</f>
        <v>0.043</v>
      </c>
      <c r="I2833" s="16" t="n">
        <f aca="false">F2833*G2833</f>
        <v>152092.5</v>
      </c>
      <c r="J2833" s="16" t="n">
        <f aca="false">I2833*(1-H2833)</f>
        <v>145552.5225</v>
      </c>
      <c r="K2833" s="16" t="n">
        <f aca="false">J2833*INDEX(Customers!$G$2:$G$41,MATCH(C2833,Customers!$A$2:$A$41,0))</f>
        <v>1455.525225</v>
      </c>
      <c r="L2833" s="16" t="n">
        <f aca="false">F2833*INDEX(Customers!$H$2:$H$41,MATCH(C2833,Customers!$A$2:$A$41,0))</f>
        <v>900</v>
      </c>
      <c r="M2833" s="16" t="n">
        <f aca="false">J2833*INDEX(Customers!$I$2:$I$41,MATCH(C2833,Customers!$A$2:$A$41,0))/365*Assumptions!$B$6</f>
        <v>1914.11536438356</v>
      </c>
      <c r="N2833" s="16" t="n">
        <f aca="false">J2833-K2833-L2833-M2833</f>
        <v>141282.881910616</v>
      </c>
      <c r="O2833" s="16" t="n">
        <f aca="false">F2833*IF(A2833="2025",INDEX(Products!$D$2:$D$13,MATCH(D2833,Products!$A$2:$A$13,0)),INDEX(Products!$F$2:$F$13,MATCH(D2833,Products!$A$2:$A$13,0)))</f>
        <v>73696.5</v>
      </c>
      <c r="P2833" s="16" t="n">
        <f aca="false">N2833-O2833</f>
        <v>67586.3819106164</v>
      </c>
    </row>
    <row r="2834" customFormat="false" ht="15" hidden="false" customHeight="false" outlineLevel="0" collapsed="false">
      <c r="A2834" s="2" t="s">
        <v>118</v>
      </c>
      <c r="B2834" s="2" t="n">
        <v>1</v>
      </c>
      <c r="C2834" s="2" t="s">
        <v>104</v>
      </c>
      <c r="D2834" s="2" t="s">
        <v>37</v>
      </c>
      <c r="E2834" s="2" t="str">
        <f aca="false">INDEX(Products!$B$2:$B$13,MATCH(D2834,Products!$A$2:$A$13,0))</f>
        <v>FCC</v>
      </c>
      <c r="F2834" s="15" t="n">
        <v>16.3</v>
      </c>
      <c r="G2834" s="16" t="n">
        <f aca="false">IF(A2834="2025",INDEX(Products!$C$2:$C$13,MATCH(D2834,Products!$A$2:$A$13,0)),INDEX(Products!$E$2:$E$13,MATCH(D2834,Products!$A$2:$A$13,0)))</f>
        <v>3530</v>
      </c>
      <c r="H2834" s="13" t="n">
        <f aca="false">IF(A2834="2025",INDEX(Customers!$D$2:$D$41,MATCH(C2834,Customers!$A$2:$A$41,0)),INDEX(Customers!$F$2:$F$41,MATCH(C2834,Customers!$A$2:$A$41,0)))</f>
        <v>0.039</v>
      </c>
      <c r="I2834" s="16" t="n">
        <f aca="false">F2834*G2834</f>
        <v>57539</v>
      </c>
      <c r="J2834" s="16" t="n">
        <f aca="false">I2834*(1-H2834)</f>
        <v>55294.979</v>
      </c>
      <c r="K2834" s="16" t="n">
        <f aca="false">J2834*INDEX(Customers!$G$2:$G$41,MATCH(C2834,Customers!$A$2:$A$41,0))</f>
        <v>1658.84937</v>
      </c>
      <c r="L2834" s="16" t="n">
        <f aca="false">F2834*INDEX(Customers!$H$2:$H$41,MATCH(C2834,Customers!$A$2:$A$41,0))</f>
        <v>1793</v>
      </c>
      <c r="M2834" s="16" t="n">
        <f aca="false">J2834*INDEX(Customers!$I$2:$I$41,MATCH(C2834,Customers!$A$2:$A$41,0))/365*Assumptions!$B$6</f>
        <v>1090.75027068493</v>
      </c>
      <c r="N2834" s="16" t="n">
        <f aca="false">J2834-K2834-L2834-M2834</f>
        <v>50752.3793593151</v>
      </c>
      <c r="O2834" s="16" t="n">
        <f aca="false">F2834*IF(A2834="2025",INDEX(Products!$D$2:$D$13,MATCH(D2834,Products!$A$2:$A$13,0)),INDEX(Products!$F$2:$F$13,MATCH(D2834,Products!$A$2:$A$13,0)))</f>
        <v>39283</v>
      </c>
      <c r="P2834" s="16" t="n">
        <f aca="false">N2834-O2834</f>
        <v>11469.3793593151</v>
      </c>
    </row>
    <row r="2835" customFormat="false" ht="15" hidden="false" customHeight="false" outlineLevel="0" collapsed="false">
      <c r="A2835" s="2" t="s">
        <v>118</v>
      </c>
      <c r="B2835" s="2" t="n">
        <v>2</v>
      </c>
      <c r="C2835" s="2" t="s">
        <v>104</v>
      </c>
      <c r="D2835" s="2" t="s">
        <v>37</v>
      </c>
      <c r="E2835" s="2" t="str">
        <f aca="false">INDEX(Products!$B$2:$B$13,MATCH(D2835,Products!$A$2:$A$13,0))</f>
        <v>FCC</v>
      </c>
      <c r="F2835" s="15" t="n">
        <v>17.4</v>
      </c>
      <c r="G2835" s="16" t="n">
        <f aca="false">IF(A2835="2025",INDEX(Products!$C$2:$C$13,MATCH(D2835,Products!$A$2:$A$13,0)),INDEX(Products!$E$2:$E$13,MATCH(D2835,Products!$A$2:$A$13,0)))</f>
        <v>3530</v>
      </c>
      <c r="H2835" s="13" t="n">
        <f aca="false">IF(A2835="2025",INDEX(Customers!$D$2:$D$41,MATCH(C2835,Customers!$A$2:$A$41,0)),INDEX(Customers!$F$2:$F$41,MATCH(C2835,Customers!$A$2:$A$41,0)))</f>
        <v>0.039</v>
      </c>
      <c r="I2835" s="16" t="n">
        <f aca="false">F2835*G2835</f>
        <v>61422</v>
      </c>
      <c r="J2835" s="16" t="n">
        <f aca="false">I2835*(1-H2835)</f>
        <v>59026.542</v>
      </c>
      <c r="K2835" s="16" t="n">
        <f aca="false">J2835*INDEX(Customers!$G$2:$G$41,MATCH(C2835,Customers!$A$2:$A$41,0))</f>
        <v>1770.79626</v>
      </c>
      <c r="L2835" s="16" t="n">
        <f aca="false">F2835*INDEX(Customers!$H$2:$H$41,MATCH(C2835,Customers!$A$2:$A$41,0))</f>
        <v>1914</v>
      </c>
      <c r="M2835" s="16" t="n">
        <f aca="false">J2835*INDEX(Customers!$I$2:$I$41,MATCH(C2835,Customers!$A$2:$A$41,0))/365*Assumptions!$B$6</f>
        <v>1164.35918465753</v>
      </c>
      <c r="N2835" s="16" t="n">
        <f aca="false">J2835-K2835-L2835-M2835</f>
        <v>54177.3865553425</v>
      </c>
      <c r="O2835" s="16" t="n">
        <f aca="false">F2835*IF(A2835="2025",INDEX(Products!$D$2:$D$13,MATCH(D2835,Products!$A$2:$A$13,0)),INDEX(Products!$F$2:$F$13,MATCH(D2835,Products!$A$2:$A$13,0)))</f>
        <v>41934</v>
      </c>
      <c r="P2835" s="16" t="n">
        <f aca="false">N2835-O2835</f>
        <v>12243.3865553425</v>
      </c>
    </row>
    <row r="2836" customFormat="false" ht="15" hidden="false" customHeight="false" outlineLevel="0" collapsed="false">
      <c r="A2836" s="2" t="s">
        <v>118</v>
      </c>
      <c r="B2836" s="2" t="n">
        <v>3</v>
      </c>
      <c r="C2836" s="2" t="s">
        <v>104</v>
      </c>
      <c r="D2836" s="2" t="s">
        <v>37</v>
      </c>
      <c r="E2836" s="2" t="str">
        <f aca="false">INDEX(Products!$B$2:$B$13,MATCH(D2836,Products!$A$2:$A$13,0))</f>
        <v>FCC</v>
      </c>
      <c r="F2836" s="15" t="n">
        <v>14.6</v>
      </c>
      <c r="G2836" s="16" t="n">
        <f aca="false">IF(A2836="2025",INDEX(Products!$C$2:$C$13,MATCH(D2836,Products!$A$2:$A$13,0)),INDEX(Products!$E$2:$E$13,MATCH(D2836,Products!$A$2:$A$13,0)))</f>
        <v>3530</v>
      </c>
      <c r="H2836" s="13" t="n">
        <f aca="false">IF(A2836="2025",INDEX(Customers!$D$2:$D$41,MATCH(C2836,Customers!$A$2:$A$41,0)),INDEX(Customers!$F$2:$F$41,MATCH(C2836,Customers!$A$2:$A$41,0)))</f>
        <v>0.039</v>
      </c>
      <c r="I2836" s="16" t="n">
        <f aca="false">F2836*G2836</f>
        <v>51538</v>
      </c>
      <c r="J2836" s="16" t="n">
        <f aca="false">I2836*(1-H2836)</f>
        <v>49528.018</v>
      </c>
      <c r="K2836" s="16" t="n">
        <f aca="false">J2836*INDEX(Customers!$G$2:$G$41,MATCH(C2836,Customers!$A$2:$A$41,0))</f>
        <v>1485.84054</v>
      </c>
      <c r="L2836" s="16" t="n">
        <f aca="false">F2836*INDEX(Customers!$H$2:$H$41,MATCH(C2836,Customers!$A$2:$A$41,0))</f>
        <v>1606</v>
      </c>
      <c r="M2836" s="16" t="n">
        <f aca="false">J2836*INDEX(Customers!$I$2:$I$41,MATCH(C2836,Customers!$A$2:$A$41,0))/365*Assumptions!$B$6</f>
        <v>976.99104</v>
      </c>
      <c r="N2836" s="16" t="n">
        <f aca="false">J2836-K2836-L2836-M2836</f>
        <v>45459.18642</v>
      </c>
      <c r="O2836" s="16" t="n">
        <f aca="false">F2836*IF(A2836="2025",INDEX(Products!$D$2:$D$13,MATCH(D2836,Products!$A$2:$A$13,0)),INDEX(Products!$F$2:$F$13,MATCH(D2836,Products!$A$2:$A$13,0)))</f>
        <v>35186</v>
      </c>
      <c r="P2836" s="16" t="n">
        <f aca="false">N2836-O2836</f>
        <v>10273.18642</v>
      </c>
    </row>
    <row r="2837" customFormat="false" ht="15" hidden="false" customHeight="false" outlineLevel="0" collapsed="false">
      <c r="A2837" s="2" t="s">
        <v>118</v>
      </c>
      <c r="B2837" s="2" t="n">
        <v>4</v>
      </c>
      <c r="C2837" s="2" t="s">
        <v>104</v>
      </c>
      <c r="D2837" s="2" t="s">
        <v>37</v>
      </c>
      <c r="E2837" s="2" t="str">
        <f aca="false">INDEX(Products!$B$2:$B$13,MATCH(D2837,Products!$A$2:$A$13,0))</f>
        <v>FCC</v>
      </c>
      <c r="F2837" s="15" t="n">
        <v>17.5</v>
      </c>
      <c r="G2837" s="16" t="n">
        <f aca="false">IF(A2837="2025",INDEX(Products!$C$2:$C$13,MATCH(D2837,Products!$A$2:$A$13,0)),INDEX(Products!$E$2:$E$13,MATCH(D2837,Products!$A$2:$A$13,0)))</f>
        <v>3530</v>
      </c>
      <c r="H2837" s="13" t="n">
        <f aca="false">IF(A2837="2025",INDEX(Customers!$D$2:$D$41,MATCH(C2837,Customers!$A$2:$A$41,0)),INDEX(Customers!$F$2:$F$41,MATCH(C2837,Customers!$A$2:$A$41,0)))</f>
        <v>0.039</v>
      </c>
      <c r="I2837" s="16" t="n">
        <f aca="false">F2837*G2837</f>
        <v>61775</v>
      </c>
      <c r="J2837" s="16" t="n">
        <f aca="false">I2837*(1-H2837)</f>
        <v>59365.775</v>
      </c>
      <c r="K2837" s="16" t="n">
        <f aca="false">J2837*INDEX(Customers!$G$2:$G$41,MATCH(C2837,Customers!$A$2:$A$41,0))</f>
        <v>1780.97325</v>
      </c>
      <c r="L2837" s="16" t="n">
        <f aca="false">F2837*INDEX(Customers!$H$2:$H$41,MATCH(C2837,Customers!$A$2:$A$41,0))</f>
        <v>1925</v>
      </c>
      <c r="M2837" s="16" t="n">
        <f aca="false">J2837*INDEX(Customers!$I$2:$I$41,MATCH(C2837,Customers!$A$2:$A$41,0))/365*Assumptions!$B$6</f>
        <v>1171.05090410959</v>
      </c>
      <c r="N2837" s="16" t="n">
        <f aca="false">J2837-K2837-L2837-M2837</f>
        <v>54488.7508458904</v>
      </c>
      <c r="O2837" s="16" t="n">
        <f aca="false">F2837*IF(A2837="2025",INDEX(Products!$D$2:$D$13,MATCH(D2837,Products!$A$2:$A$13,0)),INDEX(Products!$F$2:$F$13,MATCH(D2837,Products!$A$2:$A$13,0)))</f>
        <v>42175</v>
      </c>
      <c r="P2837" s="16" t="n">
        <f aca="false">N2837-O2837</f>
        <v>12313.7508458904</v>
      </c>
    </row>
    <row r="2838" customFormat="false" ht="15" hidden="false" customHeight="false" outlineLevel="0" collapsed="false">
      <c r="A2838" s="2" t="s">
        <v>118</v>
      </c>
      <c r="B2838" s="2" t="n">
        <v>5</v>
      </c>
      <c r="C2838" s="2" t="s">
        <v>104</v>
      </c>
      <c r="D2838" s="2" t="s">
        <v>37</v>
      </c>
      <c r="E2838" s="2" t="str">
        <f aca="false">INDEX(Products!$B$2:$B$13,MATCH(D2838,Products!$A$2:$A$13,0))</f>
        <v>FCC</v>
      </c>
      <c r="F2838" s="15" t="n">
        <v>11.8</v>
      </c>
      <c r="G2838" s="16" t="n">
        <f aca="false">IF(A2838="2025",INDEX(Products!$C$2:$C$13,MATCH(D2838,Products!$A$2:$A$13,0)),INDEX(Products!$E$2:$E$13,MATCH(D2838,Products!$A$2:$A$13,0)))</f>
        <v>3530</v>
      </c>
      <c r="H2838" s="13" t="n">
        <f aca="false">IF(A2838="2025",INDEX(Customers!$D$2:$D$41,MATCH(C2838,Customers!$A$2:$A$41,0)),INDEX(Customers!$F$2:$F$41,MATCH(C2838,Customers!$A$2:$A$41,0)))</f>
        <v>0.039</v>
      </c>
      <c r="I2838" s="16" t="n">
        <f aca="false">F2838*G2838</f>
        <v>41654</v>
      </c>
      <c r="J2838" s="16" t="n">
        <f aca="false">I2838*(1-H2838)</f>
        <v>40029.494</v>
      </c>
      <c r="K2838" s="16" t="n">
        <f aca="false">J2838*INDEX(Customers!$G$2:$G$41,MATCH(C2838,Customers!$A$2:$A$41,0))</f>
        <v>1200.88482</v>
      </c>
      <c r="L2838" s="16" t="n">
        <f aca="false">F2838*INDEX(Customers!$H$2:$H$41,MATCH(C2838,Customers!$A$2:$A$41,0))</f>
        <v>1298</v>
      </c>
      <c r="M2838" s="16" t="n">
        <f aca="false">J2838*INDEX(Customers!$I$2:$I$41,MATCH(C2838,Customers!$A$2:$A$41,0))/365*Assumptions!$B$6</f>
        <v>789.622895342466</v>
      </c>
      <c r="N2838" s="16" t="n">
        <f aca="false">J2838-K2838-L2838-M2838</f>
        <v>36740.9862846575</v>
      </c>
      <c r="O2838" s="16" t="n">
        <f aca="false">F2838*IF(A2838="2025",INDEX(Products!$D$2:$D$13,MATCH(D2838,Products!$A$2:$A$13,0)),INDEX(Products!$F$2:$F$13,MATCH(D2838,Products!$A$2:$A$13,0)))</f>
        <v>28438</v>
      </c>
      <c r="P2838" s="16" t="n">
        <f aca="false">N2838-O2838</f>
        <v>8302.98628465753</v>
      </c>
    </row>
    <row r="2839" customFormat="false" ht="15" hidden="false" customHeight="false" outlineLevel="0" collapsed="false">
      <c r="A2839" s="2" t="s">
        <v>118</v>
      </c>
      <c r="B2839" s="2" t="n">
        <v>6</v>
      </c>
      <c r="C2839" s="2" t="s">
        <v>104</v>
      </c>
      <c r="D2839" s="2" t="s">
        <v>37</v>
      </c>
      <c r="E2839" s="2" t="str">
        <f aca="false">INDEX(Products!$B$2:$B$13,MATCH(D2839,Products!$A$2:$A$13,0))</f>
        <v>FCC</v>
      </c>
      <c r="F2839" s="15" t="n">
        <v>11.7</v>
      </c>
      <c r="G2839" s="16" t="n">
        <f aca="false">IF(A2839="2025",INDEX(Products!$C$2:$C$13,MATCH(D2839,Products!$A$2:$A$13,0)),INDEX(Products!$E$2:$E$13,MATCH(D2839,Products!$A$2:$A$13,0)))</f>
        <v>3530</v>
      </c>
      <c r="H2839" s="13" t="n">
        <f aca="false">IF(A2839="2025",INDEX(Customers!$D$2:$D$41,MATCH(C2839,Customers!$A$2:$A$41,0)),INDEX(Customers!$F$2:$F$41,MATCH(C2839,Customers!$A$2:$A$41,0)))</f>
        <v>0.039</v>
      </c>
      <c r="I2839" s="16" t="n">
        <f aca="false">F2839*G2839</f>
        <v>41301</v>
      </c>
      <c r="J2839" s="16" t="n">
        <f aca="false">I2839*(1-H2839)</f>
        <v>39690.261</v>
      </c>
      <c r="K2839" s="16" t="n">
        <f aca="false">J2839*INDEX(Customers!$G$2:$G$41,MATCH(C2839,Customers!$A$2:$A$41,0))</f>
        <v>1190.70783</v>
      </c>
      <c r="L2839" s="16" t="n">
        <f aca="false">F2839*INDEX(Customers!$H$2:$H$41,MATCH(C2839,Customers!$A$2:$A$41,0))</f>
        <v>1287</v>
      </c>
      <c r="M2839" s="16" t="n">
        <f aca="false">J2839*INDEX(Customers!$I$2:$I$41,MATCH(C2839,Customers!$A$2:$A$41,0))/365*Assumptions!$B$6</f>
        <v>782.931175890411</v>
      </c>
      <c r="N2839" s="16" t="n">
        <f aca="false">J2839-K2839-L2839-M2839</f>
        <v>36429.6219941096</v>
      </c>
      <c r="O2839" s="16" t="n">
        <f aca="false">F2839*IF(A2839="2025",INDEX(Products!$D$2:$D$13,MATCH(D2839,Products!$A$2:$A$13,0)),INDEX(Products!$F$2:$F$13,MATCH(D2839,Products!$A$2:$A$13,0)))</f>
        <v>28197</v>
      </c>
      <c r="P2839" s="16" t="n">
        <f aca="false">N2839-O2839</f>
        <v>8232.62199410959</v>
      </c>
    </row>
    <row r="2840" customFormat="false" ht="15" hidden="false" customHeight="false" outlineLevel="0" collapsed="false">
      <c r="A2840" s="2" t="s">
        <v>118</v>
      </c>
      <c r="B2840" s="2" t="n">
        <v>7</v>
      </c>
      <c r="C2840" s="2" t="s">
        <v>104</v>
      </c>
      <c r="D2840" s="2" t="s">
        <v>37</v>
      </c>
      <c r="E2840" s="2" t="str">
        <f aca="false">INDEX(Products!$B$2:$B$13,MATCH(D2840,Products!$A$2:$A$13,0))</f>
        <v>FCC</v>
      </c>
      <c r="F2840" s="15" t="n">
        <v>15.7</v>
      </c>
      <c r="G2840" s="16" t="n">
        <f aca="false">IF(A2840="2025",INDEX(Products!$C$2:$C$13,MATCH(D2840,Products!$A$2:$A$13,0)),INDEX(Products!$E$2:$E$13,MATCH(D2840,Products!$A$2:$A$13,0)))</f>
        <v>3530</v>
      </c>
      <c r="H2840" s="13" t="n">
        <f aca="false">IF(A2840="2025",INDEX(Customers!$D$2:$D$41,MATCH(C2840,Customers!$A$2:$A$41,0)),INDEX(Customers!$F$2:$F$41,MATCH(C2840,Customers!$A$2:$A$41,0)))</f>
        <v>0.039</v>
      </c>
      <c r="I2840" s="16" t="n">
        <f aca="false">F2840*G2840</f>
        <v>55421</v>
      </c>
      <c r="J2840" s="16" t="n">
        <f aca="false">I2840*(1-H2840)</f>
        <v>53259.581</v>
      </c>
      <c r="K2840" s="16" t="n">
        <f aca="false">J2840*INDEX(Customers!$G$2:$G$41,MATCH(C2840,Customers!$A$2:$A$41,0))</f>
        <v>1597.78743</v>
      </c>
      <c r="L2840" s="16" t="n">
        <f aca="false">F2840*INDEX(Customers!$H$2:$H$41,MATCH(C2840,Customers!$A$2:$A$41,0))</f>
        <v>1727</v>
      </c>
      <c r="M2840" s="16" t="n">
        <f aca="false">J2840*INDEX(Customers!$I$2:$I$41,MATCH(C2840,Customers!$A$2:$A$41,0))/365*Assumptions!$B$6</f>
        <v>1050.5999539726</v>
      </c>
      <c r="N2840" s="16" t="n">
        <f aca="false">J2840-K2840-L2840-M2840</f>
        <v>48884.1936160274</v>
      </c>
      <c r="O2840" s="16" t="n">
        <f aca="false">F2840*IF(A2840="2025",INDEX(Products!$D$2:$D$13,MATCH(D2840,Products!$A$2:$A$13,0)),INDEX(Products!$F$2:$F$13,MATCH(D2840,Products!$A$2:$A$13,0)))</f>
        <v>37837</v>
      </c>
      <c r="P2840" s="16" t="n">
        <f aca="false">N2840-O2840</f>
        <v>11047.1936160274</v>
      </c>
    </row>
    <row r="2841" customFormat="false" ht="15" hidden="false" customHeight="false" outlineLevel="0" collapsed="false">
      <c r="A2841" s="2" t="s">
        <v>118</v>
      </c>
      <c r="B2841" s="2" t="n">
        <v>8</v>
      </c>
      <c r="C2841" s="2" t="s">
        <v>104</v>
      </c>
      <c r="D2841" s="2" t="s">
        <v>37</v>
      </c>
      <c r="E2841" s="2" t="str">
        <f aca="false">INDEX(Products!$B$2:$B$13,MATCH(D2841,Products!$A$2:$A$13,0))</f>
        <v>FCC</v>
      </c>
      <c r="F2841" s="15" t="n">
        <v>18</v>
      </c>
      <c r="G2841" s="16" t="n">
        <f aca="false">IF(A2841="2025",INDEX(Products!$C$2:$C$13,MATCH(D2841,Products!$A$2:$A$13,0)),INDEX(Products!$E$2:$E$13,MATCH(D2841,Products!$A$2:$A$13,0)))</f>
        <v>3530</v>
      </c>
      <c r="H2841" s="13" t="n">
        <f aca="false">IF(A2841="2025",INDEX(Customers!$D$2:$D$41,MATCH(C2841,Customers!$A$2:$A$41,0)),INDEX(Customers!$F$2:$F$41,MATCH(C2841,Customers!$A$2:$A$41,0)))</f>
        <v>0.039</v>
      </c>
      <c r="I2841" s="16" t="n">
        <f aca="false">F2841*G2841</f>
        <v>63540</v>
      </c>
      <c r="J2841" s="16" t="n">
        <f aca="false">I2841*(1-H2841)</f>
        <v>61061.94</v>
      </c>
      <c r="K2841" s="16" t="n">
        <f aca="false">J2841*INDEX(Customers!$G$2:$G$41,MATCH(C2841,Customers!$A$2:$A$41,0))</f>
        <v>1831.8582</v>
      </c>
      <c r="L2841" s="16" t="n">
        <f aca="false">F2841*INDEX(Customers!$H$2:$H$41,MATCH(C2841,Customers!$A$2:$A$41,0))</f>
        <v>1980</v>
      </c>
      <c r="M2841" s="16" t="n">
        <f aca="false">J2841*INDEX(Customers!$I$2:$I$41,MATCH(C2841,Customers!$A$2:$A$41,0))/365*Assumptions!$B$6</f>
        <v>1204.50950136986</v>
      </c>
      <c r="N2841" s="16" t="n">
        <f aca="false">J2841-K2841-L2841-M2841</f>
        <v>56045.5722986301</v>
      </c>
      <c r="O2841" s="16" t="n">
        <f aca="false">F2841*IF(A2841="2025",INDEX(Products!$D$2:$D$13,MATCH(D2841,Products!$A$2:$A$13,0)),INDEX(Products!$F$2:$F$13,MATCH(D2841,Products!$A$2:$A$13,0)))</f>
        <v>43380</v>
      </c>
      <c r="P2841" s="16" t="n">
        <f aca="false">N2841-O2841</f>
        <v>12665.5722986301</v>
      </c>
    </row>
    <row r="2842" customFormat="false" ht="15" hidden="false" customHeight="false" outlineLevel="0" collapsed="false">
      <c r="A2842" s="2" t="s">
        <v>118</v>
      </c>
      <c r="B2842" s="2" t="n">
        <v>9</v>
      </c>
      <c r="C2842" s="2" t="s">
        <v>104</v>
      </c>
      <c r="D2842" s="2" t="s">
        <v>37</v>
      </c>
      <c r="E2842" s="2" t="str">
        <f aca="false">INDEX(Products!$B$2:$B$13,MATCH(D2842,Products!$A$2:$A$13,0))</f>
        <v>FCC</v>
      </c>
      <c r="F2842" s="15" t="n">
        <v>18.9</v>
      </c>
      <c r="G2842" s="16" t="n">
        <f aca="false">IF(A2842="2025",INDEX(Products!$C$2:$C$13,MATCH(D2842,Products!$A$2:$A$13,0)),INDEX(Products!$E$2:$E$13,MATCH(D2842,Products!$A$2:$A$13,0)))</f>
        <v>3530</v>
      </c>
      <c r="H2842" s="13" t="n">
        <f aca="false">IF(A2842="2025",INDEX(Customers!$D$2:$D$41,MATCH(C2842,Customers!$A$2:$A$41,0)),INDEX(Customers!$F$2:$F$41,MATCH(C2842,Customers!$A$2:$A$41,0)))</f>
        <v>0.039</v>
      </c>
      <c r="I2842" s="16" t="n">
        <f aca="false">F2842*G2842</f>
        <v>66717</v>
      </c>
      <c r="J2842" s="16" t="n">
        <f aca="false">I2842*(1-H2842)</f>
        <v>64115.037</v>
      </c>
      <c r="K2842" s="16" t="n">
        <f aca="false">J2842*INDEX(Customers!$G$2:$G$41,MATCH(C2842,Customers!$A$2:$A$41,0))</f>
        <v>1923.45111</v>
      </c>
      <c r="L2842" s="16" t="n">
        <f aca="false">F2842*INDEX(Customers!$H$2:$H$41,MATCH(C2842,Customers!$A$2:$A$41,0))</f>
        <v>2079</v>
      </c>
      <c r="M2842" s="16" t="n">
        <f aca="false">J2842*INDEX(Customers!$I$2:$I$41,MATCH(C2842,Customers!$A$2:$A$41,0))/365*Assumptions!$B$6</f>
        <v>1264.73497643836</v>
      </c>
      <c r="N2842" s="16" t="n">
        <f aca="false">J2842-K2842-L2842-M2842</f>
        <v>58847.8509135616</v>
      </c>
      <c r="O2842" s="16" t="n">
        <f aca="false">F2842*IF(A2842="2025",INDEX(Products!$D$2:$D$13,MATCH(D2842,Products!$A$2:$A$13,0)),INDEX(Products!$F$2:$F$13,MATCH(D2842,Products!$A$2:$A$13,0)))</f>
        <v>45549</v>
      </c>
      <c r="P2842" s="16" t="n">
        <f aca="false">N2842-O2842</f>
        <v>13298.8509135616</v>
      </c>
    </row>
    <row r="2843" customFormat="false" ht="15" hidden="false" customHeight="false" outlineLevel="0" collapsed="false">
      <c r="A2843" s="2" t="s">
        <v>118</v>
      </c>
      <c r="B2843" s="2" t="n">
        <v>10</v>
      </c>
      <c r="C2843" s="2" t="s">
        <v>104</v>
      </c>
      <c r="D2843" s="2" t="s">
        <v>37</v>
      </c>
      <c r="E2843" s="2" t="str">
        <f aca="false">INDEX(Products!$B$2:$B$13,MATCH(D2843,Products!$A$2:$A$13,0))</f>
        <v>FCC</v>
      </c>
      <c r="F2843" s="15" t="n">
        <v>14.8</v>
      </c>
      <c r="G2843" s="16" t="n">
        <f aca="false">IF(A2843="2025",INDEX(Products!$C$2:$C$13,MATCH(D2843,Products!$A$2:$A$13,0)),INDEX(Products!$E$2:$E$13,MATCH(D2843,Products!$A$2:$A$13,0)))</f>
        <v>3530</v>
      </c>
      <c r="H2843" s="13" t="n">
        <f aca="false">IF(A2843="2025",INDEX(Customers!$D$2:$D$41,MATCH(C2843,Customers!$A$2:$A$41,0)),INDEX(Customers!$F$2:$F$41,MATCH(C2843,Customers!$A$2:$A$41,0)))</f>
        <v>0.039</v>
      </c>
      <c r="I2843" s="16" t="n">
        <f aca="false">F2843*G2843</f>
        <v>52244</v>
      </c>
      <c r="J2843" s="16" t="n">
        <f aca="false">I2843*(1-H2843)</f>
        <v>50206.484</v>
      </c>
      <c r="K2843" s="16" t="n">
        <f aca="false">J2843*INDEX(Customers!$G$2:$G$41,MATCH(C2843,Customers!$A$2:$A$41,0))</f>
        <v>1506.19452</v>
      </c>
      <c r="L2843" s="16" t="n">
        <f aca="false">F2843*INDEX(Customers!$H$2:$H$41,MATCH(C2843,Customers!$A$2:$A$41,0))</f>
        <v>1628</v>
      </c>
      <c r="M2843" s="16" t="n">
        <f aca="false">J2843*INDEX(Customers!$I$2:$I$41,MATCH(C2843,Customers!$A$2:$A$41,0))/365*Assumptions!$B$6</f>
        <v>990.37447890411</v>
      </c>
      <c r="N2843" s="16" t="n">
        <f aca="false">J2843-K2843-L2843-M2843</f>
        <v>46081.9150010959</v>
      </c>
      <c r="O2843" s="16" t="n">
        <f aca="false">F2843*IF(A2843="2025",INDEX(Products!$D$2:$D$13,MATCH(D2843,Products!$A$2:$A$13,0)),INDEX(Products!$F$2:$F$13,MATCH(D2843,Products!$A$2:$A$13,0)))</f>
        <v>35668</v>
      </c>
      <c r="P2843" s="16" t="n">
        <f aca="false">N2843-O2843</f>
        <v>10413.9150010959</v>
      </c>
    </row>
    <row r="2844" customFormat="false" ht="15" hidden="false" customHeight="false" outlineLevel="0" collapsed="false">
      <c r="A2844" s="2" t="s">
        <v>118</v>
      </c>
      <c r="B2844" s="2" t="n">
        <v>11</v>
      </c>
      <c r="C2844" s="2" t="s">
        <v>104</v>
      </c>
      <c r="D2844" s="2" t="s">
        <v>37</v>
      </c>
      <c r="E2844" s="2" t="str">
        <f aca="false">INDEX(Products!$B$2:$B$13,MATCH(D2844,Products!$A$2:$A$13,0))</f>
        <v>FCC</v>
      </c>
      <c r="F2844" s="15" t="n">
        <v>15.6</v>
      </c>
      <c r="G2844" s="16" t="n">
        <f aca="false">IF(A2844="2025",INDEX(Products!$C$2:$C$13,MATCH(D2844,Products!$A$2:$A$13,0)),INDEX(Products!$E$2:$E$13,MATCH(D2844,Products!$A$2:$A$13,0)))</f>
        <v>3530</v>
      </c>
      <c r="H2844" s="13" t="n">
        <f aca="false">IF(A2844="2025",INDEX(Customers!$D$2:$D$41,MATCH(C2844,Customers!$A$2:$A$41,0)),INDEX(Customers!$F$2:$F$41,MATCH(C2844,Customers!$A$2:$A$41,0)))</f>
        <v>0.039</v>
      </c>
      <c r="I2844" s="16" t="n">
        <f aca="false">F2844*G2844</f>
        <v>55068</v>
      </c>
      <c r="J2844" s="16" t="n">
        <f aca="false">I2844*(1-H2844)</f>
        <v>52920.348</v>
      </c>
      <c r="K2844" s="16" t="n">
        <f aca="false">J2844*INDEX(Customers!$G$2:$G$41,MATCH(C2844,Customers!$A$2:$A$41,0))</f>
        <v>1587.61044</v>
      </c>
      <c r="L2844" s="16" t="n">
        <f aca="false">F2844*INDEX(Customers!$H$2:$H$41,MATCH(C2844,Customers!$A$2:$A$41,0))</f>
        <v>1716</v>
      </c>
      <c r="M2844" s="16" t="n">
        <f aca="false">J2844*INDEX(Customers!$I$2:$I$41,MATCH(C2844,Customers!$A$2:$A$41,0))/365*Assumptions!$B$6</f>
        <v>1043.90823452055</v>
      </c>
      <c r="N2844" s="16" t="n">
        <f aca="false">J2844-K2844-L2844-M2844</f>
        <v>48572.8293254795</v>
      </c>
      <c r="O2844" s="16" t="n">
        <f aca="false">F2844*IF(A2844="2025",INDEX(Products!$D$2:$D$13,MATCH(D2844,Products!$A$2:$A$13,0)),INDEX(Products!$F$2:$F$13,MATCH(D2844,Products!$A$2:$A$13,0)))</f>
        <v>37596</v>
      </c>
      <c r="P2844" s="16" t="n">
        <f aca="false">N2844-O2844</f>
        <v>10976.8293254795</v>
      </c>
    </row>
    <row r="2845" customFormat="false" ht="15" hidden="false" customHeight="false" outlineLevel="0" collapsed="false">
      <c r="A2845" s="2" t="s">
        <v>118</v>
      </c>
      <c r="B2845" s="2" t="n">
        <v>12</v>
      </c>
      <c r="C2845" s="2" t="s">
        <v>104</v>
      </c>
      <c r="D2845" s="2" t="s">
        <v>37</v>
      </c>
      <c r="E2845" s="2" t="str">
        <f aca="false">INDEX(Products!$B$2:$B$13,MATCH(D2845,Products!$A$2:$A$13,0))</f>
        <v>FCC</v>
      </c>
      <c r="F2845" s="15" t="n">
        <v>19.7</v>
      </c>
      <c r="G2845" s="16" t="n">
        <f aca="false">IF(A2845="2025",INDEX(Products!$C$2:$C$13,MATCH(D2845,Products!$A$2:$A$13,0)),INDEX(Products!$E$2:$E$13,MATCH(D2845,Products!$A$2:$A$13,0)))</f>
        <v>3530</v>
      </c>
      <c r="H2845" s="13" t="n">
        <f aca="false">IF(A2845="2025",INDEX(Customers!$D$2:$D$41,MATCH(C2845,Customers!$A$2:$A$41,0)),INDEX(Customers!$F$2:$F$41,MATCH(C2845,Customers!$A$2:$A$41,0)))</f>
        <v>0.039</v>
      </c>
      <c r="I2845" s="16" t="n">
        <f aca="false">F2845*G2845</f>
        <v>69541</v>
      </c>
      <c r="J2845" s="16" t="n">
        <f aca="false">I2845*(1-H2845)</f>
        <v>66828.901</v>
      </c>
      <c r="K2845" s="16" t="n">
        <f aca="false">J2845*INDEX(Customers!$G$2:$G$41,MATCH(C2845,Customers!$A$2:$A$41,0))</f>
        <v>2004.86703</v>
      </c>
      <c r="L2845" s="16" t="n">
        <f aca="false">F2845*INDEX(Customers!$H$2:$H$41,MATCH(C2845,Customers!$A$2:$A$41,0))</f>
        <v>2167</v>
      </c>
      <c r="M2845" s="16" t="n">
        <f aca="false">J2845*INDEX(Customers!$I$2:$I$41,MATCH(C2845,Customers!$A$2:$A$41,0))/365*Assumptions!$B$6</f>
        <v>1318.26873205479</v>
      </c>
      <c r="N2845" s="16" t="n">
        <f aca="false">J2845-K2845-L2845-M2845</f>
        <v>61338.7652379452</v>
      </c>
      <c r="O2845" s="16" t="n">
        <f aca="false">F2845*IF(A2845="2025",INDEX(Products!$D$2:$D$13,MATCH(D2845,Products!$A$2:$A$13,0)),INDEX(Products!$F$2:$F$13,MATCH(D2845,Products!$A$2:$A$13,0)))</f>
        <v>47477</v>
      </c>
      <c r="P2845" s="16" t="n">
        <f aca="false">N2845-O2845</f>
        <v>13861.7652379452</v>
      </c>
    </row>
    <row r="2846" customFormat="false" ht="15" hidden="false" customHeight="false" outlineLevel="0" collapsed="false">
      <c r="A2846" s="2" t="s">
        <v>119</v>
      </c>
      <c r="B2846" s="2" t="n">
        <v>1</v>
      </c>
      <c r="C2846" s="2" t="s">
        <v>104</v>
      </c>
      <c r="D2846" s="2" t="s">
        <v>37</v>
      </c>
      <c r="E2846" s="2" t="str">
        <f aca="false">INDEX(Products!$B$2:$B$13,MATCH(D2846,Products!$A$2:$A$13,0))</f>
        <v>FCC</v>
      </c>
      <c r="F2846" s="15" t="n">
        <v>20.3</v>
      </c>
      <c r="G2846" s="16" t="n">
        <f aca="false">IF(A2846="2025",INDEX(Products!$C$2:$C$13,MATCH(D2846,Products!$A$2:$A$13,0)),INDEX(Products!$E$2:$E$13,MATCH(D2846,Products!$A$2:$A$13,0)))</f>
        <v>3706.5</v>
      </c>
      <c r="H2846" s="13" t="n">
        <f aca="false">IF(A2846="2025",INDEX(Customers!$D$2:$D$41,MATCH(C2846,Customers!$A$2:$A$41,0)),INDEX(Customers!$F$2:$F$41,MATCH(C2846,Customers!$A$2:$A$41,0)))</f>
        <v>0.069</v>
      </c>
      <c r="I2846" s="16" t="n">
        <f aca="false">F2846*G2846</f>
        <v>75241.95</v>
      </c>
      <c r="J2846" s="16" t="n">
        <f aca="false">I2846*(1-H2846)</f>
        <v>70050.25545</v>
      </c>
      <c r="K2846" s="16" t="n">
        <f aca="false">J2846*INDEX(Customers!$G$2:$G$41,MATCH(C2846,Customers!$A$2:$A$41,0))</f>
        <v>2101.5076635</v>
      </c>
      <c r="L2846" s="16" t="n">
        <f aca="false">F2846*INDEX(Customers!$H$2:$H$41,MATCH(C2846,Customers!$A$2:$A$41,0))</f>
        <v>2233</v>
      </c>
      <c r="M2846" s="16" t="n">
        <f aca="false">J2846*INDEX(Customers!$I$2:$I$41,MATCH(C2846,Customers!$A$2:$A$41,0))/365*Assumptions!$B$6</f>
        <v>1381.81325819178</v>
      </c>
      <c r="N2846" s="16" t="n">
        <f aca="false">J2846-K2846-L2846-M2846</f>
        <v>64333.9345283082</v>
      </c>
      <c r="O2846" s="16" t="n">
        <f aca="false">F2846*IF(A2846="2025",INDEX(Products!$D$2:$D$13,MATCH(D2846,Products!$A$2:$A$13,0)),INDEX(Products!$F$2:$F$13,MATCH(D2846,Products!$A$2:$A$13,0)))</f>
        <v>50390.69</v>
      </c>
      <c r="P2846" s="16" t="n">
        <f aca="false">N2846-O2846</f>
        <v>13943.2445283082</v>
      </c>
    </row>
    <row r="2847" customFormat="false" ht="15" hidden="false" customHeight="false" outlineLevel="0" collapsed="false">
      <c r="A2847" s="2" t="s">
        <v>119</v>
      </c>
      <c r="B2847" s="2" t="n">
        <v>2</v>
      </c>
      <c r="C2847" s="2" t="s">
        <v>104</v>
      </c>
      <c r="D2847" s="2" t="s">
        <v>37</v>
      </c>
      <c r="E2847" s="2" t="str">
        <f aca="false">INDEX(Products!$B$2:$B$13,MATCH(D2847,Products!$A$2:$A$13,0))</f>
        <v>FCC</v>
      </c>
      <c r="F2847" s="15" t="n">
        <v>16.3</v>
      </c>
      <c r="G2847" s="16" t="n">
        <f aca="false">IF(A2847="2025",INDEX(Products!$C$2:$C$13,MATCH(D2847,Products!$A$2:$A$13,0)),INDEX(Products!$E$2:$E$13,MATCH(D2847,Products!$A$2:$A$13,0)))</f>
        <v>3706.5</v>
      </c>
      <c r="H2847" s="13" t="n">
        <f aca="false">IF(A2847="2025",INDEX(Customers!$D$2:$D$41,MATCH(C2847,Customers!$A$2:$A$41,0)),INDEX(Customers!$F$2:$F$41,MATCH(C2847,Customers!$A$2:$A$41,0)))</f>
        <v>0.069</v>
      </c>
      <c r="I2847" s="16" t="n">
        <f aca="false">F2847*G2847</f>
        <v>60415.95</v>
      </c>
      <c r="J2847" s="16" t="n">
        <f aca="false">I2847*(1-H2847)</f>
        <v>56247.24945</v>
      </c>
      <c r="K2847" s="16" t="n">
        <f aca="false">J2847*INDEX(Customers!$G$2:$G$41,MATCH(C2847,Customers!$A$2:$A$41,0))</f>
        <v>1687.4174835</v>
      </c>
      <c r="L2847" s="16" t="n">
        <f aca="false">F2847*INDEX(Customers!$H$2:$H$41,MATCH(C2847,Customers!$A$2:$A$41,0))</f>
        <v>1793</v>
      </c>
      <c r="M2847" s="16" t="n">
        <f aca="false">J2847*INDEX(Customers!$I$2:$I$41,MATCH(C2847,Customers!$A$2:$A$41,0))/365*Assumptions!$B$6</f>
        <v>1109.53478367123</v>
      </c>
      <c r="N2847" s="16" t="n">
        <f aca="false">J2847-K2847-L2847-M2847</f>
        <v>51657.2971828288</v>
      </c>
      <c r="O2847" s="16" t="n">
        <f aca="false">F2847*IF(A2847="2025",INDEX(Products!$D$2:$D$13,MATCH(D2847,Products!$A$2:$A$13,0)),INDEX(Products!$F$2:$F$13,MATCH(D2847,Products!$A$2:$A$13,0)))</f>
        <v>40461.49</v>
      </c>
      <c r="P2847" s="16" t="n">
        <f aca="false">N2847-O2847</f>
        <v>11195.8071828288</v>
      </c>
    </row>
    <row r="2848" customFormat="false" ht="15" hidden="false" customHeight="false" outlineLevel="0" collapsed="false">
      <c r="A2848" s="2" t="s">
        <v>119</v>
      </c>
      <c r="B2848" s="2" t="n">
        <v>3</v>
      </c>
      <c r="C2848" s="2" t="s">
        <v>104</v>
      </c>
      <c r="D2848" s="2" t="s">
        <v>37</v>
      </c>
      <c r="E2848" s="2" t="str">
        <f aca="false">INDEX(Products!$B$2:$B$13,MATCH(D2848,Products!$A$2:$A$13,0))</f>
        <v>FCC</v>
      </c>
      <c r="F2848" s="15" t="n">
        <v>14.5</v>
      </c>
      <c r="G2848" s="16" t="n">
        <f aca="false">IF(A2848="2025",INDEX(Products!$C$2:$C$13,MATCH(D2848,Products!$A$2:$A$13,0)),INDEX(Products!$E$2:$E$13,MATCH(D2848,Products!$A$2:$A$13,0)))</f>
        <v>3706.5</v>
      </c>
      <c r="H2848" s="13" t="n">
        <f aca="false">IF(A2848="2025",INDEX(Customers!$D$2:$D$41,MATCH(C2848,Customers!$A$2:$A$41,0)),INDEX(Customers!$F$2:$F$41,MATCH(C2848,Customers!$A$2:$A$41,0)))</f>
        <v>0.069</v>
      </c>
      <c r="I2848" s="16" t="n">
        <f aca="false">F2848*G2848</f>
        <v>53744.25</v>
      </c>
      <c r="J2848" s="16" t="n">
        <f aca="false">I2848*(1-H2848)</f>
        <v>50035.89675</v>
      </c>
      <c r="K2848" s="16" t="n">
        <f aca="false">J2848*INDEX(Customers!$G$2:$G$41,MATCH(C2848,Customers!$A$2:$A$41,0))</f>
        <v>1501.0769025</v>
      </c>
      <c r="L2848" s="16" t="n">
        <f aca="false">F2848*INDEX(Customers!$H$2:$H$41,MATCH(C2848,Customers!$A$2:$A$41,0))</f>
        <v>1595</v>
      </c>
      <c r="M2848" s="16" t="n">
        <f aca="false">J2848*INDEX(Customers!$I$2:$I$41,MATCH(C2848,Customers!$A$2:$A$41,0))/365*Assumptions!$B$6</f>
        <v>987.009470136986</v>
      </c>
      <c r="N2848" s="16" t="n">
        <f aca="false">J2848-K2848-L2848-M2848</f>
        <v>45952.810377363</v>
      </c>
      <c r="O2848" s="16" t="n">
        <f aca="false">F2848*IF(A2848="2025",INDEX(Products!$D$2:$D$13,MATCH(D2848,Products!$A$2:$A$13,0)),INDEX(Products!$F$2:$F$13,MATCH(D2848,Products!$A$2:$A$13,0)))</f>
        <v>35993.35</v>
      </c>
      <c r="P2848" s="16" t="n">
        <f aca="false">N2848-O2848</f>
        <v>9959.46037736301</v>
      </c>
    </row>
    <row r="2849" customFormat="false" ht="15" hidden="false" customHeight="false" outlineLevel="0" collapsed="false">
      <c r="A2849" s="2" t="s">
        <v>119</v>
      </c>
      <c r="B2849" s="2" t="n">
        <v>4</v>
      </c>
      <c r="C2849" s="2" t="s">
        <v>104</v>
      </c>
      <c r="D2849" s="2" t="s">
        <v>37</v>
      </c>
      <c r="E2849" s="2" t="str">
        <f aca="false">INDEX(Products!$B$2:$B$13,MATCH(D2849,Products!$A$2:$A$13,0))</f>
        <v>FCC</v>
      </c>
      <c r="F2849" s="15" t="n">
        <v>14</v>
      </c>
      <c r="G2849" s="16" t="n">
        <f aca="false">IF(A2849="2025",INDEX(Products!$C$2:$C$13,MATCH(D2849,Products!$A$2:$A$13,0)),INDEX(Products!$E$2:$E$13,MATCH(D2849,Products!$A$2:$A$13,0)))</f>
        <v>3706.5</v>
      </c>
      <c r="H2849" s="13" t="n">
        <f aca="false">IF(A2849="2025",INDEX(Customers!$D$2:$D$41,MATCH(C2849,Customers!$A$2:$A$41,0)),INDEX(Customers!$F$2:$F$41,MATCH(C2849,Customers!$A$2:$A$41,0)))</f>
        <v>0.069</v>
      </c>
      <c r="I2849" s="16" t="n">
        <f aca="false">F2849*G2849</f>
        <v>51891</v>
      </c>
      <c r="J2849" s="16" t="n">
        <f aca="false">I2849*(1-H2849)</f>
        <v>48310.521</v>
      </c>
      <c r="K2849" s="16" t="n">
        <f aca="false">J2849*INDEX(Customers!$G$2:$G$41,MATCH(C2849,Customers!$A$2:$A$41,0))</f>
        <v>1449.31563</v>
      </c>
      <c r="L2849" s="16" t="n">
        <f aca="false">F2849*INDEX(Customers!$H$2:$H$41,MATCH(C2849,Customers!$A$2:$A$41,0))</f>
        <v>1540</v>
      </c>
      <c r="M2849" s="16" t="n">
        <f aca="false">J2849*INDEX(Customers!$I$2:$I$41,MATCH(C2849,Customers!$A$2:$A$41,0))/365*Assumptions!$B$6</f>
        <v>952.974660821918</v>
      </c>
      <c r="N2849" s="16" t="n">
        <f aca="false">J2849-K2849-L2849-M2849</f>
        <v>44368.2307091781</v>
      </c>
      <c r="O2849" s="16" t="n">
        <f aca="false">F2849*IF(A2849="2025",INDEX(Products!$D$2:$D$13,MATCH(D2849,Products!$A$2:$A$13,0)),INDEX(Products!$F$2:$F$13,MATCH(D2849,Products!$A$2:$A$13,0)))</f>
        <v>34752.2</v>
      </c>
      <c r="P2849" s="16" t="n">
        <f aca="false">N2849-O2849</f>
        <v>9616.03070917808</v>
      </c>
    </row>
    <row r="2850" customFormat="false" ht="15" hidden="false" customHeight="false" outlineLevel="0" collapsed="false">
      <c r="A2850" s="2" t="s">
        <v>119</v>
      </c>
      <c r="B2850" s="2" t="n">
        <v>5</v>
      </c>
      <c r="C2850" s="2" t="s">
        <v>104</v>
      </c>
      <c r="D2850" s="2" t="s">
        <v>37</v>
      </c>
      <c r="E2850" s="2" t="str">
        <f aca="false">INDEX(Products!$B$2:$B$13,MATCH(D2850,Products!$A$2:$A$13,0))</f>
        <v>FCC</v>
      </c>
      <c r="F2850" s="15" t="n">
        <v>14.8</v>
      </c>
      <c r="G2850" s="16" t="n">
        <f aca="false">IF(A2850="2025",INDEX(Products!$C$2:$C$13,MATCH(D2850,Products!$A$2:$A$13,0)),INDEX(Products!$E$2:$E$13,MATCH(D2850,Products!$A$2:$A$13,0)))</f>
        <v>3706.5</v>
      </c>
      <c r="H2850" s="13" t="n">
        <f aca="false">IF(A2850="2025",INDEX(Customers!$D$2:$D$41,MATCH(C2850,Customers!$A$2:$A$41,0)),INDEX(Customers!$F$2:$F$41,MATCH(C2850,Customers!$A$2:$A$41,0)))</f>
        <v>0.069</v>
      </c>
      <c r="I2850" s="16" t="n">
        <f aca="false">F2850*G2850</f>
        <v>54856.2</v>
      </c>
      <c r="J2850" s="16" t="n">
        <f aca="false">I2850*(1-H2850)</f>
        <v>51071.1222</v>
      </c>
      <c r="K2850" s="16" t="n">
        <f aca="false">J2850*INDEX(Customers!$G$2:$G$41,MATCH(C2850,Customers!$A$2:$A$41,0))</f>
        <v>1532.133666</v>
      </c>
      <c r="L2850" s="16" t="n">
        <f aca="false">F2850*INDEX(Customers!$H$2:$H$41,MATCH(C2850,Customers!$A$2:$A$41,0))</f>
        <v>1628</v>
      </c>
      <c r="M2850" s="16" t="n">
        <f aca="false">J2850*INDEX(Customers!$I$2:$I$41,MATCH(C2850,Customers!$A$2:$A$41,0))/365*Assumptions!$B$6</f>
        <v>1007.43035572603</v>
      </c>
      <c r="N2850" s="16" t="n">
        <f aca="false">J2850-K2850-L2850-M2850</f>
        <v>46903.558178274</v>
      </c>
      <c r="O2850" s="16" t="n">
        <f aca="false">F2850*IF(A2850="2025",INDEX(Products!$D$2:$D$13,MATCH(D2850,Products!$A$2:$A$13,0)),INDEX(Products!$F$2:$F$13,MATCH(D2850,Products!$A$2:$A$13,0)))</f>
        <v>36738.04</v>
      </c>
      <c r="P2850" s="16" t="n">
        <f aca="false">N2850-O2850</f>
        <v>10165.518178274</v>
      </c>
    </row>
    <row r="2851" customFormat="false" ht="15" hidden="false" customHeight="false" outlineLevel="0" collapsed="false">
      <c r="A2851" s="2" t="s">
        <v>119</v>
      </c>
      <c r="B2851" s="2" t="n">
        <v>6</v>
      </c>
      <c r="C2851" s="2" t="s">
        <v>104</v>
      </c>
      <c r="D2851" s="2" t="s">
        <v>37</v>
      </c>
      <c r="E2851" s="2" t="str">
        <f aca="false">INDEX(Products!$B$2:$B$13,MATCH(D2851,Products!$A$2:$A$13,0))</f>
        <v>FCC</v>
      </c>
      <c r="F2851" s="15" t="n">
        <v>12</v>
      </c>
      <c r="G2851" s="16" t="n">
        <f aca="false">IF(A2851="2025",INDEX(Products!$C$2:$C$13,MATCH(D2851,Products!$A$2:$A$13,0)),INDEX(Products!$E$2:$E$13,MATCH(D2851,Products!$A$2:$A$13,0)))</f>
        <v>3706.5</v>
      </c>
      <c r="H2851" s="13" t="n">
        <f aca="false">IF(A2851="2025",INDEX(Customers!$D$2:$D$41,MATCH(C2851,Customers!$A$2:$A$41,0)),INDEX(Customers!$F$2:$F$41,MATCH(C2851,Customers!$A$2:$A$41,0)))</f>
        <v>0.069</v>
      </c>
      <c r="I2851" s="16" t="n">
        <f aca="false">F2851*G2851</f>
        <v>44478</v>
      </c>
      <c r="J2851" s="16" t="n">
        <f aca="false">I2851*(1-H2851)</f>
        <v>41409.018</v>
      </c>
      <c r="K2851" s="16" t="n">
        <f aca="false">J2851*INDEX(Customers!$G$2:$G$41,MATCH(C2851,Customers!$A$2:$A$41,0))</f>
        <v>1242.27054</v>
      </c>
      <c r="L2851" s="16" t="n">
        <f aca="false">F2851*INDEX(Customers!$H$2:$H$41,MATCH(C2851,Customers!$A$2:$A$41,0))</f>
        <v>1320</v>
      </c>
      <c r="M2851" s="16" t="n">
        <f aca="false">J2851*INDEX(Customers!$I$2:$I$41,MATCH(C2851,Customers!$A$2:$A$41,0))/365*Assumptions!$B$6</f>
        <v>816.835423561644</v>
      </c>
      <c r="N2851" s="16" t="n">
        <f aca="false">J2851-K2851-L2851-M2851</f>
        <v>38029.9120364384</v>
      </c>
      <c r="O2851" s="16" t="n">
        <f aca="false">F2851*IF(A2851="2025",INDEX(Products!$D$2:$D$13,MATCH(D2851,Products!$A$2:$A$13,0)),INDEX(Products!$F$2:$F$13,MATCH(D2851,Products!$A$2:$A$13,0)))</f>
        <v>29787.6</v>
      </c>
      <c r="P2851" s="16" t="n">
        <f aca="false">N2851-O2851</f>
        <v>8242.31203643836</v>
      </c>
    </row>
    <row r="2852" customFormat="false" ht="15" hidden="false" customHeight="false" outlineLevel="0" collapsed="false">
      <c r="A2852" s="2" t="s">
        <v>119</v>
      </c>
      <c r="B2852" s="2" t="n">
        <v>7</v>
      </c>
      <c r="C2852" s="2" t="s">
        <v>104</v>
      </c>
      <c r="D2852" s="2" t="s">
        <v>37</v>
      </c>
      <c r="E2852" s="2" t="str">
        <f aca="false">INDEX(Products!$B$2:$B$13,MATCH(D2852,Products!$A$2:$A$13,0))</f>
        <v>FCC</v>
      </c>
      <c r="F2852" s="15" t="n">
        <v>12.8</v>
      </c>
      <c r="G2852" s="16" t="n">
        <f aca="false">IF(A2852="2025",INDEX(Products!$C$2:$C$13,MATCH(D2852,Products!$A$2:$A$13,0)),INDEX(Products!$E$2:$E$13,MATCH(D2852,Products!$A$2:$A$13,0)))</f>
        <v>3706.5</v>
      </c>
      <c r="H2852" s="13" t="n">
        <f aca="false">IF(A2852="2025",INDEX(Customers!$D$2:$D$41,MATCH(C2852,Customers!$A$2:$A$41,0)),INDEX(Customers!$F$2:$F$41,MATCH(C2852,Customers!$A$2:$A$41,0)))</f>
        <v>0.069</v>
      </c>
      <c r="I2852" s="16" t="n">
        <f aca="false">F2852*G2852</f>
        <v>47443.2</v>
      </c>
      <c r="J2852" s="16" t="n">
        <f aca="false">I2852*(1-H2852)</f>
        <v>44169.6192</v>
      </c>
      <c r="K2852" s="16" t="n">
        <f aca="false">J2852*INDEX(Customers!$G$2:$G$41,MATCH(C2852,Customers!$A$2:$A$41,0))</f>
        <v>1325.088576</v>
      </c>
      <c r="L2852" s="16" t="n">
        <f aca="false">F2852*INDEX(Customers!$H$2:$H$41,MATCH(C2852,Customers!$A$2:$A$41,0))</f>
        <v>1408</v>
      </c>
      <c r="M2852" s="16" t="n">
        <f aca="false">J2852*INDEX(Customers!$I$2:$I$41,MATCH(C2852,Customers!$A$2:$A$41,0))/365*Assumptions!$B$6</f>
        <v>871.291118465754</v>
      </c>
      <c r="N2852" s="16" t="n">
        <f aca="false">J2852-K2852-L2852-M2852</f>
        <v>40565.2395055343</v>
      </c>
      <c r="O2852" s="16" t="n">
        <f aca="false">F2852*IF(A2852="2025",INDEX(Products!$D$2:$D$13,MATCH(D2852,Products!$A$2:$A$13,0)),INDEX(Products!$F$2:$F$13,MATCH(D2852,Products!$A$2:$A$13,0)))</f>
        <v>31773.44</v>
      </c>
      <c r="P2852" s="16" t="n">
        <f aca="false">N2852-O2852</f>
        <v>8791.79950553425</v>
      </c>
    </row>
    <row r="2853" customFormat="false" ht="15" hidden="false" customHeight="false" outlineLevel="0" collapsed="false">
      <c r="A2853" s="2" t="s">
        <v>119</v>
      </c>
      <c r="B2853" s="2" t="n">
        <v>8</v>
      </c>
      <c r="C2853" s="2" t="s">
        <v>104</v>
      </c>
      <c r="D2853" s="2" t="s">
        <v>37</v>
      </c>
      <c r="E2853" s="2" t="str">
        <f aca="false">INDEX(Products!$B$2:$B$13,MATCH(D2853,Products!$A$2:$A$13,0))</f>
        <v>FCC</v>
      </c>
      <c r="F2853" s="15" t="n">
        <v>16.4</v>
      </c>
      <c r="G2853" s="16" t="n">
        <f aca="false">IF(A2853="2025",INDEX(Products!$C$2:$C$13,MATCH(D2853,Products!$A$2:$A$13,0)),INDEX(Products!$E$2:$E$13,MATCH(D2853,Products!$A$2:$A$13,0)))</f>
        <v>3706.5</v>
      </c>
      <c r="H2853" s="13" t="n">
        <f aca="false">IF(A2853="2025",INDEX(Customers!$D$2:$D$41,MATCH(C2853,Customers!$A$2:$A$41,0)),INDEX(Customers!$F$2:$F$41,MATCH(C2853,Customers!$A$2:$A$41,0)))</f>
        <v>0.069</v>
      </c>
      <c r="I2853" s="16" t="n">
        <f aca="false">F2853*G2853</f>
        <v>60786.6</v>
      </c>
      <c r="J2853" s="16" t="n">
        <f aca="false">I2853*(1-H2853)</f>
        <v>56592.3246</v>
      </c>
      <c r="K2853" s="16" t="n">
        <f aca="false">J2853*INDEX(Customers!$G$2:$G$41,MATCH(C2853,Customers!$A$2:$A$41,0))</f>
        <v>1697.769738</v>
      </c>
      <c r="L2853" s="16" t="n">
        <f aca="false">F2853*INDEX(Customers!$H$2:$H$41,MATCH(C2853,Customers!$A$2:$A$41,0))</f>
        <v>1804</v>
      </c>
      <c r="M2853" s="16" t="n">
        <f aca="false">J2853*INDEX(Customers!$I$2:$I$41,MATCH(C2853,Customers!$A$2:$A$41,0))/365*Assumptions!$B$6</f>
        <v>1116.34174553425</v>
      </c>
      <c r="N2853" s="16" t="n">
        <f aca="false">J2853-K2853-L2853-M2853</f>
        <v>51974.2131164657</v>
      </c>
      <c r="O2853" s="16" t="n">
        <f aca="false">F2853*IF(A2853="2025",INDEX(Products!$D$2:$D$13,MATCH(D2853,Products!$A$2:$A$13,0)),INDEX(Products!$F$2:$F$13,MATCH(D2853,Products!$A$2:$A$13,0)))</f>
        <v>40709.72</v>
      </c>
      <c r="P2853" s="16" t="n">
        <f aca="false">N2853-O2853</f>
        <v>11264.4931164657</v>
      </c>
    </row>
    <row r="2854" customFormat="false" ht="15" hidden="false" customHeight="false" outlineLevel="0" collapsed="false">
      <c r="A2854" s="2" t="s">
        <v>119</v>
      </c>
      <c r="B2854" s="2" t="n">
        <v>9</v>
      </c>
      <c r="C2854" s="2" t="s">
        <v>104</v>
      </c>
      <c r="D2854" s="2" t="s">
        <v>37</v>
      </c>
      <c r="E2854" s="2" t="str">
        <f aca="false">INDEX(Products!$B$2:$B$13,MATCH(D2854,Products!$A$2:$A$13,0))</f>
        <v>FCC</v>
      </c>
      <c r="F2854" s="15" t="n">
        <v>15.7</v>
      </c>
      <c r="G2854" s="16" t="n">
        <f aca="false">IF(A2854="2025",INDEX(Products!$C$2:$C$13,MATCH(D2854,Products!$A$2:$A$13,0)),INDEX(Products!$E$2:$E$13,MATCH(D2854,Products!$A$2:$A$13,0)))</f>
        <v>3706.5</v>
      </c>
      <c r="H2854" s="13" t="n">
        <f aca="false">IF(A2854="2025",INDEX(Customers!$D$2:$D$41,MATCH(C2854,Customers!$A$2:$A$41,0)),INDEX(Customers!$F$2:$F$41,MATCH(C2854,Customers!$A$2:$A$41,0)))</f>
        <v>0.069</v>
      </c>
      <c r="I2854" s="16" t="n">
        <f aca="false">F2854*G2854</f>
        <v>58192.05</v>
      </c>
      <c r="J2854" s="16" t="n">
        <f aca="false">I2854*(1-H2854)</f>
        <v>54176.79855</v>
      </c>
      <c r="K2854" s="16" t="n">
        <f aca="false">J2854*INDEX(Customers!$G$2:$G$41,MATCH(C2854,Customers!$A$2:$A$41,0))</f>
        <v>1625.3039565</v>
      </c>
      <c r="L2854" s="16" t="n">
        <f aca="false">F2854*INDEX(Customers!$H$2:$H$41,MATCH(C2854,Customers!$A$2:$A$41,0))</f>
        <v>1727</v>
      </c>
      <c r="M2854" s="16" t="n">
        <f aca="false">J2854*INDEX(Customers!$I$2:$I$41,MATCH(C2854,Customers!$A$2:$A$41,0))/365*Assumptions!$B$6</f>
        <v>1068.69301249315</v>
      </c>
      <c r="N2854" s="16" t="n">
        <f aca="false">J2854-K2854-L2854-M2854</f>
        <v>49755.8015810069</v>
      </c>
      <c r="O2854" s="16" t="n">
        <f aca="false">F2854*IF(A2854="2025",INDEX(Products!$D$2:$D$13,MATCH(D2854,Products!$A$2:$A$13,0)),INDEX(Products!$F$2:$F$13,MATCH(D2854,Products!$A$2:$A$13,0)))</f>
        <v>38972.11</v>
      </c>
      <c r="P2854" s="16" t="n">
        <f aca="false">N2854-O2854</f>
        <v>10783.6915810068</v>
      </c>
    </row>
    <row r="2855" customFormat="false" ht="15" hidden="false" customHeight="false" outlineLevel="0" collapsed="false">
      <c r="A2855" s="2" t="s">
        <v>119</v>
      </c>
      <c r="B2855" s="2" t="n">
        <v>10</v>
      </c>
      <c r="C2855" s="2" t="s">
        <v>104</v>
      </c>
      <c r="D2855" s="2" t="s">
        <v>37</v>
      </c>
      <c r="E2855" s="2" t="str">
        <f aca="false">INDEX(Products!$B$2:$B$13,MATCH(D2855,Products!$A$2:$A$13,0))</f>
        <v>FCC</v>
      </c>
      <c r="F2855" s="15" t="n">
        <v>14.3</v>
      </c>
      <c r="G2855" s="16" t="n">
        <f aca="false">IF(A2855="2025",INDEX(Products!$C$2:$C$13,MATCH(D2855,Products!$A$2:$A$13,0)),INDEX(Products!$E$2:$E$13,MATCH(D2855,Products!$A$2:$A$13,0)))</f>
        <v>3706.5</v>
      </c>
      <c r="H2855" s="13" t="n">
        <f aca="false">IF(A2855="2025",INDEX(Customers!$D$2:$D$41,MATCH(C2855,Customers!$A$2:$A$41,0)),INDEX(Customers!$F$2:$F$41,MATCH(C2855,Customers!$A$2:$A$41,0)))</f>
        <v>0.069</v>
      </c>
      <c r="I2855" s="16" t="n">
        <f aca="false">F2855*G2855</f>
        <v>53002.95</v>
      </c>
      <c r="J2855" s="16" t="n">
        <f aca="false">I2855*(1-H2855)</f>
        <v>49345.74645</v>
      </c>
      <c r="K2855" s="16" t="n">
        <f aca="false">J2855*INDEX(Customers!$G$2:$G$41,MATCH(C2855,Customers!$A$2:$A$41,0))</f>
        <v>1480.3723935</v>
      </c>
      <c r="L2855" s="16" t="n">
        <f aca="false">F2855*INDEX(Customers!$H$2:$H$41,MATCH(C2855,Customers!$A$2:$A$41,0))</f>
        <v>1573</v>
      </c>
      <c r="M2855" s="16" t="n">
        <f aca="false">J2855*INDEX(Customers!$I$2:$I$41,MATCH(C2855,Customers!$A$2:$A$41,0))/365*Assumptions!$B$6</f>
        <v>973.395546410959</v>
      </c>
      <c r="N2855" s="16" t="n">
        <f aca="false">J2855-K2855-L2855-M2855</f>
        <v>45318.978510089</v>
      </c>
      <c r="O2855" s="16" t="n">
        <f aca="false">F2855*IF(A2855="2025",INDEX(Products!$D$2:$D$13,MATCH(D2855,Products!$A$2:$A$13,0)),INDEX(Products!$F$2:$F$13,MATCH(D2855,Products!$A$2:$A$13,0)))</f>
        <v>35496.89</v>
      </c>
      <c r="P2855" s="16" t="n">
        <f aca="false">N2855-O2855</f>
        <v>9822.08851008904</v>
      </c>
    </row>
    <row r="2856" customFormat="false" ht="15" hidden="false" customHeight="false" outlineLevel="0" collapsed="false">
      <c r="A2856" s="2" t="s">
        <v>119</v>
      </c>
      <c r="B2856" s="2" t="n">
        <v>11</v>
      </c>
      <c r="C2856" s="2" t="s">
        <v>104</v>
      </c>
      <c r="D2856" s="2" t="s">
        <v>37</v>
      </c>
      <c r="E2856" s="2" t="str">
        <f aca="false">INDEX(Products!$B$2:$B$13,MATCH(D2856,Products!$A$2:$A$13,0))</f>
        <v>FCC</v>
      </c>
      <c r="F2856" s="15" t="n">
        <v>16.2</v>
      </c>
      <c r="G2856" s="16" t="n">
        <f aca="false">IF(A2856="2025",INDEX(Products!$C$2:$C$13,MATCH(D2856,Products!$A$2:$A$13,0)),INDEX(Products!$E$2:$E$13,MATCH(D2856,Products!$A$2:$A$13,0)))</f>
        <v>3706.5</v>
      </c>
      <c r="H2856" s="13" t="n">
        <f aca="false">IF(A2856="2025",INDEX(Customers!$D$2:$D$41,MATCH(C2856,Customers!$A$2:$A$41,0)),INDEX(Customers!$F$2:$F$41,MATCH(C2856,Customers!$A$2:$A$41,0)))</f>
        <v>0.069</v>
      </c>
      <c r="I2856" s="16" t="n">
        <f aca="false">F2856*G2856</f>
        <v>60045.3</v>
      </c>
      <c r="J2856" s="16" t="n">
        <f aca="false">I2856*(1-H2856)</f>
        <v>55902.1743</v>
      </c>
      <c r="K2856" s="16" t="n">
        <f aca="false">J2856*INDEX(Customers!$G$2:$G$41,MATCH(C2856,Customers!$A$2:$A$41,0))</f>
        <v>1677.065229</v>
      </c>
      <c r="L2856" s="16" t="n">
        <f aca="false">F2856*INDEX(Customers!$H$2:$H$41,MATCH(C2856,Customers!$A$2:$A$41,0))</f>
        <v>1782</v>
      </c>
      <c r="M2856" s="16" t="n">
        <f aca="false">J2856*INDEX(Customers!$I$2:$I$41,MATCH(C2856,Customers!$A$2:$A$41,0))/365*Assumptions!$B$6</f>
        <v>1102.72782180822</v>
      </c>
      <c r="N2856" s="16" t="n">
        <f aca="false">J2856-K2856-L2856-M2856</f>
        <v>51340.3812491918</v>
      </c>
      <c r="O2856" s="16" t="n">
        <f aca="false">F2856*IF(A2856="2025",INDEX(Products!$D$2:$D$13,MATCH(D2856,Products!$A$2:$A$13,0)),INDEX(Products!$F$2:$F$13,MATCH(D2856,Products!$A$2:$A$13,0)))</f>
        <v>40213.26</v>
      </c>
      <c r="P2856" s="16" t="n">
        <f aca="false">N2856-O2856</f>
        <v>11127.1212491918</v>
      </c>
    </row>
    <row r="2857" customFormat="false" ht="15" hidden="false" customHeight="false" outlineLevel="0" collapsed="false">
      <c r="A2857" s="2" t="s">
        <v>119</v>
      </c>
      <c r="B2857" s="2" t="n">
        <v>12</v>
      </c>
      <c r="C2857" s="2" t="s">
        <v>104</v>
      </c>
      <c r="D2857" s="2" t="s">
        <v>37</v>
      </c>
      <c r="E2857" s="2" t="str">
        <f aca="false">INDEX(Products!$B$2:$B$13,MATCH(D2857,Products!$A$2:$A$13,0))</f>
        <v>FCC</v>
      </c>
      <c r="F2857" s="15" t="n">
        <v>14.5</v>
      </c>
      <c r="G2857" s="16" t="n">
        <f aca="false">IF(A2857="2025",INDEX(Products!$C$2:$C$13,MATCH(D2857,Products!$A$2:$A$13,0)),INDEX(Products!$E$2:$E$13,MATCH(D2857,Products!$A$2:$A$13,0)))</f>
        <v>3706.5</v>
      </c>
      <c r="H2857" s="13" t="n">
        <f aca="false">IF(A2857="2025",INDEX(Customers!$D$2:$D$41,MATCH(C2857,Customers!$A$2:$A$41,0)),INDEX(Customers!$F$2:$F$41,MATCH(C2857,Customers!$A$2:$A$41,0)))</f>
        <v>0.069</v>
      </c>
      <c r="I2857" s="16" t="n">
        <f aca="false">F2857*G2857</f>
        <v>53744.25</v>
      </c>
      <c r="J2857" s="16" t="n">
        <f aca="false">I2857*(1-H2857)</f>
        <v>50035.89675</v>
      </c>
      <c r="K2857" s="16" t="n">
        <f aca="false">J2857*INDEX(Customers!$G$2:$G$41,MATCH(C2857,Customers!$A$2:$A$41,0))</f>
        <v>1501.0769025</v>
      </c>
      <c r="L2857" s="16" t="n">
        <f aca="false">F2857*INDEX(Customers!$H$2:$H$41,MATCH(C2857,Customers!$A$2:$A$41,0))</f>
        <v>1595</v>
      </c>
      <c r="M2857" s="16" t="n">
        <f aca="false">J2857*INDEX(Customers!$I$2:$I$41,MATCH(C2857,Customers!$A$2:$A$41,0))/365*Assumptions!$B$6</f>
        <v>987.009470136986</v>
      </c>
      <c r="N2857" s="16" t="n">
        <f aca="false">J2857-K2857-L2857-M2857</f>
        <v>45952.810377363</v>
      </c>
      <c r="O2857" s="16" t="n">
        <f aca="false">F2857*IF(A2857="2025",INDEX(Products!$D$2:$D$13,MATCH(D2857,Products!$A$2:$A$13,0)),INDEX(Products!$F$2:$F$13,MATCH(D2857,Products!$A$2:$A$13,0)))</f>
        <v>35993.35</v>
      </c>
      <c r="P2857" s="16" t="n">
        <f aca="false">N2857-O2857</f>
        <v>9959.46037736301</v>
      </c>
    </row>
    <row r="2858" customFormat="false" ht="15" hidden="false" customHeight="false" outlineLevel="0" collapsed="false">
      <c r="A2858" s="2" t="s">
        <v>118</v>
      </c>
      <c r="B2858" s="2" t="n">
        <v>1</v>
      </c>
      <c r="C2858" s="2" t="s">
        <v>104</v>
      </c>
      <c r="D2858" s="2" t="s">
        <v>42</v>
      </c>
      <c r="E2858" s="2" t="str">
        <f aca="false">INDEX(Products!$B$2:$B$13,MATCH(D2858,Products!$A$2:$A$13,0))</f>
        <v>Hydroprocessing</v>
      </c>
      <c r="F2858" s="15" t="n">
        <v>9.2</v>
      </c>
      <c r="G2858" s="16" t="n">
        <f aca="false">IF(A2858="2025",INDEX(Products!$C$2:$C$13,MATCH(D2858,Products!$A$2:$A$13,0)),INDEX(Products!$E$2:$E$13,MATCH(D2858,Products!$A$2:$A$13,0)))</f>
        <v>12450</v>
      </c>
      <c r="H2858" s="13" t="n">
        <f aca="false">IF(A2858="2025",INDEX(Customers!$D$2:$D$41,MATCH(C2858,Customers!$A$2:$A$41,0)),INDEX(Customers!$F$2:$F$41,MATCH(C2858,Customers!$A$2:$A$41,0)))</f>
        <v>0.039</v>
      </c>
      <c r="I2858" s="16" t="n">
        <f aca="false">F2858*G2858</f>
        <v>114540</v>
      </c>
      <c r="J2858" s="16" t="n">
        <f aca="false">I2858*(1-H2858)</f>
        <v>110072.94</v>
      </c>
      <c r="K2858" s="16" t="n">
        <f aca="false">J2858*INDEX(Customers!$G$2:$G$41,MATCH(C2858,Customers!$A$2:$A$41,0))</f>
        <v>3302.1882</v>
      </c>
      <c r="L2858" s="16" t="n">
        <f aca="false">F2858*INDEX(Customers!$H$2:$H$41,MATCH(C2858,Customers!$A$2:$A$41,0))</f>
        <v>1012</v>
      </c>
      <c r="M2858" s="16" t="n">
        <f aca="false">J2858*INDEX(Customers!$I$2:$I$41,MATCH(C2858,Customers!$A$2:$A$41,0))/365*Assumptions!$B$6</f>
        <v>2171.30183013699</v>
      </c>
      <c r="N2858" s="16" t="n">
        <f aca="false">J2858-K2858-L2858-M2858</f>
        <v>103587.449969863</v>
      </c>
      <c r="O2858" s="16" t="n">
        <f aca="false">F2858*IF(A2858="2025",INDEX(Products!$D$2:$D$13,MATCH(D2858,Products!$A$2:$A$13,0)),INDEX(Products!$F$2:$F$13,MATCH(D2858,Products!$A$2:$A$13,0)))</f>
        <v>71576</v>
      </c>
      <c r="P2858" s="16" t="n">
        <f aca="false">N2858-O2858</f>
        <v>32011.449969863</v>
      </c>
    </row>
    <row r="2859" customFormat="false" ht="15" hidden="false" customHeight="false" outlineLevel="0" collapsed="false">
      <c r="A2859" s="2" t="s">
        <v>118</v>
      </c>
      <c r="B2859" s="2" t="n">
        <v>2</v>
      </c>
      <c r="C2859" s="2" t="s">
        <v>104</v>
      </c>
      <c r="D2859" s="2" t="s">
        <v>42</v>
      </c>
      <c r="E2859" s="2" t="str">
        <f aca="false">INDEX(Products!$B$2:$B$13,MATCH(D2859,Products!$A$2:$A$13,0))</f>
        <v>Hydroprocessing</v>
      </c>
      <c r="F2859" s="15" t="n">
        <v>5.5</v>
      </c>
      <c r="G2859" s="16" t="n">
        <f aca="false">IF(A2859="2025",INDEX(Products!$C$2:$C$13,MATCH(D2859,Products!$A$2:$A$13,0)),INDEX(Products!$E$2:$E$13,MATCH(D2859,Products!$A$2:$A$13,0)))</f>
        <v>12450</v>
      </c>
      <c r="H2859" s="13" t="n">
        <f aca="false">IF(A2859="2025",INDEX(Customers!$D$2:$D$41,MATCH(C2859,Customers!$A$2:$A$41,0)),INDEX(Customers!$F$2:$F$41,MATCH(C2859,Customers!$A$2:$A$41,0)))</f>
        <v>0.039</v>
      </c>
      <c r="I2859" s="16" t="n">
        <f aca="false">F2859*G2859</f>
        <v>68475</v>
      </c>
      <c r="J2859" s="16" t="n">
        <f aca="false">I2859*(1-H2859)</f>
        <v>65804.475</v>
      </c>
      <c r="K2859" s="16" t="n">
        <f aca="false">J2859*INDEX(Customers!$G$2:$G$41,MATCH(C2859,Customers!$A$2:$A$41,0))</f>
        <v>1974.13425</v>
      </c>
      <c r="L2859" s="16" t="n">
        <f aca="false">F2859*INDEX(Customers!$H$2:$H$41,MATCH(C2859,Customers!$A$2:$A$41,0))</f>
        <v>605</v>
      </c>
      <c r="M2859" s="16" t="n">
        <f aca="false">J2859*INDEX(Customers!$I$2:$I$41,MATCH(C2859,Customers!$A$2:$A$41,0))/365*Assumptions!$B$6</f>
        <v>1298.06087671233</v>
      </c>
      <c r="N2859" s="16" t="n">
        <f aca="false">J2859-K2859-L2859-M2859</f>
        <v>61927.2798732877</v>
      </c>
      <c r="O2859" s="16" t="n">
        <f aca="false">F2859*IF(A2859="2025",INDEX(Products!$D$2:$D$13,MATCH(D2859,Products!$A$2:$A$13,0)),INDEX(Products!$F$2:$F$13,MATCH(D2859,Products!$A$2:$A$13,0)))</f>
        <v>42790</v>
      </c>
      <c r="P2859" s="16" t="n">
        <f aca="false">N2859-O2859</f>
        <v>19137.2798732877</v>
      </c>
    </row>
    <row r="2860" customFormat="false" ht="15" hidden="false" customHeight="false" outlineLevel="0" collapsed="false">
      <c r="A2860" s="2" t="s">
        <v>118</v>
      </c>
      <c r="B2860" s="2" t="n">
        <v>3</v>
      </c>
      <c r="C2860" s="2" t="s">
        <v>104</v>
      </c>
      <c r="D2860" s="2" t="s">
        <v>42</v>
      </c>
      <c r="E2860" s="2" t="str">
        <f aca="false">INDEX(Products!$B$2:$B$13,MATCH(D2860,Products!$A$2:$A$13,0))</f>
        <v>Hydroprocessing</v>
      </c>
      <c r="F2860" s="15" t="n">
        <v>6.2</v>
      </c>
      <c r="G2860" s="16" t="n">
        <f aca="false">IF(A2860="2025",INDEX(Products!$C$2:$C$13,MATCH(D2860,Products!$A$2:$A$13,0)),INDEX(Products!$E$2:$E$13,MATCH(D2860,Products!$A$2:$A$13,0)))</f>
        <v>12450</v>
      </c>
      <c r="H2860" s="13" t="n">
        <f aca="false">IF(A2860="2025",INDEX(Customers!$D$2:$D$41,MATCH(C2860,Customers!$A$2:$A$41,0)),INDEX(Customers!$F$2:$F$41,MATCH(C2860,Customers!$A$2:$A$41,0)))</f>
        <v>0.039</v>
      </c>
      <c r="I2860" s="16" t="n">
        <f aca="false">F2860*G2860</f>
        <v>77190</v>
      </c>
      <c r="J2860" s="16" t="n">
        <f aca="false">I2860*(1-H2860)</f>
        <v>74179.59</v>
      </c>
      <c r="K2860" s="16" t="n">
        <f aca="false">J2860*INDEX(Customers!$G$2:$G$41,MATCH(C2860,Customers!$A$2:$A$41,0))</f>
        <v>2225.3877</v>
      </c>
      <c r="L2860" s="16" t="n">
        <f aca="false">F2860*INDEX(Customers!$H$2:$H$41,MATCH(C2860,Customers!$A$2:$A$41,0))</f>
        <v>682</v>
      </c>
      <c r="M2860" s="16" t="n">
        <f aca="false">J2860*INDEX(Customers!$I$2:$I$41,MATCH(C2860,Customers!$A$2:$A$41,0))/365*Assumptions!$B$6</f>
        <v>1463.26862465753</v>
      </c>
      <c r="N2860" s="16" t="n">
        <f aca="false">J2860-K2860-L2860-M2860</f>
        <v>69808.9336753425</v>
      </c>
      <c r="O2860" s="16" t="n">
        <f aca="false">F2860*IF(A2860="2025",INDEX(Products!$D$2:$D$13,MATCH(D2860,Products!$A$2:$A$13,0)),INDEX(Products!$F$2:$F$13,MATCH(D2860,Products!$A$2:$A$13,0)))</f>
        <v>48236</v>
      </c>
      <c r="P2860" s="16" t="n">
        <f aca="false">N2860-O2860</f>
        <v>21572.9336753425</v>
      </c>
    </row>
    <row r="2861" customFormat="false" ht="15" hidden="false" customHeight="false" outlineLevel="0" collapsed="false">
      <c r="A2861" s="2" t="s">
        <v>118</v>
      </c>
      <c r="B2861" s="2" t="n">
        <v>4</v>
      </c>
      <c r="C2861" s="2" t="s">
        <v>104</v>
      </c>
      <c r="D2861" s="2" t="s">
        <v>42</v>
      </c>
      <c r="E2861" s="2" t="str">
        <f aca="false">INDEX(Products!$B$2:$B$13,MATCH(D2861,Products!$A$2:$A$13,0))</f>
        <v>Hydroprocessing</v>
      </c>
      <c r="F2861" s="15" t="n">
        <v>8.6</v>
      </c>
      <c r="G2861" s="16" t="n">
        <f aca="false">IF(A2861="2025",INDEX(Products!$C$2:$C$13,MATCH(D2861,Products!$A$2:$A$13,0)),INDEX(Products!$E$2:$E$13,MATCH(D2861,Products!$A$2:$A$13,0)))</f>
        <v>12450</v>
      </c>
      <c r="H2861" s="13" t="n">
        <f aca="false">IF(A2861="2025",INDEX(Customers!$D$2:$D$41,MATCH(C2861,Customers!$A$2:$A$41,0)),INDEX(Customers!$F$2:$F$41,MATCH(C2861,Customers!$A$2:$A$41,0)))</f>
        <v>0.039</v>
      </c>
      <c r="I2861" s="16" t="n">
        <f aca="false">F2861*G2861</f>
        <v>107070</v>
      </c>
      <c r="J2861" s="16" t="n">
        <f aca="false">I2861*(1-H2861)</f>
        <v>102894.27</v>
      </c>
      <c r="K2861" s="16" t="n">
        <f aca="false">J2861*INDEX(Customers!$G$2:$G$41,MATCH(C2861,Customers!$A$2:$A$41,0))</f>
        <v>3086.8281</v>
      </c>
      <c r="L2861" s="16" t="n">
        <f aca="false">F2861*INDEX(Customers!$H$2:$H$41,MATCH(C2861,Customers!$A$2:$A$41,0))</f>
        <v>946</v>
      </c>
      <c r="M2861" s="16" t="n">
        <f aca="false">J2861*INDEX(Customers!$I$2:$I$41,MATCH(C2861,Customers!$A$2:$A$41,0))/365*Assumptions!$B$6</f>
        <v>2029.6951890411</v>
      </c>
      <c r="N2861" s="16" t="n">
        <f aca="false">J2861-K2861-L2861-M2861</f>
        <v>96831.7467109589</v>
      </c>
      <c r="O2861" s="16" t="n">
        <f aca="false">F2861*IF(A2861="2025",INDEX(Products!$D$2:$D$13,MATCH(D2861,Products!$A$2:$A$13,0)),INDEX(Products!$F$2:$F$13,MATCH(D2861,Products!$A$2:$A$13,0)))</f>
        <v>66908</v>
      </c>
      <c r="P2861" s="16" t="n">
        <f aca="false">N2861-O2861</f>
        <v>29923.7467109589</v>
      </c>
    </row>
    <row r="2862" customFormat="false" ht="15" hidden="false" customHeight="false" outlineLevel="0" collapsed="false">
      <c r="A2862" s="2" t="s">
        <v>118</v>
      </c>
      <c r="B2862" s="2" t="n">
        <v>5</v>
      </c>
      <c r="C2862" s="2" t="s">
        <v>104</v>
      </c>
      <c r="D2862" s="2" t="s">
        <v>42</v>
      </c>
      <c r="E2862" s="2" t="str">
        <f aca="false">INDEX(Products!$B$2:$B$13,MATCH(D2862,Products!$A$2:$A$13,0))</f>
        <v>Hydroprocessing</v>
      </c>
      <c r="F2862" s="15" t="n">
        <v>6.8</v>
      </c>
      <c r="G2862" s="16" t="n">
        <f aca="false">IF(A2862="2025",INDEX(Products!$C$2:$C$13,MATCH(D2862,Products!$A$2:$A$13,0)),INDEX(Products!$E$2:$E$13,MATCH(D2862,Products!$A$2:$A$13,0)))</f>
        <v>12450</v>
      </c>
      <c r="H2862" s="13" t="n">
        <f aca="false">IF(A2862="2025",INDEX(Customers!$D$2:$D$41,MATCH(C2862,Customers!$A$2:$A$41,0)),INDEX(Customers!$F$2:$F$41,MATCH(C2862,Customers!$A$2:$A$41,0)))</f>
        <v>0.039</v>
      </c>
      <c r="I2862" s="16" t="n">
        <f aca="false">F2862*G2862</f>
        <v>84660</v>
      </c>
      <c r="J2862" s="16" t="n">
        <f aca="false">I2862*(1-H2862)</f>
        <v>81358.26</v>
      </c>
      <c r="K2862" s="16" t="n">
        <f aca="false">J2862*INDEX(Customers!$G$2:$G$41,MATCH(C2862,Customers!$A$2:$A$41,0))</f>
        <v>2440.7478</v>
      </c>
      <c r="L2862" s="16" t="n">
        <f aca="false">F2862*INDEX(Customers!$H$2:$H$41,MATCH(C2862,Customers!$A$2:$A$41,0))</f>
        <v>748</v>
      </c>
      <c r="M2862" s="16" t="n">
        <f aca="false">J2862*INDEX(Customers!$I$2:$I$41,MATCH(C2862,Customers!$A$2:$A$41,0))/365*Assumptions!$B$6</f>
        <v>1604.87526575342</v>
      </c>
      <c r="N2862" s="16" t="n">
        <f aca="false">J2862-K2862-L2862-M2862</f>
        <v>76564.6369342466</v>
      </c>
      <c r="O2862" s="16" t="n">
        <f aca="false">F2862*IF(A2862="2025",INDEX(Products!$D$2:$D$13,MATCH(D2862,Products!$A$2:$A$13,0)),INDEX(Products!$F$2:$F$13,MATCH(D2862,Products!$A$2:$A$13,0)))</f>
        <v>52904</v>
      </c>
      <c r="P2862" s="16" t="n">
        <f aca="false">N2862-O2862</f>
        <v>23660.6369342466</v>
      </c>
    </row>
    <row r="2863" customFormat="false" ht="15" hidden="false" customHeight="false" outlineLevel="0" collapsed="false">
      <c r="A2863" s="2" t="s">
        <v>118</v>
      </c>
      <c r="B2863" s="2" t="n">
        <v>6</v>
      </c>
      <c r="C2863" s="2" t="s">
        <v>104</v>
      </c>
      <c r="D2863" s="2" t="s">
        <v>42</v>
      </c>
      <c r="E2863" s="2" t="str">
        <f aca="false">INDEX(Products!$B$2:$B$13,MATCH(D2863,Products!$A$2:$A$13,0))</f>
        <v>Hydroprocessing</v>
      </c>
      <c r="F2863" s="15" t="n">
        <v>6</v>
      </c>
      <c r="G2863" s="16" t="n">
        <f aca="false">IF(A2863="2025",INDEX(Products!$C$2:$C$13,MATCH(D2863,Products!$A$2:$A$13,0)),INDEX(Products!$E$2:$E$13,MATCH(D2863,Products!$A$2:$A$13,0)))</f>
        <v>12450</v>
      </c>
      <c r="H2863" s="13" t="n">
        <f aca="false">IF(A2863="2025",INDEX(Customers!$D$2:$D$41,MATCH(C2863,Customers!$A$2:$A$41,0)),INDEX(Customers!$F$2:$F$41,MATCH(C2863,Customers!$A$2:$A$41,0)))</f>
        <v>0.039</v>
      </c>
      <c r="I2863" s="16" t="n">
        <f aca="false">F2863*G2863</f>
        <v>74700</v>
      </c>
      <c r="J2863" s="16" t="n">
        <f aca="false">I2863*(1-H2863)</f>
        <v>71786.7</v>
      </c>
      <c r="K2863" s="16" t="n">
        <f aca="false">J2863*INDEX(Customers!$G$2:$G$41,MATCH(C2863,Customers!$A$2:$A$41,0))</f>
        <v>2153.601</v>
      </c>
      <c r="L2863" s="16" t="n">
        <f aca="false">F2863*INDEX(Customers!$H$2:$H$41,MATCH(C2863,Customers!$A$2:$A$41,0))</f>
        <v>660</v>
      </c>
      <c r="M2863" s="16" t="n">
        <f aca="false">J2863*INDEX(Customers!$I$2:$I$41,MATCH(C2863,Customers!$A$2:$A$41,0))/365*Assumptions!$B$6</f>
        <v>1416.0664109589</v>
      </c>
      <c r="N2863" s="16" t="n">
        <f aca="false">J2863-K2863-L2863-M2863</f>
        <v>67557.0325890411</v>
      </c>
      <c r="O2863" s="16" t="n">
        <f aca="false">F2863*IF(A2863="2025",INDEX(Products!$D$2:$D$13,MATCH(D2863,Products!$A$2:$A$13,0)),INDEX(Products!$F$2:$F$13,MATCH(D2863,Products!$A$2:$A$13,0)))</f>
        <v>46680</v>
      </c>
      <c r="P2863" s="16" t="n">
        <f aca="false">N2863-O2863</f>
        <v>20877.0325890411</v>
      </c>
    </row>
    <row r="2864" customFormat="false" ht="15" hidden="false" customHeight="false" outlineLevel="0" collapsed="false">
      <c r="A2864" s="2" t="s">
        <v>118</v>
      </c>
      <c r="B2864" s="2" t="n">
        <v>7</v>
      </c>
      <c r="C2864" s="2" t="s">
        <v>104</v>
      </c>
      <c r="D2864" s="2" t="s">
        <v>42</v>
      </c>
      <c r="E2864" s="2" t="str">
        <f aca="false">INDEX(Products!$B$2:$B$13,MATCH(D2864,Products!$A$2:$A$13,0))</f>
        <v>Hydroprocessing</v>
      </c>
      <c r="F2864" s="15" t="n">
        <v>8.5</v>
      </c>
      <c r="G2864" s="16" t="n">
        <f aca="false">IF(A2864="2025",INDEX(Products!$C$2:$C$13,MATCH(D2864,Products!$A$2:$A$13,0)),INDEX(Products!$E$2:$E$13,MATCH(D2864,Products!$A$2:$A$13,0)))</f>
        <v>12450</v>
      </c>
      <c r="H2864" s="13" t="n">
        <f aca="false">IF(A2864="2025",INDEX(Customers!$D$2:$D$41,MATCH(C2864,Customers!$A$2:$A$41,0)),INDEX(Customers!$F$2:$F$41,MATCH(C2864,Customers!$A$2:$A$41,0)))</f>
        <v>0.039</v>
      </c>
      <c r="I2864" s="16" t="n">
        <f aca="false">F2864*G2864</f>
        <v>105825</v>
      </c>
      <c r="J2864" s="16" t="n">
        <f aca="false">I2864*(1-H2864)</f>
        <v>101697.825</v>
      </c>
      <c r="K2864" s="16" t="n">
        <f aca="false">J2864*INDEX(Customers!$G$2:$G$41,MATCH(C2864,Customers!$A$2:$A$41,0))</f>
        <v>3050.93475</v>
      </c>
      <c r="L2864" s="16" t="n">
        <f aca="false">F2864*INDEX(Customers!$H$2:$H$41,MATCH(C2864,Customers!$A$2:$A$41,0))</f>
        <v>935</v>
      </c>
      <c r="M2864" s="16" t="n">
        <f aca="false">J2864*INDEX(Customers!$I$2:$I$41,MATCH(C2864,Customers!$A$2:$A$41,0))/365*Assumptions!$B$6</f>
        <v>2006.09408219178</v>
      </c>
      <c r="N2864" s="16" t="n">
        <f aca="false">J2864-K2864-L2864-M2864</f>
        <v>95705.7961678082</v>
      </c>
      <c r="O2864" s="16" t="n">
        <f aca="false">F2864*IF(A2864="2025",INDEX(Products!$D$2:$D$13,MATCH(D2864,Products!$A$2:$A$13,0)),INDEX(Products!$F$2:$F$13,MATCH(D2864,Products!$A$2:$A$13,0)))</f>
        <v>66130</v>
      </c>
      <c r="P2864" s="16" t="n">
        <f aca="false">N2864-O2864</f>
        <v>29575.7961678082</v>
      </c>
    </row>
    <row r="2865" customFormat="false" ht="15" hidden="false" customHeight="false" outlineLevel="0" collapsed="false">
      <c r="A2865" s="2" t="s">
        <v>118</v>
      </c>
      <c r="B2865" s="2" t="n">
        <v>8</v>
      </c>
      <c r="C2865" s="2" t="s">
        <v>104</v>
      </c>
      <c r="D2865" s="2" t="s">
        <v>42</v>
      </c>
      <c r="E2865" s="2" t="str">
        <f aca="false">INDEX(Products!$B$2:$B$13,MATCH(D2865,Products!$A$2:$A$13,0))</f>
        <v>Hydroprocessing</v>
      </c>
      <c r="F2865" s="15" t="n">
        <v>8.8</v>
      </c>
      <c r="G2865" s="16" t="n">
        <f aca="false">IF(A2865="2025",INDEX(Products!$C$2:$C$13,MATCH(D2865,Products!$A$2:$A$13,0)),INDEX(Products!$E$2:$E$13,MATCH(D2865,Products!$A$2:$A$13,0)))</f>
        <v>12450</v>
      </c>
      <c r="H2865" s="13" t="n">
        <f aca="false">IF(A2865="2025",INDEX(Customers!$D$2:$D$41,MATCH(C2865,Customers!$A$2:$A$41,0)),INDEX(Customers!$F$2:$F$41,MATCH(C2865,Customers!$A$2:$A$41,0)))</f>
        <v>0.039</v>
      </c>
      <c r="I2865" s="16" t="n">
        <f aca="false">F2865*G2865</f>
        <v>109560</v>
      </c>
      <c r="J2865" s="16" t="n">
        <f aca="false">I2865*(1-H2865)</f>
        <v>105287.16</v>
      </c>
      <c r="K2865" s="16" t="n">
        <f aca="false">J2865*INDEX(Customers!$G$2:$G$41,MATCH(C2865,Customers!$A$2:$A$41,0))</f>
        <v>3158.6148</v>
      </c>
      <c r="L2865" s="16" t="n">
        <f aca="false">F2865*INDEX(Customers!$H$2:$H$41,MATCH(C2865,Customers!$A$2:$A$41,0))</f>
        <v>968</v>
      </c>
      <c r="M2865" s="16" t="n">
        <f aca="false">J2865*INDEX(Customers!$I$2:$I$41,MATCH(C2865,Customers!$A$2:$A$41,0))/365*Assumptions!$B$6</f>
        <v>2076.89740273973</v>
      </c>
      <c r="N2865" s="16" t="n">
        <f aca="false">J2865-K2865-L2865-M2865</f>
        <v>99083.6477972603</v>
      </c>
      <c r="O2865" s="16" t="n">
        <f aca="false">F2865*IF(A2865="2025",INDEX(Products!$D$2:$D$13,MATCH(D2865,Products!$A$2:$A$13,0)),INDEX(Products!$F$2:$F$13,MATCH(D2865,Products!$A$2:$A$13,0)))</f>
        <v>68464</v>
      </c>
      <c r="P2865" s="16" t="n">
        <f aca="false">N2865-O2865</f>
        <v>30619.6477972603</v>
      </c>
    </row>
    <row r="2866" customFormat="false" ht="15" hidden="false" customHeight="false" outlineLevel="0" collapsed="false">
      <c r="A2866" s="2" t="s">
        <v>118</v>
      </c>
      <c r="B2866" s="2" t="n">
        <v>9</v>
      </c>
      <c r="C2866" s="2" t="s">
        <v>104</v>
      </c>
      <c r="D2866" s="2" t="s">
        <v>42</v>
      </c>
      <c r="E2866" s="2" t="str">
        <f aca="false">INDEX(Products!$B$2:$B$13,MATCH(D2866,Products!$A$2:$A$13,0))</f>
        <v>Hydroprocessing</v>
      </c>
      <c r="F2866" s="15" t="n">
        <v>5.5</v>
      </c>
      <c r="G2866" s="16" t="n">
        <f aca="false">IF(A2866="2025",INDEX(Products!$C$2:$C$13,MATCH(D2866,Products!$A$2:$A$13,0)),INDEX(Products!$E$2:$E$13,MATCH(D2866,Products!$A$2:$A$13,0)))</f>
        <v>12450</v>
      </c>
      <c r="H2866" s="13" t="n">
        <f aca="false">IF(A2866="2025",INDEX(Customers!$D$2:$D$41,MATCH(C2866,Customers!$A$2:$A$41,0)),INDEX(Customers!$F$2:$F$41,MATCH(C2866,Customers!$A$2:$A$41,0)))</f>
        <v>0.039</v>
      </c>
      <c r="I2866" s="16" t="n">
        <f aca="false">F2866*G2866</f>
        <v>68475</v>
      </c>
      <c r="J2866" s="16" t="n">
        <f aca="false">I2866*(1-H2866)</f>
        <v>65804.475</v>
      </c>
      <c r="K2866" s="16" t="n">
        <f aca="false">J2866*INDEX(Customers!$G$2:$G$41,MATCH(C2866,Customers!$A$2:$A$41,0))</f>
        <v>1974.13425</v>
      </c>
      <c r="L2866" s="16" t="n">
        <f aca="false">F2866*INDEX(Customers!$H$2:$H$41,MATCH(C2866,Customers!$A$2:$A$41,0))</f>
        <v>605</v>
      </c>
      <c r="M2866" s="16" t="n">
        <f aca="false">J2866*INDEX(Customers!$I$2:$I$41,MATCH(C2866,Customers!$A$2:$A$41,0))/365*Assumptions!$B$6</f>
        <v>1298.06087671233</v>
      </c>
      <c r="N2866" s="16" t="n">
        <f aca="false">J2866-K2866-L2866-M2866</f>
        <v>61927.2798732877</v>
      </c>
      <c r="O2866" s="16" t="n">
        <f aca="false">F2866*IF(A2866="2025",INDEX(Products!$D$2:$D$13,MATCH(D2866,Products!$A$2:$A$13,0)),INDEX(Products!$F$2:$F$13,MATCH(D2866,Products!$A$2:$A$13,0)))</f>
        <v>42790</v>
      </c>
      <c r="P2866" s="16" t="n">
        <f aca="false">N2866-O2866</f>
        <v>19137.2798732877</v>
      </c>
    </row>
    <row r="2867" customFormat="false" ht="15" hidden="false" customHeight="false" outlineLevel="0" collapsed="false">
      <c r="A2867" s="2" t="s">
        <v>118</v>
      </c>
      <c r="B2867" s="2" t="n">
        <v>10</v>
      </c>
      <c r="C2867" s="2" t="s">
        <v>104</v>
      </c>
      <c r="D2867" s="2" t="s">
        <v>42</v>
      </c>
      <c r="E2867" s="2" t="str">
        <f aca="false">INDEX(Products!$B$2:$B$13,MATCH(D2867,Products!$A$2:$A$13,0))</f>
        <v>Hydroprocessing</v>
      </c>
      <c r="F2867" s="15" t="n">
        <v>9</v>
      </c>
      <c r="G2867" s="16" t="n">
        <f aca="false">IF(A2867="2025",INDEX(Products!$C$2:$C$13,MATCH(D2867,Products!$A$2:$A$13,0)),INDEX(Products!$E$2:$E$13,MATCH(D2867,Products!$A$2:$A$13,0)))</f>
        <v>12450</v>
      </c>
      <c r="H2867" s="13" t="n">
        <f aca="false">IF(A2867="2025",INDEX(Customers!$D$2:$D$41,MATCH(C2867,Customers!$A$2:$A$41,0)),INDEX(Customers!$F$2:$F$41,MATCH(C2867,Customers!$A$2:$A$41,0)))</f>
        <v>0.039</v>
      </c>
      <c r="I2867" s="16" t="n">
        <f aca="false">F2867*G2867</f>
        <v>112050</v>
      </c>
      <c r="J2867" s="16" t="n">
        <f aca="false">I2867*(1-H2867)</f>
        <v>107680.05</v>
      </c>
      <c r="K2867" s="16" t="n">
        <f aca="false">J2867*INDEX(Customers!$G$2:$G$41,MATCH(C2867,Customers!$A$2:$A$41,0))</f>
        <v>3230.4015</v>
      </c>
      <c r="L2867" s="16" t="n">
        <f aca="false">F2867*INDEX(Customers!$H$2:$H$41,MATCH(C2867,Customers!$A$2:$A$41,0))</f>
        <v>990</v>
      </c>
      <c r="M2867" s="16" t="n">
        <f aca="false">J2867*INDEX(Customers!$I$2:$I$41,MATCH(C2867,Customers!$A$2:$A$41,0))/365*Assumptions!$B$6</f>
        <v>2124.09961643836</v>
      </c>
      <c r="N2867" s="16" t="n">
        <f aca="false">J2867-K2867-L2867-M2867</f>
        <v>101335.548883562</v>
      </c>
      <c r="O2867" s="16" t="n">
        <f aca="false">F2867*IF(A2867="2025",INDEX(Products!$D$2:$D$13,MATCH(D2867,Products!$A$2:$A$13,0)),INDEX(Products!$F$2:$F$13,MATCH(D2867,Products!$A$2:$A$13,0)))</f>
        <v>70020</v>
      </c>
      <c r="P2867" s="16" t="n">
        <f aca="false">N2867-O2867</f>
        <v>31315.5488835617</v>
      </c>
    </row>
    <row r="2868" customFormat="false" ht="15" hidden="false" customHeight="false" outlineLevel="0" collapsed="false">
      <c r="A2868" s="2" t="s">
        <v>118</v>
      </c>
      <c r="B2868" s="2" t="n">
        <v>11</v>
      </c>
      <c r="C2868" s="2" t="s">
        <v>104</v>
      </c>
      <c r="D2868" s="2" t="s">
        <v>42</v>
      </c>
      <c r="E2868" s="2" t="str">
        <f aca="false">INDEX(Products!$B$2:$B$13,MATCH(D2868,Products!$A$2:$A$13,0))</f>
        <v>Hydroprocessing</v>
      </c>
      <c r="F2868" s="15" t="n">
        <v>6.6</v>
      </c>
      <c r="G2868" s="16" t="n">
        <f aca="false">IF(A2868="2025",INDEX(Products!$C$2:$C$13,MATCH(D2868,Products!$A$2:$A$13,0)),INDEX(Products!$E$2:$E$13,MATCH(D2868,Products!$A$2:$A$13,0)))</f>
        <v>12450</v>
      </c>
      <c r="H2868" s="13" t="n">
        <f aca="false">IF(A2868="2025",INDEX(Customers!$D$2:$D$41,MATCH(C2868,Customers!$A$2:$A$41,0)),INDEX(Customers!$F$2:$F$41,MATCH(C2868,Customers!$A$2:$A$41,0)))</f>
        <v>0.039</v>
      </c>
      <c r="I2868" s="16" t="n">
        <f aca="false">F2868*G2868</f>
        <v>82170</v>
      </c>
      <c r="J2868" s="16" t="n">
        <f aca="false">I2868*(1-H2868)</f>
        <v>78965.37</v>
      </c>
      <c r="K2868" s="16" t="n">
        <f aca="false">J2868*INDEX(Customers!$G$2:$G$41,MATCH(C2868,Customers!$A$2:$A$41,0))</f>
        <v>2368.9611</v>
      </c>
      <c r="L2868" s="16" t="n">
        <f aca="false">F2868*INDEX(Customers!$H$2:$H$41,MATCH(C2868,Customers!$A$2:$A$41,0))</f>
        <v>726</v>
      </c>
      <c r="M2868" s="16" t="n">
        <f aca="false">J2868*INDEX(Customers!$I$2:$I$41,MATCH(C2868,Customers!$A$2:$A$41,0))/365*Assumptions!$B$6</f>
        <v>1557.67305205479</v>
      </c>
      <c r="N2868" s="16" t="n">
        <f aca="false">J2868-K2868-L2868-M2868</f>
        <v>74312.7358479452</v>
      </c>
      <c r="O2868" s="16" t="n">
        <f aca="false">F2868*IF(A2868="2025",INDEX(Products!$D$2:$D$13,MATCH(D2868,Products!$A$2:$A$13,0)),INDEX(Products!$F$2:$F$13,MATCH(D2868,Products!$A$2:$A$13,0)))</f>
        <v>51348</v>
      </c>
      <c r="P2868" s="16" t="n">
        <f aca="false">N2868-O2868</f>
        <v>22964.7358479452</v>
      </c>
    </row>
    <row r="2869" customFormat="false" ht="15" hidden="false" customHeight="false" outlineLevel="0" collapsed="false">
      <c r="A2869" s="2" t="s">
        <v>118</v>
      </c>
      <c r="B2869" s="2" t="n">
        <v>12</v>
      </c>
      <c r="C2869" s="2" t="s">
        <v>104</v>
      </c>
      <c r="D2869" s="2" t="s">
        <v>42</v>
      </c>
      <c r="E2869" s="2" t="str">
        <f aca="false">INDEX(Products!$B$2:$B$13,MATCH(D2869,Products!$A$2:$A$13,0))</f>
        <v>Hydroprocessing</v>
      </c>
      <c r="F2869" s="15" t="n">
        <v>8.5</v>
      </c>
      <c r="G2869" s="16" t="n">
        <f aca="false">IF(A2869="2025",INDEX(Products!$C$2:$C$13,MATCH(D2869,Products!$A$2:$A$13,0)),INDEX(Products!$E$2:$E$13,MATCH(D2869,Products!$A$2:$A$13,0)))</f>
        <v>12450</v>
      </c>
      <c r="H2869" s="13" t="n">
        <f aca="false">IF(A2869="2025",INDEX(Customers!$D$2:$D$41,MATCH(C2869,Customers!$A$2:$A$41,0)),INDEX(Customers!$F$2:$F$41,MATCH(C2869,Customers!$A$2:$A$41,0)))</f>
        <v>0.039</v>
      </c>
      <c r="I2869" s="16" t="n">
        <f aca="false">F2869*G2869</f>
        <v>105825</v>
      </c>
      <c r="J2869" s="16" t="n">
        <f aca="false">I2869*(1-H2869)</f>
        <v>101697.825</v>
      </c>
      <c r="K2869" s="16" t="n">
        <f aca="false">J2869*INDEX(Customers!$G$2:$G$41,MATCH(C2869,Customers!$A$2:$A$41,0))</f>
        <v>3050.93475</v>
      </c>
      <c r="L2869" s="16" t="n">
        <f aca="false">F2869*INDEX(Customers!$H$2:$H$41,MATCH(C2869,Customers!$A$2:$A$41,0))</f>
        <v>935</v>
      </c>
      <c r="M2869" s="16" t="n">
        <f aca="false">J2869*INDEX(Customers!$I$2:$I$41,MATCH(C2869,Customers!$A$2:$A$41,0))/365*Assumptions!$B$6</f>
        <v>2006.09408219178</v>
      </c>
      <c r="N2869" s="16" t="n">
        <f aca="false">J2869-K2869-L2869-M2869</f>
        <v>95705.7961678082</v>
      </c>
      <c r="O2869" s="16" t="n">
        <f aca="false">F2869*IF(A2869="2025",INDEX(Products!$D$2:$D$13,MATCH(D2869,Products!$A$2:$A$13,0)),INDEX(Products!$F$2:$F$13,MATCH(D2869,Products!$A$2:$A$13,0)))</f>
        <v>66130</v>
      </c>
      <c r="P2869" s="16" t="n">
        <f aca="false">N2869-O2869</f>
        <v>29575.7961678082</v>
      </c>
    </row>
    <row r="2870" customFormat="false" ht="15" hidden="false" customHeight="false" outlineLevel="0" collapsed="false">
      <c r="A2870" s="2" t="s">
        <v>119</v>
      </c>
      <c r="B2870" s="2" t="n">
        <v>1</v>
      </c>
      <c r="C2870" s="2" t="s">
        <v>104</v>
      </c>
      <c r="D2870" s="2" t="s">
        <v>42</v>
      </c>
      <c r="E2870" s="2" t="str">
        <f aca="false">INDEX(Products!$B$2:$B$13,MATCH(D2870,Products!$A$2:$A$13,0))</f>
        <v>Hydroprocessing</v>
      </c>
      <c r="F2870" s="15" t="n">
        <v>9.2</v>
      </c>
      <c r="G2870" s="16" t="n">
        <f aca="false">IF(A2870="2025",INDEX(Products!$C$2:$C$13,MATCH(D2870,Products!$A$2:$A$13,0)),INDEX(Products!$E$2:$E$13,MATCH(D2870,Products!$A$2:$A$13,0)))</f>
        <v>13072.5</v>
      </c>
      <c r="H2870" s="13" t="n">
        <f aca="false">IF(A2870="2025",INDEX(Customers!$D$2:$D$41,MATCH(C2870,Customers!$A$2:$A$41,0)),INDEX(Customers!$F$2:$F$41,MATCH(C2870,Customers!$A$2:$A$41,0)))</f>
        <v>0.069</v>
      </c>
      <c r="I2870" s="16" t="n">
        <f aca="false">F2870*G2870</f>
        <v>120267</v>
      </c>
      <c r="J2870" s="16" t="n">
        <f aca="false">I2870*(1-H2870)</f>
        <v>111968.577</v>
      </c>
      <c r="K2870" s="16" t="n">
        <f aca="false">J2870*INDEX(Customers!$G$2:$G$41,MATCH(C2870,Customers!$A$2:$A$41,0))</f>
        <v>3359.05731</v>
      </c>
      <c r="L2870" s="16" t="n">
        <f aca="false">F2870*INDEX(Customers!$H$2:$H$41,MATCH(C2870,Customers!$A$2:$A$41,0))</f>
        <v>1012</v>
      </c>
      <c r="M2870" s="16" t="n">
        <f aca="false">J2870*INDEX(Customers!$I$2:$I$41,MATCH(C2870,Customers!$A$2:$A$41,0))/365*Assumptions!$B$6</f>
        <v>2208.69521753425</v>
      </c>
      <c r="N2870" s="16" t="n">
        <f aca="false">J2870-K2870-L2870-M2870</f>
        <v>105388.824472466</v>
      </c>
      <c r="O2870" s="16" t="n">
        <f aca="false">F2870*IF(A2870="2025",INDEX(Products!$D$2:$D$13,MATCH(D2870,Products!$A$2:$A$13,0)),INDEX(Products!$F$2:$F$13,MATCH(D2870,Products!$A$2:$A$13,0)))</f>
        <v>73723.28</v>
      </c>
      <c r="P2870" s="16" t="n">
        <f aca="false">N2870-O2870</f>
        <v>31665.5444724657</v>
      </c>
    </row>
    <row r="2871" customFormat="false" ht="15" hidden="false" customHeight="false" outlineLevel="0" collapsed="false">
      <c r="A2871" s="2" t="s">
        <v>119</v>
      </c>
      <c r="B2871" s="2" t="n">
        <v>2</v>
      </c>
      <c r="C2871" s="2" t="s">
        <v>104</v>
      </c>
      <c r="D2871" s="2" t="s">
        <v>42</v>
      </c>
      <c r="E2871" s="2" t="str">
        <f aca="false">INDEX(Products!$B$2:$B$13,MATCH(D2871,Products!$A$2:$A$13,0))</f>
        <v>Hydroprocessing</v>
      </c>
      <c r="F2871" s="15" t="n">
        <v>6.8</v>
      </c>
      <c r="G2871" s="16" t="n">
        <f aca="false">IF(A2871="2025",INDEX(Products!$C$2:$C$13,MATCH(D2871,Products!$A$2:$A$13,0)),INDEX(Products!$E$2:$E$13,MATCH(D2871,Products!$A$2:$A$13,0)))</f>
        <v>13072.5</v>
      </c>
      <c r="H2871" s="13" t="n">
        <f aca="false">IF(A2871="2025",INDEX(Customers!$D$2:$D$41,MATCH(C2871,Customers!$A$2:$A$41,0)),INDEX(Customers!$F$2:$F$41,MATCH(C2871,Customers!$A$2:$A$41,0)))</f>
        <v>0.069</v>
      </c>
      <c r="I2871" s="16" t="n">
        <f aca="false">F2871*G2871</f>
        <v>88893</v>
      </c>
      <c r="J2871" s="16" t="n">
        <f aca="false">I2871*(1-H2871)</f>
        <v>82759.383</v>
      </c>
      <c r="K2871" s="16" t="n">
        <f aca="false">J2871*INDEX(Customers!$G$2:$G$41,MATCH(C2871,Customers!$A$2:$A$41,0))</f>
        <v>2482.78149</v>
      </c>
      <c r="L2871" s="16" t="n">
        <f aca="false">F2871*INDEX(Customers!$H$2:$H$41,MATCH(C2871,Customers!$A$2:$A$41,0))</f>
        <v>748</v>
      </c>
      <c r="M2871" s="16" t="n">
        <f aca="false">J2871*INDEX(Customers!$I$2:$I$41,MATCH(C2871,Customers!$A$2:$A$41,0))/365*Assumptions!$B$6</f>
        <v>1632.51385643836</v>
      </c>
      <c r="N2871" s="16" t="n">
        <f aca="false">J2871-K2871-L2871-M2871</f>
        <v>77896.0876535617</v>
      </c>
      <c r="O2871" s="16" t="n">
        <f aca="false">F2871*IF(A2871="2025",INDEX(Products!$D$2:$D$13,MATCH(D2871,Products!$A$2:$A$13,0)),INDEX(Products!$F$2:$F$13,MATCH(D2871,Products!$A$2:$A$13,0)))</f>
        <v>54491.12</v>
      </c>
      <c r="P2871" s="16" t="n">
        <f aca="false">N2871-O2871</f>
        <v>23404.9676535617</v>
      </c>
    </row>
    <row r="2872" customFormat="false" ht="15" hidden="false" customHeight="false" outlineLevel="0" collapsed="false">
      <c r="A2872" s="2" t="s">
        <v>119</v>
      </c>
      <c r="B2872" s="2" t="n">
        <v>3</v>
      </c>
      <c r="C2872" s="2" t="s">
        <v>104</v>
      </c>
      <c r="D2872" s="2" t="s">
        <v>42</v>
      </c>
      <c r="E2872" s="2" t="str">
        <f aca="false">INDEX(Products!$B$2:$B$13,MATCH(D2872,Products!$A$2:$A$13,0))</f>
        <v>Hydroprocessing</v>
      </c>
      <c r="F2872" s="15" t="n">
        <v>7.6</v>
      </c>
      <c r="G2872" s="16" t="n">
        <f aca="false">IF(A2872="2025",INDEX(Products!$C$2:$C$13,MATCH(D2872,Products!$A$2:$A$13,0)),INDEX(Products!$E$2:$E$13,MATCH(D2872,Products!$A$2:$A$13,0)))</f>
        <v>13072.5</v>
      </c>
      <c r="H2872" s="13" t="n">
        <f aca="false">IF(A2872="2025",INDEX(Customers!$D$2:$D$41,MATCH(C2872,Customers!$A$2:$A$41,0)),INDEX(Customers!$F$2:$F$41,MATCH(C2872,Customers!$A$2:$A$41,0)))</f>
        <v>0.069</v>
      </c>
      <c r="I2872" s="16" t="n">
        <f aca="false">F2872*G2872</f>
        <v>99351</v>
      </c>
      <c r="J2872" s="16" t="n">
        <f aca="false">I2872*(1-H2872)</f>
        <v>92495.781</v>
      </c>
      <c r="K2872" s="16" t="n">
        <f aca="false">J2872*INDEX(Customers!$G$2:$G$41,MATCH(C2872,Customers!$A$2:$A$41,0))</f>
        <v>2774.87343</v>
      </c>
      <c r="L2872" s="16" t="n">
        <f aca="false">F2872*INDEX(Customers!$H$2:$H$41,MATCH(C2872,Customers!$A$2:$A$41,0))</f>
        <v>836</v>
      </c>
      <c r="M2872" s="16" t="n">
        <f aca="false">J2872*INDEX(Customers!$I$2:$I$41,MATCH(C2872,Customers!$A$2:$A$41,0))/365*Assumptions!$B$6</f>
        <v>1824.57431013699</v>
      </c>
      <c r="N2872" s="16" t="n">
        <f aca="false">J2872-K2872-L2872-M2872</f>
        <v>87060.333259863</v>
      </c>
      <c r="O2872" s="16" t="n">
        <f aca="false">F2872*IF(A2872="2025",INDEX(Products!$D$2:$D$13,MATCH(D2872,Products!$A$2:$A$13,0)),INDEX(Products!$F$2:$F$13,MATCH(D2872,Products!$A$2:$A$13,0)))</f>
        <v>60901.84</v>
      </c>
      <c r="P2872" s="16" t="n">
        <f aca="false">N2872-O2872</f>
        <v>26158.493259863</v>
      </c>
    </row>
    <row r="2873" customFormat="false" ht="15" hidden="false" customHeight="false" outlineLevel="0" collapsed="false">
      <c r="A2873" s="2" t="s">
        <v>119</v>
      </c>
      <c r="B2873" s="2" t="n">
        <v>4</v>
      </c>
      <c r="C2873" s="2" t="s">
        <v>104</v>
      </c>
      <c r="D2873" s="2" t="s">
        <v>42</v>
      </c>
      <c r="E2873" s="2" t="str">
        <f aca="false">INDEX(Products!$B$2:$B$13,MATCH(D2873,Products!$A$2:$A$13,0))</f>
        <v>Hydroprocessing</v>
      </c>
      <c r="F2873" s="15" t="n">
        <v>7</v>
      </c>
      <c r="G2873" s="16" t="n">
        <f aca="false">IF(A2873="2025",INDEX(Products!$C$2:$C$13,MATCH(D2873,Products!$A$2:$A$13,0)),INDEX(Products!$E$2:$E$13,MATCH(D2873,Products!$A$2:$A$13,0)))</f>
        <v>13072.5</v>
      </c>
      <c r="H2873" s="13" t="n">
        <f aca="false">IF(A2873="2025",INDEX(Customers!$D$2:$D$41,MATCH(C2873,Customers!$A$2:$A$41,0)),INDEX(Customers!$F$2:$F$41,MATCH(C2873,Customers!$A$2:$A$41,0)))</f>
        <v>0.069</v>
      </c>
      <c r="I2873" s="16" t="n">
        <f aca="false">F2873*G2873</f>
        <v>91507.5</v>
      </c>
      <c r="J2873" s="16" t="n">
        <f aca="false">I2873*(1-H2873)</f>
        <v>85193.4825</v>
      </c>
      <c r="K2873" s="16" t="n">
        <f aca="false">J2873*INDEX(Customers!$G$2:$G$41,MATCH(C2873,Customers!$A$2:$A$41,0))</f>
        <v>2555.804475</v>
      </c>
      <c r="L2873" s="16" t="n">
        <f aca="false">F2873*INDEX(Customers!$H$2:$H$41,MATCH(C2873,Customers!$A$2:$A$41,0))</f>
        <v>770</v>
      </c>
      <c r="M2873" s="16" t="n">
        <f aca="false">J2873*INDEX(Customers!$I$2:$I$41,MATCH(C2873,Customers!$A$2:$A$41,0))/365*Assumptions!$B$6</f>
        <v>1680.52896986301</v>
      </c>
      <c r="N2873" s="16" t="n">
        <f aca="false">J2873-K2873-L2873-M2873</f>
        <v>80187.149055137</v>
      </c>
      <c r="O2873" s="16" t="n">
        <f aca="false">F2873*IF(A2873="2025",INDEX(Products!$D$2:$D$13,MATCH(D2873,Products!$A$2:$A$13,0)),INDEX(Products!$F$2:$F$13,MATCH(D2873,Products!$A$2:$A$13,0)))</f>
        <v>56093.8</v>
      </c>
      <c r="P2873" s="16" t="n">
        <f aca="false">N2873-O2873</f>
        <v>24093.349055137</v>
      </c>
    </row>
    <row r="2874" customFormat="false" ht="15" hidden="false" customHeight="false" outlineLevel="0" collapsed="false">
      <c r="A2874" s="2" t="s">
        <v>119</v>
      </c>
      <c r="B2874" s="2" t="n">
        <v>5</v>
      </c>
      <c r="C2874" s="2" t="s">
        <v>104</v>
      </c>
      <c r="D2874" s="2" t="s">
        <v>42</v>
      </c>
      <c r="E2874" s="2" t="str">
        <f aca="false">INDEX(Products!$B$2:$B$13,MATCH(D2874,Products!$A$2:$A$13,0))</f>
        <v>Hydroprocessing</v>
      </c>
      <c r="F2874" s="15" t="n">
        <v>7.6</v>
      </c>
      <c r="G2874" s="16" t="n">
        <f aca="false">IF(A2874="2025",INDEX(Products!$C$2:$C$13,MATCH(D2874,Products!$A$2:$A$13,0)),INDEX(Products!$E$2:$E$13,MATCH(D2874,Products!$A$2:$A$13,0)))</f>
        <v>13072.5</v>
      </c>
      <c r="H2874" s="13" t="n">
        <f aca="false">IF(A2874="2025",INDEX(Customers!$D$2:$D$41,MATCH(C2874,Customers!$A$2:$A$41,0)),INDEX(Customers!$F$2:$F$41,MATCH(C2874,Customers!$A$2:$A$41,0)))</f>
        <v>0.069</v>
      </c>
      <c r="I2874" s="16" t="n">
        <f aca="false">F2874*G2874</f>
        <v>99351</v>
      </c>
      <c r="J2874" s="16" t="n">
        <f aca="false">I2874*(1-H2874)</f>
        <v>92495.781</v>
      </c>
      <c r="K2874" s="16" t="n">
        <f aca="false">J2874*INDEX(Customers!$G$2:$G$41,MATCH(C2874,Customers!$A$2:$A$41,0))</f>
        <v>2774.87343</v>
      </c>
      <c r="L2874" s="16" t="n">
        <f aca="false">F2874*INDEX(Customers!$H$2:$H$41,MATCH(C2874,Customers!$A$2:$A$41,0))</f>
        <v>836</v>
      </c>
      <c r="M2874" s="16" t="n">
        <f aca="false">J2874*INDEX(Customers!$I$2:$I$41,MATCH(C2874,Customers!$A$2:$A$41,0))/365*Assumptions!$B$6</f>
        <v>1824.57431013699</v>
      </c>
      <c r="N2874" s="16" t="n">
        <f aca="false">J2874-K2874-L2874-M2874</f>
        <v>87060.333259863</v>
      </c>
      <c r="O2874" s="16" t="n">
        <f aca="false">F2874*IF(A2874="2025",INDEX(Products!$D$2:$D$13,MATCH(D2874,Products!$A$2:$A$13,0)),INDEX(Products!$F$2:$F$13,MATCH(D2874,Products!$A$2:$A$13,0)))</f>
        <v>60901.84</v>
      </c>
      <c r="P2874" s="16" t="n">
        <f aca="false">N2874-O2874</f>
        <v>26158.493259863</v>
      </c>
    </row>
    <row r="2875" customFormat="false" ht="15" hidden="false" customHeight="false" outlineLevel="0" collapsed="false">
      <c r="A2875" s="2" t="s">
        <v>119</v>
      </c>
      <c r="B2875" s="2" t="n">
        <v>6</v>
      </c>
      <c r="C2875" s="2" t="s">
        <v>104</v>
      </c>
      <c r="D2875" s="2" t="s">
        <v>42</v>
      </c>
      <c r="E2875" s="2" t="str">
        <f aca="false">INDEX(Products!$B$2:$B$13,MATCH(D2875,Products!$A$2:$A$13,0))</f>
        <v>Hydroprocessing</v>
      </c>
      <c r="F2875" s="15" t="n">
        <v>6.6</v>
      </c>
      <c r="G2875" s="16" t="n">
        <f aca="false">IF(A2875="2025",INDEX(Products!$C$2:$C$13,MATCH(D2875,Products!$A$2:$A$13,0)),INDEX(Products!$E$2:$E$13,MATCH(D2875,Products!$A$2:$A$13,0)))</f>
        <v>13072.5</v>
      </c>
      <c r="H2875" s="13" t="n">
        <f aca="false">IF(A2875="2025",INDEX(Customers!$D$2:$D$41,MATCH(C2875,Customers!$A$2:$A$41,0)),INDEX(Customers!$F$2:$F$41,MATCH(C2875,Customers!$A$2:$A$41,0)))</f>
        <v>0.069</v>
      </c>
      <c r="I2875" s="16" t="n">
        <f aca="false">F2875*G2875</f>
        <v>86278.5</v>
      </c>
      <c r="J2875" s="16" t="n">
        <f aca="false">I2875*(1-H2875)</f>
        <v>80325.2835</v>
      </c>
      <c r="K2875" s="16" t="n">
        <f aca="false">J2875*INDEX(Customers!$G$2:$G$41,MATCH(C2875,Customers!$A$2:$A$41,0))</f>
        <v>2409.758505</v>
      </c>
      <c r="L2875" s="16" t="n">
        <f aca="false">F2875*INDEX(Customers!$H$2:$H$41,MATCH(C2875,Customers!$A$2:$A$41,0))</f>
        <v>726</v>
      </c>
      <c r="M2875" s="16" t="n">
        <f aca="false">J2875*INDEX(Customers!$I$2:$I$41,MATCH(C2875,Customers!$A$2:$A$41,0))/365*Assumptions!$B$6</f>
        <v>1584.4987430137</v>
      </c>
      <c r="N2875" s="16" t="n">
        <f aca="false">J2875-K2875-L2875-M2875</f>
        <v>75605.0262519863</v>
      </c>
      <c r="O2875" s="16" t="n">
        <f aca="false">F2875*IF(A2875="2025",INDEX(Products!$D$2:$D$13,MATCH(D2875,Products!$A$2:$A$13,0)),INDEX(Products!$F$2:$F$13,MATCH(D2875,Products!$A$2:$A$13,0)))</f>
        <v>52888.44</v>
      </c>
      <c r="P2875" s="16" t="n">
        <f aca="false">N2875-O2875</f>
        <v>22716.5862519863</v>
      </c>
    </row>
    <row r="2876" customFormat="false" ht="15" hidden="false" customHeight="false" outlineLevel="0" collapsed="false">
      <c r="A2876" s="2" t="s">
        <v>119</v>
      </c>
      <c r="B2876" s="2" t="n">
        <v>7</v>
      </c>
      <c r="C2876" s="2" t="s">
        <v>104</v>
      </c>
      <c r="D2876" s="2" t="s">
        <v>42</v>
      </c>
      <c r="E2876" s="2" t="str">
        <f aca="false">INDEX(Products!$B$2:$B$13,MATCH(D2876,Products!$A$2:$A$13,0))</f>
        <v>Hydroprocessing</v>
      </c>
      <c r="F2876" s="15" t="n">
        <v>6.7</v>
      </c>
      <c r="G2876" s="16" t="n">
        <f aca="false">IF(A2876="2025",INDEX(Products!$C$2:$C$13,MATCH(D2876,Products!$A$2:$A$13,0)),INDEX(Products!$E$2:$E$13,MATCH(D2876,Products!$A$2:$A$13,0)))</f>
        <v>13072.5</v>
      </c>
      <c r="H2876" s="13" t="n">
        <f aca="false">IF(A2876="2025",INDEX(Customers!$D$2:$D$41,MATCH(C2876,Customers!$A$2:$A$41,0)),INDEX(Customers!$F$2:$F$41,MATCH(C2876,Customers!$A$2:$A$41,0)))</f>
        <v>0.069</v>
      </c>
      <c r="I2876" s="16" t="n">
        <f aca="false">F2876*G2876</f>
        <v>87585.75</v>
      </c>
      <c r="J2876" s="16" t="n">
        <f aca="false">I2876*(1-H2876)</f>
        <v>81542.33325</v>
      </c>
      <c r="K2876" s="16" t="n">
        <f aca="false">J2876*INDEX(Customers!$G$2:$G$41,MATCH(C2876,Customers!$A$2:$A$41,0))</f>
        <v>2446.2699975</v>
      </c>
      <c r="L2876" s="16" t="n">
        <f aca="false">F2876*INDEX(Customers!$H$2:$H$41,MATCH(C2876,Customers!$A$2:$A$41,0))</f>
        <v>737</v>
      </c>
      <c r="M2876" s="16" t="n">
        <f aca="false">J2876*INDEX(Customers!$I$2:$I$41,MATCH(C2876,Customers!$A$2:$A$41,0))/365*Assumptions!$B$6</f>
        <v>1608.50629972603</v>
      </c>
      <c r="N2876" s="16" t="n">
        <f aca="false">J2876-K2876-L2876-M2876</f>
        <v>76750.556952774</v>
      </c>
      <c r="O2876" s="16" t="n">
        <f aca="false">F2876*IF(A2876="2025",INDEX(Products!$D$2:$D$13,MATCH(D2876,Products!$A$2:$A$13,0)),INDEX(Products!$F$2:$F$13,MATCH(D2876,Products!$A$2:$A$13,0)))</f>
        <v>53689.78</v>
      </c>
      <c r="P2876" s="16" t="n">
        <f aca="false">N2876-O2876</f>
        <v>23060.776952774</v>
      </c>
    </row>
    <row r="2877" customFormat="false" ht="15" hidden="false" customHeight="false" outlineLevel="0" collapsed="false">
      <c r="A2877" s="2" t="s">
        <v>119</v>
      </c>
      <c r="B2877" s="2" t="n">
        <v>8</v>
      </c>
      <c r="C2877" s="2" t="s">
        <v>104</v>
      </c>
      <c r="D2877" s="2" t="s">
        <v>42</v>
      </c>
      <c r="E2877" s="2" t="str">
        <f aca="false">INDEX(Products!$B$2:$B$13,MATCH(D2877,Products!$A$2:$A$13,0))</f>
        <v>Hydroprocessing</v>
      </c>
      <c r="F2877" s="15" t="n">
        <v>5.6</v>
      </c>
      <c r="G2877" s="16" t="n">
        <f aca="false">IF(A2877="2025",INDEX(Products!$C$2:$C$13,MATCH(D2877,Products!$A$2:$A$13,0)),INDEX(Products!$E$2:$E$13,MATCH(D2877,Products!$A$2:$A$13,0)))</f>
        <v>13072.5</v>
      </c>
      <c r="H2877" s="13" t="n">
        <f aca="false">IF(A2877="2025",INDEX(Customers!$D$2:$D$41,MATCH(C2877,Customers!$A$2:$A$41,0)),INDEX(Customers!$F$2:$F$41,MATCH(C2877,Customers!$A$2:$A$41,0)))</f>
        <v>0.069</v>
      </c>
      <c r="I2877" s="16" t="n">
        <f aca="false">F2877*G2877</f>
        <v>73206</v>
      </c>
      <c r="J2877" s="16" t="n">
        <f aca="false">I2877*(1-H2877)</f>
        <v>68154.786</v>
      </c>
      <c r="K2877" s="16" t="n">
        <f aca="false">J2877*INDEX(Customers!$G$2:$G$41,MATCH(C2877,Customers!$A$2:$A$41,0))</f>
        <v>2044.64358</v>
      </c>
      <c r="L2877" s="16" t="n">
        <f aca="false">F2877*INDEX(Customers!$H$2:$H$41,MATCH(C2877,Customers!$A$2:$A$41,0))</f>
        <v>616</v>
      </c>
      <c r="M2877" s="16" t="n">
        <f aca="false">J2877*INDEX(Customers!$I$2:$I$41,MATCH(C2877,Customers!$A$2:$A$41,0))/365*Assumptions!$B$6</f>
        <v>1344.42317589041</v>
      </c>
      <c r="N2877" s="16" t="n">
        <f aca="false">J2877-K2877-L2877-M2877</f>
        <v>64149.7192441096</v>
      </c>
      <c r="O2877" s="16" t="n">
        <f aca="false">F2877*IF(A2877="2025",INDEX(Products!$D$2:$D$13,MATCH(D2877,Products!$A$2:$A$13,0)),INDEX(Products!$F$2:$F$13,MATCH(D2877,Products!$A$2:$A$13,0)))</f>
        <v>44875.04</v>
      </c>
      <c r="P2877" s="16" t="n">
        <f aca="false">N2877-O2877</f>
        <v>19274.6792441096</v>
      </c>
    </row>
    <row r="2878" customFormat="false" ht="15" hidden="false" customHeight="false" outlineLevel="0" collapsed="false">
      <c r="A2878" s="2" t="s">
        <v>119</v>
      </c>
      <c r="B2878" s="2" t="n">
        <v>9</v>
      </c>
      <c r="C2878" s="2" t="s">
        <v>104</v>
      </c>
      <c r="D2878" s="2" t="s">
        <v>42</v>
      </c>
      <c r="E2878" s="2" t="str">
        <f aca="false">INDEX(Products!$B$2:$B$13,MATCH(D2878,Products!$A$2:$A$13,0))</f>
        <v>Hydroprocessing</v>
      </c>
      <c r="F2878" s="15" t="n">
        <v>5.9</v>
      </c>
      <c r="G2878" s="16" t="n">
        <f aca="false">IF(A2878="2025",INDEX(Products!$C$2:$C$13,MATCH(D2878,Products!$A$2:$A$13,0)),INDEX(Products!$E$2:$E$13,MATCH(D2878,Products!$A$2:$A$13,0)))</f>
        <v>13072.5</v>
      </c>
      <c r="H2878" s="13" t="n">
        <f aca="false">IF(A2878="2025",INDEX(Customers!$D$2:$D$41,MATCH(C2878,Customers!$A$2:$A$41,0)),INDEX(Customers!$F$2:$F$41,MATCH(C2878,Customers!$A$2:$A$41,0)))</f>
        <v>0.069</v>
      </c>
      <c r="I2878" s="16" t="n">
        <f aca="false">F2878*G2878</f>
        <v>77127.75</v>
      </c>
      <c r="J2878" s="16" t="n">
        <f aca="false">I2878*(1-H2878)</f>
        <v>71805.93525</v>
      </c>
      <c r="K2878" s="16" t="n">
        <f aca="false">J2878*INDEX(Customers!$G$2:$G$41,MATCH(C2878,Customers!$A$2:$A$41,0))</f>
        <v>2154.1780575</v>
      </c>
      <c r="L2878" s="16" t="n">
        <f aca="false">F2878*INDEX(Customers!$H$2:$H$41,MATCH(C2878,Customers!$A$2:$A$41,0))</f>
        <v>649</v>
      </c>
      <c r="M2878" s="16" t="n">
        <f aca="false">J2878*INDEX(Customers!$I$2:$I$41,MATCH(C2878,Customers!$A$2:$A$41,0))/365*Assumptions!$B$6</f>
        <v>1416.4458460274</v>
      </c>
      <c r="N2878" s="16" t="n">
        <f aca="false">J2878-K2878-L2878-M2878</f>
        <v>67586.3113464726</v>
      </c>
      <c r="O2878" s="16" t="n">
        <f aca="false">F2878*IF(A2878="2025",INDEX(Products!$D$2:$D$13,MATCH(D2878,Products!$A$2:$A$13,0)),INDEX(Products!$F$2:$F$13,MATCH(D2878,Products!$A$2:$A$13,0)))</f>
        <v>47279.06</v>
      </c>
      <c r="P2878" s="16" t="n">
        <f aca="false">N2878-O2878</f>
        <v>20307.2513464726</v>
      </c>
    </row>
    <row r="2879" customFormat="false" ht="15" hidden="false" customHeight="false" outlineLevel="0" collapsed="false">
      <c r="A2879" s="2" t="s">
        <v>119</v>
      </c>
      <c r="B2879" s="2" t="n">
        <v>10</v>
      </c>
      <c r="C2879" s="2" t="s">
        <v>104</v>
      </c>
      <c r="D2879" s="2" t="s">
        <v>42</v>
      </c>
      <c r="E2879" s="2" t="str">
        <f aca="false">INDEX(Products!$B$2:$B$13,MATCH(D2879,Products!$A$2:$A$13,0))</f>
        <v>Hydroprocessing</v>
      </c>
      <c r="F2879" s="15" t="n">
        <v>9.1</v>
      </c>
      <c r="G2879" s="16" t="n">
        <f aca="false">IF(A2879="2025",INDEX(Products!$C$2:$C$13,MATCH(D2879,Products!$A$2:$A$13,0)),INDEX(Products!$E$2:$E$13,MATCH(D2879,Products!$A$2:$A$13,0)))</f>
        <v>13072.5</v>
      </c>
      <c r="H2879" s="13" t="n">
        <f aca="false">IF(A2879="2025",INDEX(Customers!$D$2:$D$41,MATCH(C2879,Customers!$A$2:$A$41,0)),INDEX(Customers!$F$2:$F$41,MATCH(C2879,Customers!$A$2:$A$41,0)))</f>
        <v>0.069</v>
      </c>
      <c r="I2879" s="16" t="n">
        <f aca="false">F2879*G2879</f>
        <v>118959.75</v>
      </c>
      <c r="J2879" s="16" t="n">
        <f aca="false">I2879*(1-H2879)</f>
        <v>110751.52725</v>
      </c>
      <c r="K2879" s="16" t="n">
        <f aca="false">J2879*INDEX(Customers!$G$2:$G$41,MATCH(C2879,Customers!$A$2:$A$41,0))</f>
        <v>3322.5458175</v>
      </c>
      <c r="L2879" s="16" t="n">
        <f aca="false">F2879*INDEX(Customers!$H$2:$H$41,MATCH(C2879,Customers!$A$2:$A$41,0))</f>
        <v>1001</v>
      </c>
      <c r="M2879" s="16" t="n">
        <f aca="false">J2879*INDEX(Customers!$I$2:$I$41,MATCH(C2879,Customers!$A$2:$A$41,0))/365*Assumptions!$B$6</f>
        <v>2184.68766082192</v>
      </c>
      <c r="N2879" s="16" t="n">
        <f aca="false">J2879-K2879-L2879-M2879</f>
        <v>104243.293771678</v>
      </c>
      <c r="O2879" s="16" t="n">
        <f aca="false">F2879*IF(A2879="2025",INDEX(Products!$D$2:$D$13,MATCH(D2879,Products!$A$2:$A$13,0)),INDEX(Products!$F$2:$F$13,MATCH(D2879,Products!$A$2:$A$13,0)))</f>
        <v>72921.94</v>
      </c>
      <c r="P2879" s="16" t="n">
        <f aca="false">N2879-O2879</f>
        <v>31321.3537716781</v>
      </c>
    </row>
    <row r="2880" customFormat="false" ht="15" hidden="false" customHeight="false" outlineLevel="0" collapsed="false">
      <c r="A2880" s="2" t="s">
        <v>119</v>
      </c>
      <c r="B2880" s="2" t="n">
        <v>11</v>
      </c>
      <c r="C2880" s="2" t="s">
        <v>104</v>
      </c>
      <c r="D2880" s="2" t="s">
        <v>42</v>
      </c>
      <c r="E2880" s="2" t="str">
        <f aca="false">INDEX(Products!$B$2:$B$13,MATCH(D2880,Products!$A$2:$A$13,0))</f>
        <v>Hydroprocessing</v>
      </c>
      <c r="F2880" s="15" t="n">
        <v>7.4</v>
      </c>
      <c r="G2880" s="16" t="n">
        <f aca="false">IF(A2880="2025",INDEX(Products!$C$2:$C$13,MATCH(D2880,Products!$A$2:$A$13,0)),INDEX(Products!$E$2:$E$13,MATCH(D2880,Products!$A$2:$A$13,0)))</f>
        <v>13072.5</v>
      </c>
      <c r="H2880" s="13" t="n">
        <f aca="false">IF(A2880="2025",INDEX(Customers!$D$2:$D$41,MATCH(C2880,Customers!$A$2:$A$41,0)),INDEX(Customers!$F$2:$F$41,MATCH(C2880,Customers!$A$2:$A$41,0)))</f>
        <v>0.069</v>
      </c>
      <c r="I2880" s="16" t="n">
        <f aca="false">F2880*G2880</f>
        <v>96736.5</v>
      </c>
      <c r="J2880" s="16" t="n">
        <f aca="false">I2880*(1-H2880)</f>
        <v>90061.6815</v>
      </c>
      <c r="K2880" s="16" t="n">
        <f aca="false">J2880*INDEX(Customers!$G$2:$G$41,MATCH(C2880,Customers!$A$2:$A$41,0))</f>
        <v>2701.850445</v>
      </c>
      <c r="L2880" s="16" t="n">
        <f aca="false">F2880*INDEX(Customers!$H$2:$H$41,MATCH(C2880,Customers!$A$2:$A$41,0))</f>
        <v>814</v>
      </c>
      <c r="M2880" s="16" t="n">
        <f aca="false">J2880*INDEX(Customers!$I$2:$I$41,MATCH(C2880,Customers!$A$2:$A$41,0))/365*Assumptions!$B$6</f>
        <v>1776.55919671233</v>
      </c>
      <c r="N2880" s="16" t="n">
        <f aca="false">J2880-K2880-L2880-M2880</f>
        <v>84769.2718582877</v>
      </c>
      <c r="O2880" s="16" t="n">
        <f aca="false">F2880*IF(A2880="2025",INDEX(Products!$D$2:$D$13,MATCH(D2880,Products!$A$2:$A$13,0)),INDEX(Products!$F$2:$F$13,MATCH(D2880,Products!$A$2:$A$13,0)))</f>
        <v>59299.16</v>
      </c>
      <c r="P2880" s="16" t="n">
        <f aca="false">N2880-O2880</f>
        <v>25470.1118582877</v>
      </c>
    </row>
    <row r="2881" customFormat="false" ht="15" hidden="false" customHeight="false" outlineLevel="0" collapsed="false">
      <c r="A2881" s="2" t="s">
        <v>119</v>
      </c>
      <c r="B2881" s="2" t="n">
        <v>12</v>
      </c>
      <c r="C2881" s="2" t="s">
        <v>104</v>
      </c>
      <c r="D2881" s="2" t="s">
        <v>42</v>
      </c>
      <c r="E2881" s="2" t="str">
        <f aca="false">INDEX(Products!$B$2:$B$13,MATCH(D2881,Products!$A$2:$A$13,0))</f>
        <v>Hydroprocessing</v>
      </c>
      <c r="F2881" s="15" t="n">
        <v>6.6</v>
      </c>
      <c r="G2881" s="16" t="n">
        <f aca="false">IF(A2881="2025",INDEX(Products!$C$2:$C$13,MATCH(D2881,Products!$A$2:$A$13,0)),INDEX(Products!$E$2:$E$13,MATCH(D2881,Products!$A$2:$A$13,0)))</f>
        <v>13072.5</v>
      </c>
      <c r="H2881" s="13" t="n">
        <f aca="false">IF(A2881="2025",INDEX(Customers!$D$2:$D$41,MATCH(C2881,Customers!$A$2:$A$41,0)),INDEX(Customers!$F$2:$F$41,MATCH(C2881,Customers!$A$2:$A$41,0)))</f>
        <v>0.069</v>
      </c>
      <c r="I2881" s="16" t="n">
        <f aca="false">F2881*G2881</f>
        <v>86278.5</v>
      </c>
      <c r="J2881" s="16" t="n">
        <f aca="false">I2881*(1-H2881)</f>
        <v>80325.2835</v>
      </c>
      <c r="K2881" s="16" t="n">
        <f aca="false">J2881*INDEX(Customers!$G$2:$G$41,MATCH(C2881,Customers!$A$2:$A$41,0))</f>
        <v>2409.758505</v>
      </c>
      <c r="L2881" s="16" t="n">
        <f aca="false">F2881*INDEX(Customers!$H$2:$H$41,MATCH(C2881,Customers!$A$2:$A$41,0))</f>
        <v>726</v>
      </c>
      <c r="M2881" s="16" t="n">
        <f aca="false">J2881*INDEX(Customers!$I$2:$I$41,MATCH(C2881,Customers!$A$2:$A$41,0))/365*Assumptions!$B$6</f>
        <v>1584.4987430137</v>
      </c>
      <c r="N2881" s="16" t="n">
        <f aca="false">J2881-K2881-L2881-M2881</f>
        <v>75605.0262519863</v>
      </c>
      <c r="O2881" s="16" t="n">
        <f aca="false">F2881*IF(A2881="2025",INDEX(Products!$D$2:$D$13,MATCH(D2881,Products!$A$2:$A$13,0)),INDEX(Products!$F$2:$F$13,MATCH(D2881,Products!$A$2:$A$13,0)))</f>
        <v>52888.44</v>
      </c>
      <c r="P2881" s="16" t="n">
        <f aca="false">N2881-O2881</f>
        <v>22716.5862519863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8" t="s">
        <v>120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26.85" hidden="false" customHeight="false" outlineLevel="0" collapsed="false">
      <c r="A3" s="10" t="s">
        <v>121</v>
      </c>
      <c r="B3" s="10" t="s">
        <v>122</v>
      </c>
      <c r="C3" s="10" t="s">
        <v>123</v>
      </c>
      <c r="D3" s="10" t="s">
        <v>124</v>
      </c>
    </row>
    <row r="4" customFormat="false" ht="15" hidden="false" customHeight="false" outlineLevel="0" collapsed="false">
      <c r="A4" s="17" t="s">
        <v>125</v>
      </c>
      <c r="B4" s="18" t="n">
        <f aca="false">SUMIFS(Transactions!$I$2:$I$2881,Transactions!$A$2:$A$2881,"2025")/SUMIFS(Transactions!$F$2:$F$2881,Transactions!$A$2:$A$2881,"2025")</f>
        <v>9689.27500487187</v>
      </c>
      <c r="C4" s="18" t="n">
        <f aca="false">SUMIFS(Transactions!$I$2:$I$2881,Transactions!$A$2:$A$2881,"2026")/SUMIFS(Transactions!$F$2:$F$2881,Transactions!$A$2:$A$2881,"2026")</f>
        <v>10659.0955862828</v>
      </c>
      <c r="D4" s="13" t="n">
        <f aca="false">C4/$C$4</f>
        <v>1</v>
      </c>
    </row>
    <row r="5" customFormat="false" ht="15" hidden="false" customHeight="false" outlineLevel="0" collapsed="false">
      <c r="A5" s="4" t="s">
        <v>126</v>
      </c>
      <c r="B5" s="18" t="n">
        <f aca="false">-(SUMIFS(Transactions!$I$2:$I$2881,Transactions!$A$2:$A$2881,"2025")-SUMIFS(Transactions!$J$2:$J$2881,Transactions!$A$2:$A$2881,"2025"))/SUMIFS(Transactions!$F$2:$F$2881,Transactions!$A$2:$A$2881,"2025")</f>
        <v>-846.674120627497</v>
      </c>
      <c r="C5" s="18" t="n">
        <f aca="false">-(SUMIFS(Transactions!$I$2:$I$2881,Transactions!$A$2:$A$2881,"2026")-SUMIFS(Transactions!$J$2:$J$2881,Transactions!$A$2:$A$2881,"2026"))/SUMIFS(Transactions!$F$2:$F$2881,Transactions!$A$2:$A$2881,"2026")</f>
        <v>-1042.0541684496</v>
      </c>
      <c r="D5" s="13" t="n">
        <f aca="false">C5/$C$4</f>
        <v>-0.0977619686411883</v>
      </c>
    </row>
    <row r="6" customFormat="false" ht="15" hidden="false" customHeight="false" outlineLevel="0" collapsed="false">
      <c r="A6" s="17" t="s">
        <v>127</v>
      </c>
      <c r="B6" s="18" t="n">
        <f aca="false">SUMIFS(Transactions!$J$2:$J$2881,Transactions!$A$2:$A$2881,"2025")/SUMIFS(Transactions!$F$2:$F$2881,Transactions!$A$2:$A$2881,"2025")</f>
        <v>8842.60088424437</v>
      </c>
      <c r="C6" s="18" t="n">
        <f aca="false">SUMIFS(Transactions!$J$2:$J$2881,Transactions!$A$2:$A$2881,"2026")/SUMIFS(Transactions!$F$2:$F$2881,Transactions!$A$2:$A$2881,"2026")</f>
        <v>9617.04141783316</v>
      </c>
      <c r="D6" s="13" t="n">
        <f aca="false">C6/$C$4</f>
        <v>0.902238031358812</v>
      </c>
    </row>
    <row r="7" customFormat="false" ht="15" hidden="false" customHeight="false" outlineLevel="0" collapsed="false">
      <c r="A7" s="4" t="s">
        <v>128</v>
      </c>
      <c r="B7" s="18" t="n">
        <f aca="false">-SUMIFS(Transactions!$K$2:$K$2881,Transactions!$A$2:$A$2881,"2025")/SUMIFS(Transactions!$F$2:$F$2881,Transactions!$A$2:$A$2881,"2025")</f>
        <v>-134.961790957201</v>
      </c>
      <c r="C7" s="18" t="n">
        <f aca="false">-SUMIFS(Transactions!$K$2:$K$2881,Transactions!$A$2:$A$2881,"2026")/SUMIFS(Transactions!$F$2:$F$2881,Transactions!$A$2:$A$2881,"2026")</f>
        <v>-146.660784511589</v>
      </c>
      <c r="D7" s="13" t="n">
        <f aca="false">C7/$C$4</f>
        <v>-0.0137592146842484</v>
      </c>
    </row>
    <row r="8" customFormat="false" ht="15" hidden="false" customHeight="false" outlineLevel="0" collapsed="false">
      <c r="A8" s="4" t="s">
        <v>129</v>
      </c>
      <c r="B8" s="18" t="n">
        <f aca="false">-SUMIFS(Transactions!$L$2:$L$2881,Transactions!$A$2:$A$2881,"2025")/SUMIFS(Transactions!$F$2:$F$2881,Transactions!$A$2:$A$2881,"2025")</f>
        <v>-277.898275358082</v>
      </c>
      <c r="C8" s="18" t="n">
        <f aca="false">-SUMIFS(Transactions!$L$2:$L$2881,Transactions!$A$2:$A$2881,"2026")/SUMIFS(Transactions!$F$2:$F$2881,Transactions!$A$2:$A$2881,"2026")</f>
        <v>-276.194441283209</v>
      </c>
      <c r="D8" s="13" t="n">
        <f aca="false">C8/$C$4</f>
        <v>-0.0259116206480637</v>
      </c>
    </row>
    <row r="9" customFormat="false" ht="15" hidden="false" customHeight="false" outlineLevel="0" collapsed="false">
      <c r="A9" s="4" t="s">
        <v>130</v>
      </c>
      <c r="B9" s="18" t="n">
        <f aca="false">-SUMIFS(Transactions!$M$2:$M$2881,Transactions!$A$2:$A$2881,"2025")/SUMIFS(Transactions!$F$2:$F$2881,Transactions!$A$2:$A$2881,"2025")</f>
        <v>-111.786998391082</v>
      </c>
      <c r="C9" s="18" t="n">
        <f aca="false">-SUMIFS(Transactions!$M$2:$M$2881,Transactions!$A$2:$A$2881,"2026")/SUMIFS(Transactions!$F$2:$F$2881,Transactions!$A$2:$A$2881,"2026")</f>
        <v>-120.574917871451</v>
      </c>
      <c r="D9" s="13" t="n">
        <f aca="false">C9/$C$4</f>
        <v>-0.0113119276298281</v>
      </c>
    </row>
    <row r="10" customFormat="false" ht="15" hidden="false" customHeight="false" outlineLevel="0" collapsed="false">
      <c r="A10" s="17" t="s">
        <v>131</v>
      </c>
      <c r="B10" s="18" t="n">
        <f aca="false">SUMIFS(Transactions!$N$2:$N$2881,Transactions!$A$2:$A$2881,"2025")/SUMIFS(Transactions!$F$2:$F$2881,Transactions!$A$2:$A$2881,"2025")</f>
        <v>8317.95381953801</v>
      </c>
      <c r="C10" s="18" t="n">
        <f aca="false">SUMIFS(Transactions!$N$2:$N$2881,Transactions!$A$2:$A$2881,"2026")/SUMIFS(Transactions!$F$2:$F$2881,Transactions!$A$2:$A$2881,"2026")</f>
        <v>9073.61127416691</v>
      </c>
      <c r="D10" s="13" t="n">
        <f aca="false">C10/$C$4</f>
        <v>0.851255268396672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17" t="s">
        <v>132</v>
      </c>
      <c r="B12" s="13" t="n">
        <f aca="false">1-B10/B4</f>
        <v>0.141529803276752</v>
      </c>
      <c r="C12" s="13" t="n">
        <f aca="false">1-C10/C4</f>
        <v>0.148744731603328</v>
      </c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19" t="s">
        <v>133</v>
      </c>
      <c r="B14" s="2"/>
      <c r="C14" s="2"/>
      <c r="D14" s="2"/>
    </row>
    <row r="15" customFormat="false" ht="15" hidden="false" customHeight="false" outlineLevel="0" collapsed="false">
      <c r="A15" s="10" t="s">
        <v>134</v>
      </c>
      <c r="B15" s="10" t="s">
        <v>135</v>
      </c>
      <c r="C15" s="2"/>
      <c r="D15" s="2"/>
    </row>
    <row r="16" customFormat="false" ht="15" hidden="false" customHeight="false" outlineLevel="0" collapsed="false">
      <c r="A16" s="2" t="s">
        <v>2</v>
      </c>
      <c r="B16" s="5" t="n">
        <f aca="false">Assumptions!B4</f>
        <v>0.05</v>
      </c>
      <c r="C16" s="2"/>
      <c r="D16" s="2"/>
    </row>
    <row r="17" customFormat="false" ht="15" hidden="false" customHeight="false" outlineLevel="0" collapsed="false">
      <c r="A17" s="2" t="s">
        <v>136</v>
      </c>
      <c r="B17" s="5" t="n">
        <f aca="false">SUMPRODUCT('PVM Bridge'!D4:D15,'PVM Bridge'!N4:N15)/SUMPRODUCT('PVM Bridge'!D4:D15,'PVM Bridge'!M4:M15)-1</f>
        <v>0.0373761275499753</v>
      </c>
      <c r="C17" s="2"/>
      <c r="D17" s="2"/>
    </row>
    <row r="18" customFormat="false" ht="15" hidden="false" customHeight="false" outlineLevel="0" collapsed="false">
      <c r="A18" s="2" t="s">
        <v>137</v>
      </c>
      <c r="B18" s="5" t="n">
        <f aca="false">'PVM Bridge'!H16/'PVM Bridge'!I16-1</f>
        <v>0.0390663976112222</v>
      </c>
      <c r="C18" s="2"/>
      <c r="D18" s="2"/>
    </row>
    <row r="19" customFormat="false" ht="15" hidden="false" customHeight="false" outlineLevel="0" collapsed="false">
      <c r="A19" s="2" t="s">
        <v>138</v>
      </c>
      <c r="B19" s="13" t="n">
        <f aca="false">B18/B16</f>
        <v>0.781327952224444</v>
      </c>
      <c r="C19" s="2"/>
      <c r="D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6" min="5" style="0" width="13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5"/>
    <col collapsed="false" customWidth="true" hidden="false" outlineLevel="0" max="14" min="13" style="0" width="14"/>
  </cols>
  <sheetData>
    <row r="1" customFormat="false" ht="16.15" hidden="false" customHeight="false" outlineLevel="0" collapsed="false">
      <c r="A1" s="8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6.85" hidden="false" customHeight="false" outlineLevel="0" collapsed="false">
      <c r="A3" s="10" t="s">
        <v>28</v>
      </c>
      <c r="B3" s="10" t="s">
        <v>29</v>
      </c>
      <c r="C3" s="10" t="s">
        <v>140</v>
      </c>
      <c r="D3" s="10" t="s">
        <v>141</v>
      </c>
      <c r="E3" s="10" t="s">
        <v>142</v>
      </c>
      <c r="F3" s="10" t="s">
        <v>143</v>
      </c>
      <c r="G3" s="10" t="s">
        <v>144</v>
      </c>
      <c r="H3" s="10" t="s">
        <v>145</v>
      </c>
      <c r="I3" s="10" t="s">
        <v>146</v>
      </c>
      <c r="J3" s="10" t="s">
        <v>147</v>
      </c>
      <c r="K3" s="10" t="s">
        <v>148</v>
      </c>
      <c r="L3" s="10" t="s">
        <v>149</v>
      </c>
      <c r="M3" s="20" t="s">
        <v>150</v>
      </c>
      <c r="N3" s="20" t="s">
        <v>151</v>
      </c>
    </row>
    <row r="4" customFormat="false" ht="15" hidden="false" customHeight="false" outlineLevel="0" collapsed="false">
      <c r="A4" s="2" t="s">
        <v>34</v>
      </c>
      <c r="B4" s="2" t="s">
        <v>35</v>
      </c>
      <c r="C4" s="21" t="n">
        <f aca="false">SUMIFS(Transactions!$F$2:$F$2881,Transactions!$D$2:$D$2881,$A4,Transactions!$A$2:$A$2881,"2025")</f>
        <v>2504.7</v>
      </c>
      <c r="D4" s="21" t="n">
        <f aca="false">SUMIFS(Transactions!$F$2:$F$2881,Transactions!$D$2:$D$2881,$A4,Transactions!$A$2:$A$2881,"2026")</f>
        <v>2348.6</v>
      </c>
      <c r="E4" s="18" t="n">
        <f aca="false">IFERROR(G4/C4,0)</f>
        <v>2685.73991491213</v>
      </c>
      <c r="F4" s="18" t="n">
        <f aca="false">IFERROR(H4/D4,0)</f>
        <v>2800.85918757814</v>
      </c>
      <c r="G4" s="16" t="n">
        <f aca="false">SUMIFS(Transactions!$N$2:$N$2881,Transactions!$D$2:$D$2881,$A4,Transactions!$A$2:$A$2881,"2025")</f>
        <v>6726972.76488041</v>
      </c>
      <c r="H4" s="16" t="n">
        <f aca="false">SUMIFS(Transactions!$N$2:$N$2881,Transactions!$D$2:$D$2881,$A4,Transactions!$A$2:$A$2881,"2026")</f>
        <v>6578097.88794602</v>
      </c>
      <c r="I4" s="16" t="n">
        <f aca="false">D4*E4</f>
        <v>6307728.76416263</v>
      </c>
      <c r="J4" s="16" t="n">
        <f aca="false">D4*(F4-E4)</f>
        <v>270369.123783394</v>
      </c>
      <c r="K4" s="16" t="n">
        <f aca="false">SUMIFS(Transactions!$P$2:$P$2881,Transactions!$D$2:$D$2881,$A4,Transactions!$A$2:$A$2881,"2025")</f>
        <v>1241679.76488041</v>
      </c>
      <c r="L4" s="16" t="n">
        <f aca="false">SUMIFS(Transactions!$P$2:$P$2881,Transactions!$D$2:$D$2881,$A4,Transactions!$A$2:$A$2881,"2026")</f>
        <v>1280360.86794602</v>
      </c>
      <c r="M4" s="18" t="n">
        <f aca="false">IFERROR(SUMIFS(Transactions!$J$2:$J$2881,Transactions!$D$2:$D$2881,$A4,Transactions!$A$2:$A$2881,"2025")/C4,0)</f>
        <v>3012.19717930291</v>
      </c>
      <c r="N4" s="18" t="n">
        <f aca="false">IFERROR(SUMIFS(Transactions!$J$2:$J$2881,Transactions!$D$2:$D$2881,$A4,Transactions!$A$2:$A$2881,"2026")/D4,0)</f>
        <v>3128.17887058247</v>
      </c>
    </row>
    <row r="5" customFormat="false" ht="15" hidden="false" customHeight="false" outlineLevel="0" collapsed="false">
      <c r="A5" s="2" t="s">
        <v>36</v>
      </c>
      <c r="B5" s="2" t="s">
        <v>35</v>
      </c>
      <c r="C5" s="21" t="n">
        <f aca="false">SUMIFS(Transactions!$F$2:$F$2881,Transactions!$D$2:$D$2881,$A5,Transactions!$A$2:$A$2881,"2025")</f>
        <v>2992.7</v>
      </c>
      <c r="D5" s="21" t="n">
        <f aca="false">SUMIFS(Transactions!$F$2:$F$2881,Transactions!$D$2:$D$2881,$A5,Transactions!$A$2:$A$2881,"2026")</f>
        <v>2760.6</v>
      </c>
      <c r="E5" s="18" t="n">
        <f aca="false">IFERROR(G5/C5,0)</f>
        <v>3033.36284638328</v>
      </c>
      <c r="F5" s="18" t="n">
        <f aca="false">IFERROR(H5/D5,0)</f>
        <v>3155.22356857379</v>
      </c>
      <c r="G5" s="16" t="n">
        <f aca="false">SUMIFS(Transactions!$N$2:$N$2881,Transactions!$D$2:$D$2881,$A5,Transactions!$A$2:$A$2881,"2025")</f>
        <v>9077944.99037123</v>
      </c>
      <c r="H5" s="16" t="n">
        <f aca="false">SUMIFS(Transactions!$N$2:$N$2881,Transactions!$D$2:$D$2881,$A5,Transactions!$A$2:$A$2881,"2026")</f>
        <v>8710310.18340479</v>
      </c>
      <c r="I5" s="16" t="n">
        <f aca="false">D5*E5</f>
        <v>8373901.47372567</v>
      </c>
      <c r="J5" s="16" t="n">
        <f aca="false">D5*(F5-E5)</f>
        <v>336408.709679119</v>
      </c>
      <c r="K5" s="16" t="n">
        <f aca="false">SUMIFS(Transactions!$P$2:$P$2881,Transactions!$D$2:$D$2881,$A5,Transactions!$A$2:$A$2881,"2025")</f>
        <v>1895464.99037123</v>
      </c>
      <c r="L5" s="16" t="n">
        <f aca="false">SUMIFS(Transactions!$P$2:$P$2881,Transactions!$D$2:$D$2881,$A5,Transactions!$A$2:$A$2881,"2026")</f>
        <v>1886106.98340479</v>
      </c>
      <c r="M5" s="18" t="n">
        <f aca="false">IFERROR(SUMIFS(Transactions!$J$2:$J$2881,Transactions!$D$2:$D$2881,$A5,Transactions!$A$2:$A$2881,"2025")/C5,0)</f>
        <v>3398.93050422695</v>
      </c>
      <c r="N5" s="18" t="n">
        <f aca="false">IFERROR(SUMIFS(Transactions!$J$2:$J$2881,Transactions!$D$2:$D$2881,$A5,Transactions!$A$2:$A$2881,"2026")/D5,0)</f>
        <v>3521.58953434036</v>
      </c>
    </row>
    <row r="6" customFormat="false" ht="15" hidden="false" customHeight="false" outlineLevel="0" collapsed="false">
      <c r="A6" s="2" t="s">
        <v>37</v>
      </c>
      <c r="B6" s="2" t="s">
        <v>35</v>
      </c>
      <c r="C6" s="21" t="n">
        <f aca="false">SUMIFS(Transactions!$F$2:$F$2881,Transactions!$D$2:$D$2881,$A6,Transactions!$A$2:$A$2881,"2025")</f>
        <v>2591.7</v>
      </c>
      <c r="D6" s="21" t="n">
        <f aca="false">SUMIFS(Transactions!$F$2:$F$2881,Transactions!$D$2:$D$2881,$A6,Transactions!$A$2:$A$2881,"2026")</f>
        <v>2456.7</v>
      </c>
      <c r="E6" s="18" t="n">
        <f aca="false">IFERROR(G6/C6,0)</f>
        <v>2929.87975361457</v>
      </c>
      <c r="F6" s="18" t="n">
        <f aca="false">IFERROR(H6/D6,0)</f>
        <v>3054.64128838752</v>
      </c>
      <c r="G6" s="16" t="n">
        <f aca="false">SUMIFS(Transactions!$N$2:$N$2881,Transactions!$D$2:$D$2881,$A6,Transactions!$A$2:$A$2881,"2025")</f>
        <v>7593369.35744288</v>
      </c>
      <c r="H6" s="16" t="n">
        <f aca="false">SUMIFS(Transactions!$N$2:$N$2881,Transactions!$D$2:$D$2881,$A6,Transactions!$A$2:$A$2881,"2026")</f>
        <v>7504337.25318163</v>
      </c>
      <c r="I6" s="16" t="n">
        <f aca="false">D6*E6</f>
        <v>7197835.59070491</v>
      </c>
      <c r="J6" s="16" t="n">
        <f aca="false">D6*(F6-E6)</f>
        <v>306501.66247672</v>
      </c>
      <c r="K6" s="16" t="n">
        <f aca="false">SUMIFS(Transactions!$P$2:$P$2881,Transactions!$D$2:$D$2881,$A6,Transactions!$A$2:$A$2881,"2025")</f>
        <v>1347372.35744288</v>
      </c>
      <c r="L6" s="16" t="n">
        <f aca="false">SUMIFS(Transactions!$P$2:$P$2881,Transactions!$D$2:$D$2881,$A6,Transactions!$A$2:$A$2881,"2026")</f>
        <v>1406070.84318163</v>
      </c>
      <c r="M6" s="18" t="n">
        <f aca="false">IFERROR(SUMIFS(Transactions!$J$2:$J$2881,Transactions!$D$2:$D$2881,$A6,Transactions!$A$2:$A$2881,"2025")/C6,0)</f>
        <v>3277.53138171856</v>
      </c>
      <c r="N6" s="18" t="n">
        <f aca="false">IFERROR(SUMIFS(Transactions!$J$2:$J$2881,Transactions!$D$2:$D$2881,$A6,Transactions!$A$2:$A$2881,"2026")/D6,0)</f>
        <v>3408.16228062034</v>
      </c>
    </row>
    <row r="7" customFormat="false" ht="15" hidden="false" customHeight="false" outlineLevel="0" collapsed="false">
      <c r="A7" s="2" t="s">
        <v>38</v>
      </c>
      <c r="B7" s="2" t="s">
        <v>35</v>
      </c>
      <c r="C7" s="21" t="n">
        <f aca="false">SUMIFS(Transactions!$F$2:$F$2881,Transactions!$D$2:$D$2881,$A7,Transactions!$A$2:$A$2881,"2025")</f>
        <v>1886.8</v>
      </c>
      <c r="D7" s="21" t="n">
        <f aca="false">SUMIFS(Transactions!$F$2:$F$2881,Transactions!$D$2:$D$2881,$A7,Transactions!$A$2:$A$2881,"2026")</f>
        <v>1797</v>
      </c>
      <c r="E7" s="18" t="n">
        <f aca="false">IFERROR(G7/C7,0)</f>
        <v>3469.73437191098</v>
      </c>
      <c r="F7" s="18" t="n">
        <f aca="false">IFERROR(H7/D7,0)</f>
        <v>3628.85169717859</v>
      </c>
      <c r="G7" s="16" t="n">
        <f aca="false">SUMIFS(Transactions!$N$2:$N$2881,Transactions!$D$2:$D$2881,$A7,Transactions!$A$2:$A$2881,"2025")</f>
        <v>6546694.81292164</v>
      </c>
      <c r="H7" s="16" t="n">
        <f aca="false">SUMIFS(Transactions!$N$2:$N$2881,Transactions!$D$2:$D$2881,$A7,Transactions!$A$2:$A$2881,"2026")</f>
        <v>6521046.49982992</v>
      </c>
      <c r="I7" s="16" t="n">
        <f aca="false">D7*E7</f>
        <v>6235112.66632404</v>
      </c>
      <c r="J7" s="16" t="n">
        <f aca="false">D7*(F7-E7)</f>
        <v>285933.83350588</v>
      </c>
      <c r="K7" s="16" t="n">
        <f aca="false">SUMIFS(Transactions!$P$2:$P$2881,Transactions!$D$2:$D$2881,$A7,Transactions!$A$2:$A$2881,"2025")</f>
        <v>1320258.81292164</v>
      </c>
      <c r="L7" s="16" t="n">
        <f aca="false">SUMIFS(Transactions!$P$2:$P$2881,Transactions!$D$2:$D$2881,$A7,Transactions!$A$2:$A$2881,"2026")</f>
        <v>1394025.79982992</v>
      </c>
      <c r="M7" s="18" t="n">
        <f aca="false">IFERROR(SUMIFS(Transactions!$J$2:$J$2881,Transactions!$D$2:$D$2881,$A7,Transactions!$A$2:$A$2881,"2025")/C7,0)</f>
        <v>3919.25317362731</v>
      </c>
      <c r="N7" s="18" t="n">
        <f aca="false">IFERROR(SUMIFS(Transactions!$J$2:$J$2881,Transactions!$D$2:$D$2881,$A7,Transactions!$A$2:$A$2881,"2026")/D7,0)</f>
        <v>4081.66404173623</v>
      </c>
    </row>
    <row r="8" customFormat="false" ht="15" hidden="false" customHeight="false" outlineLevel="0" collapsed="false">
      <c r="A8" s="2" t="s">
        <v>39</v>
      </c>
      <c r="B8" s="2" t="s">
        <v>40</v>
      </c>
      <c r="C8" s="21" t="n">
        <f aca="false">SUMIFS(Transactions!$F$2:$F$2881,Transactions!$D$2:$D$2881,$A8,Transactions!$A$2:$A$2881,"2025")</f>
        <v>532</v>
      </c>
      <c r="D8" s="21" t="n">
        <f aca="false">SUMIFS(Transactions!$F$2:$F$2881,Transactions!$D$2:$D$2881,$A8,Transactions!$A$2:$A$2881,"2026")</f>
        <v>538.7</v>
      </c>
      <c r="E8" s="18" t="n">
        <f aca="false">IFERROR(G8/C8,0)</f>
        <v>11217.8316268473</v>
      </c>
      <c r="F8" s="18" t="n">
        <f aca="false">IFERROR(H8/D8,0)</f>
        <v>11685.6541385721</v>
      </c>
      <c r="G8" s="16" t="n">
        <f aca="false">SUMIFS(Transactions!$N$2:$N$2881,Transactions!$D$2:$D$2881,$A8,Transactions!$A$2:$A$2881,"2025")</f>
        <v>5967886.42548274</v>
      </c>
      <c r="H8" s="16" t="n">
        <f aca="false">SUMIFS(Transactions!$N$2:$N$2881,Transactions!$D$2:$D$2881,$A8,Transactions!$A$2:$A$2881,"2026")</f>
        <v>6295061.88444882</v>
      </c>
      <c r="I8" s="16" t="n">
        <f aca="false">D8*E8</f>
        <v>6043045.89738262</v>
      </c>
      <c r="J8" s="16" t="n">
        <f aca="false">D8*(F8-E8)</f>
        <v>252015.987066198</v>
      </c>
      <c r="K8" s="16" t="n">
        <f aca="false">SUMIFS(Transactions!$P$2:$P$2881,Transactions!$D$2:$D$2881,$A8,Transactions!$A$2:$A$2881,"2025")</f>
        <v>2089606.42548274</v>
      </c>
      <c r="L8" s="16" t="n">
        <f aca="false">SUMIFS(Transactions!$P$2:$P$2881,Transactions!$D$2:$D$2881,$A8,Transactions!$A$2:$A$2881,"2026")</f>
        <v>2250125.19444882</v>
      </c>
      <c r="M8" s="18" t="n">
        <f aca="false">IFERROR(SUMIFS(Transactions!$J$2:$J$2881,Transactions!$D$2:$D$2881,$A8,Transactions!$A$2:$A$2881,"2025")/C8,0)</f>
        <v>11845.0016221805</v>
      </c>
      <c r="N8" s="18" t="n">
        <f aca="false">IFERROR(SUMIFS(Transactions!$J$2:$J$2881,Transactions!$D$2:$D$2881,$A8,Transactions!$A$2:$A$2881,"2026")/D8,0)</f>
        <v>12322.9619323371</v>
      </c>
    </row>
    <row r="9" customFormat="false" ht="15" hidden="false" customHeight="false" outlineLevel="0" collapsed="false">
      <c r="A9" s="2" t="s">
        <v>41</v>
      </c>
      <c r="B9" s="2" t="s">
        <v>40</v>
      </c>
      <c r="C9" s="21" t="n">
        <f aca="false">SUMIFS(Transactions!$F$2:$F$2881,Transactions!$D$2:$D$2881,$A9,Transactions!$A$2:$A$2881,"2025")</f>
        <v>1127.4</v>
      </c>
      <c r="D9" s="21" t="n">
        <f aca="false">SUMIFS(Transactions!$F$2:$F$2881,Transactions!$D$2:$D$2881,$A9,Transactions!$A$2:$A$2881,"2026")</f>
        <v>1013.4</v>
      </c>
      <c r="E9" s="18" t="n">
        <f aca="false">IFERROR(G9/C9,0)</f>
        <v>12533.9152730115</v>
      </c>
      <c r="F9" s="18" t="n">
        <f aca="false">IFERROR(H9/D9,0)</f>
        <v>13087.9046107494</v>
      </c>
      <c r="G9" s="16" t="n">
        <f aca="false">SUMIFS(Transactions!$N$2:$N$2881,Transactions!$D$2:$D$2881,$A9,Transactions!$A$2:$A$2881,"2025")</f>
        <v>14130736.0787932</v>
      </c>
      <c r="H9" s="16" t="n">
        <f aca="false">SUMIFS(Transactions!$N$2:$N$2881,Transactions!$D$2:$D$2881,$A9,Transactions!$A$2:$A$2881,"2026")</f>
        <v>13263282.5325335</v>
      </c>
      <c r="I9" s="16" t="n">
        <f aca="false">D9*E9</f>
        <v>12701869.7376698</v>
      </c>
      <c r="J9" s="16" t="n">
        <f aca="false">D9*(F9-E9)</f>
        <v>561412.794863619</v>
      </c>
      <c r="K9" s="16" t="n">
        <f aca="false">SUMIFS(Transactions!$P$2:$P$2881,Transactions!$D$2:$D$2881,$A9,Transactions!$A$2:$A$2881,"2025")</f>
        <v>3442984.07879315</v>
      </c>
      <c r="L9" s="16" t="n">
        <f aca="false">SUMIFS(Transactions!$P$2:$P$2881,Transactions!$D$2:$D$2881,$A9,Transactions!$A$2:$A$2881,"2026")</f>
        <v>3368039.57253346</v>
      </c>
      <c r="M9" s="18" t="n">
        <f aca="false">IFERROR(SUMIFS(Transactions!$J$2:$J$2881,Transactions!$D$2:$D$2881,$A9,Transactions!$A$2:$A$2881,"2025")/C9,0)</f>
        <v>13153.2941937201</v>
      </c>
      <c r="N9" s="18" t="n">
        <f aca="false">IFERROR(SUMIFS(Transactions!$J$2:$J$2881,Transactions!$D$2:$D$2881,$A9,Transactions!$A$2:$A$2881,"2026")/D9,0)</f>
        <v>13706.575740675</v>
      </c>
    </row>
    <row r="10" customFormat="false" ht="15" hidden="false" customHeight="false" outlineLevel="0" collapsed="false">
      <c r="A10" s="2" t="s">
        <v>42</v>
      </c>
      <c r="B10" s="2" t="s">
        <v>40</v>
      </c>
      <c r="C10" s="21" t="n">
        <f aca="false">SUMIFS(Transactions!$F$2:$F$2881,Transactions!$D$2:$D$2881,$A10,Transactions!$A$2:$A$2881,"2025")</f>
        <v>1610.6</v>
      </c>
      <c r="D10" s="21" t="n">
        <f aca="false">SUMIFS(Transactions!$F$2:$F$2881,Transactions!$D$2:$D$2881,$A10,Transactions!$A$2:$A$2881,"2026")</f>
        <v>1529.5</v>
      </c>
      <c r="E10" s="18" t="n">
        <f aca="false">IFERROR(G10/C10,0)</f>
        <v>10512.5622481535</v>
      </c>
      <c r="F10" s="18" t="n">
        <f aca="false">IFERROR(H10/D10,0)</f>
        <v>10909.2052936101</v>
      </c>
      <c r="G10" s="16" t="n">
        <f aca="false">SUMIFS(Transactions!$N$2:$N$2881,Transactions!$D$2:$D$2881,$A10,Transactions!$A$2:$A$2881,"2025")</f>
        <v>16931532.756876</v>
      </c>
      <c r="H10" s="16" t="n">
        <f aca="false">SUMIFS(Transactions!$N$2:$N$2881,Transactions!$D$2:$D$2881,$A10,Transactions!$A$2:$A$2881,"2026")</f>
        <v>16685629.4965766</v>
      </c>
      <c r="I10" s="16" t="n">
        <f aca="false">D10*E10</f>
        <v>16078963.9585508</v>
      </c>
      <c r="J10" s="16" t="n">
        <f aca="false">D10*(F10-E10)</f>
        <v>606665.538025833</v>
      </c>
      <c r="K10" s="16" t="n">
        <f aca="false">SUMIFS(Transactions!$P$2:$P$2881,Transactions!$D$2:$D$2881,$A10,Transactions!$A$2:$A$2881,"2025")</f>
        <v>4401064.75687603</v>
      </c>
      <c r="L10" s="16" t="n">
        <f aca="false">SUMIFS(Transactions!$P$2:$P$2881,Transactions!$D$2:$D$2881,$A10,Transactions!$A$2:$A$2881,"2026")</f>
        <v>4429134.19657661</v>
      </c>
      <c r="M10" s="18" t="n">
        <f aca="false">IFERROR(SUMIFS(Transactions!$J$2:$J$2881,Transactions!$D$2:$D$2881,$A10,Transactions!$A$2:$A$2881,"2025")/C10,0)</f>
        <v>11125.7717434496</v>
      </c>
      <c r="N10" s="18" t="n">
        <f aca="false">IFERROR(SUMIFS(Transactions!$J$2:$J$2881,Transactions!$D$2:$D$2881,$A10,Transactions!$A$2:$A$2881,"2026")/D10,0)</f>
        <v>11526.5578592677</v>
      </c>
    </row>
    <row r="11" customFormat="false" ht="15" hidden="false" customHeight="false" outlineLevel="0" collapsed="false">
      <c r="A11" s="2" t="s">
        <v>43</v>
      </c>
      <c r="B11" s="2" t="s">
        <v>40</v>
      </c>
      <c r="C11" s="21" t="n">
        <f aca="false">SUMIFS(Transactions!$F$2:$F$2881,Transactions!$D$2:$D$2881,$A11,Transactions!$A$2:$A$2881,"2025")</f>
        <v>855</v>
      </c>
      <c r="D11" s="21" t="n">
        <f aca="false">SUMIFS(Transactions!$F$2:$F$2881,Transactions!$D$2:$D$2881,$A11,Transactions!$A$2:$A$2881,"2026")</f>
        <v>836.8</v>
      </c>
      <c r="E11" s="18" t="n">
        <f aca="false">IFERROR(G11/C11,0)</f>
        <v>10220.8087358281</v>
      </c>
      <c r="F11" s="18" t="n">
        <f aca="false">IFERROR(H11/D11,0)</f>
        <v>10577.5819831476</v>
      </c>
      <c r="G11" s="16" t="n">
        <f aca="false">SUMIFS(Transactions!$N$2:$N$2881,Transactions!$D$2:$D$2881,$A11,Transactions!$A$2:$A$2881,"2025")</f>
        <v>8738791.46913301</v>
      </c>
      <c r="H11" s="16" t="n">
        <f aca="false">SUMIFS(Transactions!$N$2:$N$2881,Transactions!$D$2:$D$2881,$A11,Transactions!$A$2:$A$2881,"2026")</f>
        <v>8851320.60349793</v>
      </c>
      <c r="I11" s="16" t="n">
        <f aca="false">D11*E11</f>
        <v>8552772.75014094</v>
      </c>
      <c r="J11" s="16" t="n">
        <f aca="false">D11*(F11-E11)</f>
        <v>298547.853356989</v>
      </c>
      <c r="K11" s="16" t="n">
        <f aca="false">SUMIFS(Transactions!$P$2:$P$2881,Transactions!$D$2:$D$2881,$A11,Transactions!$A$2:$A$2881,"2025")</f>
        <v>2463091.46913301</v>
      </c>
      <c r="L11" s="16" t="n">
        <f aca="false">SUMIFS(Transactions!$P$2:$P$2881,Transactions!$D$2:$D$2881,$A11,Transactions!$A$2:$A$2881,"2026")</f>
        <v>2524945.24349793</v>
      </c>
      <c r="M11" s="18" t="n">
        <f aca="false">IFERROR(SUMIFS(Transactions!$J$2:$J$2881,Transactions!$D$2:$D$2881,$A11,Transactions!$A$2:$A$2881,"2025")/C11,0)</f>
        <v>10628.0737263158</v>
      </c>
      <c r="N11" s="18" t="n">
        <f aca="false">IFERROR(SUMIFS(Transactions!$J$2:$J$2881,Transactions!$D$2:$D$2881,$A11,Transactions!$A$2:$A$2881,"2026")/D11,0)</f>
        <v>10989.954269957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1" t="n">
        <f aca="false">SUMIFS(Transactions!$F$2:$F$2881,Transactions!$D$2:$D$2881,$A12,Transactions!$A$2:$A$2881,"2025")</f>
        <v>398.7</v>
      </c>
      <c r="D12" s="21" t="n">
        <f aca="false">SUMIFS(Transactions!$F$2:$F$2881,Transactions!$D$2:$D$2881,$A12,Transactions!$A$2:$A$2881,"2026")</f>
        <v>413.2</v>
      </c>
      <c r="E12" s="18" t="n">
        <f aca="false">IFERROR(G12/C12,0)</f>
        <v>26362.9409162185</v>
      </c>
      <c r="F12" s="18" t="n">
        <f aca="false">IFERROR(H12/D12,0)</f>
        <v>27227.6637324897</v>
      </c>
      <c r="G12" s="16" t="n">
        <f aca="false">SUMIFS(Transactions!$N$2:$N$2881,Transactions!$D$2:$D$2881,$A12,Transactions!$A$2:$A$2881,"2025")</f>
        <v>10510904.5432963</v>
      </c>
      <c r="H12" s="16" t="n">
        <f aca="false">SUMIFS(Transactions!$N$2:$N$2881,Transactions!$D$2:$D$2881,$A12,Transactions!$A$2:$A$2881,"2026")</f>
        <v>11250470.6542648</v>
      </c>
      <c r="I12" s="16" t="n">
        <f aca="false">D12*E12</f>
        <v>10893167.1865815</v>
      </c>
      <c r="J12" s="16" t="n">
        <f aca="false">D12*(F12-E12)</f>
        <v>357303.467683285</v>
      </c>
      <c r="K12" s="16" t="n">
        <f aca="false">SUMIFS(Transactions!$P$2:$P$2881,Transactions!$D$2:$D$2881,$A12,Transactions!$A$2:$A$2881,"2025")</f>
        <v>4805507.5432963</v>
      </c>
      <c r="L12" s="16" t="n">
        <f aca="false">SUMIFS(Transactions!$P$2:$P$2881,Transactions!$D$2:$D$2881,$A12,Transactions!$A$2:$A$2881,"2026")</f>
        <v>5160191.89426475</v>
      </c>
      <c r="M12" s="18" t="n">
        <f aca="false">IFERROR(SUMIFS(Transactions!$J$2:$J$2881,Transactions!$D$2:$D$2881,$A12,Transactions!$A$2:$A$2881,"2025")/C12,0)</f>
        <v>27224.228708302</v>
      </c>
      <c r="N12" s="18" t="n">
        <f aca="false">IFERROR(SUMIFS(Transactions!$J$2:$J$2881,Transactions!$D$2:$D$2881,$A12,Transactions!$A$2:$A$2881,"2026")/D12,0)</f>
        <v>28117.7144488141</v>
      </c>
    </row>
    <row r="13" customFormat="false" ht="15" hidden="false" customHeight="false" outlineLevel="0" collapsed="false">
      <c r="A13" s="2" t="s">
        <v>46</v>
      </c>
      <c r="B13" s="2" t="s">
        <v>45</v>
      </c>
      <c r="C13" s="21" t="n">
        <f aca="false">SUMIFS(Transactions!$F$2:$F$2881,Transactions!$D$2:$D$2881,$A13,Transactions!$A$2:$A$2881,"2025")</f>
        <v>576</v>
      </c>
      <c r="D13" s="21" t="n">
        <f aca="false">SUMIFS(Transactions!$F$2:$F$2881,Transactions!$D$2:$D$2881,$A13,Transactions!$A$2:$A$2881,"2026")</f>
        <v>641.7</v>
      </c>
      <c r="E13" s="18" t="n">
        <f aca="false">IFERROR(G13/C13,0)</f>
        <v>22513.4354174505</v>
      </c>
      <c r="F13" s="18" t="n">
        <f aca="false">IFERROR(H13/D13,0)</f>
        <v>23377.8163089533</v>
      </c>
      <c r="G13" s="16" t="n">
        <f aca="false">SUMIFS(Transactions!$N$2:$N$2881,Transactions!$D$2:$D$2881,$A13,Transactions!$A$2:$A$2881,"2025")</f>
        <v>12967738.8004515</v>
      </c>
      <c r="H13" s="16" t="n">
        <f aca="false">SUMIFS(Transactions!$N$2:$N$2881,Transactions!$D$2:$D$2881,$A13,Transactions!$A$2:$A$2881,"2026")</f>
        <v>15001544.7254553</v>
      </c>
      <c r="I13" s="16" t="n">
        <f aca="false">D13*E13</f>
        <v>14446871.507378</v>
      </c>
      <c r="J13" s="16" t="n">
        <f aca="false">D13*(F13-E13)</f>
        <v>554673.218077334</v>
      </c>
      <c r="K13" s="16" t="n">
        <f aca="false">SUMIFS(Transactions!$P$2:$P$2881,Transactions!$D$2:$D$2881,$A13,Transactions!$A$2:$A$2881,"2025")</f>
        <v>5911738.80045151</v>
      </c>
      <c r="L13" s="16" t="n">
        <f aca="false">SUMIFS(Transactions!$P$2:$P$2881,Transactions!$D$2:$D$2881,$A13,Transactions!$A$2:$A$2881,"2026")</f>
        <v>6904894.97545534</v>
      </c>
      <c r="M13" s="18" t="n">
        <f aca="false">IFERROR(SUMIFS(Transactions!$J$2:$J$2881,Transactions!$D$2:$D$2881,$A13,Transactions!$A$2:$A$2881,"2025")/C13,0)</f>
        <v>23332.1975</v>
      </c>
      <c r="N13" s="18" t="n">
        <f aca="false">IFERROR(SUMIFS(Transactions!$J$2:$J$2881,Transactions!$D$2:$D$2881,$A13,Transactions!$A$2:$A$2881,"2026")/D13,0)</f>
        <v>24210.1260925666</v>
      </c>
    </row>
    <row r="14" customFormat="false" ht="15" hidden="false" customHeight="false" outlineLevel="0" collapsed="false">
      <c r="A14" s="2" t="s">
        <v>47</v>
      </c>
      <c r="B14" s="2" t="s">
        <v>45</v>
      </c>
      <c r="C14" s="21" t="n">
        <f aca="false">SUMIFS(Transactions!$F$2:$F$2881,Transactions!$D$2:$D$2881,$A14,Transactions!$A$2:$A$2881,"2025")</f>
        <v>680.5</v>
      </c>
      <c r="D14" s="21" t="n">
        <f aca="false">SUMIFS(Transactions!$F$2:$F$2881,Transactions!$D$2:$D$2881,$A14,Transactions!$A$2:$A$2881,"2026")</f>
        <v>710.2</v>
      </c>
      <c r="E14" s="18" t="n">
        <f aca="false">IFERROR(G14/C14,0)</f>
        <v>26095.6572489809</v>
      </c>
      <c r="F14" s="18" t="n">
        <f aca="false">IFERROR(H14/D14,0)</f>
        <v>27116.6183018725</v>
      </c>
      <c r="G14" s="16" t="n">
        <f aca="false">SUMIFS(Transactions!$N$2:$N$2881,Transactions!$D$2:$D$2881,$A14,Transactions!$A$2:$A$2881,"2025")</f>
        <v>17758094.7579315</v>
      </c>
      <c r="H14" s="16" t="n">
        <f aca="false">SUMIFS(Transactions!$N$2:$N$2881,Transactions!$D$2:$D$2881,$A14,Transactions!$A$2:$A$2881,"2026")</f>
        <v>19258222.3179899</v>
      </c>
      <c r="I14" s="16" t="n">
        <f aca="false">D14*E14</f>
        <v>18533135.7782262</v>
      </c>
      <c r="J14" s="16" t="n">
        <f aca="false">D14*(F14-E14)</f>
        <v>725086.539763621</v>
      </c>
      <c r="K14" s="16" t="n">
        <f aca="false">SUMIFS(Transactions!$P$2:$P$2881,Transactions!$D$2:$D$2881,$A14,Transactions!$A$2:$A$2881,"2025")</f>
        <v>7251174.75793151</v>
      </c>
      <c r="L14" s="16" t="n">
        <f aca="false">SUMIFS(Transactions!$P$2:$P$2881,Transactions!$D$2:$D$2881,$A14,Transactions!$A$2:$A$2881,"2026")</f>
        <v>7963769.67798986</v>
      </c>
      <c r="M14" s="18" t="n">
        <f aca="false">IFERROR(SUMIFS(Transactions!$J$2:$J$2881,Transactions!$D$2:$D$2881,$A14,Transactions!$A$2:$A$2881,"2025")/C14,0)</f>
        <v>27440.7226098457</v>
      </c>
      <c r="N14" s="18" t="n">
        <f aca="false">IFERROR(SUMIFS(Transactions!$J$2:$J$2881,Transactions!$D$2:$D$2881,$A14,Transactions!$A$2:$A$2881,"2026")/D14,0)</f>
        <v>28489.6340090115</v>
      </c>
    </row>
    <row r="15" customFormat="false" ht="15" hidden="false" customHeight="false" outlineLevel="0" collapsed="false">
      <c r="A15" s="2" t="s">
        <v>48</v>
      </c>
      <c r="B15" s="2" t="s">
        <v>45</v>
      </c>
      <c r="C15" s="21" t="n">
        <f aca="false">SUMIFS(Transactions!$F$2:$F$2881,Transactions!$D$2:$D$2881,$A15,Transactions!$A$2:$A$2881,"2025")</f>
        <v>664.7</v>
      </c>
      <c r="D15" s="21" t="n">
        <f aca="false">SUMIFS(Transactions!$F$2:$F$2881,Transactions!$D$2:$D$2881,$A15,Transactions!$A$2:$A$2881,"2026")</f>
        <v>770.2</v>
      </c>
      <c r="E15" s="18" t="n">
        <f aca="false">IFERROR(G15/C15,0)</f>
        <v>29542.3338683456</v>
      </c>
      <c r="F15" s="18" t="n">
        <f aca="false">IFERROR(H15/D15,0)</f>
        <v>30634.0639312637</v>
      </c>
      <c r="G15" s="16" t="n">
        <f aca="false">SUMIFS(Transactions!$N$2:$N$2881,Transactions!$D$2:$D$2881,$A15,Transactions!$A$2:$A$2881,"2025")</f>
        <v>19636789.3222893</v>
      </c>
      <c r="H15" s="16" t="n">
        <f aca="false">SUMIFS(Transactions!$N$2:$N$2881,Transactions!$D$2:$D$2881,$A15,Transactions!$A$2:$A$2881,"2026")</f>
        <v>23594356.0398593</v>
      </c>
      <c r="I15" s="16" t="n">
        <f aca="false">D15*E15</f>
        <v>22753505.5453998</v>
      </c>
      <c r="J15" s="16" t="n">
        <f aca="false">D15*(F15-E15)</f>
        <v>840850.494459499</v>
      </c>
      <c r="K15" s="16" t="n">
        <f aca="false">SUMIFS(Transactions!$P$2:$P$2881,Transactions!$D$2:$D$2881,$A15,Transactions!$A$2:$A$2881,"2025")</f>
        <v>9652995.32228932</v>
      </c>
      <c r="L15" s="16" t="n">
        <f aca="false">SUMIFS(Transactions!$P$2:$P$2881,Transactions!$D$2:$D$2881,$A15,Transactions!$A$2:$A$2881,"2026")</f>
        <v>11678899.9198593</v>
      </c>
      <c r="M15" s="18" t="n">
        <f aca="false">IFERROR(SUMIFS(Transactions!$J$2:$J$2881,Transactions!$D$2:$D$2881,$A15,Transactions!$A$2:$A$2881,"2025")/C15,0)</f>
        <v>30830.3487437942</v>
      </c>
      <c r="N15" s="18" t="n">
        <f aca="false">IFERROR(SUMIFS(Transactions!$J$2:$J$2881,Transactions!$D$2:$D$2881,$A15,Transactions!$A$2:$A$2881,"2026")/D15,0)</f>
        <v>31927.643135679</v>
      </c>
    </row>
    <row r="16" customFormat="false" ht="15" hidden="false" customHeight="false" outlineLevel="0" collapsed="false">
      <c r="A16" s="17" t="s">
        <v>152</v>
      </c>
      <c r="B16" s="2"/>
      <c r="C16" s="22" t="n">
        <f aca="false">SUM(C4:C15)</f>
        <v>16420.8</v>
      </c>
      <c r="D16" s="22" t="n">
        <f aca="false">SUM(D4:D15)</f>
        <v>15816.6</v>
      </c>
      <c r="E16" s="2"/>
      <c r="F16" s="2"/>
      <c r="G16" s="23" t="n">
        <f aca="false">SUM(G4:G15)</f>
        <v>136587456.07987</v>
      </c>
      <c r="H16" s="23" t="n">
        <f aca="false">SUM(H4:H15)</f>
        <v>143513680.078988</v>
      </c>
      <c r="I16" s="23" t="n">
        <f aca="false">SUM(I4:I15)</f>
        <v>138117910.856247</v>
      </c>
      <c r="J16" s="23" t="n">
        <f aca="false">SUM(J4:J15)</f>
        <v>5395769.22274149</v>
      </c>
      <c r="K16" s="23" t="n">
        <f aca="false">SUM(K4:K15)</f>
        <v>45822939.0798697</v>
      </c>
      <c r="L16" s="23" t="n">
        <f aca="false">SUM(L4:L15)</f>
        <v>50246565.1689884</v>
      </c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19" t="s">
        <v>153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26.85" hidden="false" customHeight="false" outlineLevel="0" collapsed="false">
      <c r="A19" s="10" t="s">
        <v>154</v>
      </c>
      <c r="B19" s="10" t="s">
        <v>115</v>
      </c>
      <c r="C19" s="10" t="s">
        <v>155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17" t="s">
        <v>156</v>
      </c>
      <c r="B20" s="16" t="n">
        <f aca="false">G16</f>
        <v>136587456.07987</v>
      </c>
      <c r="C20" s="13" t="n">
        <f aca="false">B20/$B$20</f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4" t="s">
        <v>8</v>
      </c>
      <c r="B21" s="16" t="n">
        <f aca="false">(D16-C16)*(G16/C16)</f>
        <v>-5025707.69776486</v>
      </c>
      <c r="C21" s="13" t="n">
        <f aca="false">B21/$B$20</f>
        <v>-0.0367947968430283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4" t="s">
        <v>9</v>
      </c>
      <c r="B22" s="16" t="n">
        <f aca="false">I16-D16*(G16/C16)</f>
        <v>6556162.47414206</v>
      </c>
      <c r="C22" s="13" t="n">
        <f aca="false">B22/$B$20</f>
        <v>0.0479997406958684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4" t="s">
        <v>10</v>
      </c>
      <c r="B23" s="16" t="n">
        <f aca="false">J16</f>
        <v>5395769.22274149</v>
      </c>
      <c r="C23" s="13" t="n">
        <f aca="false">B23/$B$20</f>
        <v>0.0395041344029887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17" t="s">
        <v>157</v>
      </c>
      <c r="B24" s="16" t="n">
        <f aca="false">SUM(B20:B23)</f>
        <v>143513680.078988</v>
      </c>
      <c r="C24" s="13" t="n">
        <f aca="false">B24/$B$20</f>
        <v>1.05070907825583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4" t="s">
        <v>158</v>
      </c>
      <c r="B25" s="16" t="n">
        <f aca="false">B24-H16</f>
        <v>0</v>
      </c>
      <c r="C25" s="13" t="n">
        <f aca="false">B25/$B$20</f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17" t="s">
        <v>159</v>
      </c>
      <c r="B27" s="13" t="n">
        <f aca="false">K16/G16</f>
        <v>0.335484241342592</v>
      </c>
      <c r="C27" s="13" t="n">
        <f aca="false">L16/H16</f>
        <v>0.350116902732431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8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9.55" hidden="false" customHeight="false" outlineLevel="0" collapsed="false">
      <c r="A3" s="10" t="s">
        <v>49</v>
      </c>
      <c r="B3" s="10" t="s">
        <v>50</v>
      </c>
      <c r="C3" s="10" t="s">
        <v>51</v>
      </c>
      <c r="D3" s="10" t="s">
        <v>115</v>
      </c>
      <c r="E3" s="10" t="s">
        <v>117</v>
      </c>
      <c r="F3" s="10" t="s">
        <v>161</v>
      </c>
      <c r="G3" s="10" t="s">
        <v>162</v>
      </c>
      <c r="H3" s="10" t="s">
        <v>163</v>
      </c>
      <c r="I3" s="10" t="s">
        <v>164</v>
      </c>
      <c r="J3" s="10" t="s">
        <v>165</v>
      </c>
      <c r="K3" s="10" t="s">
        <v>166</v>
      </c>
    </row>
    <row r="4" customFormat="false" ht="15" hidden="false" customHeight="false" outlineLevel="0" collapsed="false">
      <c r="A4" s="2" t="s">
        <v>87</v>
      </c>
      <c r="B4" s="2" t="str">
        <f aca="false">INDEX(Customers!$B$2:$B$41,MATCH(A4,Customers!$A$2:$A$41,0))</f>
        <v>Petrochemical</v>
      </c>
      <c r="C4" s="2" t="str">
        <f aca="false">INDEX(Customers!$C$2:$C$41,MATCH(A4,Customers!$A$2:$A$41,0))</f>
        <v>Core</v>
      </c>
      <c r="D4" s="16" t="n">
        <f aca="false">SUMIFS(Transactions!$N$2:$N$2881,Transactions!$C$2:$C$2881,$A4,Transactions!$A$2:$A$2881,"2026")</f>
        <v>8770628.3324189</v>
      </c>
      <c r="E4" s="16" t="n">
        <f aca="false">SUMIFS(Transactions!$P$2:$P$2881,Transactions!$C$2:$C$2881,$A4,Transactions!$A$2:$A$2881,"2026")</f>
        <v>3517243.1124189</v>
      </c>
      <c r="F4" s="16" t="n">
        <f aca="false">INDEX(Customers!$J$2:$J$41,MATCH(A4,Customers!$A$2:$A$41,0))</f>
        <v>513000</v>
      </c>
      <c r="G4" s="16" t="n">
        <f aca="false">E4-F4</f>
        <v>3004243.1124189</v>
      </c>
      <c r="H4" s="13" t="n">
        <f aca="false">IFERROR(G4/D4,0)</f>
        <v>0.342534536700672</v>
      </c>
      <c r="I4" s="2" t="n">
        <f aca="false">RANK(G4,$G$4:$G$43)</f>
        <v>1</v>
      </c>
      <c r="J4" s="13" t="n">
        <f aca="false">SUM($G$4:G4)/SUM($G$4:$G$43)</f>
        <v>0.0915409646018811</v>
      </c>
      <c r="K4" s="13" t="n">
        <f aca="false">MAX(0,(Assumptions!$B$7*D4-G4)/(1-Assumptions!$B$7))/D4</f>
        <v>0</v>
      </c>
    </row>
    <row r="5" customFormat="false" ht="15" hidden="false" customHeight="false" outlineLevel="0" collapsed="false">
      <c r="A5" s="2" t="s">
        <v>59</v>
      </c>
      <c r="B5" s="2" t="str">
        <f aca="false">INDEX(Customers!$B$2:$B$41,MATCH(A5,Customers!$A$2:$A$41,0))</f>
        <v>Refining</v>
      </c>
      <c r="C5" s="2" t="str">
        <f aca="false">INDEX(Customers!$C$2:$C$41,MATCH(A5,Customers!$A$2:$A$41,0))</f>
        <v>Core</v>
      </c>
      <c r="D5" s="16" t="n">
        <f aca="false">SUMIFS(Transactions!$N$2:$N$2881,Transactions!$C$2:$C$2881,$A5,Transactions!$A$2:$A$2881,"2026")</f>
        <v>7946978.76934088</v>
      </c>
      <c r="E5" s="16" t="n">
        <f aca="false">SUMIFS(Transactions!$P$2:$P$2881,Transactions!$C$2:$C$2881,$A5,Transactions!$A$2:$A$2881,"2026")</f>
        <v>2804021.90934088</v>
      </c>
      <c r="F5" s="16" t="n">
        <f aca="false">INDEX(Customers!$J$2:$J$41,MATCH(A5,Customers!$A$2:$A$41,0))</f>
        <v>420000</v>
      </c>
      <c r="G5" s="16" t="n">
        <f aca="false">E5-F5</f>
        <v>2384021.90934088</v>
      </c>
      <c r="H5" s="13" t="n">
        <f aca="false">IFERROR(G5/D5,0)</f>
        <v>0.299990975002769</v>
      </c>
      <c r="I5" s="2" t="n">
        <f aca="false">RANK(G5,$G$4:$G$43)</f>
        <v>2</v>
      </c>
      <c r="J5" s="13" t="n">
        <f aca="false">SUM($G$4:G5)/SUM($G$4:$G$43)</f>
        <v>0.164183442938918</v>
      </c>
      <c r="K5" s="13" t="n">
        <f aca="false">MAX(0,(Assumptions!$B$7*D5-G5)/(1-Assumptions!$B$7))/D5</f>
        <v>0</v>
      </c>
    </row>
    <row r="6" customFormat="false" ht="15" hidden="false" customHeight="false" outlineLevel="0" collapsed="false">
      <c r="A6" s="2" t="s">
        <v>67</v>
      </c>
      <c r="B6" s="2" t="str">
        <f aca="false">INDEX(Customers!$B$2:$B$41,MATCH(A6,Customers!$A$2:$A$41,0))</f>
        <v>Refining</v>
      </c>
      <c r="C6" s="2" t="str">
        <f aca="false">INDEX(Customers!$C$2:$C$41,MATCH(A6,Customers!$A$2:$A$41,0))</f>
        <v>Core</v>
      </c>
      <c r="D6" s="16" t="n">
        <f aca="false">SUMIFS(Transactions!$N$2:$N$2881,Transactions!$C$2:$C$2881,$A6,Transactions!$A$2:$A$2881,"2026")</f>
        <v>7474309.11742085</v>
      </c>
      <c r="E6" s="16" t="n">
        <f aca="false">SUMIFS(Transactions!$P$2:$P$2881,Transactions!$C$2:$C$2881,$A6,Transactions!$A$2:$A$2881,"2026")</f>
        <v>2681937.47742085</v>
      </c>
      <c r="F6" s="16" t="n">
        <f aca="false">INDEX(Customers!$J$2:$J$41,MATCH(A6,Customers!$A$2:$A$41,0))</f>
        <v>301000</v>
      </c>
      <c r="G6" s="16" t="n">
        <f aca="false">E6-F6</f>
        <v>2380937.47742085</v>
      </c>
      <c r="H6" s="13" t="n">
        <f aca="false">IFERROR(G6/D6,0)</f>
        <v>0.318549506050191</v>
      </c>
      <c r="I6" s="2" t="n">
        <f aca="false">RANK(G6,$G$4:$G$43)</f>
        <v>3</v>
      </c>
      <c r="J6" s="13" t="n">
        <f aca="false">SUM($G$4:G6)/SUM($G$4:$G$43)</f>
        <v>0.236731936913624</v>
      </c>
      <c r="K6" s="13" t="n">
        <f aca="false">MAX(0,(Assumptions!$B$7*D6-G6)/(1-Assumptions!$B$7))/D6</f>
        <v>0</v>
      </c>
    </row>
    <row r="7" customFormat="false" ht="15" hidden="false" customHeight="false" outlineLevel="0" collapsed="false">
      <c r="A7" s="2" t="s">
        <v>98</v>
      </c>
      <c r="B7" s="2" t="str">
        <f aca="false">INDEX(Customers!$B$2:$B$41,MATCH(A7,Customers!$A$2:$A$41,0))</f>
        <v>Refining</v>
      </c>
      <c r="C7" s="2" t="str">
        <f aca="false">INDEX(Customers!$C$2:$C$41,MATCH(A7,Customers!$A$2:$A$41,0))</f>
        <v>Strategic</v>
      </c>
      <c r="D7" s="16" t="n">
        <f aca="false">SUMIFS(Transactions!$N$2:$N$2881,Transactions!$C$2:$C$2881,$A7,Transactions!$A$2:$A$2881,"2026")</f>
        <v>12678964.3729185</v>
      </c>
      <c r="E7" s="16" t="n">
        <f aca="false">SUMIFS(Transactions!$P$2:$P$2881,Transactions!$C$2:$C$2881,$A7,Transactions!$A$2:$A$2881,"2026")</f>
        <v>3092264.09291847</v>
      </c>
      <c r="F7" s="16" t="n">
        <f aca="false">INDEX(Customers!$J$2:$J$41,MATCH(A7,Customers!$A$2:$A$41,0))</f>
        <v>835000</v>
      </c>
      <c r="G7" s="16" t="n">
        <f aca="false">E7-F7</f>
        <v>2257264.09291847</v>
      </c>
      <c r="H7" s="13" t="n">
        <f aca="false">IFERROR(G7/D7,0)</f>
        <v>0.178032213556799</v>
      </c>
      <c r="I7" s="2" t="n">
        <f aca="false">RANK(G7,$G$4:$G$43)</f>
        <v>4</v>
      </c>
      <c r="J7" s="13" t="n">
        <f aca="false">SUM($G$4:G7)/SUM($G$4:$G$43)</f>
        <v>0.305512033828143</v>
      </c>
      <c r="K7" s="13" t="n">
        <f aca="false">MAX(0,(Assumptions!$B$7*D7-G7)/(1-Assumptions!$B$7))/D7</f>
        <v>0.0959570485909343</v>
      </c>
    </row>
    <row r="8" customFormat="false" ht="15" hidden="false" customHeight="false" outlineLevel="0" collapsed="false">
      <c r="A8" s="2" t="s">
        <v>82</v>
      </c>
      <c r="B8" s="2" t="str">
        <f aca="false">INDEX(Customers!$B$2:$B$41,MATCH(A8,Customers!$A$2:$A$41,0))</f>
        <v>Specialty Chemicals</v>
      </c>
      <c r="C8" s="2" t="str">
        <f aca="false">INDEX(Customers!$C$2:$C$41,MATCH(A8,Customers!$A$2:$A$41,0))</f>
        <v>Core</v>
      </c>
      <c r="D8" s="16" t="n">
        <f aca="false">SUMIFS(Transactions!$N$2:$N$2881,Transactions!$C$2:$C$2881,$A8,Transactions!$A$2:$A$2881,"2026")</f>
        <v>6543390.47208726</v>
      </c>
      <c r="E8" s="16" t="n">
        <f aca="false">SUMIFS(Transactions!$P$2:$P$2881,Transactions!$C$2:$C$2881,$A8,Transactions!$A$2:$A$2881,"2026")</f>
        <v>2825228.49208726</v>
      </c>
      <c r="F8" s="16" t="n">
        <f aca="false">INDEX(Customers!$J$2:$J$41,MATCH(A8,Customers!$A$2:$A$41,0))</f>
        <v>641000</v>
      </c>
      <c r="G8" s="16" t="n">
        <f aca="false">E8-F8</f>
        <v>2184228.49208726</v>
      </c>
      <c r="H8" s="13" t="n">
        <f aca="false">IFERROR(G8/D8,0)</f>
        <v>0.333806839344943</v>
      </c>
      <c r="I8" s="2" t="n">
        <f aca="false">RANK(G8,$G$4:$G$43)</f>
        <v>5</v>
      </c>
      <c r="J8" s="13" t="n">
        <f aca="false">SUM($G$4:G8)/SUM($G$4:$G$43)</f>
        <v>0.372066695216911</v>
      </c>
      <c r="K8" s="13" t="n">
        <f aca="false">MAX(0,(Assumptions!$B$7*D8-G8)/(1-Assumptions!$B$7))/D8</f>
        <v>0</v>
      </c>
    </row>
    <row r="9" customFormat="false" ht="15" hidden="false" customHeight="false" outlineLevel="0" collapsed="false">
      <c r="A9" s="2" t="s">
        <v>78</v>
      </c>
      <c r="B9" s="2" t="str">
        <f aca="false">INDEX(Customers!$B$2:$B$41,MATCH(A9,Customers!$A$2:$A$41,0))</f>
        <v>Specialty Chemicals</v>
      </c>
      <c r="C9" s="2" t="str">
        <f aca="false">INDEX(Customers!$C$2:$C$41,MATCH(A9,Customers!$A$2:$A$41,0))</f>
        <v>Strategic</v>
      </c>
      <c r="D9" s="16" t="n">
        <f aca="false">SUMIFS(Transactions!$N$2:$N$2881,Transactions!$C$2:$C$2881,$A9,Transactions!$A$2:$A$2881,"2026")</f>
        <v>7473582.65087573</v>
      </c>
      <c r="E9" s="16" t="n">
        <f aca="false">SUMIFS(Transactions!$P$2:$P$2881,Transactions!$C$2:$C$2881,$A9,Transactions!$A$2:$A$2881,"2026")</f>
        <v>2992761.29087573</v>
      </c>
      <c r="F9" s="16" t="n">
        <f aca="false">INDEX(Customers!$J$2:$J$41,MATCH(A9,Customers!$A$2:$A$41,0))</f>
        <v>923000</v>
      </c>
      <c r="G9" s="16" t="n">
        <f aca="false">E9-F9</f>
        <v>2069761.29087573</v>
      </c>
      <c r="H9" s="13" t="n">
        <f aca="false">IFERROR(G9/D9,0)</f>
        <v>0.27694365441094</v>
      </c>
      <c r="I9" s="2" t="n">
        <f aca="false">RANK(G9,$G$4:$G$43)</f>
        <v>6</v>
      </c>
      <c r="J9" s="13" t="n">
        <f aca="false">SUM($G$4:G9)/SUM($G$4:$G$43)</f>
        <v>0.43513347708925</v>
      </c>
      <c r="K9" s="13" t="n">
        <f aca="false">MAX(0,(Assumptions!$B$7*D9-G9)/(1-Assumptions!$B$7))/D9</f>
        <v>0</v>
      </c>
    </row>
    <row r="10" customFormat="false" ht="15" hidden="false" customHeight="false" outlineLevel="0" collapsed="false">
      <c r="A10" s="2" t="s">
        <v>94</v>
      </c>
      <c r="B10" s="2" t="str">
        <f aca="false">INDEX(Customers!$B$2:$B$41,MATCH(A10,Customers!$A$2:$A$41,0))</f>
        <v>Specialty Chemicals</v>
      </c>
      <c r="C10" s="2" t="str">
        <f aca="false">INDEX(Customers!$C$2:$C$41,MATCH(A10,Customers!$A$2:$A$41,0))</f>
        <v>Strategic</v>
      </c>
      <c r="D10" s="16" t="n">
        <f aca="false">SUMIFS(Transactions!$N$2:$N$2881,Transactions!$C$2:$C$2881,$A10,Transactions!$A$2:$A$2881,"2026")</f>
        <v>7098130.91897874</v>
      </c>
      <c r="E10" s="16" t="n">
        <f aca="false">SUMIFS(Transactions!$P$2:$P$2881,Transactions!$C$2:$C$2881,$A10,Transactions!$A$2:$A$2881,"2026")</f>
        <v>2654788.16897874</v>
      </c>
      <c r="F10" s="16" t="n">
        <f aca="false">INDEX(Customers!$J$2:$J$41,MATCH(A10,Customers!$A$2:$A$41,0))</f>
        <v>781000</v>
      </c>
      <c r="G10" s="16" t="n">
        <f aca="false">E10-F10</f>
        <v>1873788.16897874</v>
      </c>
      <c r="H10" s="13" t="n">
        <f aca="false">IFERROR(G10/D10,0)</f>
        <v>0.263983320449707</v>
      </c>
      <c r="I10" s="2" t="n">
        <f aca="false">RANK(G10,$G$4:$G$43)</f>
        <v>7</v>
      </c>
      <c r="J10" s="13" t="n">
        <f aca="false">SUM($G$4:G10)/SUM($G$4:$G$43)</f>
        <v>0.492228848545323</v>
      </c>
      <c r="K10" s="13" t="n">
        <f aca="false">MAX(0,(Assumptions!$B$7*D10-G10)/(1-Assumptions!$B$7))/D10</f>
        <v>0</v>
      </c>
    </row>
    <row r="11" customFormat="false" ht="15" hidden="false" customHeight="false" outlineLevel="0" collapsed="false">
      <c r="A11" s="2" t="s">
        <v>86</v>
      </c>
      <c r="B11" s="2" t="str">
        <f aca="false">INDEX(Customers!$B$2:$B$41,MATCH(A11,Customers!$A$2:$A$41,0))</f>
        <v>Refining</v>
      </c>
      <c r="C11" s="2" t="str">
        <f aca="false">INDEX(Customers!$C$2:$C$41,MATCH(A11,Customers!$A$2:$A$41,0))</f>
        <v>Transactional</v>
      </c>
      <c r="D11" s="16" t="n">
        <f aca="false">SUMIFS(Transactions!$N$2:$N$2881,Transactions!$C$2:$C$2881,$A11,Transactions!$A$2:$A$2881,"2026")</f>
        <v>4539033.70837129</v>
      </c>
      <c r="E11" s="16" t="n">
        <f aca="false">SUMIFS(Transactions!$P$2:$P$2881,Transactions!$C$2:$C$2881,$A11,Transactions!$A$2:$A$2881,"2026")</f>
        <v>1710374.57837129</v>
      </c>
      <c r="F11" s="16" t="n">
        <f aca="false">INDEX(Customers!$J$2:$J$41,MATCH(A11,Customers!$A$2:$A$41,0))</f>
        <v>156000</v>
      </c>
      <c r="G11" s="16" t="n">
        <f aca="false">E11-F11</f>
        <v>1554374.57837129</v>
      </c>
      <c r="H11" s="13" t="n">
        <f aca="false">IFERROR(G11/D11,0)</f>
        <v>0.34244614123587</v>
      </c>
      <c r="I11" s="2" t="n">
        <f aca="false">RANK(G11,$G$4:$G$43)</f>
        <v>8</v>
      </c>
      <c r="J11" s="13" t="n">
        <f aca="false">SUM($G$4:G11)/SUM($G$4:$G$43)</f>
        <v>0.539591509599137</v>
      </c>
      <c r="K11" s="13" t="n">
        <f aca="false">MAX(0,(Assumptions!$B$7*D11-G11)/(1-Assumptions!$B$7))/D11</f>
        <v>0</v>
      </c>
    </row>
    <row r="12" customFormat="false" ht="15" hidden="false" customHeight="false" outlineLevel="0" collapsed="false">
      <c r="A12" s="2" t="s">
        <v>85</v>
      </c>
      <c r="B12" s="2" t="str">
        <f aca="false">INDEX(Customers!$B$2:$B$41,MATCH(A12,Customers!$A$2:$A$41,0))</f>
        <v>Refining</v>
      </c>
      <c r="C12" s="2" t="str">
        <f aca="false">INDEX(Customers!$C$2:$C$41,MATCH(A12,Customers!$A$2:$A$41,0))</f>
        <v>Transactional</v>
      </c>
      <c r="D12" s="16" t="n">
        <f aca="false">SUMIFS(Transactions!$N$2:$N$2881,Transactions!$C$2:$C$2881,$A12,Transactions!$A$2:$A$2881,"2026")</f>
        <v>3803581.9616377</v>
      </c>
      <c r="E12" s="16" t="n">
        <f aca="false">SUMIFS(Transactions!$P$2:$P$2881,Transactions!$C$2:$C$2881,$A12,Transactions!$A$2:$A$2881,"2026")</f>
        <v>1759839.4816377</v>
      </c>
      <c r="F12" s="16" t="n">
        <f aca="false">INDEX(Customers!$J$2:$J$41,MATCH(A12,Customers!$A$2:$A$41,0))</f>
        <v>358000</v>
      </c>
      <c r="G12" s="16" t="n">
        <f aca="false">E12-F12</f>
        <v>1401839.4816377</v>
      </c>
      <c r="H12" s="13" t="n">
        <f aca="false">IFERROR(G12/D12,0)</f>
        <v>0.368557716325406</v>
      </c>
      <c r="I12" s="2" t="n">
        <f aca="false">RANK(G12,$G$4:$G$43)</f>
        <v>9</v>
      </c>
      <c r="J12" s="13" t="n">
        <f aca="false">SUM($G$4:G12)/SUM($G$4:$G$43)</f>
        <v>0.58230634111049</v>
      </c>
      <c r="K12" s="13" t="n">
        <f aca="false">MAX(0,(Assumptions!$B$7*D12-G12)/(1-Assumptions!$B$7))/D12</f>
        <v>0</v>
      </c>
    </row>
    <row r="13" customFormat="false" ht="15" hidden="false" customHeight="false" outlineLevel="0" collapsed="false">
      <c r="A13" s="2" t="s">
        <v>80</v>
      </c>
      <c r="B13" s="2" t="str">
        <f aca="false">INDEX(Customers!$B$2:$B$41,MATCH(A13,Customers!$A$2:$A$41,0))</f>
        <v>Refining</v>
      </c>
      <c r="C13" s="2" t="str">
        <f aca="false">INDEX(Customers!$C$2:$C$41,MATCH(A13,Customers!$A$2:$A$41,0))</f>
        <v>Transactional</v>
      </c>
      <c r="D13" s="16" t="n">
        <f aca="false">SUMIFS(Transactions!$N$2:$N$2881,Transactions!$C$2:$C$2881,$A13,Transactions!$A$2:$A$2881,"2026")</f>
        <v>4029731.69570197</v>
      </c>
      <c r="E13" s="16" t="n">
        <f aca="false">SUMIFS(Transactions!$P$2:$P$2881,Transactions!$C$2:$C$2881,$A13,Transactions!$A$2:$A$2881,"2026")</f>
        <v>1622595.94570197</v>
      </c>
      <c r="F13" s="16" t="n">
        <f aca="false">INDEX(Customers!$J$2:$J$41,MATCH(A13,Customers!$A$2:$A$41,0))</f>
        <v>355000</v>
      </c>
      <c r="G13" s="16" t="n">
        <f aca="false">E13-F13</f>
        <v>1267595.94570197</v>
      </c>
      <c r="H13" s="13" t="n">
        <f aca="false">IFERROR(G13/D13,0)</f>
        <v>0.314560879339427</v>
      </c>
      <c r="I13" s="2" t="n">
        <f aca="false">RANK(G13,$G$4:$G$43)</f>
        <v>10</v>
      </c>
      <c r="J13" s="13" t="n">
        <f aca="false">SUM($G$4:G13)/SUM($G$4:$G$43)</f>
        <v>0.62093069714723</v>
      </c>
      <c r="K13" s="13" t="n">
        <f aca="false">MAX(0,(Assumptions!$B$7*D13-G13)/(1-Assumptions!$B$7))/D13</f>
        <v>0</v>
      </c>
    </row>
    <row r="14" customFormat="false" ht="15" hidden="false" customHeight="false" outlineLevel="0" collapsed="false">
      <c r="A14" s="2" t="s">
        <v>89</v>
      </c>
      <c r="B14" s="2" t="str">
        <f aca="false">INDEX(Customers!$B$2:$B$41,MATCH(A14,Customers!$A$2:$A$41,0))</f>
        <v>Refining</v>
      </c>
      <c r="C14" s="2" t="str">
        <f aca="false">INDEX(Customers!$C$2:$C$41,MATCH(A14,Customers!$A$2:$A$41,0))</f>
        <v>Core</v>
      </c>
      <c r="D14" s="16" t="n">
        <f aca="false">SUMIFS(Transactions!$N$2:$N$2881,Transactions!$C$2:$C$2881,$A14,Transactions!$A$2:$A$2881,"2026")</f>
        <v>4371153.64453249</v>
      </c>
      <c r="E14" s="16" t="n">
        <f aca="false">SUMIFS(Transactions!$P$2:$P$2881,Transactions!$C$2:$C$2881,$A14,Transactions!$A$2:$A$2881,"2026")</f>
        <v>1772249.40453249</v>
      </c>
      <c r="F14" s="16" t="n">
        <f aca="false">INDEX(Customers!$J$2:$J$41,MATCH(A14,Customers!$A$2:$A$41,0))</f>
        <v>611000</v>
      </c>
      <c r="G14" s="16" t="n">
        <f aca="false">E14-F14</f>
        <v>1161249.40453249</v>
      </c>
      <c r="H14" s="13" t="n">
        <f aca="false">IFERROR(G14/D14,0)</f>
        <v>0.26566199657269</v>
      </c>
      <c r="I14" s="2" t="n">
        <f aca="false">RANK(G14,$G$4:$G$43)</f>
        <v>11</v>
      </c>
      <c r="J14" s="13" t="n">
        <f aca="false">SUM($G$4:G14)/SUM($G$4:$G$43)</f>
        <v>0.656314614711969</v>
      </c>
      <c r="K14" s="13" t="n">
        <f aca="false">MAX(0,(Assumptions!$B$7*D14-G14)/(1-Assumptions!$B$7))/D14</f>
        <v>0</v>
      </c>
    </row>
    <row r="15" customFormat="false" ht="15" hidden="false" customHeight="false" outlineLevel="0" collapsed="false">
      <c r="A15" s="2" t="s">
        <v>73</v>
      </c>
      <c r="B15" s="2" t="str">
        <f aca="false">INDEX(Customers!$B$2:$B$41,MATCH(A15,Customers!$A$2:$A$41,0))</f>
        <v>Refining</v>
      </c>
      <c r="C15" s="2" t="str">
        <f aca="false">INDEX(Customers!$C$2:$C$41,MATCH(A15,Customers!$A$2:$A$41,0))</f>
        <v>Transactional</v>
      </c>
      <c r="D15" s="16" t="n">
        <f aca="false">SUMIFS(Transactions!$N$2:$N$2881,Transactions!$C$2:$C$2881,$A15,Transactions!$A$2:$A$2881,"2026")</f>
        <v>3355010.23980016</v>
      </c>
      <c r="E15" s="16" t="n">
        <f aca="false">SUMIFS(Transactions!$P$2:$P$2881,Transactions!$C$2:$C$2881,$A15,Transactions!$A$2:$A$2881,"2026")</f>
        <v>1374666.31980016</v>
      </c>
      <c r="F15" s="16" t="n">
        <f aca="false">INDEX(Customers!$J$2:$J$41,MATCH(A15,Customers!$A$2:$A$41,0))</f>
        <v>237000</v>
      </c>
      <c r="G15" s="16" t="n">
        <f aca="false">E15-F15</f>
        <v>1137666.31980016</v>
      </c>
      <c r="H15" s="13" t="n">
        <f aca="false">IFERROR(G15/D15,0)</f>
        <v>0.339094738461343</v>
      </c>
      <c r="I15" s="2" t="n">
        <f aca="false">RANK(G15,$G$4:$G$43)</f>
        <v>12</v>
      </c>
      <c r="J15" s="13" t="n">
        <f aca="false">SUM($G$4:G15)/SUM($G$4:$G$43)</f>
        <v>0.690979942520852</v>
      </c>
      <c r="K15" s="13" t="n">
        <f aca="false">MAX(0,(Assumptions!$B$7*D15-G15)/(1-Assumptions!$B$7))/D15</f>
        <v>0</v>
      </c>
    </row>
    <row r="16" customFormat="false" ht="15" hidden="false" customHeight="false" outlineLevel="0" collapsed="false">
      <c r="A16" s="2" t="s">
        <v>76</v>
      </c>
      <c r="B16" s="2" t="str">
        <f aca="false">INDEX(Customers!$B$2:$B$41,MATCH(A16,Customers!$A$2:$A$41,0))</f>
        <v>Refining</v>
      </c>
      <c r="C16" s="2" t="str">
        <f aca="false">INDEX(Customers!$C$2:$C$41,MATCH(A16,Customers!$A$2:$A$41,0))</f>
        <v>Core</v>
      </c>
      <c r="D16" s="16" t="n">
        <f aca="false">SUMIFS(Transactions!$N$2:$N$2881,Transactions!$C$2:$C$2881,$A16,Transactions!$A$2:$A$2881,"2026")</f>
        <v>3820864.07500603</v>
      </c>
      <c r="E16" s="16" t="n">
        <f aca="false">SUMIFS(Transactions!$P$2:$P$2881,Transactions!$C$2:$C$2881,$A16,Transactions!$A$2:$A$2881,"2026")</f>
        <v>1368760.58500603</v>
      </c>
      <c r="F16" s="16" t="n">
        <f aca="false">INDEX(Customers!$J$2:$J$41,MATCH(A16,Customers!$A$2:$A$41,0))</f>
        <v>386000</v>
      </c>
      <c r="G16" s="16" t="n">
        <f aca="false">E16-F16</f>
        <v>982760.585006028</v>
      </c>
      <c r="H16" s="13" t="n">
        <f aca="false">IFERROR(G16/D16,0)</f>
        <v>0.257208988782067</v>
      </c>
      <c r="I16" s="2" t="n">
        <f aca="false">RANK(G16,$G$4:$G$43)</f>
        <v>13</v>
      </c>
      <c r="J16" s="13" t="n">
        <f aca="false">SUM($G$4:G16)/SUM($G$4:$G$43)</f>
        <v>0.720925206122281</v>
      </c>
      <c r="K16" s="13" t="n">
        <f aca="false">MAX(0,(Assumptions!$B$7*D16-G16)/(1-Assumptions!$B$7))/D16</f>
        <v>0</v>
      </c>
    </row>
    <row r="17" customFormat="false" ht="15" hidden="false" customHeight="false" outlineLevel="0" collapsed="false">
      <c r="A17" s="2" t="s">
        <v>74</v>
      </c>
      <c r="B17" s="2" t="str">
        <f aca="false">INDEX(Customers!$B$2:$B$41,MATCH(A17,Customers!$A$2:$A$41,0))</f>
        <v>Refining</v>
      </c>
      <c r="C17" s="2" t="str">
        <f aca="false">INDEX(Customers!$C$2:$C$41,MATCH(A17,Customers!$A$2:$A$41,0))</f>
        <v>Transactional</v>
      </c>
      <c r="D17" s="16" t="n">
        <f aca="false">SUMIFS(Transactions!$N$2:$N$2881,Transactions!$C$2:$C$2881,$A17,Transactions!$A$2:$A$2881,"2026")</f>
        <v>3692887.95470745</v>
      </c>
      <c r="E17" s="16" t="n">
        <f aca="false">SUMIFS(Transactions!$P$2:$P$2881,Transactions!$C$2:$C$2881,$A17,Transactions!$A$2:$A$2881,"2026")</f>
        <v>1192291.03470745</v>
      </c>
      <c r="F17" s="16" t="n">
        <f aca="false">INDEX(Customers!$J$2:$J$41,MATCH(A17,Customers!$A$2:$A$41,0))</f>
        <v>300000</v>
      </c>
      <c r="G17" s="16" t="n">
        <f aca="false">E17-F17</f>
        <v>892291.034707452</v>
      </c>
      <c r="H17" s="13" t="n">
        <f aca="false">IFERROR(G17/D17,0)</f>
        <v>0.24162418292979</v>
      </c>
      <c r="I17" s="2" t="n">
        <f aca="false">RANK(G17,$G$4:$G$43)</f>
        <v>14</v>
      </c>
      <c r="J17" s="13" t="n">
        <f aca="false">SUM($G$4:G17)/SUM($G$4:$G$43)</f>
        <v>0.74811381202607</v>
      </c>
      <c r="K17" s="13" t="n">
        <f aca="false">MAX(0,(Assumptions!$B$7*D17-G17)/(1-Assumptions!$B$7))/D17</f>
        <v>0.0111677560936132</v>
      </c>
    </row>
    <row r="18" customFormat="false" ht="15" hidden="false" customHeight="false" outlineLevel="0" collapsed="false">
      <c r="A18" s="2" t="s">
        <v>90</v>
      </c>
      <c r="B18" s="2" t="str">
        <f aca="false">INDEX(Customers!$B$2:$B$41,MATCH(A18,Customers!$A$2:$A$41,0))</f>
        <v>Refining</v>
      </c>
      <c r="C18" s="2" t="str">
        <f aca="false">INDEX(Customers!$C$2:$C$41,MATCH(A18,Customers!$A$2:$A$41,0))</f>
        <v>Core</v>
      </c>
      <c r="D18" s="16" t="n">
        <f aca="false">SUMIFS(Transactions!$N$2:$N$2881,Transactions!$C$2:$C$2881,$A18,Transactions!$A$2:$A$2881,"2026")</f>
        <v>2721468.55442926</v>
      </c>
      <c r="E18" s="16" t="n">
        <f aca="false">SUMIFS(Transactions!$P$2:$P$2881,Transactions!$C$2:$C$2881,$A18,Transactions!$A$2:$A$2881,"2026")</f>
        <v>1213194.23442926</v>
      </c>
      <c r="F18" s="16" t="n">
        <f aca="false">INDEX(Customers!$J$2:$J$41,MATCH(A18,Customers!$A$2:$A$41,0))</f>
        <v>347000</v>
      </c>
      <c r="G18" s="16" t="n">
        <f aca="false">E18-F18</f>
        <v>866194.23442926</v>
      </c>
      <c r="H18" s="13" t="n">
        <f aca="false">IFERROR(G18/D18,0)</f>
        <v>0.318281919157033</v>
      </c>
      <c r="I18" s="2" t="n">
        <f aca="false">RANK(G18,$G$4:$G$43)</f>
        <v>15</v>
      </c>
      <c r="J18" s="13" t="n">
        <f aca="false">SUM($G$4:G18)/SUM($G$4:$G$43)</f>
        <v>0.774507233858166</v>
      </c>
      <c r="K18" s="13" t="n">
        <f aca="false">MAX(0,(Assumptions!$B$7*D18-G18)/(1-Assumptions!$B$7))/D18</f>
        <v>0</v>
      </c>
    </row>
    <row r="19" customFormat="false" ht="15" hidden="false" customHeight="false" outlineLevel="0" collapsed="false">
      <c r="A19" s="2" t="s">
        <v>81</v>
      </c>
      <c r="B19" s="2" t="str">
        <f aca="false">INDEX(Customers!$B$2:$B$41,MATCH(A19,Customers!$A$2:$A$41,0))</f>
        <v>Petrochemical</v>
      </c>
      <c r="C19" s="2" t="str">
        <f aca="false">INDEX(Customers!$C$2:$C$41,MATCH(A19,Customers!$A$2:$A$41,0))</f>
        <v>Core</v>
      </c>
      <c r="D19" s="16" t="n">
        <f aca="false">SUMIFS(Transactions!$N$2:$N$2881,Transactions!$C$2:$C$2881,$A19,Transactions!$A$2:$A$2881,"2026")</f>
        <v>3784371.36059225</v>
      </c>
      <c r="E19" s="16" t="n">
        <f aca="false">SUMIFS(Transactions!$P$2:$P$2881,Transactions!$C$2:$C$2881,$A19,Transactions!$A$2:$A$2881,"2026")</f>
        <v>1162416.75059225</v>
      </c>
      <c r="F19" s="16" t="n">
        <f aca="false">INDEX(Customers!$J$2:$J$41,MATCH(A19,Customers!$A$2:$A$41,0))</f>
        <v>312000</v>
      </c>
      <c r="G19" s="16" t="n">
        <f aca="false">E19-F19</f>
        <v>850416.750592253</v>
      </c>
      <c r="H19" s="13" t="n">
        <f aca="false">IFERROR(G19/D19,0)</f>
        <v>0.224718102310964</v>
      </c>
      <c r="I19" s="2" t="n">
        <f aca="false">RANK(G19,$G$4:$G$43)</f>
        <v>16</v>
      </c>
      <c r="J19" s="13" t="n">
        <f aca="false">SUM($G$4:G19)/SUM($G$4:$G$43)</f>
        <v>0.800419906950768</v>
      </c>
      <c r="K19" s="13" t="n">
        <f aca="false">MAX(0,(Assumptions!$B$7*D19-G19)/(1-Assumptions!$B$7))/D19</f>
        <v>0.0337091969187142</v>
      </c>
    </row>
    <row r="20" customFormat="false" ht="15" hidden="false" customHeight="false" outlineLevel="0" collapsed="false">
      <c r="A20" s="2" t="s">
        <v>75</v>
      </c>
      <c r="B20" s="2" t="str">
        <f aca="false">INDEX(Customers!$B$2:$B$41,MATCH(A20,Customers!$A$2:$A$41,0))</f>
        <v>Specialty Chemicals</v>
      </c>
      <c r="C20" s="2" t="str">
        <f aca="false">INDEX(Customers!$C$2:$C$41,MATCH(A20,Customers!$A$2:$A$41,0))</f>
        <v>Transactional</v>
      </c>
      <c r="D20" s="16" t="n">
        <f aca="false">SUMIFS(Transactions!$N$2:$N$2881,Transactions!$C$2:$C$2881,$A20,Transactions!$A$2:$A$2881,"2026")</f>
        <v>2760408.52848262</v>
      </c>
      <c r="E20" s="16" t="n">
        <f aca="false">SUMIFS(Transactions!$P$2:$P$2881,Transactions!$C$2:$C$2881,$A20,Transactions!$A$2:$A$2881,"2026")</f>
        <v>1159879.16848262</v>
      </c>
      <c r="F20" s="16" t="n">
        <f aca="false">INDEX(Customers!$J$2:$J$41,MATCH(A20,Customers!$A$2:$A$41,0))</f>
        <v>329000</v>
      </c>
      <c r="G20" s="16" t="n">
        <f aca="false">E20-F20</f>
        <v>830879.168482616</v>
      </c>
      <c r="H20" s="13" t="n">
        <f aca="false">IFERROR(G20/D20,0)</f>
        <v>0.300998623902726</v>
      </c>
      <c r="I20" s="2" t="n">
        <f aca="false">RANK(G20,$G$4:$G$43)</f>
        <v>17</v>
      </c>
      <c r="J20" s="13" t="n">
        <f aca="false">SUM($G$4:G20)/SUM($G$4:$G$43)</f>
        <v>0.825737259010625</v>
      </c>
      <c r="K20" s="13" t="n">
        <f aca="false">MAX(0,(Assumptions!$B$7*D20-G20)/(1-Assumptions!$B$7))/D20</f>
        <v>0</v>
      </c>
    </row>
    <row r="21" customFormat="false" ht="15" hidden="false" customHeight="false" outlineLevel="0" collapsed="false">
      <c r="A21" s="2" t="s">
        <v>100</v>
      </c>
      <c r="B21" s="2" t="str">
        <f aca="false">INDEX(Customers!$B$2:$B$41,MATCH(A21,Customers!$A$2:$A$41,0))</f>
        <v>Refining</v>
      </c>
      <c r="C21" s="2" t="str">
        <f aca="false">INDEX(Customers!$C$2:$C$41,MATCH(A21,Customers!$A$2:$A$41,0))</f>
        <v>Transactional</v>
      </c>
      <c r="D21" s="16" t="n">
        <f aca="false">SUMIFS(Transactions!$N$2:$N$2881,Transactions!$C$2:$C$2881,$A21,Transactions!$A$2:$A$2881,"2026")</f>
        <v>2829905.9135389</v>
      </c>
      <c r="E21" s="16" t="n">
        <f aca="false">SUMIFS(Transactions!$P$2:$P$2881,Transactions!$C$2:$C$2881,$A21,Transactions!$A$2:$A$2881,"2026")</f>
        <v>1099534.7535389</v>
      </c>
      <c r="F21" s="16" t="n">
        <f aca="false">INDEX(Customers!$J$2:$J$41,MATCH(A21,Customers!$A$2:$A$41,0))</f>
        <v>342000</v>
      </c>
      <c r="G21" s="16" t="n">
        <f aca="false">E21-F21</f>
        <v>757534.753538904</v>
      </c>
      <c r="H21" s="13" t="n">
        <f aca="false">IFERROR(G21/D21,0)</f>
        <v>0.267689024541307</v>
      </c>
      <c r="I21" s="2" t="n">
        <f aca="false">RANK(G21,$G$4:$G$43)</f>
        <v>18</v>
      </c>
      <c r="J21" s="13" t="n">
        <f aca="false">SUM($G$4:G21)/SUM($G$4:$G$43)</f>
        <v>0.848819765806343</v>
      </c>
      <c r="K21" s="13" t="n">
        <f aca="false">MAX(0,(Assumptions!$B$7*D21-G21)/(1-Assumptions!$B$7))/D21</f>
        <v>0</v>
      </c>
    </row>
    <row r="22" customFormat="false" ht="15" hidden="false" customHeight="false" outlineLevel="0" collapsed="false">
      <c r="A22" s="2" t="s">
        <v>62</v>
      </c>
      <c r="B22" s="2" t="str">
        <f aca="false">INDEX(Customers!$B$2:$B$41,MATCH(A22,Customers!$A$2:$A$41,0))</f>
        <v>Petrochemical</v>
      </c>
      <c r="C22" s="2" t="str">
        <f aca="false">INDEX(Customers!$C$2:$C$41,MATCH(A22,Customers!$A$2:$A$41,0))</f>
        <v>Transactional</v>
      </c>
      <c r="D22" s="16" t="n">
        <f aca="false">SUMIFS(Transactions!$N$2:$N$2881,Transactions!$C$2:$C$2881,$A22,Transactions!$A$2:$A$2881,"2026")</f>
        <v>2958380.78268483</v>
      </c>
      <c r="E22" s="16" t="n">
        <f aca="false">SUMIFS(Transactions!$P$2:$P$2881,Transactions!$C$2:$C$2881,$A22,Transactions!$A$2:$A$2881,"2026")</f>
        <v>1025448.79268483</v>
      </c>
      <c r="F22" s="16" t="n">
        <f aca="false">INDEX(Customers!$J$2:$J$41,MATCH(A22,Customers!$A$2:$A$41,0))</f>
        <v>338000</v>
      </c>
      <c r="G22" s="16" t="n">
        <f aca="false">E22-F22</f>
        <v>687448.792684829</v>
      </c>
      <c r="H22" s="13" t="n">
        <f aca="false">IFERROR(G22/D22,0)</f>
        <v>0.232373329595843</v>
      </c>
      <c r="I22" s="2" t="n">
        <f aca="false">RANK(G22,$G$4:$G$43)</f>
        <v>19</v>
      </c>
      <c r="J22" s="13" t="n">
        <f aca="false">SUM($G$4:G22)/SUM($G$4:$G$43)</f>
        <v>0.869766714252902</v>
      </c>
      <c r="K22" s="13" t="n">
        <f aca="false">MAX(0,(Assumptions!$B$7*D22-G22)/(1-Assumptions!$B$7))/D22</f>
        <v>0.0235022272055431</v>
      </c>
    </row>
    <row r="23" customFormat="false" ht="15" hidden="false" customHeight="false" outlineLevel="0" collapsed="false">
      <c r="A23" s="2" t="s">
        <v>68</v>
      </c>
      <c r="B23" s="2" t="str">
        <f aca="false">INDEX(Customers!$B$2:$B$41,MATCH(A23,Customers!$A$2:$A$41,0))</f>
        <v>Petrochemical</v>
      </c>
      <c r="C23" s="2" t="str">
        <f aca="false">INDEX(Customers!$C$2:$C$41,MATCH(A23,Customers!$A$2:$A$41,0))</f>
        <v>Core</v>
      </c>
      <c r="D23" s="16" t="n">
        <f aca="false">SUMIFS(Transactions!$N$2:$N$2881,Transactions!$C$2:$C$2881,$A23,Transactions!$A$2:$A$2881,"2026")</f>
        <v>3705586.06860164</v>
      </c>
      <c r="E23" s="16" t="n">
        <f aca="false">SUMIFS(Transactions!$P$2:$P$2881,Transactions!$C$2:$C$2881,$A23,Transactions!$A$2:$A$2881,"2026")</f>
        <v>991722.498601644</v>
      </c>
      <c r="F23" s="16" t="n">
        <f aca="false">INDEX(Customers!$J$2:$J$41,MATCH(A23,Customers!$A$2:$A$41,0))</f>
        <v>323000</v>
      </c>
      <c r="G23" s="16" t="n">
        <f aca="false">E23-F23</f>
        <v>668722.498601644</v>
      </c>
      <c r="H23" s="13" t="n">
        <f aca="false">IFERROR(G23/D23,0)</f>
        <v>0.180463356192937</v>
      </c>
      <c r="I23" s="2" t="n">
        <f aca="false">RANK(G23,$G$4:$G$43)</f>
        <v>20</v>
      </c>
      <c r="J23" s="13" t="n">
        <f aca="false">SUM($G$4:G23)/SUM($G$4:$G$43)</f>
        <v>0.890143062065741</v>
      </c>
      <c r="K23" s="13" t="n">
        <f aca="false">MAX(0,(Assumptions!$B$7*D23-G23)/(1-Assumptions!$B$7))/D23</f>
        <v>0.0927155250760839</v>
      </c>
    </row>
    <row r="24" customFormat="false" ht="15" hidden="false" customHeight="false" outlineLevel="0" collapsed="false">
      <c r="A24" s="2" t="s">
        <v>103</v>
      </c>
      <c r="B24" s="2" t="str">
        <f aca="false">INDEX(Customers!$B$2:$B$41,MATCH(A24,Customers!$A$2:$A$41,0))</f>
        <v>Specialty Chemicals</v>
      </c>
      <c r="C24" s="2" t="str">
        <f aca="false">INDEX(Customers!$C$2:$C$41,MATCH(A24,Customers!$A$2:$A$41,0))</f>
        <v>Transactional</v>
      </c>
      <c r="D24" s="16" t="n">
        <f aca="false">SUMIFS(Transactions!$N$2:$N$2881,Transactions!$C$2:$C$2881,$A24,Transactions!$A$2:$A$2881,"2026")</f>
        <v>2248316.15547723</v>
      </c>
      <c r="E24" s="16" t="n">
        <f aca="false">SUMIFS(Transactions!$P$2:$P$2881,Transactions!$C$2:$C$2881,$A24,Transactions!$A$2:$A$2881,"2026")</f>
        <v>934242.155477233</v>
      </c>
      <c r="F24" s="16" t="n">
        <f aca="false">INDEX(Customers!$J$2:$J$41,MATCH(A24,Customers!$A$2:$A$41,0))</f>
        <v>328000</v>
      </c>
      <c r="G24" s="16" t="n">
        <f aca="false">E24-F24</f>
        <v>606242.155477233</v>
      </c>
      <c r="H24" s="13" t="n">
        <f aca="false">IFERROR(G24/D24,0)</f>
        <v>0.269642751977001</v>
      </c>
      <c r="I24" s="2" t="n">
        <f aca="false">RANK(G24,$G$4:$G$43)</f>
        <v>21</v>
      </c>
      <c r="J24" s="13" t="n">
        <f aca="false">SUM($G$4:G24)/SUM($G$4:$G$43)</f>
        <v>0.908615598947094</v>
      </c>
      <c r="K24" s="13" t="n">
        <f aca="false">MAX(0,(Assumptions!$B$7*D24-G24)/(1-Assumptions!$B$7))/D24</f>
        <v>0</v>
      </c>
    </row>
    <row r="25" customFormat="false" ht="15" hidden="false" customHeight="false" outlineLevel="0" collapsed="false">
      <c r="A25" s="2" t="s">
        <v>101</v>
      </c>
      <c r="B25" s="2" t="str">
        <f aca="false">INDEX(Customers!$B$2:$B$41,MATCH(A25,Customers!$A$2:$A$41,0))</f>
        <v>Refining</v>
      </c>
      <c r="C25" s="2" t="str">
        <f aca="false">INDEX(Customers!$C$2:$C$41,MATCH(A25,Customers!$A$2:$A$41,0))</f>
        <v>Transactional</v>
      </c>
      <c r="D25" s="16" t="n">
        <f aca="false">SUMIFS(Transactions!$N$2:$N$2881,Transactions!$C$2:$C$2881,$A25,Transactions!$A$2:$A$2881,"2026")</f>
        <v>2517230.65230413</v>
      </c>
      <c r="E25" s="16" t="n">
        <f aca="false">SUMIFS(Transactions!$P$2:$P$2881,Transactions!$C$2:$C$2881,$A25,Transactions!$A$2:$A$2881,"2026")</f>
        <v>872147.61230413</v>
      </c>
      <c r="F25" s="16" t="n">
        <f aca="false">INDEX(Customers!$J$2:$J$41,MATCH(A25,Customers!$A$2:$A$41,0))</f>
        <v>325000</v>
      </c>
      <c r="G25" s="16" t="n">
        <f aca="false">E25-F25</f>
        <v>547147.61230413</v>
      </c>
      <c r="H25" s="13" t="n">
        <f aca="false">IFERROR(G25/D25,0)</f>
        <v>0.217360936632208</v>
      </c>
      <c r="I25" s="2" t="n">
        <f aca="false">RANK(G25,$G$4:$G$43)</f>
        <v>22</v>
      </c>
      <c r="J25" s="13" t="n">
        <f aca="false">SUM($G$4:G25)/SUM($G$4:$G$43)</f>
        <v>0.925287492111429</v>
      </c>
      <c r="K25" s="13" t="n">
        <f aca="false">MAX(0,(Assumptions!$B$7*D25-G25)/(1-Assumptions!$B$7))/D25</f>
        <v>0.0435187511570557</v>
      </c>
    </row>
    <row r="26" customFormat="false" ht="15" hidden="false" customHeight="false" outlineLevel="0" collapsed="false">
      <c r="A26" s="2" t="s">
        <v>102</v>
      </c>
      <c r="B26" s="2" t="str">
        <f aca="false">INDEX(Customers!$B$2:$B$41,MATCH(A26,Customers!$A$2:$A$41,0))</f>
        <v>Petrochemical</v>
      </c>
      <c r="C26" s="2" t="str">
        <f aca="false">INDEX(Customers!$C$2:$C$41,MATCH(A26,Customers!$A$2:$A$41,0))</f>
        <v>Core</v>
      </c>
      <c r="D26" s="16" t="n">
        <f aca="false">SUMIFS(Transactions!$N$2:$N$2881,Transactions!$C$2:$C$2881,$A26,Transactions!$A$2:$A$2881,"2026")</f>
        <v>3674981.0455634</v>
      </c>
      <c r="E26" s="16" t="n">
        <f aca="false">SUMIFS(Transactions!$P$2:$P$2881,Transactions!$C$2:$C$2881,$A26,Transactions!$A$2:$A$2881,"2026")</f>
        <v>1088422.3855634</v>
      </c>
      <c r="F26" s="16" t="n">
        <f aca="false">INDEX(Customers!$J$2:$J$41,MATCH(A26,Customers!$A$2:$A$41,0))</f>
        <v>591000</v>
      </c>
      <c r="G26" s="16" t="n">
        <f aca="false">E26-F26</f>
        <v>497422.385563397</v>
      </c>
      <c r="H26" s="13" t="n">
        <f aca="false">IFERROR(G26/D26,0)</f>
        <v>0.135353728195118</v>
      </c>
      <c r="I26" s="2" t="n">
        <f aca="false">RANK(G26,$G$4:$G$43)</f>
        <v>23</v>
      </c>
      <c r="J26" s="13" t="n">
        <f aca="false">SUM($G$4:G26)/SUM($G$4:$G$43)</f>
        <v>0.940444229860386</v>
      </c>
      <c r="K26" s="13" t="n">
        <f aca="false">MAX(0,(Assumptions!$B$7*D26-G26)/(1-Assumptions!$B$7))/D26</f>
        <v>0.152861695739843</v>
      </c>
    </row>
    <row r="27" customFormat="false" ht="15" hidden="false" customHeight="false" outlineLevel="0" collapsed="false">
      <c r="A27" s="2" t="s">
        <v>71</v>
      </c>
      <c r="B27" s="2" t="str">
        <f aca="false">INDEX(Customers!$B$2:$B$41,MATCH(A27,Customers!$A$2:$A$41,0))</f>
        <v>Petrochemical</v>
      </c>
      <c r="C27" s="2" t="str">
        <f aca="false">INDEX(Customers!$C$2:$C$41,MATCH(A27,Customers!$A$2:$A$41,0))</f>
        <v>Transactional</v>
      </c>
      <c r="D27" s="16" t="n">
        <f aca="false">SUMIFS(Transactions!$N$2:$N$2881,Transactions!$C$2:$C$2881,$A27,Transactions!$A$2:$A$2881,"2026")</f>
        <v>2528896.90554444</v>
      </c>
      <c r="E27" s="16" t="n">
        <f aca="false">SUMIFS(Transactions!$P$2:$P$2881,Transactions!$C$2:$C$2881,$A27,Transactions!$A$2:$A$2881,"2026")</f>
        <v>900292.835544438</v>
      </c>
      <c r="F27" s="16" t="n">
        <f aca="false">INDEX(Customers!$J$2:$J$41,MATCH(A27,Customers!$A$2:$A$41,0))</f>
        <v>404000</v>
      </c>
      <c r="G27" s="16" t="n">
        <f aca="false">E27-F27</f>
        <v>496292.835544438</v>
      </c>
      <c r="H27" s="13" t="n">
        <f aca="false">IFERROR(G27/D27,0)</f>
        <v>0.196248741677191</v>
      </c>
      <c r="I27" s="2" t="n">
        <f aca="false">RANK(G27,$G$4:$G$43)</f>
        <v>24</v>
      </c>
      <c r="J27" s="13" t="n">
        <f aca="false">SUM($G$4:G27)/SUM($G$4:$G$43)</f>
        <v>0.95556654958975</v>
      </c>
      <c r="K27" s="13" t="n">
        <f aca="false">MAX(0,(Assumptions!$B$7*D27-G27)/(1-Assumptions!$B$7))/D27</f>
        <v>0.071668344430412</v>
      </c>
    </row>
    <row r="28" customFormat="false" ht="15" hidden="false" customHeight="false" outlineLevel="0" collapsed="false">
      <c r="A28" s="2" t="s">
        <v>65</v>
      </c>
      <c r="B28" s="2" t="str">
        <f aca="false">INDEX(Customers!$B$2:$B$41,MATCH(A28,Customers!$A$2:$A$41,0))</f>
        <v>Specialty Chemicals</v>
      </c>
      <c r="C28" s="2" t="str">
        <f aca="false">INDEX(Customers!$C$2:$C$41,MATCH(A28,Customers!$A$2:$A$41,0))</f>
        <v>Core</v>
      </c>
      <c r="D28" s="16" t="n">
        <f aca="false">SUMIFS(Transactions!$N$2:$N$2881,Transactions!$C$2:$C$2881,$A28,Transactions!$A$2:$A$2881,"2026")</f>
        <v>2296939.99807616</v>
      </c>
      <c r="E28" s="16" t="n">
        <f aca="false">SUMIFS(Transactions!$P$2:$P$2881,Transactions!$C$2:$C$2881,$A28,Transactions!$A$2:$A$2881,"2026")</f>
        <v>893648.428076164</v>
      </c>
      <c r="F28" s="16" t="n">
        <f aca="false">INDEX(Customers!$J$2:$J$41,MATCH(A28,Customers!$A$2:$A$41,0))</f>
        <v>519000</v>
      </c>
      <c r="G28" s="16" t="n">
        <f aca="false">E28-F28</f>
        <v>374648.428076164</v>
      </c>
      <c r="H28" s="13" t="n">
        <f aca="false">IFERROR(G28/D28,0)</f>
        <v>0.163107625096849</v>
      </c>
      <c r="I28" s="2" t="n">
        <f aca="false">RANK(G28,$G$4:$G$43)</f>
        <v>25</v>
      </c>
      <c r="J28" s="13" t="n">
        <f aca="false">SUM($G$4:G28)/SUM($G$4:$G$43)</f>
        <v>0.966982296321731</v>
      </c>
      <c r="K28" s="13" t="n">
        <f aca="false">MAX(0,(Assumptions!$B$7*D28-G28)/(1-Assumptions!$B$7))/D28</f>
        <v>0.115856499870868</v>
      </c>
    </row>
    <row r="29" customFormat="false" ht="15" hidden="false" customHeight="false" outlineLevel="0" collapsed="false">
      <c r="A29" s="2" t="s">
        <v>83</v>
      </c>
      <c r="B29" s="2" t="str">
        <f aca="false">INDEX(Customers!$B$2:$B$41,MATCH(A29,Customers!$A$2:$A$41,0))</f>
        <v>Refining</v>
      </c>
      <c r="C29" s="2" t="str">
        <f aca="false">INDEX(Customers!$C$2:$C$41,MATCH(A29,Customers!$A$2:$A$41,0))</f>
        <v>Transactional</v>
      </c>
      <c r="D29" s="16" t="n">
        <f aca="false">SUMIFS(Transactions!$N$2:$N$2881,Transactions!$C$2:$C$2881,$A29,Transactions!$A$2:$A$2881,"2026")</f>
        <v>1668685.93346082</v>
      </c>
      <c r="E29" s="16" t="n">
        <f aca="false">SUMIFS(Transactions!$P$2:$P$2881,Transactions!$C$2:$C$2881,$A29,Transactions!$A$2:$A$2881,"2026")</f>
        <v>676457.063460822</v>
      </c>
      <c r="F29" s="16" t="n">
        <f aca="false">INDEX(Customers!$J$2:$J$41,MATCH(A29,Customers!$A$2:$A$41,0))</f>
        <v>320000</v>
      </c>
      <c r="G29" s="16" t="n">
        <f aca="false">E29-F29</f>
        <v>356457.063460822</v>
      </c>
      <c r="H29" s="13" t="n">
        <f aca="false">IFERROR(G29/D29,0)</f>
        <v>0.213615430149601</v>
      </c>
      <c r="I29" s="2" t="n">
        <f aca="false">RANK(G29,$G$4:$G$43)</f>
        <v>26</v>
      </c>
      <c r="J29" s="13" t="n">
        <f aca="false">SUM($G$4:G29)/SUM($G$4:$G$43)</f>
        <v>0.977843742019474</v>
      </c>
      <c r="K29" s="13" t="n">
        <f aca="false">MAX(0,(Assumptions!$B$7*D29-G29)/(1-Assumptions!$B$7))/D29</f>
        <v>0.0485127598005321</v>
      </c>
    </row>
    <row r="30" customFormat="false" ht="15" hidden="false" customHeight="false" outlineLevel="0" collapsed="false">
      <c r="A30" s="2" t="s">
        <v>70</v>
      </c>
      <c r="B30" s="2" t="str">
        <f aca="false">INDEX(Customers!$B$2:$B$41,MATCH(A30,Customers!$A$2:$A$41,0))</f>
        <v>Refining</v>
      </c>
      <c r="C30" s="2" t="str">
        <f aca="false">INDEX(Customers!$C$2:$C$41,MATCH(A30,Customers!$A$2:$A$41,0))</f>
        <v>Core</v>
      </c>
      <c r="D30" s="16" t="n">
        <f aca="false">SUMIFS(Transactions!$N$2:$N$2881,Transactions!$C$2:$C$2881,$A30,Transactions!$A$2:$A$2881,"2026")</f>
        <v>1783019.28607906</v>
      </c>
      <c r="E30" s="16" t="n">
        <f aca="false">SUMIFS(Transactions!$P$2:$P$2881,Transactions!$C$2:$C$2881,$A30,Transactions!$A$2:$A$2881,"2026")</f>
        <v>638390.586079055</v>
      </c>
      <c r="F30" s="16" t="n">
        <f aca="false">INDEX(Customers!$J$2:$J$41,MATCH(A30,Customers!$A$2:$A$41,0))</f>
        <v>305000</v>
      </c>
      <c r="G30" s="16" t="n">
        <f aca="false">E30-F30</f>
        <v>333390.586079055</v>
      </c>
      <c r="H30" s="13" t="n">
        <f aca="false">IFERROR(G30/D30,0)</f>
        <v>0.186980919770193</v>
      </c>
      <c r="I30" s="2" t="n">
        <f aca="false">RANK(G30,$G$4:$G$43)</f>
        <v>27</v>
      </c>
      <c r="J30" s="13" t="n">
        <f aca="false">SUM($G$4:G30)/SUM($G$4:$G$43)</f>
        <v>0.988002339275703</v>
      </c>
      <c r="K30" s="13" t="n">
        <f aca="false">MAX(0,(Assumptions!$B$7*D30-G30)/(1-Assumptions!$B$7))/D30</f>
        <v>0.0840254403064091</v>
      </c>
    </row>
    <row r="31" customFormat="false" ht="15" hidden="false" customHeight="false" outlineLevel="0" collapsed="false">
      <c r="A31" s="2" t="s">
        <v>77</v>
      </c>
      <c r="B31" s="2" t="str">
        <f aca="false">INDEX(Customers!$B$2:$B$41,MATCH(A31,Customers!$A$2:$A$41,0))</f>
        <v>Petrochemical</v>
      </c>
      <c r="C31" s="2" t="str">
        <f aca="false">INDEX(Customers!$C$2:$C$41,MATCH(A31,Customers!$A$2:$A$41,0))</f>
        <v>Transactional</v>
      </c>
      <c r="D31" s="16" t="n">
        <f aca="false">SUMIFS(Transactions!$N$2:$N$2881,Transactions!$C$2:$C$2881,$A31,Transactions!$A$2:$A$2881,"2026")</f>
        <v>1326517.83687364</v>
      </c>
      <c r="E31" s="16" t="n">
        <f aca="false">SUMIFS(Transactions!$P$2:$P$2881,Transactions!$C$2:$C$2881,$A31,Transactions!$A$2:$A$2881,"2026")</f>
        <v>506237.166873644</v>
      </c>
      <c r="F31" s="16" t="n">
        <f aca="false">INDEX(Customers!$J$2:$J$41,MATCH(A31,Customers!$A$2:$A$41,0))</f>
        <v>177000</v>
      </c>
      <c r="G31" s="16" t="n">
        <f aca="false">E31-F31</f>
        <v>329237.166873644</v>
      </c>
      <c r="H31" s="13" t="n">
        <f aca="false">IFERROR(G31/D31,0)</f>
        <v>0.248196562248718</v>
      </c>
      <c r="I31" s="2" t="n">
        <f aca="false">RANK(G31,$G$4:$G$43)</f>
        <v>28</v>
      </c>
      <c r="J31" s="13" t="n">
        <f aca="false">SUM($G$4:G31)/SUM($G$4:$G$43)</f>
        <v>0.998034379530307</v>
      </c>
      <c r="K31" s="13" t="n">
        <f aca="false">MAX(0,(Assumptions!$B$7*D31-G31)/(1-Assumptions!$B$7))/D31</f>
        <v>0.00240458366837615</v>
      </c>
    </row>
    <row r="32" customFormat="false" ht="15" hidden="false" customHeight="false" outlineLevel="0" collapsed="false">
      <c r="A32" s="2" t="s">
        <v>92</v>
      </c>
      <c r="B32" s="2" t="str">
        <f aca="false">INDEX(Customers!$B$2:$B$41,MATCH(A32,Customers!$A$2:$A$41,0))</f>
        <v>Refining</v>
      </c>
      <c r="C32" s="2" t="str">
        <f aca="false">INDEX(Customers!$C$2:$C$41,MATCH(A32,Customers!$A$2:$A$41,0))</f>
        <v>Transactional</v>
      </c>
      <c r="D32" s="16" t="n">
        <f aca="false">SUMIFS(Transactions!$N$2:$N$2881,Transactions!$C$2:$C$2881,$A32,Transactions!$A$2:$A$2881,"2026")</f>
        <v>1218240.37252318</v>
      </c>
      <c r="E32" s="16" t="n">
        <f aca="false">SUMIFS(Transactions!$P$2:$P$2881,Transactions!$C$2:$C$2881,$A32,Transactions!$A$2:$A$2881,"2026")</f>
        <v>464550.232523185</v>
      </c>
      <c r="F32" s="16" t="n">
        <f aca="false">INDEX(Customers!$J$2:$J$41,MATCH(A32,Customers!$A$2:$A$41,0))</f>
        <v>204000</v>
      </c>
      <c r="G32" s="16" t="n">
        <f aca="false">E32-F32</f>
        <v>260550.232523185</v>
      </c>
      <c r="H32" s="13" t="n">
        <f aca="false">IFERROR(G32/D32,0)</f>
        <v>0.213874238943125</v>
      </c>
      <c r="I32" s="2" t="n">
        <f aca="false">RANK(G32,$G$4:$G$43)</f>
        <v>29</v>
      </c>
      <c r="J32" s="13" t="n">
        <f aca="false">SUM($G$4:G32)/SUM($G$4:$G$43)</f>
        <v>1.00597349055425</v>
      </c>
      <c r="K32" s="13" t="n">
        <f aca="false">MAX(0,(Assumptions!$B$7*D32-G32)/(1-Assumptions!$B$7))/D32</f>
        <v>0.0481676814091672</v>
      </c>
    </row>
    <row r="33" customFormat="false" ht="15" hidden="false" customHeight="false" outlineLevel="0" collapsed="false">
      <c r="A33" s="2" t="s">
        <v>72</v>
      </c>
      <c r="B33" s="2" t="str">
        <f aca="false">INDEX(Customers!$B$2:$B$41,MATCH(A33,Customers!$A$2:$A$41,0))</f>
        <v>Specialty Chemicals</v>
      </c>
      <c r="C33" s="2" t="str">
        <f aca="false">INDEX(Customers!$C$2:$C$41,MATCH(A33,Customers!$A$2:$A$41,0))</f>
        <v>Transactional</v>
      </c>
      <c r="D33" s="16" t="n">
        <f aca="false">SUMIFS(Transactions!$N$2:$N$2881,Transactions!$C$2:$C$2881,$A33,Transactions!$A$2:$A$2881,"2026")</f>
        <v>1857595.15100799</v>
      </c>
      <c r="E33" s="16" t="n">
        <f aca="false">SUMIFS(Transactions!$P$2:$P$2881,Transactions!$C$2:$C$2881,$A33,Transactions!$A$2:$A$2881,"2026")</f>
        <v>613324.251007986</v>
      </c>
      <c r="F33" s="16" t="n">
        <f aca="false">INDEX(Customers!$J$2:$J$41,MATCH(A33,Customers!$A$2:$A$41,0))</f>
        <v>370000</v>
      </c>
      <c r="G33" s="16" t="n">
        <f aca="false">E33-F33</f>
        <v>243324.251007986</v>
      </c>
      <c r="H33" s="13" t="n">
        <f aca="false">IFERROR(G33/D33,0)</f>
        <v>0.130988849145063</v>
      </c>
      <c r="I33" s="2" t="n">
        <f aca="false">RANK(G33,$G$4:$G$43)</f>
        <v>30</v>
      </c>
      <c r="J33" s="13" t="n">
        <f aca="false">SUM($G$4:G33)/SUM($G$4:$G$43)</f>
        <v>1.0133877163059</v>
      </c>
      <c r="K33" s="13" t="n">
        <f aca="false">MAX(0,(Assumptions!$B$7*D33-G33)/(1-Assumptions!$B$7))/D33</f>
        <v>0.158681534473249</v>
      </c>
    </row>
    <row r="34" customFormat="false" ht="15" hidden="false" customHeight="false" outlineLevel="0" collapsed="false">
      <c r="A34" s="2" t="s">
        <v>104</v>
      </c>
      <c r="B34" s="2" t="str">
        <f aca="false">INDEX(Customers!$B$2:$B$41,MATCH(A34,Customers!$A$2:$A$41,0))</f>
        <v>Refining</v>
      </c>
      <c r="C34" s="2" t="str">
        <f aca="false">INDEX(Customers!$C$2:$C$41,MATCH(A34,Customers!$A$2:$A$41,0))</f>
        <v>Transactional</v>
      </c>
      <c r="D34" s="16" t="n">
        <f aca="false">SUMIFS(Transactions!$N$2:$N$2881,Transactions!$C$2:$C$2881,$A34,Transactions!$A$2:$A$2881,"2026")</f>
        <v>1562455.10073023</v>
      </c>
      <c r="E34" s="16" t="n">
        <f aca="false">SUMIFS(Transactions!$P$2:$P$2881,Transactions!$C$2:$C$2881,$A34,Transactions!$A$2:$A$2881,"2026")</f>
        <v>421219.220730226</v>
      </c>
      <c r="F34" s="16" t="n">
        <f aca="false">INDEX(Customers!$J$2:$J$41,MATCH(A34,Customers!$A$2:$A$41,0))</f>
        <v>207000</v>
      </c>
      <c r="G34" s="16" t="n">
        <f aca="false">E34-F34</f>
        <v>214219.220730226</v>
      </c>
      <c r="H34" s="13" t="n">
        <f aca="false">IFERROR(G34/D34,0)</f>
        <v>0.13710424103074</v>
      </c>
      <c r="I34" s="2" t="n">
        <f aca="false">RANK(G34,$G$4:$G$43)</f>
        <v>31</v>
      </c>
      <c r="J34" s="13" t="n">
        <f aca="false">SUM($G$4:G34)/SUM($G$4:$G$43)</f>
        <v>1.01991509553857</v>
      </c>
      <c r="K34" s="13" t="n">
        <f aca="false">MAX(0,(Assumptions!$B$7*D34-G34)/(1-Assumptions!$B$7))/D34</f>
        <v>0.15052767862568</v>
      </c>
    </row>
    <row r="35" customFormat="false" ht="15" hidden="false" customHeight="false" outlineLevel="0" collapsed="false">
      <c r="A35" s="2" t="s">
        <v>99</v>
      </c>
      <c r="B35" s="2" t="str">
        <f aca="false">INDEX(Customers!$B$2:$B$41,MATCH(A35,Customers!$A$2:$A$41,0))</f>
        <v>Petrochemical</v>
      </c>
      <c r="C35" s="2" t="str">
        <f aca="false">INDEX(Customers!$C$2:$C$41,MATCH(A35,Customers!$A$2:$A$41,0))</f>
        <v>Transactional</v>
      </c>
      <c r="D35" s="16" t="n">
        <f aca="false">SUMIFS(Transactions!$N$2:$N$2881,Transactions!$C$2:$C$2881,$A35,Transactions!$A$2:$A$2881,"2026")</f>
        <v>838753.586802754</v>
      </c>
      <c r="E35" s="16" t="n">
        <f aca="false">SUMIFS(Transactions!$P$2:$P$2881,Transactions!$C$2:$C$2881,$A35,Transactions!$A$2:$A$2881,"2026")</f>
        <v>375020.806802754</v>
      </c>
      <c r="F35" s="16" t="n">
        <f aca="false">INDEX(Customers!$J$2:$J$41,MATCH(A35,Customers!$A$2:$A$41,0))</f>
        <v>352000</v>
      </c>
      <c r="G35" s="16" t="n">
        <f aca="false">E35-F35</f>
        <v>23020.8068027535</v>
      </c>
      <c r="H35" s="13" t="n">
        <f aca="false">IFERROR(G35/D35,0)</f>
        <v>0.0274464481165518</v>
      </c>
      <c r="I35" s="2" t="n">
        <f aca="false">RANK(G35,$G$4:$G$43)</f>
        <v>32</v>
      </c>
      <c r="J35" s="13" t="n">
        <f aca="false">SUM($G$4:G35)/SUM($G$4:$G$43)</f>
        <v>1.02061655237205</v>
      </c>
      <c r="K35" s="13" t="n">
        <f aca="false">MAX(0,(Assumptions!$B$7*D35-G35)/(1-Assumptions!$B$7))/D35</f>
        <v>0.296738069177931</v>
      </c>
    </row>
    <row r="36" customFormat="false" ht="15" hidden="false" customHeight="false" outlineLevel="0" collapsed="false">
      <c r="A36" s="2" t="s">
        <v>88</v>
      </c>
      <c r="B36" s="2" t="str">
        <f aca="false">INDEX(Customers!$B$2:$B$41,MATCH(A36,Customers!$A$2:$A$41,0))</f>
        <v>Specialty Chemicals</v>
      </c>
      <c r="C36" s="2" t="str">
        <f aca="false">INDEX(Customers!$C$2:$C$41,MATCH(A36,Customers!$A$2:$A$41,0))</f>
        <v>Transactional</v>
      </c>
      <c r="D36" s="16" t="n">
        <f aca="false">SUMIFS(Transactions!$N$2:$N$2881,Transactions!$C$2:$C$2881,$A36,Transactions!$A$2:$A$2881,"2026")</f>
        <v>922658.877037315</v>
      </c>
      <c r="E36" s="16" t="n">
        <f aca="false">SUMIFS(Transactions!$P$2:$P$2881,Transactions!$C$2:$C$2881,$A36,Transactions!$A$2:$A$2881,"2026")</f>
        <v>405800.757037315</v>
      </c>
      <c r="F36" s="16" t="n">
        <f aca="false">INDEX(Customers!$J$2:$J$41,MATCH(A36,Customers!$A$2:$A$41,0))</f>
        <v>383000</v>
      </c>
      <c r="G36" s="16" t="n">
        <f aca="false">E36-F36</f>
        <v>22800.7570373151</v>
      </c>
      <c r="H36" s="13" t="n">
        <f aca="false">IFERROR(G36/D36,0)</f>
        <v>0.0247120117789675</v>
      </c>
      <c r="I36" s="2" t="n">
        <f aca="false">RANK(G36,$G$4:$G$43)</f>
        <v>33</v>
      </c>
      <c r="J36" s="13" t="n">
        <f aca="false">SUM($G$4:G36)/SUM($G$4:$G$43)</f>
        <v>1.02131130416635</v>
      </c>
      <c r="K36" s="13" t="n">
        <f aca="false">MAX(0,(Assumptions!$B$7*D36-G36)/(1-Assumptions!$B$7))/D36</f>
        <v>0.30038398429471</v>
      </c>
    </row>
    <row r="37" customFormat="false" ht="15" hidden="false" customHeight="false" outlineLevel="0" collapsed="false">
      <c r="A37" s="2" t="s">
        <v>97</v>
      </c>
      <c r="B37" s="2" t="str">
        <f aca="false">INDEX(Customers!$B$2:$B$41,MATCH(A37,Customers!$A$2:$A$41,0))</f>
        <v>Specialty Chemicals</v>
      </c>
      <c r="C37" s="2" t="str">
        <f aca="false">INDEX(Customers!$C$2:$C$41,MATCH(A37,Customers!$A$2:$A$41,0))</f>
        <v>Strategic</v>
      </c>
      <c r="D37" s="16" t="n">
        <f aca="false">SUMIFS(Transactions!$N$2:$N$2881,Transactions!$C$2:$C$2881,$A37,Transactions!$A$2:$A$2881,"2026")</f>
        <v>4146580.13925345</v>
      </c>
      <c r="E37" s="16" t="n">
        <f aca="false">SUMIFS(Transactions!$P$2:$P$2881,Transactions!$C$2:$C$2881,$A37,Transactions!$A$2:$A$2881,"2026")</f>
        <v>987790.559253452</v>
      </c>
      <c r="F37" s="16" t="n">
        <f aca="false">INDEX(Customers!$J$2:$J$41,MATCH(A37,Customers!$A$2:$A$41,0))</f>
        <v>974000</v>
      </c>
      <c r="G37" s="16" t="n">
        <f aca="false">E37-F37</f>
        <v>13790.5592534519</v>
      </c>
      <c r="H37" s="13" t="n">
        <f aca="false">IFERROR(G37/D37,0)</f>
        <v>0.00332576696707343</v>
      </c>
      <c r="I37" s="2" t="n">
        <f aca="false">RANK(G37,$G$4:$G$43)</f>
        <v>34</v>
      </c>
      <c r="J37" s="13" t="n">
        <f aca="false">SUM($G$4:G37)/SUM($G$4:$G$43)</f>
        <v>1.02173151020468</v>
      </c>
      <c r="K37" s="13" t="n">
        <f aca="false">MAX(0,(Assumptions!$B$7*D37-G37)/(1-Assumptions!$B$7))/D37</f>
        <v>0.328898977377235</v>
      </c>
    </row>
    <row r="38" customFormat="false" ht="15" hidden="false" customHeight="false" outlineLevel="0" collapsed="false">
      <c r="A38" s="2" t="s">
        <v>95</v>
      </c>
      <c r="B38" s="2" t="str">
        <f aca="false">INDEX(Customers!$B$2:$B$41,MATCH(A38,Customers!$A$2:$A$41,0))</f>
        <v>Refining</v>
      </c>
      <c r="C38" s="2" t="str">
        <f aca="false">INDEX(Customers!$C$2:$C$41,MATCH(A38,Customers!$A$2:$A$41,0))</f>
        <v>Transactional</v>
      </c>
      <c r="D38" s="16" t="n">
        <f aca="false">SUMIFS(Transactions!$N$2:$N$2881,Transactions!$C$2:$C$2881,$A38,Transactions!$A$2:$A$2881,"2026")</f>
        <v>1037597.50625032</v>
      </c>
      <c r="E38" s="16" t="n">
        <f aca="false">SUMIFS(Transactions!$P$2:$P$2881,Transactions!$C$2:$C$2881,$A38,Transactions!$A$2:$A$2881,"2026")</f>
        <v>257869.996250322</v>
      </c>
      <c r="F38" s="16" t="n">
        <f aca="false">INDEX(Customers!$J$2:$J$41,MATCH(A38,Customers!$A$2:$A$41,0))</f>
        <v>263000</v>
      </c>
      <c r="G38" s="16" t="n">
        <f aca="false">E38-F38</f>
        <v>-5130.00374967806</v>
      </c>
      <c r="H38" s="13" t="n">
        <f aca="false">IFERROR(G38/D38,0)</f>
        <v>-0.00494411726972717</v>
      </c>
      <c r="I38" s="2" t="n">
        <f aca="false">RANK(G38,$G$4:$G$43)</f>
        <v>35</v>
      </c>
      <c r="J38" s="13" t="n">
        <f aca="false">SUM($G$4:G38)/SUM($G$4:$G$43)</f>
        <v>1.02157519612686</v>
      </c>
      <c r="K38" s="13" t="n">
        <f aca="false">MAX(0,(Assumptions!$B$7*D38-G38)/(1-Assumptions!$B$7))/D38</f>
        <v>0.33992548969297</v>
      </c>
    </row>
    <row r="39" customFormat="false" ht="15" hidden="false" customHeight="false" outlineLevel="0" collapsed="false">
      <c r="A39" s="2" t="s">
        <v>93</v>
      </c>
      <c r="B39" s="2" t="str">
        <f aca="false">INDEX(Customers!$B$2:$B$41,MATCH(A39,Customers!$A$2:$A$41,0))</f>
        <v>Petrochemical</v>
      </c>
      <c r="C39" s="2" t="str">
        <f aca="false">INDEX(Customers!$C$2:$C$41,MATCH(A39,Customers!$A$2:$A$41,0))</f>
        <v>Transactional</v>
      </c>
      <c r="D39" s="16" t="n">
        <f aca="false">SUMIFS(Transactions!$N$2:$N$2881,Transactions!$C$2:$C$2881,$A39,Transactions!$A$2:$A$2881,"2026")</f>
        <v>1003758.44439047</v>
      </c>
      <c r="E39" s="16" t="n">
        <f aca="false">SUMIFS(Transactions!$P$2:$P$2881,Transactions!$C$2:$C$2881,$A39,Transactions!$A$2:$A$2881,"2026")</f>
        <v>293055.354390466</v>
      </c>
      <c r="F39" s="16" t="n">
        <f aca="false">INDEX(Customers!$J$2:$J$41,MATCH(A39,Customers!$A$2:$A$41,0))</f>
        <v>349000</v>
      </c>
      <c r="G39" s="16" t="n">
        <f aca="false">E39-F39</f>
        <v>-55944.6456095342</v>
      </c>
      <c r="H39" s="13" t="n">
        <f aca="false">IFERROR(G39/D39,0)</f>
        <v>-0.0557351680797134</v>
      </c>
      <c r="I39" s="2" t="n">
        <f aca="false">RANK(G39,$G$4:$G$43)</f>
        <v>36</v>
      </c>
      <c r="J39" s="13" t="n">
        <f aca="false">SUM($G$4:G39)/SUM($G$4:$G$43)</f>
        <v>1.01987053154688</v>
      </c>
      <c r="K39" s="13" t="n">
        <f aca="false">MAX(0,(Assumptions!$B$7*D39-G39)/(1-Assumptions!$B$7))/D39</f>
        <v>0.407646890772951</v>
      </c>
    </row>
    <row r="40" customFormat="false" ht="15" hidden="false" customHeight="false" outlineLevel="0" collapsed="false">
      <c r="A40" s="2" t="s">
        <v>96</v>
      </c>
      <c r="B40" s="2" t="str">
        <f aca="false">INDEX(Customers!$B$2:$B$41,MATCH(A40,Customers!$A$2:$A$41,0))</f>
        <v>Petrochemical</v>
      </c>
      <c r="C40" s="2" t="str">
        <f aca="false">INDEX(Customers!$C$2:$C$41,MATCH(A40,Customers!$A$2:$A$41,0))</f>
        <v>Transactional</v>
      </c>
      <c r="D40" s="16" t="n">
        <f aca="false">SUMIFS(Transactions!$N$2:$N$2881,Transactions!$C$2:$C$2881,$A40,Transactions!$A$2:$A$2881,"2026")</f>
        <v>657227.30933137</v>
      </c>
      <c r="E40" s="16" t="n">
        <f aca="false">SUMIFS(Transactions!$P$2:$P$2881,Transactions!$C$2:$C$2881,$A40,Transactions!$A$2:$A$2881,"2026")</f>
        <v>268582.55933137</v>
      </c>
      <c r="F40" s="16" t="n">
        <f aca="false">INDEX(Customers!$J$2:$J$41,MATCH(A40,Customers!$A$2:$A$41,0))</f>
        <v>341000</v>
      </c>
      <c r="G40" s="16" t="n">
        <f aca="false">E40-F40</f>
        <v>-72417.4406686302</v>
      </c>
      <c r="H40" s="13" t="n">
        <f aca="false">IFERROR(G40/D40,0)</f>
        <v>-0.110186292688148</v>
      </c>
      <c r="I40" s="2" t="n">
        <f aca="false">RANK(G40,$G$4:$G$43)</f>
        <v>37</v>
      </c>
      <c r="J40" s="13" t="n">
        <f aca="false">SUM($G$4:G40)/SUM($G$4:$G$43)</f>
        <v>1.01766393170634</v>
      </c>
      <c r="K40" s="13" t="n">
        <f aca="false">MAX(0,(Assumptions!$B$7*D40-G40)/(1-Assumptions!$B$7))/D40</f>
        <v>0.480248390250864</v>
      </c>
    </row>
    <row r="41" customFormat="false" ht="15" hidden="false" customHeight="false" outlineLevel="0" collapsed="false">
      <c r="A41" s="2" t="s">
        <v>84</v>
      </c>
      <c r="B41" s="2" t="str">
        <f aca="false">INDEX(Customers!$B$2:$B$41,MATCH(A41,Customers!$A$2:$A$41,0))</f>
        <v>Petrochemical</v>
      </c>
      <c r="C41" s="2" t="str">
        <f aca="false">INDEX(Customers!$C$2:$C$41,MATCH(A41,Customers!$A$2:$A$41,0))</f>
        <v>Transactional</v>
      </c>
      <c r="D41" s="16" t="n">
        <f aca="false">SUMIFS(Transactions!$N$2:$N$2881,Transactions!$C$2:$C$2881,$A41,Transactions!$A$2:$A$2881,"2026")</f>
        <v>633364.397406575</v>
      </c>
      <c r="E41" s="16" t="n">
        <f aca="false">SUMIFS(Transactions!$P$2:$P$2881,Transactions!$C$2:$C$2881,$A41,Transactions!$A$2:$A$2881,"2026")</f>
        <v>183709.657406575</v>
      </c>
      <c r="F41" s="16" t="n">
        <f aca="false">INDEX(Customers!$J$2:$J$41,MATCH(A41,Customers!$A$2:$A$41,0))</f>
        <v>306000</v>
      </c>
      <c r="G41" s="16" t="n">
        <f aca="false">E41-F41</f>
        <v>-122290.342593425</v>
      </c>
      <c r="H41" s="13" t="n">
        <f aca="false">IFERROR(G41/D41,0)</f>
        <v>-0.193080544303034</v>
      </c>
      <c r="I41" s="2" t="n">
        <f aca="false">RANK(G41,$G$4:$G$43)</f>
        <v>38</v>
      </c>
      <c r="J41" s="13" t="n">
        <f aca="false">SUM($G$4:G41)/SUM($G$4:$G$43)</f>
        <v>1.01393767670513</v>
      </c>
      <c r="K41" s="13" t="n">
        <f aca="false">MAX(0,(Assumptions!$B$7*D41-G41)/(1-Assumptions!$B$7))/D41</f>
        <v>0.590774059070712</v>
      </c>
    </row>
    <row r="42" customFormat="false" ht="15" hidden="false" customHeight="false" outlineLevel="0" collapsed="false">
      <c r="A42" s="2" t="s">
        <v>69</v>
      </c>
      <c r="B42" s="2" t="str">
        <f aca="false">INDEX(Customers!$B$2:$B$41,MATCH(A42,Customers!$A$2:$A$41,0))</f>
        <v>Refining</v>
      </c>
      <c r="C42" s="2" t="str">
        <f aca="false">INDEX(Customers!$C$2:$C$41,MATCH(A42,Customers!$A$2:$A$41,0))</f>
        <v>Core</v>
      </c>
      <c r="D42" s="16" t="n">
        <f aca="false">SUMIFS(Transactions!$N$2:$N$2881,Transactions!$C$2:$C$2881,$A42,Transactions!$A$2:$A$2881,"2026")</f>
        <v>1297211.80919342</v>
      </c>
      <c r="E42" s="16" t="n">
        <f aca="false">SUMIFS(Transactions!$P$2:$P$2881,Transactions!$C$2:$C$2881,$A42,Transactions!$A$2:$A$2881,"2026")</f>
        <v>409163.319193425</v>
      </c>
      <c r="F42" s="16" t="n">
        <f aca="false">INDEX(Customers!$J$2:$J$41,MATCH(A42,Customers!$A$2:$A$41,0))</f>
        <v>548000</v>
      </c>
      <c r="G42" s="16" t="n">
        <f aca="false">E42-F42</f>
        <v>-138836.680806575</v>
      </c>
      <c r="H42" s="13" t="n">
        <f aca="false">IFERROR(G42/D42,0)</f>
        <v>-0.107026994221476</v>
      </c>
      <c r="I42" s="2" t="n">
        <f aca="false">RANK(G42,$G$4:$G$43)</f>
        <v>39</v>
      </c>
      <c r="J42" s="13" t="n">
        <f aca="false">SUM($G$4:G42)/SUM($G$4:$G$43)</f>
        <v>1.00970724554241</v>
      </c>
      <c r="K42" s="13" t="n">
        <f aca="false">MAX(0,(Assumptions!$B$7*D42-G42)/(1-Assumptions!$B$7))/D42</f>
        <v>0.476035992295302</v>
      </c>
    </row>
    <row r="43" customFormat="false" ht="15" hidden="false" customHeight="false" outlineLevel="0" collapsed="false">
      <c r="A43" s="2" t="s">
        <v>91</v>
      </c>
      <c r="B43" s="2" t="str">
        <f aca="false">INDEX(Customers!$B$2:$B$41,MATCH(A43,Customers!$A$2:$A$41,0))</f>
        <v>Specialty Chemicals</v>
      </c>
      <c r="C43" s="2" t="str">
        <f aca="false">INDEX(Customers!$C$2:$C$41,MATCH(A43,Customers!$A$2:$A$41,0))</f>
        <v>Strategic</v>
      </c>
      <c r="D43" s="16" t="n">
        <f aca="false">SUMIFS(Transactions!$N$2:$N$2881,Transactions!$C$2:$C$2881,$A43,Transactions!$A$2:$A$2881,"2026")</f>
        <v>5935280.44955503</v>
      </c>
      <c r="E43" s="16" t="n">
        <f aca="false">SUMIFS(Transactions!$P$2:$P$2881,Transactions!$C$2:$C$2881,$A43,Transactions!$A$2:$A$2881,"2026")</f>
        <v>1035422.12955503</v>
      </c>
      <c r="F43" s="16" t="n">
        <f aca="false">INDEX(Customers!$J$2:$J$41,MATCH(A43,Customers!$A$2:$A$41,0))</f>
        <v>1354000</v>
      </c>
      <c r="G43" s="16" t="n">
        <f aca="false">E43-F43</f>
        <v>-318577.870444973</v>
      </c>
      <c r="H43" s="13" t="n">
        <f aca="false">IFERROR(G43/D43,0)</f>
        <v>-0.053675285128078</v>
      </c>
      <c r="I43" s="2" t="n">
        <f aca="false">RANK(G43,$G$4:$G$43)</f>
        <v>40</v>
      </c>
      <c r="J43" s="13" t="n">
        <f aca="false">SUM($G$4:G43)/SUM($G$4:$G$43)</f>
        <v>1</v>
      </c>
      <c r="K43" s="13" t="n">
        <f aca="false">MAX(0,(Assumptions!$B$7*D43-G43)/(1-Assumptions!$B$7))/D43</f>
        <v>0.404900380170771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17" t="s">
        <v>167</v>
      </c>
      <c r="B45" s="2"/>
      <c r="C45" s="2"/>
      <c r="D45" s="2"/>
      <c r="E45" s="2"/>
      <c r="F45" s="2"/>
      <c r="G45" s="2"/>
      <c r="H45" s="24" t="n">
        <f aca="false">COUNTA(A4:A43)</f>
        <v>40</v>
      </c>
      <c r="I45" s="2"/>
      <c r="J45" s="2"/>
      <c r="K45" s="2"/>
    </row>
    <row r="46" customFormat="false" ht="15" hidden="false" customHeight="false" outlineLevel="0" collapsed="false">
      <c r="A46" s="17" t="s">
        <v>168</v>
      </c>
      <c r="B46" s="2"/>
      <c r="C46" s="2"/>
      <c r="D46" s="2"/>
      <c r="E46" s="2"/>
      <c r="F46" s="2"/>
      <c r="G46" s="2"/>
      <c r="H46" s="24" t="n">
        <f aca="false">COUNTIF(G4:G43,"&lt;0")</f>
        <v>6</v>
      </c>
      <c r="I46" s="2"/>
      <c r="J46" s="2"/>
      <c r="K46" s="2"/>
    </row>
    <row r="47" customFormat="false" ht="15" hidden="false" customHeight="false" outlineLevel="0" collapsed="false">
      <c r="A47" s="17" t="s">
        <v>169</v>
      </c>
      <c r="B47" s="2"/>
      <c r="C47" s="2"/>
      <c r="D47" s="2"/>
      <c r="E47" s="2"/>
      <c r="F47" s="2"/>
      <c r="G47" s="2"/>
      <c r="H47" s="24" t="n">
        <f aca="false">COUNTIF(H4:H43,"&lt;"&amp;Assumptions!B7)</f>
        <v>24</v>
      </c>
      <c r="I47" s="2"/>
      <c r="J47" s="2"/>
      <c r="K47" s="2"/>
    </row>
    <row r="48" customFormat="false" ht="15" hidden="false" customHeight="false" outlineLevel="0" collapsed="false">
      <c r="A48" s="17" t="s">
        <v>16</v>
      </c>
      <c r="B48" s="2"/>
      <c r="C48" s="2"/>
      <c r="D48" s="2"/>
      <c r="E48" s="2"/>
      <c r="F48" s="2"/>
      <c r="G48" s="2"/>
      <c r="H48" s="13" t="n">
        <f aca="false">MAX(J4:J43)</f>
        <v>1.02173151020468</v>
      </c>
      <c r="I48" s="2"/>
      <c r="J48" s="2"/>
      <c r="K48" s="2"/>
    </row>
    <row r="49" customFormat="false" ht="15" hidden="false" customHeight="false" outlineLevel="0" collapsed="false">
      <c r="A49" s="17" t="s">
        <v>170</v>
      </c>
      <c r="B49" s="2"/>
      <c r="C49" s="2"/>
      <c r="D49" s="2"/>
      <c r="E49" s="2"/>
      <c r="F49" s="2"/>
      <c r="G49" s="2"/>
      <c r="H49" s="24" t="n">
        <f aca="false">MATCH(MAX(J4:J43),J4:J43,0)</f>
        <v>34</v>
      </c>
      <c r="I49" s="2"/>
      <c r="J49" s="2"/>
      <c r="K49" s="2"/>
    </row>
    <row r="50" customFormat="false" ht="15" hidden="false" customHeight="false" outlineLevel="0" collapsed="false">
      <c r="A50" s="17" t="s">
        <v>171</v>
      </c>
      <c r="B50" s="2"/>
      <c r="C50" s="2"/>
      <c r="D50" s="2"/>
      <c r="E50" s="2"/>
      <c r="F50" s="2"/>
      <c r="G50" s="2"/>
      <c r="H50" s="16" t="n">
        <f aca="false">-SUMIF(G4:G43,"&lt;0")</f>
        <v>713196.983872816</v>
      </c>
      <c r="I50" s="2"/>
      <c r="J50" s="2"/>
      <c r="K50" s="2"/>
    </row>
    <row r="51" customFormat="false" ht="15" hidden="false" customHeight="false" outlineLevel="0" collapsed="false">
      <c r="A51" s="17" t="s">
        <v>172</v>
      </c>
      <c r="B51" s="2"/>
      <c r="C51" s="2"/>
      <c r="D51" s="2"/>
      <c r="E51" s="2"/>
      <c r="F51" s="2"/>
      <c r="G51" s="2"/>
      <c r="H51" s="16" t="n">
        <f aca="false">SUM(G4:G43)</f>
        <v>32818565.1689884</v>
      </c>
      <c r="I51" s="2"/>
      <c r="J51" s="2"/>
      <c r="K51" s="2"/>
    </row>
    <row r="52" customFormat="false" ht="15" hidden="false" customHeight="false" outlineLevel="0" collapsed="false">
      <c r="A52" s="17" t="s">
        <v>173</v>
      </c>
      <c r="B52" s="2"/>
      <c r="C52" s="2"/>
      <c r="D52" s="2"/>
      <c r="E52" s="2"/>
      <c r="F52" s="2"/>
      <c r="G52" s="2"/>
      <c r="H52" s="16" t="n">
        <f aca="false">SUMIF(H4:H43,"&lt;"&amp;Assumptions!B7,D4:D43)</f>
        <v>63727185.3408884</v>
      </c>
      <c r="I52" s="2"/>
      <c r="J52" s="2"/>
      <c r="K52" s="2"/>
    </row>
    <row r="53" customFormat="false" ht="15" hidden="false" customHeight="false" outlineLevel="0" collapsed="false">
      <c r="A53" s="17" t="s">
        <v>174</v>
      </c>
      <c r="B53" s="2"/>
      <c r="C53" s="2"/>
      <c r="D53" s="2"/>
      <c r="E53" s="2"/>
      <c r="F53" s="2"/>
      <c r="G53" s="2"/>
      <c r="H53" s="13" t="n">
        <f aca="false">IFERROR(SUMPRODUCT((H4:H43&lt;Assumptions!B7)*K4:K43*D4:D43)/H52,0)</f>
        <v>0.158520484966353</v>
      </c>
      <c r="I53" s="2"/>
      <c r="J53" s="2"/>
      <c r="K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2026-10-14T20:12:47Z</dcterms:created>
  <dc:creator>openpyxl</dc:creator>
  <dc:description/>
  <dc:language>en-US</dc:language>
  <cp:lastModifiedBy/>
  <dcterms:modified xsi:type="dcterms:W3CDTF">2026-10-14T20:12:50Z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